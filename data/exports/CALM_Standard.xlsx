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03-Finance\ai-fund\data\exports\"/>
    </mc:Choice>
  </mc:AlternateContent>
  <xr:revisionPtr revIDLastSave="0" documentId="13_ncr:1_{FC72DBEB-0B2B-49ED-A0D3-574958D9D886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Input_Raw" sheetId="45" r:id="rId1"/>
    <sheet name="Input" sheetId="49" r:id="rId2"/>
    <sheet name="Financial Statements" sheetId="37" r:id="rId3"/>
    <sheet name="Common Size" sheetId="40" r:id="rId4"/>
    <sheet name="_CIQHiddenCacheSheet" sheetId="55" state="veryHidden" r:id="rId5"/>
    <sheet name="Detailed Comps" sheetId="38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2" hidden="1">'Financial Statements'!#REF!</definedName>
    <definedName name="Ccy">Input!$B$7</definedName>
    <definedName name="CIQWBGuid" hidden="1">"4ba808f8-7c42-49d3-83d0-8685a2914ddb"</definedName>
    <definedName name="CIQWBInfo" hidden="1">"{ ""CIQVersion"":""9.52.4409.4666"" }"</definedName>
    <definedName name="Conv">Input!$B$8</definedName>
    <definedName name="Date">Input!$B$6</definedName>
    <definedName name="ExternalData_1" localSheetId="1" hidden="1">Input!#REF!</definedName>
    <definedName name="ExternalData_1" localSheetId="0" hidden="1">Input_Raw!$A$1:$B$6</definedName>
    <definedName name="InputTicker">Input!$B$2</definedName>
    <definedName name="IQ_ADDIN" hidden="1">"AUTO"</definedName>
    <definedName name="IQ_ANNUAL_DIVIDEND" hidden="1">"c229"</definedName>
    <definedName name="IQ_AVG_PRICE_TARGET" hidden="1">"c82"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CH">110000</definedName>
    <definedName name="IQ_CLASSB_OUTSTANDING_BS_DATE" hidden="1">"c1972"</definedName>
    <definedName name="IQ_CLASSB_OUTSTANDING_FILING_DATE" hidden="1">"c1974"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"c157"</definedName>
    <definedName name="IQ_EBIT_GROWTH_2" hidden="1">"c161"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"c156"</definedName>
    <definedName name="IQ_EBITDA_GROWTH_2" hidden="1">"c160"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"c189"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REVENUE_EST" hidden="1">"c165"</definedName>
    <definedName name="IQ_EV_OVER_REVENUE_EST_1" hidden="1">"c166"</definedName>
    <definedName name="IQ_EXPENSE_CODE_" hidden="1">"test"</definedName>
    <definedName name="IQ_FH">100000</definedName>
    <definedName name="IQ_FHLB_DUE_AFTER_FIVE" hidden="1">"c2086"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PERCENT_AMOUNT" hidden="1">"c240"</definedName>
    <definedName name="IQ_FIVEPERCENT_OWNER" hidden="1">"c239"</definedName>
    <definedName name="IQ_FLOAT" hidden="1">"c225"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">1000</definedName>
    <definedName name="IQ_FY_DATE" hidden="1">"IQ_FY_DATE"</definedName>
    <definedName name="IQ_INSIDER_3MTH_BOUGHT" hidden="1">"c1534"</definedName>
    <definedName name="IQ_INSIDER_3MTH_NET" hidden="1">"c1535"</definedName>
    <definedName name="IQ_INSIDER_3MTH_SOLD" hidden="1">"c1533"</definedName>
    <definedName name="IQ_INSIDER_6MTH_BOUGHT" hidden="1">"c1537"</definedName>
    <definedName name="IQ_INSIDER_6MTH_NET" hidden="1">"c1538"</definedName>
    <definedName name="IQ_INSIDER_6MTH_SOLD" hidden="1">"c1536"</definedName>
    <definedName name="IQ_INSIDER_AMOUNT" hidden="1">"c238"</definedName>
    <definedName name="IQ_INSTITUTIONAL_AMOUNT" hidden="1">"c236"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TM">2000</definedName>
    <definedName name="IQ_LTM_DATE" hidden="1">"IQ_LTM_DATE"</definedName>
    <definedName name="IQ_LTMMONTH" hidden="1">120000</definedName>
    <definedName name="IQ_MONTH">15000</definedName>
    <definedName name="IQ_MTD" hidden="1">800000</definedName>
    <definedName name="IQ_NAMES_REVISION_DATE_" hidden="1">"01/16/2026 15:33:52"</definedName>
    <definedName name="IQ_NAV_ACT_OR_EST" hidden="1">"c2225"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"c158"</definedName>
    <definedName name="IQ_NET_INC_GROWTH_2" hidden="1">"c162"</definedName>
    <definedName name="IQ_NTM">6000</definedName>
    <definedName name="IQ_NUM_OFFICES" hidden="1">"c2088"</definedName>
    <definedName name="IQ_NUMBER_SHAREHOLDERS_CLASSB" hidden="1">"c1969"</definedName>
    <definedName name="IQ_OG_OTHER_ADJ" hidden="1">"c1999"</definedName>
    <definedName name="IQ_OG_TOTAL_OIL_PRODUCTON" hidden="1">"c2059"</definedName>
    <definedName name="IQ_OPENED55" hidden="1">1</definedName>
    <definedName name="IQ_OPTIONS_EXCERCISED" hidden="1">"c2116"</definedName>
    <definedName name="IQ_OUTSTANDING_FILING_DATE_TOTAL" hidden="1">"c2107"</definedName>
    <definedName name="IQ_PERCENT_FLOAT" hidden="1">"c227"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"c174"</definedName>
    <definedName name="IQ_PRICE_OVER_EPS_EST_1" hidden="1">"c175"</definedName>
    <definedName name="IQ_PRICEDATETIME" hidden="1">"IQ_PRICEDATETIME"</definedName>
    <definedName name="IQ_PRIMARY_EPS_TYPE_THOM" hidden="1">"c5297"</definedName>
    <definedName name="IQ_QTD" hidden="1">750000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SHAREOUTSTANDING" hidden="1">"c1347"</definedName>
    <definedName name="IQ_SHORT_INTEREST_VOLUME" hidden="1">"c228"</definedName>
    <definedName name="IQ_TARGET_PRICE_LASTCLOSE" hidden="1">"c1855"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QB_BOOKMARK_COUNT" hidden="1">3</definedName>
    <definedName name="IQB_BOOKMARK_LOCATION_0" hidden="1">'Financial Statements'!$A$1</definedName>
    <definedName name="IQB_BOOKMARK_LOCATION_1" hidden="1">'Financial Statements'!#REF!</definedName>
    <definedName name="IQB_BOOKMARK_LOCATION_2" hidden="1">'Financial Statements'!#REF!</definedName>
    <definedName name="IQB_CURRENT_BOOKMARK" hidden="1">1</definedName>
    <definedName name="IQRA7" hidden="1">"$A$8:$A$11"</definedName>
    <definedName name="IQRB7" hidden="1">"$B$8:$B$11"</definedName>
    <definedName name="IQRBenchmarkAI6" hidden="1">[1]Benchmark!$AI$7</definedName>
    <definedName name="IQRBenchmarkAJ6" hidden="1">[1]Benchmark!$AJ$7</definedName>
    <definedName name="IQRBenchmarkAL6" hidden="1">[1]Benchmark!$AL$7</definedName>
    <definedName name="IQRBenchmarkAM6" hidden="1">[1]Benchmark!$AM$7</definedName>
    <definedName name="IQRBenchmarkAO6" hidden="1">[1]Benchmark!$AO$7</definedName>
    <definedName name="IQRBenchmarkAP6" hidden="1">[1]Benchmark!$AP$7</definedName>
    <definedName name="IQRBenchmarkAR6" hidden="1">[1]Benchmark!$AR$7</definedName>
    <definedName name="IQRBenchmarkAS6" hidden="1">[1]Benchmark!$AS$7</definedName>
    <definedName name="IQRBenchmarkAU6" hidden="1">[1]Benchmark!$AU$7</definedName>
    <definedName name="IQRBenchmarkAV6" hidden="1">[1]Benchmark!$AV$7</definedName>
    <definedName name="IQRBenchmarkAX6" hidden="1">[1]Benchmark!$AX$7</definedName>
    <definedName name="IQRBenchmarkAY6" hidden="1">[1]Benchmark!$AY$7</definedName>
    <definedName name="IQRBenchmarkBA6" hidden="1">[1]Benchmark!$BA$7</definedName>
    <definedName name="IQRBenchmarkBB6" hidden="1">[1]Benchmark!$BB$7</definedName>
    <definedName name="IQRBenchmarkBD6" hidden="1">[1]Benchmark!$BD$7</definedName>
    <definedName name="IQRBenchmarkBE6" hidden="1">[1]Benchmark!$BE$7</definedName>
    <definedName name="IQRBenchmarkBG6" hidden="1">[1]Benchmark!$BG$7</definedName>
    <definedName name="IQRBenchmarkBH6" hidden="1">[1]Benchmark!$BH$7</definedName>
    <definedName name="IQRBenchmarkBJ6" hidden="1">[1]Benchmark!$BJ$7</definedName>
    <definedName name="IQRBenchmarkBK6" hidden="1">[1]Benchmark!$BK$7</definedName>
    <definedName name="IQRBenchmarkBM6" hidden="1">[1]Benchmark!$BM$7</definedName>
    <definedName name="IQRBenchmarkBN6" hidden="1">[1]Benchmark!$BN$7</definedName>
    <definedName name="IQRC7" hidden="1">"$C$8:$C$11"</definedName>
    <definedName name="IQRCapitalStructureDetailsU34" hidden="1">'[2]Capital Structure Details'!$U$35:$U$59</definedName>
    <definedName name="IQRCapitalStructureDetailsU5" hidden="1">'[2]Capital Structure Details'!$U$6:$U$30</definedName>
    <definedName name="IQRCapitalStructureDetailsU63" hidden="1">'[2]Capital Structure Details'!$U$64:$U$88</definedName>
    <definedName name="IQRD7" hidden="1">"$D$8:$D$11"</definedName>
    <definedName name="IQRDataA8" hidden="1">[3]Data!$A$9:$A$261</definedName>
    <definedName name="IQRDataB8" hidden="1">[3]Data!$B$9:$B$261</definedName>
    <definedName name="IQRDataC8" hidden="1">[3]Data!$C$9:$C$261</definedName>
    <definedName name="IQRE7" hidden="1">"$E$8:$E$11"</definedName>
    <definedName name="IQRF7" hidden="1">"$F$8:$F$11"</definedName>
    <definedName name="IQRG7" hidden="1">"$G$8:$G$11"</definedName>
    <definedName name="IQRGrowthModelA9" hidden="1">'[4]Growth Model'!$A$10</definedName>
    <definedName name="IQRH7" hidden="1">"$H$8:$H$11"</definedName>
    <definedName name="IQRI7" hidden="1">"$I$8:$I$11"</definedName>
    <definedName name="IQRJ7" hidden="1">"$J$8:$J$11"</definedName>
    <definedName name="IQRMomentumModelA9" hidden="1">'[4]Momentum Model'!$A$10</definedName>
    <definedName name="IQRPortfolioAI6" hidden="1">[1]Portfolio!$AI$7</definedName>
    <definedName name="IQRPortfolioAJ6" hidden="1">[1]Portfolio!$AJ$7</definedName>
    <definedName name="IQRPortfolioAL6" hidden="1">[1]Portfolio!$AL$7</definedName>
    <definedName name="IQRPortfolioAM6" hidden="1">[1]Portfolio!$AM$7</definedName>
    <definedName name="IQRPortfolioAO6" hidden="1">[1]Portfolio!$AO$7</definedName>
    <definedName name="IQRPortfolioAP6" hidden="1">[1]Portfolio!$AP$7</definedName>
    <definedName name="IQRPortfolioAR6" hidden="1">[1]Portfolio!$AR$7</definedName>
    <definedName name="IQRPortfolioAS6" hidden="1">[1]Portfolio!$AS$7</definedName>
    <definedName name="IQRPortfolioAU6" hidden="1">[1]Portfolio!$AU$7</definedName>
    <definedName name="IQRPortfolioAV6" hidden="1">[1]Portfolio!$AV$7</definedName>
    <definedName name="IQRPortfolioAX6" hidden="1">[1]Portfolio!$AX$7</definedName>
    <definedName name="IQRPortfolioAY6" hidden="1">[1]Portfolio!$AY$7</definedName>
    <definedName name="IQRPortfolioBA6" hidden="1">[1]Portfolio!$BA$7</definedName>
    <definedName name="IQRPortfolioBB6" hidden="1">[1]Portfolio!$BB$7</definedName>
    <definedName name="IQRPortfolioBD6" hidden="1">[1]Portfolio!$BD$7</definedName>
    <definedName name="IQRPortfolioBE6" hidden="1">[1]Portfolio!$BE$7</definedName>
    <definedName name="IQRPortfolioBG6" hidden="1">[1]Portfolio!$BG$7</definedName>
    <definedName name="IQRPortfolioBH6" hidden="1">[1]Portfolio!$BH$7</definedName>
    <definedName name="IQRPortfolioBJ6" hidden="1">[1]Portfolio!$BJ$7</definedName>
    <definedName name="IQRPortfolioBK6" hidden="1">[1]Portfolio!$BK$7</definedName>
    <definedName name="IQRPortfolioBM6" hidden="1">[1]Portfolio!$BM$7</definedName>
    <definedName name="IQRPortfolioBN6" hidden="1">[1]Portfolio!$BN$7</definedName>
    <definedName name="IQRQualityModelA9" hidden="1">'[4]Quality Model'!$A$10</definedName>
    <definedName name="IQRValueModelA9" hidden="1">'[4]Value Model'!$A$10</definedName>
    <definedName name="Languages">OFFSET(#REF!,,,#REF!)</definedName>
    <definedName name="_xlnm.Print_Area" localSheetId="3">'Common Size'!$A$2:$M$55,'Common Size'!$A$56:$M$121</definedName>
    <definedName name="_xlnm.Print_Area" localSheetId="5">'Detailed Comps'!$A$1:$CH$10</definedName>
    <definedName name="_xlnm.Print_Area" localSheetId="2">'Financial Statements'!$A$1:$M$182,'Financial Statements'!$A$183:$M$280,'Financial Statements'!$A$281:$M$346,'Financial Statements'!$A$370:$M$471,'Financial Statements'!$A$473:$M$536</definedName>
    <definedName name="_xlnm.Print_Titles" localSheetId="3">'Common Size'!#REF!</definedName>
    <definedName name="_xlnm.Print_Titles" localSheetId="5">'Detailed Comps'!$A:$D</definedName>
    <definedName name="_xlnm.Print_Titles" localSheetId="2">'Financial Statements'!#REF!</definedName>
    <definedName name="SPWS_WBID">"0D145571-4AA7-4C6E-B8EB-4DF0FED2B8BC"</definedName>
    <definedName name="SPWS_WSID" localSheetId="3" hidden="1">"74B14380-D945-4DA9-AF4C-09AEA4A7FF0E"</definedName>
    <definedName name="SPWS_WSID" localSheetId="2" hidden="1">"57DB6723-E5BE-4B4A-A101-4BA9B54D516F"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financials_input_8f7c566d-870a-47f1-bc0e-bdda7aca83b5" name="financials_input" connection="Query - financials_inpu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36" i="37" l="1"/>
  <c r="K536" i="37"/>
  <c r="J536" i="37"/>
  <c r="I536" i="37"/>
  <c r="H536" i="37"/>
  <c r="G536" i="37"/>
  <c r="F536" i="37"/>
  <c r="J535" i="37"/>
  <c r="I535" i="37"/>
  <c r="H535" i="37"/>
  <c r="E536" i="37"/>
  <c r="D536" i="37"/>
  <c r="F535" i="37"/>
  <c r="E535" i="37"/>
  <c r="D535" i="37"/>
  <c r="L535" i="37"/>
  <c r="K535" i="37"/>
  <c r="E534" i="37"/>
  <c r="L534" i="37"/>
  <c r="K534" i="37"/>
  <c r="J534" i="37"/>
  <c r="G535" i="37"/>
  <c r="L533" i="37"/>
  <c r="I534" i="37"/>
  <c r="H534" i="37"/>
  <c r="G534" i="37"/>
  <c r="F534" i="37"/>
  <c r="J533" i="37"/>
  <c r="I533" i="37"/>
  <c r="H533" i="37"/>
  <c r="G533" i="37"/>
  <c r="D534" i="37"/>
  <c r="I532" i="37"/>
  <c r="F533" i="37"/>
  <c r="E533" i="37"/>
  <c r="D533" i="37"/>
  <c r="K533" i="37"/>
  <c r="E532" i="37"/>
  <c r="D532" i="37"/>
  <c r="L532" i="37"/>
  <c r="K532" i="37"/>
  <c r="J532" i="37"/>
  <c r="L531" i="37"/>
  <c r="K531" i="37"/>
  <c r="H532" i="37"/>
  <c r="G532" i="37"/>
  <c r="F532" i="37"/>
  <c r="J531" i="37"/>
  <c r="I531" i="37"/>
  <c r="H531" i="37"/>
  <c r="G531" i="37"/>
  <c r="F531" i="37"/>
  <c r="J530" i="37"/>
  <c r="I530" i="37"/>
  <c r="H530" i="37"/>
  <c r="E531" i="37"/>
  <c r="D531" i="37"/>
  <c r="F530" i="37"/>
  <c r="E530" i="37"/>
  <c r="D530" i="37"/>
  <c r="L530" i="37"/>
  <c r="K530" i="37"/>
  <c r="E529" i="37"/>
  <c r="L529" i="37"/>
  <c r="K529" i="37"/>
  <c r="J529" i="37"/>
  <c r="G530" i="37"/>
  <c r="L528" i="37"/>
  <c r="I529" i="37"/>
  <c r="H529" i="37"/>
  <c r="G529" i="37"/>
  <c r="F529" i="37"/>
  <c r="J528" i="37"/>
  <c r="I528" i="37"/>
  <c r="H528" i="37"/>
  <c r="G528" i="37"/>
  <c r="D529" i="37"/>
  <c r="I527" i="37"/>
  <c r="F528" i="37"/>
  <c r="E528" i="37"/>
  <c r="D528" i="37"/>
  <c r="K528" i="37"/>
  <c r="E527" i="37"/>
  <c r="D527" i="37"/>
  <c r="L527" i="37"/>
  <c r="K527" i="37"/>
  <c r="J527" i="37"/>
  <c r="L526" i="37"/>
  <c r="K526" i="37"/>
  <c r="H527" i="37"/>
  <c r="G527" i="37"/>
  <c r="F527" i="37"/>
  <c r="J526" i="37"/>
  <c r="I526" i="37"/>
  <c r="H526" i="37"/>
  <c r="G526" i="37"/>
  <c r="F526" i="37"/>
  <c r="J525" i="37"/>
  <c r="I525" i="37"/>
  <c r="H525" i="37"/>
  <c r="E526" i="37"/>
  <c r="D526" i="37"/>
  <c r="F525" i="37"/>
  <c r="E525" i="37"/>
  <c r="D525" i="37"/>
  <c r="L525" i="37"/>
  <c r="K525" i="37"/>
  <c r="E524" i="37"/>
  <c r="L524" i="37"/>
  <c r="K524" i="37"/>
  <c r="J524" i="37"/>
  <c r="G525" i="37"/>
  <c r="L523" i="37"/>
  <c r="I524" i="37"/>
  <c r="H524" i="37"/>
  <c r="G524" i="37"/>
  <c r="F524" i="37"/>
  <c r="J523" i="37"/>
  <c r="I523" i="37"/>
  <c r="H523" i="37"/>
  <c r="G523" i="37"/>
  <c r="D524" i="37"/>
  <c r="I522" i="37"/>
  <c r="F523" i="37"/>
  <c r="E523" i="37"/>
  <c r="D523" i="37"/>
  <c r="K523" i="37"/>
  <c r="E522" i="37"/>
  <c r="D522" i="37"/>
  <c r="L522" i="37"/>
  <c r="K522" i="37"/>
  <c r="J522" i="37"/>
  <c r="L521" i="37"/>
  <c r="K521" i="37"/>
  <c r="H522" i="37"/>
  <c r="G522" i="37"/>
  <c r="F522" i="37"/>
  <c r="J521" i="37"/>
  <c r="I521" i="37"/>
  <c r="H521" i="37"/>
  <c r="G521" i="37"/>
  <c r="F521" i="37"/>
  <c r="J520" i="37"/>
  <c r="I520" i="37"/>
  <c r="H520" i="37"/>
  <c r="E521" i="37"/>
  <c r="D521" i="37"/>
  <c r="F520" i="37"/>
  <c r="E520" i="37"/>
  <c r="D520" i="37"/>
  <c r="L520" i="37"/>
  <c r="K520" i="37"/>
  <c r="E519" i="37"/>
  <c r="L519" i="37"/>
  <c r="K519" i="37"/>
  <c r="J519" i="37"/>
  <c r="G520" i="37"/>
  <c r="L518" i="37"/>
  <c r="I519" i="37"/>
  <c r="H519" i="37"/>
  <c r="G519" i="37"/>
  <c r="F519" i="37"/>
  <c r="J518" i="37"/>
  <c r="I518" i="37"/>
  <c r="H518" i="37"/>
  <c r="G518" i="37"/>
  <c r="D519" i="37"/>
  <c r="K516" i="37"/>
  <c r="F518" i="37"/>
  <c r="E518" i="37"/>
  <c r="D518" i="37"/>
  <c r="K518" i="37"/>
  <c r="I516" i="37"/>
  <c r="H516" i="37"/>
  <c r="G516" i="37"/>
  <c r="F516" i="37"/>
  <c r="L516" i="37"/>
  <c r="I515" i="37"/>
  <c r="H515" i="37"/>
  <c r="E516" i="37"/>
  <c r="D516" i="37"/>
  <c r="J516" i="37"/>
  <c r="E515" i="37"/>
  <c r="D515" i="37"/>
  <c r="L515" i="37"/>
  <c r="K515" i="37"/>
  <c r="J515" i="37"/>
  <c r="L514" i="37"/>
  <c r="K514" i="37"/>
  <c r="J514" i="37"/>
  <c r="G515" i="37"/>
  <c r="F515" i="37"/>
  <c r="I514" i="37"/>
  <c r="H514" i="37"/>
  <c r="G514" i="37"/>
  <c r="F514" i="37"/>
  <c r="E514" i="37"/>
  <c r="I513" i="37"/>
  <c r="H513" i="37"/>
  <c r="G513" i="37"/>
  <c r="D514" i="37"/>
  <c r="L513" i="37"/>
  <c r="F513" i="37"/>
  <c r="E513" i="37"/>
  <c r="D513" i="37"/>
  <c r="K513" i="37"/>
  <c r="J513" i="37"/>
  <c r="D512" i="37"/>
  <c r="L512" i="37"/>
  <c r="K512" i="37"/>
  <c r="J512" i="37"/>
  <c r="I512" i="37"/>
  <c r="K511" i="37"/>
  <c r="H512" i="37"/>
  <c r="G512" i="37"/>
  <c r="F512" i="37"/>
  <c r="E512" i="37"/>
  <c r="I511" i="37"/>
  <c r="H511" i="37"/>
  <c r="G511" i="37"/>
  <c r="F511" i="37"/>
  <c r="L511" i="37"/>
  <c r="I510" i="37"/>
  <c r="H510" i="37"/>
  <c r="E511" i="37"/>
  <c r="D511" i="37"/>
  <c r="J511" i="37"/>
  <c r="E510" i="37"/>
  <c r="D510" i="37"/>
  <c r="L510" i="37"/>
  <c r="K510" i="37"/>
  <c r="J510" i="37"/>
  <c r="L509" i="37"/>
  <c r="K509" i="37"/>
  <c r="J509" i="37"/>
  <c r="G510" i="37"/>
  <c r="F510" i="37"/>
  <c r="I509" i="37"/>
  <c r="H509" i="37"/>
  <c r="G509" i="37"/>
  <c r="F509" i="37"/>
  <c r="E509" i="37"/>
  <c r="I508" i="37"/>
  <c r="H508" i="37"/>
  <c r="G508" i="37"/>
  <c r="D509" i="37"/>
  <c r="L508" i="37"/>
  <c r="F508" i="37"/>
  <c r="E508" i="37"/>
  <c r="D508" i="37"/>
  <c r="K508" i="37"/>
  <c r="J508" i="37"/>
  <c r="D507" i="37"/>
  <c r="L507" i="37"/>
  <c r="K507" i="37"/>
  <c r="J507" i="37"/>
  <c r="I507" i="37"/>
  <c r="K506" i="37"/>
  <c r="H507" i="37"/>
  <c r="G507" i="37"/>
  <c r="F507" i="37"/>
  <c r="E507" i="37"/>
  <c r="I506" i="37"/>
  <c r="H506" i="37"/>
  <c r="G506" i="37"/>
  <c r="F506" i="37"/>
  <c r="L506" i="37"/>
  <c r="I505" i="37"/>
  <c r="H505" i="37"/>
  <c r="E506" i="37"/>
  <c r="D506" i="37"/>
  <c r="J506" i="37"/>
  <c r="E505" i="37"/>
  <c r="D505" i="37"/>
  <c r="L505" i="37"/>
  <c r="K505" i="37"/>
  <c r="J505" i="37"/>
  <c r="L504" i="37"/>
  <c r="K504" i="37"/>
  <c r="J504" i="37"/>
  <c r="G505" i="37"/>
  <c r="F505" i="37"/>
  <c r="I504" i="37"/>
  <c r="H504" i="37"/>
  <c r="G504" i="37"/>
  <c r="F504" i="37"/>
  <c r="E504" i="37"/>
  <c r="I503" i="37"/>
  <c r="H503" i="37"/>
  <c r="G503" i="37"/>
  <c r="D504" i="37"/>
  <c r="L503" i="37"/>
  <c r="F503" i="37"/>
  <c r="E503" i="37"/>
  <c r="D503" i="37"/>
  <c r="K503" i="37"/>
  <c r="J503" i="37"/>
  <c r="D502" i="37"/>
  <c r="L502" i="37"/>
  <c r="K502" i="37"/>
  <c r="J502" i="37"/>
  <c r="I502" i="37"/>
  <c r="K501" i="37"/>
  <c r="H502" i="37"/>
  <c r="G502" i="37"/>
  <c r="F502" i="37"/>
  <c r="E502" i="37"/>
  <c r="I501" i="37"/>
  <c r="H501" i="37"/>
  <c r="G501" i="37"/>
  <c r="F501" i="37"/>
  <c r="L501" i="37"/>
  <c r="I500" i="37"/>
  <c r="H500" i="37"/>
  <c r="E501" i="37"/>
  <c r="D501" i="37"/>
  <c r="J501" i="37"/>
  <c r="E500" i="37"/>
  <c r="D500" i="37"/>
  <c r="L500" i="37"/>
  <c r="K500" i="37"/>
  <c r="J500" i="37"/>
  <c r="L499" i="37"/>
  <c r="K499" i="37"/>
  <c r="J499" i="37"/>
  <c r="G500" i="37"/>
  <c r="F500" i="37"/>
  <c r="I499" i="37"/>
  <c r="H499" i="37"/>
  <c r="G499" i="37"/>
  <c r="F499" i="37"/>
  <c r="E499" i="37"/>
  <c r="I498" i="37"/>
  <c r="H498" i="37"/>
  <c r="G498" i="37"/>
  <c r="D499" i="37"/>
  <c r="L498" i="37"/>
  <c r="F498" i="37"/>
  <c r="E498" i="37"/>
  <c r="D498" i="37"/>
  <c r="K498" i="37"/>
  <c r="J498" i="37"/>
  <c r="D497" i="37"/>
  <c r="L497" i="37"/>
  <c r="K497" i="37"/>
  <c r="J497" i="37"/>
  <c r="I497" i="37"/>
  <c r="K496" i="37"/>
  <c r="H497" i="37"/>
  <c r="G497" i="37"/>
  <c r="F497" i="37"/>
  <c r="E497" i="37"/>
  <c r="I496" i="37"/>
  <c r="H496" i="37"/>
  <c r="G496" i="37"/>
  <c r="F496" i="37"/>
  <c r="L496" i="37"/>
  <c r="I495" i="37"/>
  <c r="H495" i="37"/>
  <c r="E496" i="37"/>
  <c r="D496" i="37"/>
  <c r="J496" i="37"/>
  <c r="E495" i="37"/>
  <c r="D495" i="37"/>
  <c r="L495" i="37"/>
  <c r="K495" i="37"/>
  <c r="J495" i="37"/>
  <c r="L494" i="37"/>
  <c r="K494" i="37"/>
  <c r="J494" i="37"/>
  <c r="G495" i="37"/>
  <c r="F495" i="37"/>
  <c r="I494" i="37"/>
  <c r="H494" i="37"/>
  <c r="G494" i="37"/>
  <c r="F494" i="37"/>
  <c r="E494" i="37"/>
  <c r="I493" i="37"/>
  <c r="H493" i="37"/>
  <c r="G493" i="37"/>
  <c r="D494" i="37"/>
  <c r="L493" i="37"/>
  <c r="F493" i="37"/>
  <c r="E493" i="37"/>
  <c r="D493" i="37"/>
  <c r="K493" i="37"/>
  <c r="J493" i="37"/>
  <c r="D492" i="37"/>
  <c r="L492" i="37"/>
  <c r="K492" i="37"/>
  <c r="J492" i="37"/>
  <c r="I492" i="37"/>
  <c r="K491" i="37"/>
  <c r="H492" i="37"/>
  <c r="G492" i="37"/>
  <c r="F492" i="37"/>
  <c r="E492" i="37"/>
  <c r="I491" i="37"/>
  <c r="H491" i="37"/>
  <c r="G491" i="37"/>
  <c r="F491" i="37"/>
  <c r="L491" i="37"/>
  <c r="I490" i="37"/>
  <c r="H490" i="37"/>
  <c r="E491" i="37"/>
  <c r="D491" i="37"/>
  <c r="J491" i="37"/>
  <c r="E490" i="37"/>
  <c r="D490" i="37"/>
  <c r="L490" i="37"/>
  <c r="K490" i="37"/>
  <c r="J490" i="37"/>
  <c r="L489" i="37"/>
  <c r="K489" i="37"/>
  <c r="J489" i="37"/>
  <c r="G490" i="37"/>
  <c r="F490" i="37"/>
  <c r="I489" i="37"/>
  <c r="H489" i="37"/>
  <c r="G489" i="37"/>
  <c r="F489" i="37"/>
  <c r="E489" i="37"/>
  <c r="I488" i="37"/>
  <c r="H488" i="37"/>
  <c r="G488" i="37"/>
  <c r="D489" i="37"/>
  <c r="L488" i="37"/>
  <c r="F488" i="37"/>
  <c r="E488" i="37"/>
  <c r="D488" i="37"/>
  <c r="K488" i="37"/>
  <c r="J488" i="37"/>
  <c r="D487" i="37"/>
  <c r="L487" i="37"/>
  <c r="K487" i="37"/>
  <c r="J487" i="37"/>
  <c r="I487" i="37"/>
  <c r="K486" i="37"/>
  <c r="H487" i="37"/>
  <c r="G487" i="37"/>
  <c r="F487" i="37"/>
  <c r="E487" i="37"/>
  <c r="I486" i="37"/>
  <c r="H486" i="37"/>
  <c r="G486" i="37"/>
  <c r="F486" i="37"/>
  <c r="L486" i="37"/>
  <c r="I485" i="37"/>
  <c r="H485" i="37"/>
  <c r="E486" i="37"/>
  <c r="D486" i="37"/>
  <c r="J486" i="37"/>
  <c r="E485" i="37"/>
  <c r="D485" i="37"/>
  <c r="L485" i="37"/>
  <c r="K485" i="37"/>
  <c r="J485" i="37"/>
  <c r="L484" i="37"/>
  <c r="K484" i="37"/>
  <c r="J484" i="37"/>
  <c r="G485" i="37"/>
  <c r="F485" i="37"/>
  <c r="I484" i="37"/>
  <c r="H484" i="37"/>
  <c r="G484" i="37"/>
  <c r="F484" i="37"/>
  <c r="E484" i="37"/>
  <c r="I483" i="37"/>
  <c r="H483" i="37"/>
  <c r="G483" i="37"/>
  <c r="D484" i="37"/>
  <c r="L483" i="37"/>
  <c r="F483" i="37"/>
  <c r="E483" i="37"/>
  <c r="D483" i="37"/>
  <c r="K483" i="37"/>
  <c r="J483" i="37"/>
  <c r="D482" i="37"/>
  <c r="L482" i="37"/>
  <c r="K482" i="37"/>
  <c r="J482" i="37"/>
  <c r="I482" i="37"/>
  <c r="K481" i="37"/>
  <c r="H482" i="37"/>
  <c r="G482" i="37"/>
  <c r="F482" i="37"/>
  <c r="E482" i="37"/>
  <c r="I481" i="37"/>
  <c r="H481" i="37"/>
  <c r="G481" i="37"/>
  <c r="F481" i="37"/>
  <c r="L481" i="37"/>
  <c r="I480" i="37"/>
  <c r="H480" i="37"/>
  <c r="E481" i="37"/>
  <c r="D481" i="37"/>
  <c r="J481" i="37"/>
  <c r="E480" i="37"/>
  <c r="D480" i="37"/>
  <c r="L480" i="37"/>
  <c r="K480" i="37"/>
  <c r="J480" i="37"/>
  <c r="L479" i="37"/>
  <c r="K479" i="37"/>
  <c r="J479" i="37"/>
  <c r="G480" i="37"/>
  <c r="F480" i="37"/>
  <c r="I479" i="37"/>
  <c r="H479" i="37"/>
  <c r="G479" i="37"/>
  <c r="F479" i="37"/>
  <c r="E479" i="37"/>
  <c r="L471" i="37"/>
  <c r="K471" i="37"/>
  <c r="J471" i="37"/>
  <c r="I471" i="37"/>
  <c r="D479" i="37"/>
  <c r="H471" i="37"/>
  <c r="G471" i="37"/>
  <c r="F471" i="37"/>
  <c r="E471" i="37"/>
  <c r="D471" i="37"/>
  <c r="H470" i="37"/>
  <c r="G470" i="37"/>
  <c r="F470" i="37"/>
  <c r="L470" i="37"/>
  <c r="K470" i="37"/>
  <c r="H469" i="37"/>
  <c r="E470" i="37"/>
  <c r="D470" i="37"/>
  <c r="J470" i="37"/>
  <c r="I470" i="37"/>
  <c r="D469" i="37"/>
  <c r="L469" i="37"/>
  <c r="K469" i="37"/>
  <c r="J469" i="37"/>
  <c r="I469" i="37"/>
  <c r="K468" i="37"/>
  <c r="J468" i="37"/>
  <c r="G469" i="37"/>
  <c r="F469" i="37"/>
  <c r="E469" i="37"/>
  <c r="H468" i="37"/>
  <c r="G468" i="37"/>
  <c r="F468" i="37"/>
  <c r="E468" i="37"/>
  <c r="L468" i="37"/>
  <c r="F440" i="37"/>
  <c r="L440" i="37"/>
  <c r="K440" i="37"/>
  <c r="D468" i="37"/>
  <c r="I468" i="37"/>
  <c r="D440" i="37"/>
  <c r="J440" i="37"/>
  <c r="I440" i="37"/>
  <c r="H440" i="37"/>
  <c r="G440" i="37"/>
  <c r="I432" i="37"/>
  <c r="H432" i="37"/>
  <c r="G432" i="37"/>
  <c r="L432" i="37"/>
  <c r="E440" i="37"/>
  <c r="F432" i="37"/>
  <c r="E432" i="37"/>
  <c r="D432" i="37"/>
  <c r="K432" i="37"/>
  <c r="J432" i="37"/>
  <c r="D431" i="37"/>
  <c r="L431" i="37"/>
  <c r="K431" i="37"/>
  <c r="J431" i="37"/>
  <c r="I431" i="37"/>
  <c r="K430" i="37"/>
  <c r="H431" i="37"/>
  <c r="G431" i="37"/>
  <c r="F431" i="37"/>
  <c r="E431" i="37"/>
  <c r="I430" i="37"/>
  <c r="H430" i="37"/>
  <c r="G430" i="37"/>
  <c r="F430" i="37"/>
  <c r="L430" i="37"/>
  <c r="I429" i="37"/>
  <c r="H429" i="37"/>
  <c r="E430" i="37"/>
  <c r="D430" i="37"/>
  <c r="J430" i="37"/>
  <c r="E429" i="37"/>
  <c r="D429" i="37"/>
  <c r="L429" i="37"/>
  <c r="K429" i="37"/>
  <c r="J429" i="37"/>
  <c r="L428" i="37"/>
  <c r="K428" i="37"/>
  <c r="J428" i="37"/>
  <c r="G429" i="37"/>
  <c r="F429" i="37"/>
  <c r="I428" i="37"/>
  <c r="H428" i="37"/>
  <c r="G428" i="37"/>
  <c r="F428" i="37"/>
  <c r="E428" i="37"/>
  <c r="I427" i="37"/>
  <c r="H427" i="37"/>
  <c r="G427" i="37"/>
  <c r="D428" i="37"/>
  <c r="L427" i="37"/>
  <c r="F427" i="37"/>
  <c r="E427" i="37"/>
  <c r="D427" i="37"/>
  <c r="K427" i="37"/>
  <c r="J427" i="37"/>
  <c r="D426" i="37"/>
  <c r="L426" i="37"/>
  <c r="K426" i="37"/>
  <c r="J426" i="37"/>
  <c r="I426" i="37"/>
  <c r="K390" i="37"/>
  <c r="H426" i="37"/>
  <c r="G426" i="37"/>
  <c r="F426" i="37"/>
  <c r="E426" i="37"/>
  <c r="I390" i="37"/>
  <c r="H390" i="37"/>
  <c r="G390" i="37"/>
  <c r="F390" i="37"/>
  <c r="L390" i="37"/>
  <c r="J371" i="37"/>
  <c r="I371" i="37"/>
  <c r="E390" i="37"/>
  <c r="D390" i="37"/>
  <c r="J390" i="37"/>
  <c r="F371" i="37"/>
  <c r="E371" i="37"/>
  <c r="D371" i="37"/>
  <c r="L371" i="37"/>
  <c r="K371" i="37"/>
  <c r="F370" i="37"/>
  <c r="L370" i="37"/>
  <c r="K370" i="37"/>
  <c r="H371" i="37"/>
  <c r="G371" i="37"/>
  <c r="D370" i="37"/>
  <c r="J370" i="37"/>
  <c r="I370" i="37"/>
  <c r="H370" i="37"/>
  <c r="G370" i="37"/>
  <c r="G280" i="37"/>
  <c r="F280" i="37"/>
  <c r="L280" i="37"/>
  <c r="K280" i="37"/>
  <c r="E370" i="37"/>
  <c r="E280" i="37"/>
  <c r="D280" i="37"/>
  <c r="J280" i="37"/>
  <c r="I280" i="37"/>
  <c r="H280" i="37"/>
  <c r="L279" i="37"/>
  <c r="K279" i="37"/>
  <c r="J279" i="37"/>
  <c r="I279" i="37"/>
  <c r="H279" i="37"/>
  <c r="J278" i="37"/>
  <c r="G279" i="37"/>
  <c r="F279" i="37"/>
  <c r="E279" i="37"/>
  <c r="D279" i="37"/>
  <c r="G278" i="37"/>
  <c r="F278" i="37"/>
  <c r="E278" i="37"/>
  <c r="L278" i="37"/>
  <c r="K278" i="37"/>
  <c r="G277" i="37"/>
  <c r="D278" i="37"/>
  <c r="L277" i="37"/>
  <c r="I278" i="37"/>
  <c r="H278" i="37"/>
  <c r="D277" i="37"/>
  <c r="K277" i="37"/>
  <c r="J277" i="37"/>
  <c r="I277" i="37"/>
  <c r="H277" i="37"/>
  <c r="F240" i="37"/>
  <c r="L240" i="37"/>
  <c r="K240" i="37"/>
  <c r="F277" i="37"/>
  <c r="E277" i="37"/>
  <c r="D240" i="37"/>
  <c r="J240" i="37"/>
  <c r="I240" i="37"/>
  <c r="H240" i="37"/>
  <c r="G240" i="37"/>
  <c r="E133" i="37"/>
  <c r="L133" i="37"/>
  <c r="K133" i="37"/>
  <c r="J133" i="37"/>
  <c r="E240" i="37"/>
  <c r="L132" i="37"/>
  <c r="I133" i="37"/>
  <c r="H133" i="37"/>
  <c r="G133" i="37"/>
  <c r="F133" i="37"/>
  <c r="J132" i="37"/>
  <c r="I132" i="37"/>
  <c r="H132" i="37"/>
  <c r="G132" i="37"/>
  <c r="D133" i="37"/>
  <c r="I131" i="37"/>
  <c r="F132" i="37"/>
  <c r="E132" i="37"/>
  <c r="D132" i="37"/>
  <c r="K132" i="37"/>
  <c r="E131" i="37"/>
  <c r="D131" i="37"/>
  <c r="L131" i="37"/>
  <c r="K131" i="37"/>
  <c r="J131" i="37"/>
  <c r="L130" i="37"/>
  <c r="K130" i="37"/>
  <c r="H131" i="37"/>
  <c r="G131" i="37"/>
  <c r="F131" i="37"/>
  <c r="J130" i="37"/>
  <c r="I130" i="37"/>
  <c r="H130" i="37"/>
  <c r="G130" i="37"/>
  <c r="F130" i="37"/>
  <c r="L128" i="37"/>
  <c r="K128" i="37"/>
  <c r="J128" i="37"/>
  <c r="E130" i="37"/>
  <c r="D130" i="37"/>
  <c r="I128" i="37"/>
  <c r="H128" i="37"/>
  <c r="G128" i="37"/>
  <c r="F128" i="37"/>
  <c r="E128" i="37"/>
  <c r="I127" i="37"/>
  <c r="H127" i="37"/>
  <c r="G127" i="37"/>
  <c r="D128" i="37"/>
  <c r="L127" i="37"/>
  <c r="F127" i="37"/>
  <c r="E127" i="37"/>
  <c r="D127" i="37"/>
  <c r="K127" i="37"/>
  <c r="J127" i="37"/>
  <c r="H125" i="37"/>
  <c r="G125" i="37"/>
  <c r="F125" i="37"/>
  <c r="L125" i="37"/>
  <c r="K125" i="37"/>
  <c r="J123" i="37"/>
  <c r="E125" i="37"/>
  <c r="D125" i="37"/>
  <c r="J125" i="37"/>
  <c r="I125" i="37"/>
  <c r="G123" i="37"/>
  <c r="F123" i="37"/>
  <c r="E123" i="37"/>
  <c r="L123" i="37"/>
  <c r="K123" i="37"/>
  <c r="G122" i="37"/>
  <c r="D123" i="37"/>
  <c r="L122" i="37"/>
  <c r="I123" i="37"/>
  <c r="H123" i="37"/>
  <c r="D122" i="37"/>
  <c r="K122" i="37"/>
  <c r="J122" i="37"/>
  <c r="I122" i="37"/>
  <c r="H122" i="37"/>
  <c r="F95" i="37"/>
  <c r="L95" i="37"/>
  <c r="K95" i="37"/>
  <c r="F122" i="37"/>
  <c r="E122" i="37"/>
  <c r="D95" i="37"/>
  <c r="J95" i="37"/>
  <c r="I95" i="37"/>
  <c r="H95" i="37"/>
  <c r="G95" i="37"/>
  <c r="E73" i="37"/>
  <c r="L73" i="37"/>
  <c r="K73" i="37"/>
  <c r="J73" i="37"/>
  <c r="E95" i="37"/>
  <c r="L72" i="37"/>
  <c r="I73" i="37"/>
  <c r="H73" i="37"/>
  <c r="G73" i="37"/>
  <c r="F73" i="37"/>
  <c r="J72" i="37"/>
  <c r="I72" i="37"/>
  <c r="H72" i="37"/>
  <c r="G72" i="37"/>
  <c r="D73" i="37"/>
  <c r="J68" i="37"/>
  <c r="F72" i="37"/>
  <c r="E72" i="37"/>
  <c r="D72" i="37"/>
  <c r="K72" i="37"/>
  <c r="G68" i="37"/>
  <c r="F68" i="37"/>
  <c r="E68" i="37"/>
  <c r="L68" i="37"/>
  <c r="K68" i="37"/>
  <c r="J66" i="37"/>
  <c r="I66" i="37"/>
  <c r="D68" i="37"/>
  <c r="I68" i="37"/>
  <c r="H68" i="37"/>
  <c r="F66" i="37"/>
  <c r="E66" i="37"/>
  <c r="D66" i="37"/>
  <c r="L66" i="37"/>
  <c r="K66" i="37"/>
  <c r="F65" i="37"/>
  <c r="L65" i="37"/>
  <c r="K65" i="37"/>
  <c r="H66" i="37"/>
  <c r="G66" i="37"/>
  <c r="D65" i="37"/>
  <c r="J65" i="37"/>
  <c r="I65" i="37"/>
  <c r="H65" i="37"/>
  <c r="G65" i="37"/>
  <c r="L61" i="37"/>
  <c r="K61" i="37"/>
  <c r="J61" i="37"/>
  <c r="I61" i="37"/>
  <c r="E65" i="37"/>
  <c r="H61" i="37"/>
  <c r="G61" i="37"/>
  <c r="F61" i="37"/>
  <c r="E61" i="37"/>
  <c r="D61" i="37"/>
  <c r="F58" i="37"/>
  <c r="E58" i="37"/>
  <c r="L58" i="37"/>
  <c r="K58" i="37"/>
  <c r="J58" i="37"/>
  <c r="L2" i="37"/>
  <c r="D58" i="37"/>
  <c r="I58" i="37"/>
  <c r="H58" i="37"/>
  <c r="G58" i="37"/>
  <c r="K2" i="37"/>
  <c r="J2" i="37"/>
  <c r="I2" i="37"/>
  <c r="H2" i="37"/>
  <c r="G2" i="37"/>
  <c r="J517" i="37"/>
  <c r="I517" i="37"/>
  <c r="F2" i="37"/>
  <c r="E2" i="37"/>
  <c r="D2" i="37"/>
  <c r="F517" i="37"/>
  <c r="E517" i="37"/>
  <c r="D517" i="37"/>
  <c r="L517" i="37"/>
  <c r="K517" i="37"/>
  <c r="H467" i="37"/>
  <c r="G467" i="37"/>
  <c r="L467" i="37"/>
  <c r="H517" i="37"/>
  <c r="G517" i="37"/>
  <c r="E467" i="37"/>
  <c r="D467" i="37"/>
  <c r="K467" i="37"/>
  <c r="J467" i="37"/>
  <c r="I467" i="37"/>
  <c r="L466" i="37"/>
  <c r="K466" i="37"/>
  <c r="J466" i="37"/>
  <c r="I466" i="37"/>
  <c r="F467" i="37"/>
  <c r="H466" i="37"/>
  <c r="G466" i="37"/>
  <c r="F466" i="37"/>
  <c r="E466" i="37"/>
  <c r="D466" i="37"/>
  <c r="H465" i="37"/>
  <c r="G465" i="37"/>
  <c r="F465" i="37"/>
  <c r="L465" i="37"/>
  <c r="K465" i="37"/>
  <c r="H464" i="37"/>
  <c r="E465" i="37"/>
  <c r="D465" i="37"/>
  <c r="J465" i="37"/>
  <c r="I465" i="37"/>
  <c r="D464" i="37"/>
  <c r="L464" i="37"/>
  <c r="K464" i="37"/>
  <c r="J464" i="37"/>
  <c r="I464" i="37"/>
  <c r="K463" i="37"/>
  <c r="J463" i="37"/>
  <c r="G464" i="37"/>
  <c r="F464" i="37"/>
  <c r="E464" i="37"/>
  <c r="H463" i="37"/>
  <c r="G463" i="37"/>
  <c r="F463" i="37"/>
  <c r="E463" i="37"/>
  <c r="L463" i="37"/>
  <c r="H462" i="37"/>
  <c r="G462" i="37"/>
  <c r="D463" i="37"/>
  <c r="L462" i="37"/>
  <c r="I463" i="37"/>
  <c r="E462" i="37"/>
  <c r="D462" i="37"/>
  <c r="K462" i="37"/>
  <c r="J462" i="37"/>
  <c r="I462" i="37"/>
  <c r="L461" i="37"/>
  <c r="K461" i="37"/>
  <c r="J461" i="37"/>
  <c r="I461" i="37"/>
  <c r="F462" i="37"/>
  <c r="H461" i="37"/>
  <c r="G461" i="37"/>
  <c r="F461" i="37"/>
  <c r="E461" i="37"/>
  <c r="D461" i="37"/>
  <c r="H460" i="37"/>
  <c r="G460" i="37"/>
  <c r="F460" i="37"/>
  <c r="L460" i="37"/>
  <c r="K460" i="37"/>
  <c r="H459" i="37"/>
  <c r="E460" i="37"/>
  <c r="D460" i="37"/>
  <c r="J460" i="37"/>
  <c r="I460" i="37"/>
  <c r="D459" i="37"/>
  <c r="L459" i="37"/>
  <c r="K459" i="37"/>
  <c r="J459" i="37"/>
  <c r="I459" i="37"/>
  <c r="K458" i="37"/>
  <c r="J458" i="37"/>
  <c r="G459" i="37"/>
  <c r="F459" i="37"/>
  <c r="E459" i="37"/>
  <c r="H458" i="37"/>
  <c r="G458" i="37"/>
  <c r="F458" i="37"/>
  <c r="E458" i="37"/>
  <c r="L458" i="37"/>
  <c r="H457" i="37"/>
  <c r="G457" i="37"/>
  <c r="D458" i="37"/>
  <c r="L457" i="37"/>
  <c r="I458" i="37"/>
  <c r="E457" i="37"/>
  <c r="D457" i="37"/>
  <c r="K457" i="37"/>
  <c r="J457" i="37"/>
  <c r="I457" i="37"/>
  <c r="L456" i="37"/>
  <c r="K456" i="37"/>
  <c r="J456" i="37"/>
  <c r="I456" i="37"/>
  <c r="F457" i="37"/>
  <c r="H456" i="37"/>
  <c r="G456" i="37"/>
  <c r="F456" i="37"/>
  <c r="E456" i="37"/>
  <c r="D456" i="37"/>
  <c r="H455" i="37"/>
  <c r="G455" i="37"/>
  <c r="F455" i="37"/>
  <c r="L455" i="37"/>
  <c r="K455" i="37"/>
  <c r="H454" i="37"/>
  <c r="E455" i="37"/>
  <c r="D455" i="37"/>
  <c r="J455" i="37"/>
  <c r="I455" i="37"/>
  <c r="D454" i="37"/>
  <c r="L454" i="37"/>
  <c r="K454" i="37"/>
  <c r="J454" i="37"/>
  <c r="I454" i="37"/>
  <c r="K453" i="37"/>
  <c r="J453" i="37"/>
  <c r="G454" i="37"/>
  <c r="F454" i="37"/>
  <c r="E454" i="37"/>
  <c r="H453" i="37"/>
  <c r="G453" i="37"/>
  <c r="F453" i="37"/>
  <c r="E453" i="37"/>
  <c r="L453" i="37"/>
  <c r="H452" i="37"/>
  <c r="G452" i="37"/>
  <c r="D453" i="37"/>
  <c r="L452" i="37"/>
  <c r="I453" i="37"/>
  <c r="E452" i="37"/>
  <c r="D452" i="37"/>
  <c r="K452" i="37"/>
  <c r="J452" i="37"/>
  <c r="I452" i="37"/>
  <c r="L451" i="37"/>
  <c r="K451" i="37"/>
  <c r="J451" i="37"/>
  <c r="I451" i="37"/>
  <c r="F452" i="37"/>
  <c r="H451" i="37"/>
  <c r="G451" i="37"/>
  <c r="F451" i="37"/>
  <c r="E451" i="37"/>
  <c r="D451" i="37"/>
  <c r="H450" i="37"/>
  <c r="G450" i="37"/>
  <c r="F450" i="37"/>
  <c r="L450" i="37"/>
  <c r="K450" i="37"/>
  <c r="H449" i="37"/>
  <c r="E450" i="37"/>
  <c r="D450" i="37"/>
  <c r="J450" i="37"/>
  <c r="I450" i="37"/>
  <c r="D449" i="37"/>
  <c r="L449" i="37"/>
  <c r="K449" i="37"/>
  <c r="J449" i="37"/>
  <c r="I449" i="37"/>
  <c r="K448" i="37"/>
  <c r="J448" i="37"/>
  <c r="G449" i="37"/>
  <c r="F449" i="37"/>
  <c r="E449" i="37"/>
  <c r="H448" i="37"/>
  <c r="G448" i="37"/>
  <c r="F448" i="37"/>
  <c r="E448" i="37"/>
  <c r="L448" i="37"/>
  <c r="H447" i="37"/>
  <c r="G447" i="37"/>
  <c r="D448" i="37"/>
  <c r="L447" i="37"/>
  <c r="I448" i="37"/>
  <c r="E447" i="37"/>
  <c r="D447" i="37"/>
  <c r="K447" i="37"/>
  <c r="J447" i="37"/>
  <c r="I447" i="37"/>
  <c r="L446" i="37"/>
  <c r="K446" i="37"/>
  <c r="J446" i="37"/>
  <c r="I446" i="37"/>
  <c r="F447" i="37"/>
  <c r="H446" i="37"/>
  <c r="G446" i="37"/>
  <c r="F446" i="37"/>
  <c r="E446" i="37"/>
  <c r="D446" i="37"/>
  <c r="H445" i="37"/>
  <c r="G445" i="37"/>
  <c r="F445" i="37"/>
  <c r="L445" i="37"/>
  <c r="K445" i="37"/>
  <c r="H444" i="37"/>
  <c r="E445" i="37"/>
  <c r="D445" i="37"/>
  <c r="J445" i="37"/>
  <c r="I445" i="37"/>
  <c r="D444" i="37"/>
  <c r="L444" i="37"/>
  <c r="K444" i="37"/>
  <c r="J444" i="37"/>
  <c r="I444" i="37"/>
  <c r="K443" i="37"/>
  <c r="J443" i="37"/>
  <c r="G444" i="37"/>
  <c r="F444" i="37"/>
  <c r="E444" i="37"/>
  <c r="H443" i="37"/>
  <c r="G443" i="37"/>
  <c r="F443" i="37"/>
  <c r="E443" i="37"/>
  <c r="L443" i="37"/>
  <c r="H442" i="37"/>
  <c r="G442" i="37"/>
  <c r="D443" i="37"/>
  <c r="L442" i="37"/>
  <c r="I443" i="37"/>
  <c r="E442" i="37"/>
  <c r="D442" i="37"/>
  <c r="K442" i="37"/>
  <c r="J442" i="37"/>
  <c r="I442" i="37"/>
  <c r="L441" i="37"/>
  <c r="K441" i="37"/>
  <c r="J441" i="37"/>
  <c r="I441" i="37"/>
  <c r="F442" i="37"/>
  <c r="H441" i="37"/>
  <c r="G441" i="37"/>
  <c r="F441" i="37"/>
  <c r="E441" i="37"/>
  <c r="D441" i="37"/>
  <c r="L439" i="37"/>
  <c r="K439" i="37"/>
  <c r="J439" i="37"/>
  <c r="I439" i="37"/>
  <c r="H439" i="37"/>
  <c r="J438" i="37"/>
  <c r="G439" i="37"/>
  <c r="F439" i="37"/>
  <c r="E439" i="37"/>
  <c r="D439" i="37"/>
  <c r="G438" i="37"/>
  <c r="F438" i="37"/>
  <c r="E438" i="37"/>
  <c r="L438" i="37"/>
  <c r="K438" i="37"/>
  <c r="G437" i="37"/>
  <c r="D438" i="37"/>
  <c r="L437" i="37"/>
  <c r="I438" i="37"/>
  <c r="H438" i="37"/>
  <c r="D437" i="37"/>
  <c r="K437" i="37"/>
  <c r="J437" i="37"/>
  <c r="I437" i="37"/>
  <c r="H437" i="37"/>
  <c r="K436" i="37"/>
  <c r="J436" i="37"/>
  <c r="I436" i="37"/>
  <c r="F437" i="37"/>
  <c r="E437" i="37"/>
  <c r="G436" i="37"/>
  <c r="F436" i="37"/>
  <c r="E436" i="37"/>
  <c r="D436" i="37"/>
  <c r="L436" i="37"/>
  <c r="G435" i="37"/>
  <c r="F435" i="37"/>
  <c r="L435" i="37"/>
  <c r="K435" i="37"/>
  <c r="H436" i="37"/>
  <c r="E435" i="37"/>
  <c r="D435" i="37"/>
  <c r="J435" i="37"/>
  <c r="I435" i="37"/>
  <c r="H435" i="37"/>
  <c r="L434" i="37"/>
  <c r="K434" i="37"/>
  <c r="J434" i="37"/>
  <c r="I434" i="37"/>
  <c r="H434" i="37"/>
  <c r="J433" i="37"/>
  <c r="G434" i="37"/>
  <c r="F434" i="37"/>
  <c r="E434" i="37"/>
  <c r="D434" i="37"/>
  <c r="G433" i="37"/>
  <c r="F433" i="37"/>
  <c r="E433" i="37"/>
  <c r="L433" i="37"/>
  <c r="K433" i="37"/>
  <c r="L425" i="37"/>
  <c r="K425" i="37"/>
  <c r="D433" i="37"/>
  <c r="I433" i="37"/>
  <c r="H433" i="37"/>
  <c r="J425" i="37"/>
  <c r="I425" i="37"/>
  <c r="H425" i="37"/>
  <c r="G425" i="37"/>
  <c r="F425" i="37"/>
  <c r="J424" i="37"/>
  <c r="I424" i="37"/>
  <c r="H424" i="37"/>
  <c r="E425" i="37"/>
  <c r="D425" i="37"/>
  <c r="F424" i="37"/>
  <c r="E424" i="37"/>
  <c r="D424" i="37"/>
  <c r="L424" i="37"/>
  <c r="K424" i="37"/>
  <c r="E423" i="37"/>
  <c r="L423" i="37"/>
  <c r="K423" i="37"/>
  <c r="J423" i="37"/>
  <c r="G424" i="37"/>
  <c r="L422" i="37"/>
  <c r="I423" i="37"/>
  <c r="H423" i="37"/>
  <c r="G423" i="37"/>
  <c r="F423" i="37"/>
  <c r="J422" i="37"/>
  <c r="I422" i="37"/>
  <c r="H422" i="37"/>
  <c r="G422" i="37"/>
  <c r="D423" i="37"/>
  <c r="I421" i="37"/>
  <c r="F422" i="37"/>
  <c r="E422" i="37"/>
  <c r="D422" i="37"/>
  <c r="K422" i="37"/>
  <c r="E421" i="37"/>
  <c r="D421" i="37"/>
  <c r="L421" i="37"/>
  <c r="K421" i="37"/>
  <c r="J421" i="37"/>
  <c r="L420" i="37"/>
  <c r="K420" i="37"/>
  <c r="H421" i="37"/>
  <c r="G421" i="37"/>
  <c r="F421" i="37"/>
  <c r="J420" i="37"/>
  <c r="I420" i="37"/>
  <c r="H420" i="37"/>
  <c r="G420" i="37"/>
  <c r="F420" i="37"/>
  <c r="J419" i="37"/>
  <c r="I419" i="37"/>
  <c r="H419" i="37"/>
  <c r="E420" i="37"/>
  <c r="D420" i="37"/>
  <c r="F419" i="37"/>
  <c r="E419" i="37"/>
  <c r="D419" i="37"/>
  <c r="L419" i="37"/>
  <c r="K419" i="37"/>
  <c r="E418" i="37"/>
  <c r="L418" i="37"/>
  <c r="K418" i="37"/>
  <c r="J418" i="37"/>
  <c r="G419" i="37"/>
  <c r="L417" i="37"/>
  <c r="I418" i="37"/>
  <c r="H418" i="37"/>
  <c r="G418" i="37"/>
  <c r="F418" i="37"/>
  <c r="J417" i="37"/>
  <c r="I417" i="37"/>
  <c r="H417" i="37"/>
  <c r="G417" i="37"/>
  <c r="D418" i="37"/>
  <c r="I416" i="37"/>
  <c r="F417" i="37"/>
  <c r="E417" i="37"/>
  <c r="D417" i="37"/>
  <c r="K417" i="37"/>
  <c r="E416" i="37"/>
  <c r="D416" i="37"/>
  <c r="L416" i="37"/>
  <c r="K416" i="37"/>
  <c r="J416" i="37"/>
  <c r="L415" i="37"/>
  <c r="K415" i="37"/>
  <c r="H416" i="37"/>
  <c r="G416" i="37"/>
  <c r="F416" i="37"/>
  <c r="J415" i="37"/>
  <c r="I415" i="37"/>
  <c r="H415" i="37"/>
  <c r="G415" i="37"/>
  <c r="F415" i="37"/>
  <c r="J414" i="37"/>
  <c r="I414" i="37"/>
  <c r="H414" i="37"/>
  <c r="E415" i="37"/>
  <c r="D415" i="37"/>
  <c r="F414" i="37"/>
  <c r="E414" i="37"/>
  <c r="D414" i="37"/>
  <c r="L414" i="37"/>
  <c r="K414" i="37"/>
  <c r="E413" i="37"/>
  <c r="L413" i="37"/>
  <c r="K413" i="37"/>
  <c r="J413" i="37"/>
  <c r="G414" i="37"/>
  <c r="L412" i="37"/>
  <c r="I413" i="37"/>
  <c r="H413" i="37"/>
  <c r="G413" i="37"/>
  <c r="F413" i="37"/>
  <c r="J412" i="37"/>
  <c r="I412" i="37"/>
  <c r="H412" i="37"/>
  <c r="G412" i="37"/>
  <c r="D413" i="37"/>
  <c r="I411" i="37"/>
  <c r="F412" i="37"/>
  <c r="E412" i="37"/>
  <c r="D412" i="37"/>
  <c r="K412" i="37"/>
  <c r="E411" i="37"/>
  <c r="D411" i="37"/>
  <c r="L411" i="37"/>
  <c r="K411" i="37"/>
  <c r="J411" i="37"/>
  <c r="L410" i="37"/>
  <c r="K410" i="37"/>
  <c r="H411" i="37"/>
  <c r="G411" i="37"/>
  <c r="F411" i="37"/>
  <c r="J410" i="37"/>
  <c r="I410" i="37"/>
  <c r="H410" i="37"/>
  <c r="G410" i="37"/>
  <c r="F410" i="37"/>
  <c r="J409" i="37"/>
  <c r="I409" i="37"/>
  <c r="H409" i="37"/>
  <c r="E410" i="37"/>
  <c r="D410" i="37"/>
  <c r="F409" i="37"/>
  <c r="E409" i="37"/>
  <c r="D409" i="37"/>
  <c r="L409" i="37"/>
  <c r="K409" i="37"/>
  <c r="E408" i="37"/>
  <c r="L408" i="37"/>
  <c r="K408" i="37"/>
  <c r="J408" i="37"/>
  <c r="G409" i="37"/>
  <c r="L407" i="37"/>
  <c r="I408" i="37"/>
  <c r="H408" i="37"/>
  <c r="G408" i="37"/>
  <c r="F408" i="37"/>
  <c r="J407" i="37"/>
  <c r="I407" i="37"/>
  <c r="H407" i="37"/>
  <c r="G407" i="37"/>
  <c r="D408" i="37"/>
  <c r="I406" i="37"/>
  <c r="F407" i="37"/>
  <c r="E407" i="37"/>
  <c r="D407" i="37"/>
  <c r="K407" i="37"/>
  <c r="E406" i="37"/>
  <c r="D406" i="37"/>
  <c r="L406" i="37"/>
  <c r="K406" i="37"/>
  <c r="J406" i="37"/>
  <c r="L405" i="37"/>
  <c r="K405" i="37"/>
  <c r="H406" i="37"/>
  <c r="G406" i="37"/>
  <c r="F406" i="37"/>
  <c r="J405" i="37"/>
  <c r="I405" i="37"/>
  <c r="H405" i="37"/>
  <c r="G405" i="37"/>
  <c r="F405" i="37"/>
  <c r="J404" i="37"/>
  <c r="I404" i="37"/>
  <c r="H404" i="37"/>
  <c r="E405" i="37"/>
  <c r="D405" i="37"/>
  <c r="F404" i="37"/>
  <c r="E404" i="37"/>
  <c r="D404" i="37"/>
  <c r="L404" i="37"/>
  <c r="K404" i="37"/>
  <c r="E403" i="37"/>
  <c r="L403" i="37"/>
  <c r="K403" i="37"/>
  <c r="J403" i="37"/>
  <c r="G404" i="37"/>
  <c r="L402" i="37"/>
  <c r="I403" i="37"/>
  <c r="H403" i="37"/>
  <c r="G403" i="37"/>
  <c r="F403" i="37"/>
  <c r="J402" i="37"/>
  <c r="I402" i="37"/>
  <c r="H402" i="37"/>
  <c r="G402" i="37"/>
  <c r="D403" i="37"/>
  <c r="I401" i="37"/>
  <c r="F402" i="37"/>
  <c r="E402" i="37"/>
  <c r="D402" i="37"/>
  <c r="K402" i="37"/>
  <c r="E401" i="37"/>
  <c r="D401" i="37"/>
  <c r="L401" i="37"/>
  <c r="K401" i="37"/>
  <c r="J401" i="37"/>
  <c r="L400" i="37"/>
  <c r="K400" i="37"/>
  <c r="H401" i="37"/>
  <c r="G401" i="37"/>
  <c r="F401" i="37"/>
  <c r="J400" i="37"/>
  <c r="I400" i="37"/>
  <c r="H400" i="37"/>
  <c r="G400" i="37"/>
  <c r="F400" i="37"/>
  <c r="J399" i="37"/>
  <c r="I399" i="37"/>
  <c r="H399" i="37"/>
  <c r="E400" i="37"/>
  <c r="D400" i="37"/>
  <c r="F399" i="37"/>
  <c r="E399" i="37"/>
  <c r="D399" i="37"/>
  <c r="L399" i="37"/>
  <c r="K399" i="37"/>
  <c r="E398" i="37"/>
  <c r="L398" i="37"/>
  <c r="K398" i="37"/>
  <c r="J398" i="37"/>
  <c r="G399" i="37"/>
  <c r="L397" i="37"/>
  <c r="I398" i="37"/>
  <c r="H398" i="37"/>
  <c r="G398" i="37"/>
  <c r="F398" i="37"/>
  <c r="J397" i="37"/>
  <c r="I397" i="37"/>
  <c r="H397" i="37"/>
  <c r="G397" i="37"/>
  <c r="D398" i="37"/>
  <c r="I396" i="37"/>
  <c r="F397" i="37"/>
  <c r="E397" i="37"/>
  <c r="D397" i="37"/>
  <c r="K397" i="37"/>
  <c r="E396" i="37"/>
  <c r="D396" i="37"/>
  <c r="L396" i="37"/>
  <c r="K396" i="37"/>
  <c r="J396" i="37"/>
  <c r="L395" i="37"/>
  <c r="K395" i="37"/>
  <c r="H396" i="37"/>
  <c r="G396" i="37"/>
  <c r="F396" i="37"/>
  <c r="J395" i="37"/>
  <c r="I395" i="37"/>
  <c r="H395" i="37"/>
  <c r="G395" i="37"/>
  <c r="F395" i="37"/>
  <c r="J394" i="37"/>
  <c r="I394" i="37"/>
  <c r="H394" i="37"/>
  <c r="E395" i="37"/>
  <c r="D395" i="37"/>
  <c r="F394" i="37"/>
  <c r="E394" i="37"/>
  <c r="D394" i="37"/>
  <c r="L394" i="37"/>
  <c r="K394" i="37"/>
  <c r="E393" i="37"/>
  <c r="L393" i="37"/>
  <c r="K393" i="37"/>
  <c r="J393" i="37"/>
  <c r="G394" i="37"/>
  <c r="L392" i="37"/>
  <c r="I393" i="37"/>
  <c r="H393" i="37"/>
  <c r="G393" i="37"/>
  <c r="F393" i="37"/>
  <c r="J392" i="37"/>
  <c r="I392" i="37"/>
  <c r="H392" i="37"/>
  <c r="G392" i="37"/>
  <c r="D393" i="37"/>
  <c r="I391" i="37"/>
  <c r="F392" i="37"/>
  <c r="E392" i="37"/>
  <c r="D392" i="37"/>
  <c r="K392" i="37"/>
  <c r="E391" i="37"/>
  <c r="D391" i="37"/>
  <c r="L391" i="37"/>
  <c r="K391" i="37"/>
  <c r="J391" i="37"/>
  <c r="I389" i="37"/>
  <c r="H389" i="37"/>
  <c r="H391" i="37"/>
  <c r="G391" i="37"/>
  <c r="F391" i="37"/>
  <c r="E389" i="37"/>
  <c r="D389" i="37"/>
  <c r="L389" i="37"/>
  <c r="K389" i="37"/>
  <c r="J389" i="37"/>
  <c r="L388" i="37"/>
  <c r="K388" i="37"/>
  <c r="J388" i="37"/>
  <c r="G389" i="37"/>
  <c r="F389" i="37"/>
  <c r="I388" i="37"/>
  <c r="H388" i="37"/>
  <c r="G388" i="37"/>
  <c r="F388" i="37"/>
  <c r="E388" i="37"/>
  <c r="I387" i="37"/>
  <c r="H387" i="37"/>
  <c r="G387" i="37"/>
  <c r="D388" i="37"/>
  <c r="L387" i="37"/>
  <c r="F387" i="37"/>
  <c r="E387" i="37"/>
  <c r="D387" i="37"/>
  <c r="K387" i="37"/>
  <c r="J387" i="37"/>
  <c r="D386" i="37"/>
  <c r="L386" i="37"/>
  <c r="K386" i="37"/>
  <c r="J386" i="37"/>
  <c r="I386" i="37"/>
  <c r="K385" i="37"/>
  <c r="H386" i="37"/>
  <c r="G386" i="37"/>
  <c r="F386" i="37"/>
  <c r="E386" i="37"/>
  <c r="I385" i="37"/>
  <c r="H385" i="37"/>
  <c r="G385" i="37"/>
  <c r="F385" i="37"/>
  <c r="L385" i="37"/>
  <c r="I384" i="37"/>
  <c r="H384" i="37"/>
  <c r="E385" i="37"/>
  <c r="D385" i="37"/>
  <c r="J385" i="37"/>
  <c r="E384" i="37"/>
  <c r="D384" i="37"/>
  <c r="L384" i="37"/>
  <c r="K384" i="37"/>
  <c r="J384" i="37"/>
  <c r="L383" i="37"/>
  <c r="K383" i="37"/>
  <c r="J383" i="37"/>
  <c r="G384" i="37"/>
  <c r="F384" i="37"/>
  <c r="I383" i="37"/>
  <c r="H383" i="37"/>
  <c r="G383" i="37"/>
  <c r="F383" i="37"/>
  <c r="E383" i="37"/>
  <c r="I382" i="37"/>
  <c r="H382" i="37"/>
  <c r="G382" i="37"/>
  <c r="D383" i="37"/>
  <c r="L382" i="37"/>
  <c r="F382" i="37"/>
  <c r="E382" i="37"/>
  <c r="D382" i="37"/>
  <c r="K382" i="37"/>
  <c r="J382" i="37"/>
  <c r="D381" i="37"/>
  <c r="L381" i="37"/>
  <c r="K381" i="37"/>
  <c r="J381" i="37"/>
  <c r="I381" i="37"/>
  <c r="K380" i="37"/>
  <c r="H381" i="37"/>
  <c r="G381" i="37"/>
  <c r="F381" i="37"/>
  <c r="E381" i="37"/>
  <c r="I380" i="37"/>
  <c r="H380" i="37"/>
  <c r="G380" i="37"/>
  <c r="F380" i="37"/>
  <c r="L380" i="37"/>
  <c r="I379" i="37"/>
  <c r="H379" i="37"/>
  <c r="E380" i="37"/>
  <c r="D380" i="37"/>
  <c r="J380" i="37"/>
  <c r="E379" i="37"/>
  <c r="D379" i="37"/>
  <c r="L379" i="37"/>
  <c r="K379" i="37"/>
  <c r="J379" i="37"/>
  <c r="L378" i="37"/>
  <c r="K378" i="37"/>
  <c r="J378" i="37"/>
  <c r="G379" i="37"/>
  <c r="F379" i="37"/>
  <c r="I378" i="37"/>
  <c r="H378" i="37"/>
  <c r="G378" i="37"/>
  <c r="F378" i="37"/>
  <c r="E378" i="37"/>
  <c r="I377" i="37"/>
  <c r="H377" i="37"/>
  <c r="G377" i="37"/>
  <c r="D378" i="37"/>
  <c r="L377" i="37"/>
  <c r="F377" i="37"/>
  <c r="E377" i="37"/>
  <c r="D377" i="37"/>
  <c r="K377" i="37"/>
  <c r="J377" i="37"/>
  <c r="D376" i="37"/>
  <c r="L376" i="37"/>
  <c r="K376" i="37"/>
  <c r="J376" i="37"/>
  <c r="I376" i="37"/>
  <c r="K375" i="37"/>
  <c r="H376" i="37"/>
  <c r="G376" i="37"/>
  <c r="F376" i="37"/>
  <c r="E376" i="37"/>
  <c r="I375" i="37"/>
  <c r="H375" i="37"/>
  <c r="G375" i="37"/>
  <c r="F375" i="37"/>
  <c r="L375" i="37"/>
  <c r="I374" i="37"/>
  <c r="H374" i="37"/>
  <c r="E375" i="37"/>
  <c r="D375" i="37"/>
  <c r="J375" i="37"/>
  <c r="E374" i="37"/>
  <c r="D374" i="37"/>
  <c r="L374" i="37"/>
  <c r="K374" i="37"/>
  <c r="J374" i="37"/>
  <c r="L373" i="37"/>
  <c r="K373" i="37"/>
  <c r="J373" i="37"/>
  <c r="G374" i="37"/>
  <c r="F374" i="37"/>
  <c r="I373" i="37"/>
  <c r="H373" i="37"/>
  <c r="G373" i="37"/>
  <c r="F373" i="37"/>
  <c r="E373" i="37"/>
  <c r="I372" i="37"/>
  <c r="H372" i="37"/>
  <c r="G372" i="37"/>
  <c r="D373" i="37"/>
  <c r="L372" i="37"/>
  <c r="F372" i="37"/>
  <c r="E372" i="37"/>
  <c r="D372" i="37"/>
  <c r="K372" i="37"/>
  <c r="J372" i="37"/>
  <c r="L369" i="37"/>
  <c r="K369" i="37"/>
  <c r="J369" i="37"/>
  <c r="I369" i="37"/>
  <c r="H369" i="37"/>
  <c r="J368" i="37"/>
  <c r="G369" i="37"/>
  <c r="F369" i="37"/>
  <c r="E369" i="37"/>
  <c r="D369" i="37"/>
  <c r="G368" i="37"/>
  <c r="F368" i="37"/>
  <c r="E368" i="37"/>
  <c r="L368" i="37"/>
  <c r="K368" i="37"/>
  <c r="G367" i="37"/>
  <c r="D368" i="37"/>
  <c r="L367" i="37"/>
  <c r="I368" i="37"/>
  <c r="H368" i="37"/>
  <c r="D367" i="37"/>
  <c r="K367" i="37"/>
  <c r="J367" i="37"/>
  <c r="I367" i="37"/>
  <c r="H367" i="37"/>
  <c r="K366" i="37"/>
  <c r="J366" i="37"/>
  <c r="I366" i="37"/>
  <c r="F367" i="37"/>
  <c r="E367" i="37"/>
  <c r="G366" i="37"/>
  <c r="F366" i="37"/>
  <c r="E366" i="37"/>
  <c r="D366" i="37"/>
  <c r="L366" i="37"/>
  <c r="G365" i="37"/>
  <c r="F365" i="37"/>
  <c r="L365" i="37"/>
  <c r="K365" i="37"/>
  <c r="H366" i="37"/>
  <c r="E365" i="37"/>
  <c r="D365" i="37"/>
  <c r="J365" i="37"/>
  <c r="I365" i="37"/>
  <c r="H365" i="37"/>
  <c r="L364" i="37"/>
  <c r="K364" i="37"/>
  <c r="J364" i="37"/>
  <c r="I364" i="37"/>
  <c r="H364" i="37"/>
  <c r="J363" i="37"/>
  <c r="G364" i="37"/>
  <c r="F364" i="37"/>
  <c r="E364" i="37"/>
  <c r="D364" i="37"/>
  <c r="G363" i="37"/>
  <c r="F363" i="37"/>
  <c r="E363" i="37"/>
  <c r="L363" i="37"/>
  <c r="K363" i="37"/>
  <c r="G362" i="37"/>
  <c r="D363" i="37"/>
  <c r="L362" i="37"/>
  <c r="I363" i="37"/>
  <c r="H363" i="37"/>
  <c r="D362" i="37"/>
  <c r="K362" i="37"/>
  <c r="J362" i="37"/>
  <c r="I362" i="37"/>
  <c r="H362" i="37"/>
  <c r="K361" i="37"/>
  <c r="J361" i="37"/>
  <c r="I361" i="37"/>
  <c r="F362" i="37"/>
  <c r="E362" i="37"/>
  <c r="G361" i="37"/>
  <c r="F361" i="37"/>
  <c r="E361" i="37"/>
  <c r="D361" i="37"/>
  <c r="L361" i="37"/>
  <c r="G360" i="37"/>
  <c r="F360" i="37"/>
  <c r="L360" i="37"/>
  <c r="K360" i="37"/>
  <c r="H361" i="37"/>
  <c r="E360" i="37"/>
  <c r="D360" i="37"/>
  <c r="J360" i="37"/>
  <c r="I360" i="37"/>
  <c r="H360" i="37"/>
  <c r="L359" i="37"/>
  <c r="K359" i="37"/>
  <c r="J359" i="37"/>
  <c r="I359" i="37"/>
  <c r="H359" i="37"/>
  <c r="J358" i="37"/>
  <c r="G359" i="37"/>
  <c r="F359" i="37"/>
  <c r="E359" i="37"/>
  <c r="D359" i="37"/>
  <c r="G358" i="37"/>
  <c r="F358" i="37"/>
  <c r="E358" i="37"/>
  <c r="L358" i="37"/>
  <c r="K358" i="37"/>
  <c r="G357" i="37"/>
  <c r="D358" i="37"/>
  <c r="L357" i="37"/>
  <c r="I358" i="37"/>
  <c r="H358" i="37"/>
  <c r="D357" i="37"/>
  <c r="K357" i="37"/>
  <c r="J357" i="37"/>
  <c r="I357" i="37"/>
  <c r="H357" i="37"/>
  <c r="K356" i="37"/>
  <c r="J356" i="37"/>
  <c r="I356" i="37"/>
  <c r="F357" i="37"/>
  <c r="E357" i="37"/>
  <c r="G356" i="37"/>
  <c r="F356" i="37"/>
  <c r="E356" i="37"/>
  <c r="D356" i="37"/>
  <c r="L356" i="37"/>
  <c r="G355" i="37"/>
  <c r="F355" i="37"/>
  <c r="L355" i="37"/>
  <c r="K355" i="37"/>
  <c r="H356" i="37"/>
  <c r="E355" i="37"/>
  <c r="D355" i="37"/>
  <c r="J355" i="37"/>
  <c r="I355" i="37"/>
  <c r="H355" i="37"/>
  <c r="L354" i="37"/>
  <c r="K354" i="37"/>
  <c r="J354" i="37"/>
  <c r="I354" i="37"/>
  <c r="H354" i="37"/>
  <c r="J353" i="37"/>
  <c r="G354" i="37"/>
  <c r="F354" i="37"/>
  <c r="E354" i="37"/>
  <c r="D354" i="37"/>
  <c r="G353" i="37"/>
  <c r="F353" i="37"/>
  <c r="E353" i="37"/>
  <c r="L353" i="37"/>
  <c r="K353" i="37"/>
  <c r="G352" i="37"/>
  <c r="D353" i="37"/>
  <c r="L352" i="37"/>
  <c r="I353" i="37"/>
  <c r="H353" i="37"/>
  <c r="D352" i="37"/>
  <c r="K352" i="37"/>
  <c r="J352" i="37"/>
  <c r="I352" i="37"/>
  <c r="H352" i="37"/>
  <c r="K351" i="37"/>
  <c r="J351" i="37"/>
  <c r="I351" i="37"/>
  <c r="F352" i="37"/>
  <c r="E352" i="37"/>
  <c r="G351" i="37"/>
  <c r="F351" i="37"/>
  <c r="E351" i="37"/>
  <c r="D351" i="37"/>
  <c r="L351" i="37"/>
  <c r="G350" i="37"/>
  <c r="F350" i="37"/>
  <c r="L350" i="37"/>
  <c r="K350" i="37"/>
  <c r="H351" i="37"/>
  <c r="E350" i="37"/>
  <c r="D350" i="37"/>
  <c r="J350" i="37"/>
  <c r="I350" i="37"/>
  <c r="H350" i="37"/>
  <c r="L349" i="37"/>
  <c r="K349" i="37"/>
  <c r="J349" i="37"/>
  <c r="I349" i="37"/>
  <c r="H349" i="37"/>
  <c r="J348" i="37"/>
  <c r="G349" i="37"/>
  <c r="F349" i="37"/>
  <c r="E349" i="37"/>
  <c r="D349" i="37"/>
  <c r="G348" i="37"/>
  <c r="F348" i="37"/>
  <c r="E348" i="37"/>
  <c r="L348" i="37"/>
  <c r="K348" i="37"/>
  <c r="G347" i="37"/>
  <c r="D348" i="37"/>
  <c r="L347" i="37"/>
  <c r="I348" i="37"/>
  <c r="H348" i="37"/>
  <c r="D347" i="37"/>
  <c r="K347" i="37"/>
  <c r="J347" i="37"/>
  <c r="I347" i="37"/>
  <c r="H347" i="37"/>
  <c r="K346" i="37"/>
  <c r="J346" i="37"/>
  <c r="I346" i="37"/>
  <c r="F347" i="37"/>
  <c r="E347" i="37"/>
  <c r="G346" i="37"/>
  <c r="F346" i="37"/>
  <c r="E346" i="37"/>
  <c r="D346" i="37"/>
  <c r="L346" i="37"/>
  <c r="G345" i="37"/>
  <c r="F345" i="37"/>
  <c r="L345" i="37"/>
  <c r="K345" i="37"/>
  <c r="H346" i="37"/>
  <c r="E345" i="37"/>
  <c r="D345" i="37"/>
  <c r="J345" i="37"/>
  <c r="I345" i="37"/>
  <c r="H345" i="37"/>
  <c r="L344" i="37"/>
  <c r="K344" i="37"/>
  <c r="J344" i="37"/>
  <c r="I344" i="37"/>
  <c r="H344" i="37"/>
  <c r="J343" i="37"/>
  <c r="G344" i="37"/>
  <c r="F344" i="37"/>
  <c r="E344" i="37"/>
  <c r="D344" i="37"/>
  <c r="G343" i="37"/>
  <c r="F343" i="37"/>
  <c r="E343" i="37"/>
  <c r="L343" i="37"/>
  <c r="K343" i="37"/>
  <c r="G342" i="37"/>
  <c r="D343" i="37"/>
  <c r="L342" i="37"/>
  <c r="I343" i="37"/>
  <c r="H343" i="37"/>
  <c r="D342" i="37"/>
  <c r="K342" i="37"/>
  <c r="J342" i="37"/>
  <c r="I342" i="37"/>
  <c r="H342" i="37"/>
  <c r="K341" i="37"/>
  <c r="J341" i="37"/>
  <c r="I341" i="37"/>
  <c r="F342" i="37"/>
  <c r="E342" i="37"/>
  <c r="G341" i="37"/>
  <c r="F341" i="37"/>
  <c r="E341" i="37"/>
  <c r="D341" i="37"/>
  <c r="L341" i="37"/>
  <c r="G340" i="37"/>
  <c r="F340" i="37"/>
  <c r="L340" i="37"/>
  <c r="K340" i="37"/>
  <c r="H341" i="37"/>
  <c r="E340" i="37"/>
  <c r="D340" i="37"/>
  <c r="J340" i="37"/>
  <c r="I340" i="37"/>
  <c r="H340" i="37"/>
  <c r="L339" i="37"/>
  <c r="K339" i="37"/>
  <c r="J339" i="37"/>
  <c r="I339" i="37"/>
  <c r="H339" i="37"/>
  <c r="J338" i="37"/>
  <c r="G339" i="37"/>
  <c r="F339" i="37"/>
  <c r="E339" i="37"/>
  <c r="D339" i="37"/>
  <c r="G338" i="37"/>
  <c r="F338" i="37"/>
  <c r="E338" i="37"/>
  <c r="L338" i="37"/>
  <c r="K338" i="37"/>
  <c r="G337" i="37"/>
  <c r="D338" i="37"/>
  <c r="L337" i="37"/>
  <c r="I338" i="37"/>
  <c r="H338" i="37"/>
  <c r="D337" i="37"/>
  <c r="K337" i="37"/>
  <c r="J337" i="37"/>
  <c r="I337" i="37"/>
  <c r="H337" i="37"/>
  <c r="K336" i="37"/>
  <c r="J336" i="37"/>
  <c r="I336" i="37"/>
  <c r="F337" i="37"/>
  <c r="E337" i="37"/>
  <c r="G336" i="37"/>
  <c r="F336" i="37"/>
  <c r="E336" i="37"/>
  <c r="D336" i="37"/>
  <c r="L336" i="37"/>
  <c r="G335" i="37"/>
  <c r="F335" i="37"/>
  <c r="L335" i="37"/>
  <c r="K335" i="37"/>
  <c r="H336" i="37"/>
  <c r="E335" i="37"/>
  <c r="D335" i="37"/>
  <c r="J335" i="37"/>
  <c r="I335" i="37"/>
  <c r="H335" i="37"/>
  <c r="L334" i="37"/>
  <c r="K334" i="37"/>
  <c r="J334" i="37"/>
  <c r="I334" i="37"/>
  <c r="H334" i="37"/>
  <c r="J333" i="37"/>
  <c r="G334" i="37"/>
  <c r="F334" i="37"/>
  <c r="E334" i="37"/>
  <c r="D334" i="37"/>
  <c r="G333" i="37"/>
  <c r="F333" i="37"/>
  <c r="E333" i="37"/>
  <c r="L333" i="37"/>
  <c r="K333" i="37"/>
  <c r="G332" i="37"/>
  <c r="D333" i="37"/>
  <c r="L332" i="37"/>
  <c r="I333" i="37"/>
  <c r="H333" i="37"/>
  <c r="D332" i="37"/>
  <c r="K332" i="37"/>
  <c r="J332" i="37"/>
  <c r="I332" i="37"/>
  <c r="H332" i="37"/>
  <c r="K331" i="37"/>
  <c r="J331" i="37"/>
  <c r="I331" i="37"/>
  <c r="F332" i="37"/>
  <c r="E332" i="37"/>
  <c r="G331" i="37"/>
  <c r="F331" i="37"/>
  <c r="E331" i="37"/>
  <c r="D331" i="37"/>
  <c r="L331" i="37"/>
  <c r="G330" i="37"/>
  <c r="F330" i="37"/>
  <c r="L330" i="37"/>
  <c r="K330" i="37"/>
  <c r="H331" i="37"/>
  <c r="E330" i="37"/>
  <c r="D330" i="37"/>
  <c r="J330" i="37"/>
  <c r="I330" i="37"/>
  <c r="H330" i="37"/>
  <c r="L329" i="37"/>
  <c r="K329" i="37"/>
  <c r="J329" i="37"/>
  <c r="I329" i="37"/>
  <c r="H329" i="37"/>
  <c r="J328" i="37"/>
  <c r="G329" i="37"/>
  <c r="F329" i="37"/>
  <c r="E329" i="37"/>
  <c r="D329" i="37"/>
  <c r="G328" i="37"/>
  <c r="F328" i="37"/>
  <c r="E328" i="37"/>
  <c r="L328" i="37"/>
  <c r="K328" i="37"/>
  <c r="G327" i="37"/>
  <c r="D328" i="37"/>
  <c r="L327" i="37"/>
  <c r="I328" i="37"/>
  <c r="H328" i="37"/>
  <c r="D327" i="37"/>
  <c r="K327" i="37"/>
  <c r="J327" i="37"/>
  <c r="I327" i="37"/>
  <c r="H327" i="37"/>
  <c r="K326" i="37"/>
  <c r="J326" i="37"/>
  <c r="I326" i="37"/>
  <c r="F327" i="37"/>
  <c r="E327" i="37"/>
  <c r="G326" i="37"/>
  <c r="F326" i="37"/>
  <c r="E326" i="37"/>
  <c r="D326" i="37"/>
  <c r="L326" i="37"/>
  <c r="G325" i="37"/>
  <c r="F325" i="37"/>
  <c r="L325" i="37"/>
  <c r="K325" i="37"/>
  <c r="H326" i="37"/>
  <c r="E325" i="37"/>
  <c r="D325" i="37"/>
  <c r="J325" i="37"/>
  <c r="I325" i="37"/>
  <c r="H325" i="37"/>
  <c r="L324" i="37"/>
  <c r="K324" i="37"/>
  <c r="J324" i="37"/>
  <c r="I324" i="37"/>
  <c r="H324" i="37"/>
  <c r="J323" i="37"/>
  <c r="G324" i="37"/>
  <c r="F324" i="37"/>
  <c r="E324" i="37"/>
  <c r="D324" i="37"/>
  <c r="G323" i="37"/>
  <c r="F323" i="37"/>
  <c r="E323" i="37"/>
  <c r="L323" i="37"/>
  <c r="K323" i="37"/>
  <c r="G322" i="37"/>
  <c r="D323" i="37"/>
  <c r="L322" i="37"/>
  <c r="I323" i="37"/>
  <c r="H323" i="37"/>
  <c r="D322" i="37"/>
  <c r="K322" i="37"/>
  <c r="J322" i="37"/>
  <c r="I322" i="37"/>
  <c r="H322" i="37"/>
  <c r="K321" i="37"/>
  <c r="J321" i="37"/>
  <c r="I321" i="37"/>
  <c r="F322" i="37"/>
  <c r="E322" i="37"/>
  <c r="G321" i="37"/>
  <c r="F321" i="37"/>
  <c r="E321" i="37"/>
  <c r="D321" i="37"/>
  <c r="L321" i="37"/>
  <c r="G320" i="37"/>
  <c r="F320" i="37"/>
  <c r="L320" i="37"/>
  <c r="K320" i="37"/>
  <c r="H321" i="37"/>
  <c r="E320" i="37"/>
  <c r="D320" i="37"/>
  <c r="J320" i="37"/>
  <c r="I320" i="37"/>
  <c r="H320" i="37"/>
  <c r="L319" i="37"/>
  <c r="K319" i="37"/>
  <c r="J319" i="37"/>
  <c r="I319" i="37"/>
  <c r="H319" i="37"/>
  <c r="J318" i="37"/>
  <c r="G319" i="37"/>
  <c r="F319" i="37"/>
  <c r="E319" i="37"/>
  <c r="D319" i="37"/>
  <c r="G318" i="37"/>
  <c r="F318" i="37"/>
  <c r="E318" i="37"/>
  <c r="L318" i="37"/>
  <c r="K318" i="37"/>
  <c r="G317" i="37"/>
  <c r="D318" i="37"/>
  <c r="L317" i="37"/>
  <c r="I318" i="37"/>
  <c r="H318" i="37"/>
  <c r="D317" i="37"/>
  <c r="K317" i="37"/>
  <c r="J317" i="37"/>
  <c r="I317" i="37"/>
  <c r="H317" i="37"/>
  <c r="K316" i="37"/>
  <c r="J316" i="37"/>
  <c r="I316" i="37"/>
  <c r="F317" i="37"/>
  <c r="E317" i="37"/>
  <c r="G316" i="37"/>
  <c r="F316" i="37"/>
  <c r="E316" i="37"/>
  <c r="D316" i="37"/>
  <c r="L316" i="37"/>
  <c r="G315" i="37"/>
  <c r="F315" i="37"/>
  <c r="L315" i="37"/>
  <c r="K315" i="37"/>
  <c r="H316" i="37"/>
  <c r="E315" i="37"/>
  <c r="D315" i="37"/>
  <c r="J315" i="37"/>
  <c r="I315" i="37"/>
  <c r="H315" i="37"/>
  <c r="L314" i="37"/>
  <c r="K314" i="37"/>
  <c r="J314" i="37"/>
  <c r="I314" i="37"/>
  <c r="H314" i="37"/>
  <c r="J313" i="37"/>
  <c r="G314" i="37"/>
  <c r="F314" i="37"/>
  <c r="E314" i="37"/>
  <c r="D314" i="37"/>
  <c r="G313" i="37"/>
  <c r="F313" i="37"/>
  <c r="E313" i="37"/>
  <c r="L313" i="37"/>
  <c r="K313" i="37"/>
  <c r="G312" i="37"/>
  <c r="D313" i="37"/>
  <c r="L312" i="37"/>
  <c r="I313" i="37"/>
  <c r="H313" i="37"/>
  <c r="D312" i="37"/>
  <c r="K312" i="37"/>
  <c r="J312" i="37"/>
  <c r="I312" i="37"/>
  <c r="H312" i="37"/>
  <c r="K311" i="37"/>
  <c r="J311" i="37"/>
  <c r="I311" i="37"/>
  <c r="F312" i="37"/>
  <c r="E312" i="37"/>
  <c r="G311" i="37"/>
  <c r="F311" i="37"/>
  <c r="E311" i="37"/>
  <c r="D311" i="37"/>
  <c r="L311" i="37"/>
  <c r="G310" i="37"/>
  <c r="F310" i="37"/>
  <c r="L310" i="37"/>
  <c r="K310" i="37"/>
  <c r="H311" i="37"/>
  <c r="E310" i="37"/>
  <c r="D310" i="37"/>
  <c r="J310" i="37"/>
  <c r="I310" i="37"/>
  <c r="H310" i="37"/>
  <c r="L309" i="37"/>
  <c r="K309" i="37"/>
  <c r="J309" i="37"/>
  <c r="I309" i="37"/>
  <c r="H309" i="37"/>
  <c r="J308" i="37"/>
  <c r="G309" i="37"/>
  <c r="F309" i="37"/>
  <c r="E309" i="37"/>
  <c r="D309" i="37"/>
  <c r="G308" i="37"/>
  <c r="F308" i="37"/>
  <c r="E308" i="37"/>
  <c r="L308" i="37"/>
  <c r="K308" i="37"/>
  <c r="G307" i="37"/>
  <c r="D308" i="37"/>
  <c r="L307" i="37"/>
  <c r="I308" i="37"/>
  <c r="H308" i="37"/>
  <c r="D307" i="37"/>
  <c r="K307" i="37"/>
  <c r="J307" i="37"/>
  <c r="I307" i="37"/>
  <c r="H307" i="37"/>
  <c r="K306" i="37"/>
  <c r="J306" i="37"/>
  <c r="I306" i="37"/>
  <c r="F307" i="37"/>
  <c r="E307" i="37"/>
  <c r="G306" i="37"/>
  <c r="F306" i="37"/>
  <c r="E306" i="37"/>
  <c r="D306" i="37"/>
  <c r="L306" i="37"/>
  <c r="G305" i="37"/>
  <c r="F305" i="37"/>
  <c r="L305" i="37"/>
  <c r="K305" i="37"/>
  <c r="H306" i="37"/>
  <c r="E305" i="37"/>
  <c r="D305" i="37"/>
  <c r="J305" i="37"/>
  <c r="I305" i="37"/>
  <c r="H305" i="37"/>
  <c r="L304" i="37"/>
  <c r="K304" i="37"/>
  <c r="J304" i="37"/>
  <c r="I304" i="37"/>
  <c r="H304" i="37"/>
  <c r="J303" i="37"/>
  <c r="G304" i="37"/>
  <c r="F304" i="37"/>
  <c r="E304" i="37"/>
  <c r="D304" i="37"/>
  <c r="G303" i="37"/>
  <c r="F303" i="37"/>
  <c r="E303" i="37"/>
  <c r="L303" i="37"/>
  <c r="K303" i="37"/>
  <c r="G302" i="37"/>
  <c r="D303" i="37"/>
  <c r="L302" i="37"/>
  <c r="I303" i="37"/>
  <c r="H303" i="37"/>
  <c r="D302" i="37"/>
  <c r="K302" i="37"/>
  <c r="J302" i="37"/>
  <c r="I302" i="37"/>
  <c r="H302" i="37"/>
  <c r="K301" i="37"/>
  <c r="J301" i="37"/>
  <c r="I301" i="37"/>
  <c r="F302" i="37"/>
  <c r="E302" i="37"/>
  <c r="G301" i="37"/>
  <c r="F301" i="37"/>
  <c r="E301" i="37"/>
  <c r="D301" i="37"/>
  <c r="L301" i="37"/>
  <c r="G300" i="37"/>
  <c r="F300" i="37"/>
  <c r="L300" i="37"/>
  <c r="K300" i="37"/>
  <c r="H301" i="37"/>
  <c r="E300" i="37"/>
  <c r="D300" i="37"/>
  <c r="J300" i="37"/>
  <c r="I300" i="37"/>
  <c r="H300" i="37"/>
  <c r="L299" i="37"/>
  <c r="K299" i="37"/>
  <c r="J299" i="37"/>
  <c r="I299" i="37"/>
  <c r="H299" i="37"/>
  <c r="J298" i="37"/>
  <c r="G299" i="37"/>
  <c r="F299" i="37"/>
  <c r="E299" i="37"/>
  <c r="D299" i="37"/>
  <c r="G298" i="37"/>
  <c r="F298" i="37"/>
  <c r="E298" i="37"/>
  <c r="L298" i="37"/>
  <c r="K298" i="37"/>
  <c r="G297" i="37"/>
  <c r="D298" i="37"/>
  <c r="L297" i="37"/>
  <c r="I298" i="37"/>
  <c r="H298" i="37"/>
  <c r="D297" i="37"/>
  <c r="K297" i="37"/>
  <c r="J297" i="37"/>
  <c r="I297" i="37"/>
  <c r="H297" i="37"/>
  <c r="K296" i="37"/>
  <c r="J296" i="37"/>
  <c r="I296" i="37"/>
  <c r="F297" i="37"/>
  <c r="E297" i="37"/>
  <c r="G296" i="37"/>
  <c r="F296" i="37"/>
  <c r="E296" i="37"/>
  <c r="D296" i="37"/>
  <c r="L296" i="37"/>
  <c r="G295" i="37"/>
  <c r="F295" i="37"/>
  <c r="L295" i="37"/>
  <c r="K295" i="37"/>
  <c r="H296" i="37"/>
  <c r="E295" i="37"/>
  <c r="D295" i="37"/>
  <c r="J295" i="37"/>
  <c r="I295" i="37"/>
  <c r="H295" i="37"/>
  <c r="L294" i="37"/>
  <c r="K294" i="37"/>
  <c r="J294" i="37"/>
  <c r="I294" i="37"/>
  <c r="H294" i="37"/>
  <c r="J293" i="37"/>
  <c r="G294" i="37"/>
  <c r="F294" i="37"/>
  <c r="E294" i="37"/>
  <c r="D294" i="37"/>
  <c r="G293" i="37"/>
  <c r="F293" i="37"/>
  <c r="E293" i="37"/>
  <c r="L293" i="37"/>
  <c r="K293" i="37"/>
  <c r="G292" i="37"/>
  <c r="D293" i="37"/>
  <c r="L292" i="37"/>
  <c r="I293" i="37"/>
  <c r="H293" i="37"/>
  <c r="D292" i="37"/>
  <c r="K292" i="37"/>
  <c r="J292" i="37"/>
  <c r="I292" i="37"/>
  <c r="H292" i="37"/>
  <c r="K291" i="37"/>
  <c r="J291" i="37"/>
  <c r="I291" i="37"/>
  <c r="F292" i="37"/>
  <c r="E292" i="37"/>
  <c r="G291" i="37"/>
  <c r="F291" i="37"/>
  <c r="E291" i="37"/>
  <c r="D291" i="37"/>
  <c r="L291" i="37"/>
  <c r="G290" i="37"/>
  <c r="F290" i="37"/>
  <c r="L290" i="37"/>
  <c r="K290" i="37"/>
  <c r="H291" i="37"/>
  <c r="E290" i="37"/>
  <c r="D290" i="37"/>
  <c r="J290" i="37"/>
  <c r="I290" i="37"/>
  <c r="H290" i="37"/>
  <c r="L289" i="37"/>
  <c r="K289" i="37"/>
  <c r="J289" i="37"/>
  <c r="I289" i="37"/>
  <c r="H289" i="37"/>
  <c r="J288" i="37"/>
  <c r="G289" i="37"/>
  <c r="F289" i="37"/>
  <c r="E289" i="37"/>
  <c r="D289" i="37"/>
  <c r="G288" i="37"/>
  <c r="F288" i="37"/>
  <c r="E288" i="37"/>
  <c r="L288" i="37"/>
  <c r="K288" i="37"/>
  <c r="G287" i="37"/>
  <c r="D288" i="37"/>
  <c r="L287" i="37"/>
  <c r="I288" i="37"/>
  <c r="H288" i="37"/>
  <c r="D287" i="37"/>
  <c r="K287" i="37"/>
  <c r="J287" i="37"/>
  <c r="I287" i="37"/>
  <c r="H287" i="37"/>
  <c r="K286" i="37"/>
  <c r="J286" i="37"/>
  <c r="I286" i="37"/>
  <c r="F287" i="37"/>
  <c r="E287" i="37"/>
  <c r="G286" i="37"/>
  <c r="F286" i="37"/>
  <c r="E286" i="37"/>
  <c r="D286" i="37"/>
  <c r="L286" i="37"/>
  <c r="G285" i="37"/>
  <c r="F285" i="37"/>
  <c r="L285" i="37"/>
  <c r="K285" i="37"/>
  <c r="H286" i="37"/>
  <c r="E285" i="37"/>
  <c r="D285" i="37"/>
  <c r="J285" i="37"/>
  <c r="I285" i="37"/>
  <c r="H285" i="37"/>
  <c r="L284" i="37"/>
  <c r="K284" i="37"/>
  <c r="J284" i="37"/>
  <c r="I284" i="37"/>
  <c r="H284" i="37"/>
  <c r="J283" i="37"/>
  <c r="G284" i="37"/>
  <c r="F284" i="37"/>
  <c r="E284" i="37"/>
  <c r="D284" i="37"/>
  <c r="G283" i="37"/>
  <c r="F283" i="37"/>
  <c r="E283" i="37"/>
  <c r="L283" i="37"/>
  <c r="K283" i="37"/>
  <c r="G282" i="37"/>
  <c r="D283" i="37"/>
  <c r="L282" i="37"/>
  <c r="I283" i="37"/>
  <c r="H283" i="37"/>
  <c r="D282" i="37"/>
  <c r="K282" i="37"/>
  <c r="J282" i="37"/>
  <c r="I282" i="37"/>
  <c r="H282" i="37"/>
  <c r="K281" i="37"/>
  <c r="J281" i="37"/>
  <c r="I281" i="37"/>
  <c r="F282" i="37"/>
  <c r="E282" i="37"/>
  <c r="G281" i="37"/>
  <c r="F281" i="37"/>
  <c r="E281" i="37"/>
  <c r="D281" i="37"/>
  <c r="L281" i="37"/>
  <c r="L276" i="37"/>
  <c r="K276" i="37"/>
  <c r="J276" i="37"/>
  <c r="I276" i="37"/>
  <c r="H281" i="37"/>
  <c r="H276" i="37"/>
  <c r="G276" i="37"/>
  <c r="F276" i="37"/>
  <c r="E276" i="37"/>
  <c r="D276" i="37"/>
  <c r="H275" i="37"/>
  <c r="G275" i="37"/>
  <c r="F275" i="37"/>
  <c r="L275" i="37"/>
  <c r="K275" i="37"/>
  <c r="H274" i="37"/>
  <c r="E275" i="37"/>
  <c r="D275" i="37"/>
  <c r="J275" i="37"/>
  <c r="I275" i="37"/>
  <c r="D274" i="37"/>
  <c r="L274" i="37"/>
  <c r="K274" i="37"/>
  <c r="J274" i="37"/>
  <c r="I274" i="37"/>
  <c r="K273" i="37"/>
  <c r="J273" i="37"/>
  <c r="G274" i="37"/>
  <c r="F274" i="37"/>
  <c r="E274" i="37"/>
  <c r="H273" i="37"/>
  <c r="G273" i="37"/>
  <c r="F273" i="37"/>
  <c r="E273" i="37"/>
  <c r="L273" i="37"/>
  <c r="H272" i="37"/>
  <c r="G272" i="37"/>
  <c r="D273" i="37"/>
  <c r="L272" i="37"/>
  <c r="I273" i="37"/>
  <c r="E272" i="37"/>
  <c r="D272" i="37"/>
  <c r="K272" i="37"/>
  <c r="J272" i="37"/>
  <c r="I272" i="37"/>
  <c r="L271" i="37"/>
  <c r="K271" i="37"/>
  <c r="J271" i="37"/>
  <c r="I271" i="37"/>
  <c r="F272" i="37"/>
  <c r="H271" i="37"/>
  <c r="G271" i="37"/>
  <c r="F271" i="37"/>
  <c r="E271" i="37"/>
  <c r="D271" i="37"/>
  <c r="H270" i="37"/>
  <c r="G270" i="37"/>
  <c r="F270" i="37"/>
  <c r="L270" i="37"/>
  <c r="K270" i="37"/>
  <c r="H269" i="37"/>
  <c r="E270" i="37"/>
  <c r="D270" i="37"/>
  <c r="J270" i="37"/>
  <c r="I270" i="37"/>
  <c r="D269" i="37"/>
  <c r="L269" i="37"/>
  <c r="K269" i="37"/>
  <c r="J269" i="37"/>
  <c r="I269" i="37"/>
  <c r="K268" i="37"/>
  <c r="J268" i="37"/>
  <c r="G269" i="37"/>
  <c r="F269" i="37"/>
  <c r="E269" i="37"/>
  <c r="H268" i="37"/>
  <c r="G268" i="37"/>
  <c r="F268" i="37"/>
  <c r="E268" i="37"/>
  <c r="L268" i="37"/>
  <c r="H267" i="37"/>
  <c r="G267" i="37"/>
  <c r="D268" i="37"/>
  <c r="L267" i="37"/>
  <c r="I268" i="37"/>
  <c r="E267" i="37"/>
  <c r="D267" i="37"/>
  <c r="K267" i="37"/>
  <c r="J267" i="37"/>
  <c r="I267" i="37"/>
  <c r="L266" i="37"/>
  <c r="K266" i="37"/>
  <c r="J266" i="37"/>
  <c r="I266" i="37"/>
  <c r="F267" i="37"/>
  <c r="H266" i="37"/>
  <c r="G266" i="37"/>
  <c r="F266" i="37"/>
  <c r="E266" i="37"/>
  <c r="D266" i="37"/>
  <c r="H265" i="37"/>
  <c r="G265" i="37"/>
  <c r="F265" i="37"/>
  <c r="L265" i="37"/>
  <c r="K265" i="37"/>
  <c r="H264" i="37"/>
  <c r="E265" i="37"/>
  <c r="D265" i="37"/>
  <c r="J265" i="37"/>
  <c r="I265" i="37"/>
  <c r="D264" i="37"/>
  <c r="L264" i="37"/>
  <c r="K264" i="37"/>
  <c r="J264" i="37"/>
  <c r="I264" i="37"/>
  <c r="K263" i="37"/>
  <c r="J263" i="37"/>
  <c r="G264" i="37"/>
  <c r="F264" i="37"/>
  <c r="E264" i="37"/>
  <c r="H263" i="37"/>
  <c r="G263" i="37"/>
  <c r="F263" i="37"/>
  <c r="E263" i="37"/>
  <c r="L263" i="37"/>
  <c r="H262" i="37"/>
  <c r="G262" i="37"/>
  <c r="D263" i="37"/>
  <c r="L262" i="37"/>
  <c r="I263" i="37"/>
  <c r="E262" i="37"/>
  <c r="D262" i="37"/>
  <c r="K262" i="37"/>
  <c r="J262" i="37"/>
  <c r="I262" i="37"/>
  <c r="L261" i="37"/>
  <c r="K261" i="37"/>
  <c r="J261" i="37"/>
  <c r="I261" i="37"/>
  <c r="F262" i="37"/>
  <c r="H261" i="37"/>
  <c r="G261" i="37"/>
  <c r="F261" i="37"/>
  <c r="E261" i="37"/>
  <c r="D261" i="37"/>
  <c r="H260" i="37"/>
  <c r="G260" i="37"/>
  <c r="F260" i="37"/>
  <c r="L260" i="37"/>
  <c r="K260" i="37"/>
  <c r="H259" i="37"/>
  <c r="E260" i="37"/>
  <c r="D260" i="37"/>
  <c r="J260" i="37"/>
  <c r="I260" i="37"/>
  <c r="D259" i="37"/>
  <c r="L259" i="37"/>
  <c r="K259" i="37"/>
  <c r="J259" i="37"/>
  <c r="I259" i="37"/>
  <c r="K258" i="37"/>
  <c r="J258" i="37"/>
  <c r="G259" i="37"/>
  <c r="F259" i="37"/>
  <c r="E259" i="37"/>
  <c r="H258" i="37"/>
  <c r="G258" i="37"/>
  <c r="F258" i="37"/>
  <c r="E258" i="37"/>
  <c r="L258" i="37"/>
  <c r="H257" i="37"/>
  <c r="G257" i="37"/>
  <c r="D258" i="37"/>
  <c r="L257" i="37"/>
  <c r="I258" i="37"/>
  <c r="E257" i="37"/>
  <c r="D257" i="37"/>
  <c r="K257" i="37"/>
  <c r="J257" i="37"/>
  <c r="I257" i="37"/>
  <c r="L256" i="37"/>
  <c r="K256" i="37"/>
  <c r="J256" i="37"/>
  <c r="I256" i="37"/>
  <c r="F257" i="37"/>
  <c r="H256" i="37"/>
  <c r="G256" i="37"/>
  <c r="F256" i="37"/>
  <c r="E256" i="37"/>
  <c r="D256" i="37"/>
  <c r="H255" i="37"/>
  <c r="G255" i="37"/>
  <c r="F255" i="37"/>
  <c r="L255" i="37"/>
  <c r="K255" i="37"/>
  <c r="H254" i="37"/>
  <c r="E255" i="37"/>
  <c r="D255" i="37"/>
  <c r="J255" i="37"/>
  <c r="I255" i="37"/>
  <c r="D254" i="37"/>
  <c r="L254" i="37"/>
  <c r="K254" i="37"/>
  <c r="J254" i="37"/>
  <c r="I254" i="37"/>
  <c r="K253" i="37"/>
  <c r="J253" i="37"/>
  <c r="G254" i="37"/>
  <c r="F254" i="37"/>
  <c r="E254" i="37"/>
  <c r="H253" i="37"/>
  <c r="G253" i="37"/>
  <c r="F253" i="37"/>
  <c r="E253" i="37"/>
  <c r="L253" i="37"/>
  <c r="H252" i="37"/>
  <c r="G252" i="37"/>
  <c r="D253" i="37"/>
  <c r="L252" i="37"/>
  <c r="I253" i="37"/>
  <c r="E252" i="37"/>
  <c r="D252" i="37"/>
  <c r="K252" i="37"/>
  <c r="J252" i="37"/>
  <c r="I252" i="37"/>
  <c r="L251" i="37"/>
  <c r="K251" i="37"/>
  <c r="J251" i="37"/>
  <c r="I251" i="37"/>
  <c r="F252" i="37"/>
  <c r="H251" i="37"/>
  <c r="G251" i="37"/>
  <c r="F251" i="37"/>
  <c r="E251" i="37"/>
  <c r="D251" i="37"/>
  <c r="H250" i="37"/>
  <c r="G250" i="37"/>
  <c r="F250" i="37"/>
  <c r="L250" i="37"/>
  <c r="K250" i="37"/>
  <c r="H249" i="37"/>
  <c r="E250" i="37"/>
  <c r="D250" i="37"/>
  <c r="J250" i="37"/>
  <c r="I250" i="37"/>
  <c r="D249" i="37"/>
  <c r="L249" i="37"/>
  <c r="K249" i="37"/>
  <c r="J249" i="37"/>
  <c r="I249" i="37"/>
  <c r="K248" i="37"/>
  <c r="J248" i="37"/>
  <c r="G249" i="37"/>
  <c r="F249" i="37"/>
  <c r="E249" i="37"/>
  <c r="H248" i="37"/>
  <c r="G248" i="37"/>
  <c r="F248" i="37"/>
  <c r="E248" i="37"/>
  <c r="L248" i="37"/>
  <c r="H247" i="37"/>
  <c r="G247" i="37"/>
  <c r="D248" i="37"/>
  <c r="L247" i="37"/>
  <c r="I248" i="37"/>
  <c r="E247" i="37"/>
  <c r="D247" i="37"/>
  <c r="K247" i="37"/>
  <c r="J247" i="37"/>
  <c r="I247" i="37"/>
  <c r="L246" i="37"/>
  <c r="K246" i="37"/>
  <c r="J246" i="37"/>
  <c r="I246" i="37"/>
  <c r="F247" i="37"/>
  <c r="H246" i="37"/>
  <c r="G246" i="37"/>
  <c r="F246" i="37"/>
  <c r="E246" i="37"/>
  <c r="D246" i="37"/>
  <c r="H245" i="37"/>
  <c r="G245" i="37"/>
  <c r="F245" i="37"/>
  <c r="L245" i="37"/>
  <c r="K245" i="37"/>
  <c r="H244" i="37"/>
  <c r="E245" i="37"/>
  <c r="D245" i="37"/>
  <c r="J245" i="37"/>
  <c r="I245" i="37"/>
  <c r="D244" i="37"/>
  <c r="L244" i="37"/>
  <c r="K244" i="37"/>
  <c r="J244" i="37"/>
  <c r="I244" i="37"/>
  <c r="K243" i="37"/>
  <c r="J243" i="37"/>
  <c r="G244" i="37"/>
  <c r="F244" i="37"/>
  <c r="E244" i="37"/>
  <c r="H243" i="37"/>
  <c r="G243" i="37"/>
  <c r="F243" i="37"/>
  <c r="E243" i="37"/>
  <c r="L243" i="37"/>
  <c r="H242" i="37"/>
  <c r="G242" i="37"/>
  <c r="D243" i="37"/>
  <c r="L242" i="37"/>
  <c r="I243" i="37"/>
  <c r="E242" i="37"/>
  <c r="D242" i="37"/>
  <c r="K242" i="37"/>
  <c r="J242" i="37"/>
  <c r="I242" i="37"/>
  <c r="L241" i="37"/>
  <c r="K241" i="37"/>
  <c r="J241" i="37"/>
  <c r="I241" i="37"/>
  <c r="F242" i="37"/>
  <c r="H241" i="37"/>
  <c r="G241" i="37"/>
  <c r="F241" i="37"/>
  <c r="E241" i="37"/>
  <c r="D241" i="37"/>
  <c r="L239" i="37"/>
  <c r="K239" i="37"/>
  <c r="J239" i="37"/>
  <c r="I239" i="37"/>
  <c r="H239" i="37"/>
  <c r="J238" i="37"/>
  <c r="G239" i="37"/>
  <c r="F239" i="37"/>
  <c r="E239" i="37"/>
  <c r="D239" i="37"/>
  <c r="G238" i="37"/>
  <c r="F238" i="37"/>
  <c r="E238" i="37"/>
  <c r="L238" i="37"/>
  <c r="K238" i="37"/>
  <c r="G237" i="37"/>
  <c r="D238" i="37"/>
  <c r="L237" i="37"/>
  <c r="I238" i="37"/>
  <c r="H238" i="37"/>
  <c r="D237" i="37"/>
  <c r="K237" i="37"/>
  <c r="J237" i="37"/>
  <c r="I237" i="37"/>
  <c r="H237" i="37"/>
  <c r="K236" i="37"/>
  <c r="J236" i="37"/>
  <c r="I236" i="37"/>
  <c r="F237" i="37"/>
  <c r="E237" i="37"/>
  <c r="G236" i="37"/>
  <c r="F236" i="37"/>
  <c r="E236" i="37"/>
  <c r="D236" i="37"/>
  <c r="L236" i="37"/>
  <c r="G235" i="37"/>
  <c r="F235" i="37"/>
  <c r="L235" i="37"/>
  <c r="K235" i="37"/>
  <c r="H236" i="37"/>
  <c r="E235" i="37"/>
  <c r="D235" i="37"/>
  <c r="J235" i="37"/>
  <c r="I235" i="37"/>
  <c r="H235" i="37"/>
  <c r="L234" i="37"/>
  <c r="K234" i="37"/>
  <c r="J234" i="37"/>
  <c r="I234" i="37"/>
  <c r="H234" i="37"/>
  <c r="J233" i="37"/>
  <c r="G234" i="37"/>
  <c r="F234" i="37"/>
  <c r="E234" i="37"/>
  <c r="D234" i="37"/>
  <c r="G233" i="37"/>
  <c r="F233" i="37"/>
  <c r="E233" i="37"/>
  <c r="L233" i="37"/>
  <c r="K233" i="37"/>
  <c r="G232" i="37"/>
  <c r="D233" i="37"/>
  <c r="L232" i="37"/>
  <c r="I233" i="37"/>
  <c r="H233" i="37"/>
  <c r="D232" i="37"/>
  <c r="K232" i="37"/>
  <c r="J232" i="37"/>
  <c r="I232" i="37"/>
  <c r="H232" i="37"/>
  <c r="K231" i="37"/>
  <c r="J231" i="37"/>
  <c r="I231" i="37"/>
  <c r="F232" i="37"/>
  <c r="E232" i="37"/>
  <c r="G231" i="37"/>
  <c r="F231" i="37"/>
  <c r="E231" i="37"/>
  <c r="D231" i="37"/>
  <c r="L231" i="37"/>
  <c r="G230" i="37"/>
  <c r="F230" i="37"/>
  <c r="L230" i="37"/>
  <c r="K230" i="37"/>
  <c r="H231" i="37"/>
  <c r="E230" i="37"/>
  <c r="D230" i="37"/>
  <c r="J230" i="37"/>
  <c r="I230" i="37"/>
  <c r="H230" i="37"/>
  <c r="L229" i="37"/>
  <c r="K229" i="37"/>
  <c r="J229" i="37"/>
  <c r="I229" i="37"/>
  <c r="H229" i="37"/>
  <c r="J228" i="37"/>
  <c r="G229" i="37"/>
  <c r="F229" i="37"/>
  <c r="E229" i="37"/>
  <c r="D229" i="37"/>
  <c r="G228" i="37"/>
  <c r="F228" i="37"/>
  <c r="E228" i="37"/>
  <c r="L228" i="37"/>
  <c r="K228" i="37"/>
  <c r="G227" i="37"/>
  <c r="D228" i="37"/>
  <c r="L227" i="37"/>
  <c r="I228" i="37"/>
  <c r="H228" i="37"/>
  <c r="D227" i="37"/>
  <c r="K227" i="37"/>
  <c r="J227" i="37"/>
  <c r="I227" i="37"/>
  <c r="H227" i="37"/>
  <c r="K226" i="37"/>
  <c r="J226" i="37"/>
  <c r="I226" i="37"/>
  <c r="F227" i="37"/>
  <c r="E227" i="37"/>
  <c r="G226" i="37"/>
  <c r="F226" i="37"/>
  <c r="E226" i="37"/>
  <c r="D226" i="37"/>
  <c r="L226" i="37"/>
  <c r="G225" i="37"/>
  <c r="F225" i="37"/>
  <c r="L225" i="37"/>
  <c r="K225" i="37"/>
  <c r="H226" i="37"/>
  <c r="E225" i="37"/>
  <c r="D225" i="37"/>
  <c r="J225" i="37"/>
  <c r="I225" i="37"/>
  <c r="H225" i="37"/>
  <c r="L224" i="37"/>
  <c r="K224" i="37"/>
  <c r="J224" i="37"/>
  <c r="I224" i="37"/>
  <c r="H224" i="37"/>
  <c r="J223" i="37"/>
  <c r="G224" i="37"/>
  <c r="F224" i="37"/>
  <c r="E224" i="37"/>
  <c r="D224" i="37"/>
  <c r="G223" i="37"/>
  <c r="F223" i="37"/>
  <c r="E223" i="37"/>
  <c r="L223" i="37"/>
  <c r="K223" i="37"/>
  <c r="G222" i="37"/>
  <c r="D223" i="37"/>
  <c r="L222" i="37"/>
  <c r="I223" i="37"/>
  <c r="H223" i="37"/>
  <c r="D222" i="37"/>
  <c r="K222" i="37"/>
  <c r="J222" i="37"/>
  <c r="I222" i="37"/>
  <c r="H222" i="37"/>
  <c r="K221" i="37"/>
  <c r="J221" i="37"/>
  <c r="I221" i="37"/>
  <c r="F222" i="37"/>
  <c r="E222" i="37"/>
  <c r="G221" i="37"/>
  <c r="F221" i="37"/>
  <c r="E221" i="37"/>
  <c r="D221" i="37"/>
  <c r="L221" i="37"/>
  <c r="G220" i="37"/>
  <c r="F220" i="37"/>
  <c r="L220" i="37"/>
  <c r="K220" i="37"/>
  <c r="H221" i="37"/>
  <c r="E220" i="37"/>
  <c r="D220" i="37"/>
  <c r="J220" i="37"/>
  <c r="I220" i="37"/>
  <c r="H220" i="37"/>
  <c r="L219" i="37"/>
  <c r="K219" i="37"/>
  <c r="J219" i="37"/>
  <c r="I219" i="37"/>
  <c r="H219" i="37"/>
  <c r="J218" i="37"/>
  <c r="G219" i="37"/>
  <c r="F219" i="37"/>
  <c r="E219" i="37"/>
  <c r="D219" i="37"/>
  <c r="G218" i="37"/>
  <c r="F218" i="37"/>
  <c r="E218" i="37"/>
  <c r="L218" i="37"/>
  <c r="K218" i="37"/>
  <c r="G217" i="37"/>
  <c r="D218" i="37"/>
  <c r="L217" i="37"/>
  <c r="I218" i="37"/>
  <c r="H218" i="37"/>
  <c r="D217" i="37"/>
  <c r="K217" i="37"/>
  <c r="J217" i="37"/>
  <c r="I217" i="37"/>
  <c r="H217" i="37"/>
  <c r="K216" i="37"/>
  <c r="J216" i="37"/>
  <c r="I216" i="37"/>
  <c r="F217" i="37"/>
  <c r="E217" i="37"/>
  <c r="G216" i="37"/>
  <c r="F216" i="37"/>
  <c r="E216" i="37"/>
  <c r="D216" i="37"/>
  <c r="L216" i="37"/>
  <c r="G215" i="37"/>
  <c r="F215" i="37"/>
  <c r="L215" i="37"/>
  <c r="K215" i="37"/>
  <c r="H216" i="37"/>
  <c r="E215" i="37"/>
  <c r="D215" i="37"/>
  <c r="J215" i="37"/>
  <c r="I215" i="37"/>
  <c r="H215" i="37"/>
  <c r="L214" i="37"/>
  <c r="K214" i="37"/>
  <c r="J214" i="37"/>
  <c r="I214" i="37"/>
  <c r="H214" i="37"/>
  <c r="J213" i="37"/>
  <c r="G214" i="37"/>
  <c r="F214" i="37"/>
  <c r="E214" i="37"/>
  <c r="D214" i="37"/>
  <c r="G213" i="37"/>
  <c r="F213" i="37"/>
  <c r="E213" i="37"/>
  <c r="L213" i="37"/>
  <c r="K213" i="37"/>
  <c r="G212" i="37"/>
  <c r="D213" i="37"/>
  <c r="L212" i="37"/>
  <c r="I213" i="37"/>
  <c r="H213" i="37"/>
  <c r="D212" i="37"/>
  <c r="K212" i="37"/>
  <c r="J212" i="37"/>
  <c r="I212" i="37"/>
  <c r="H212" i="37"/>
  <c r="K211" i="37"/>
  <c r="J211" i="37"/>
  <c r="I211" i="37"/>
  <c r="F212" i="37"/>
  <c r="E212" i="37"/>
  <c r="G211" i="37"/>
  <c r="F211" i="37"/>
  <c r="E211" i="37"/>
  <c r="D211" i="37"/>
  <c r="L211" i="37"/>
  <c r="G210" i="37"/>
  <c r="F210" i="37"/>
  <c r="L210" i="37"/>
  <c r="K210" i="37"/>
  <c r="H211" i="37"/>
  <c r="E210" i="37"/>
  <c r="D210" i="37"/>
  <c r="J210" i="37"/>
  <c r="I210" i="37"/>
  <c r="H210" i="37"/>
  <c r="L209" i="37"/>
  <c r="K209" i="37"/>
  <c r="J209" i="37"/>
  <c r="I209" i="37"/>
  <c r="H209" i="37"/>
  <c r="J208" i="37"/>
  <c r="G209" i="37"/>
  <c r="F209" i="37"/>
  <c r="E209" i="37"/>
  <c r="D209" i="37"/>
  <c r="G208" i="37"/>
  <c r="F208" i="37"/>
  <c r="E208" i="37"/>
  <c r="L208" i="37"/>
  <c r="K208" i="37"/>
  <c r="G207" i="37"/>
  <c r="D208" i="37"/>
  <c r="L207" i="37"/>
  <c r="I208" i="37"/>
  <c r="H208" i="37"/>
  <c r="D207" i="37"/>
  <c r="K207" i="37"/>
  <c r="J207" i="37"/>
  <c r="I207" i="37"/>
  <c r="H207" i="37"/>
  <c r="K206" i="37"/>
  <c r="J206" i="37"/>
  <c r="I206" i="37"/>
  <c r="F207" i="37"/>
  <c r="E207" i="37"/>
  <c r="G206" i="37"/>
  <c r="F206" i="37"/>
  <c r="E206" i="37"/>
  <c r="D206" i="37"/>
  <c r="L206" i="37"/>
  <c r="G205" i="37"/>
  <c r="F205" i="37"/>
  <c r="L205" i="37"/>
  <c r="K205" i="37"/>
  <c r="H206" i="37"/>
  <c r="E205" i="37"/>
  <c r="D205" i="37"/>
  <c r="J205" i="37"/>
  <c r="I205" i="37"/>
  <c r="H205" i="37"/>
  <c r="L204" i="37"/>
  <c r="K204" i="37"/>
  <c r="J204" i="37"/>
  <c r="I204" i="37"/>
  <c r="H204" i="37"/>
  <c r="J203" i="37"/>
  <c r="G204" i="37"/>
  <c r="F204" i="37"/>
  <c r="E204" i="37"/>
  <c r="D204" i="37"/>
  <c r="G203" i="37"/>
  <c r="F203" i="37"/>
  <c r="E203" i="37"/>
  <c r="L203" i="37"/>
  <c r="K203" i="37"/>
  <c r="G202" i="37"/>
  <c r="D203" i="37"/>
  <c r="L202" i="37"/>
  <c r="I203" i="37"/>
  <c r="H203" i="37"/>
  <c r="D202" i="37"/>
  <c r="K202" i="37"/>
  <c r="J202" i="37"/>
  <c r="I202" i="37"/>
  <c r="H202" i="37"/>
  <c r="K201" i="37"/>
  <c r="J201" i="37"/>
  <c r="I201" i="37"/>
  <c r="F202" i="37"/>
  <c r="E202" i="37"/>
  <c r="G201" i="37"/>
  <c r="F201" i="37"/>
  <c r="E201" i="37"/>
  <c r="D201" i="37"/>
  <c r="L201" i="37"/>
  <c r="G200" i="37"/>
  <c r="F200" i="37"/>
  <c r="L200" i="37"/>
  <c r="K200" i="37"/>
  <c r="H201" i="37"/>
  <c r="E200" i="37"/>
  <c r="D200" i="37"/>
  <c r="J200" i="37"/>
  <c r="I200" i="37"/>
  <c r="H200" i="37"/>
  <c r="L199" i="37"/>
  <c r="K199" i="37"/>
  <c r="J199" i="37"/>
  <c r="I199" i="37"/>
  <c r="H199" i="37"/>
  <c r="J198" i="37"/>
  <c r="G199" i="37"/>
  <c r="F199" i="37"/>
  <c r="E199" i="37"/>
  <c r="D199" i="37"/>
  <c r="G198" i="37"/>
  <c r="F198" i="37"/>
  <c r="E198" i="37"/>
  <c r="L198" i="37"/>
  <c r="K198" i="37"/>
  <c r="G197" i="37"/>
  <c r="D198" i="37"/>
  <c r="L197" i="37"/>
  <c r="I198" i="37"/>
  <c r="H198" i="37"/>
  <c r="D197" i="37"/>
  <c r="K197" i="37"/>
  <c r="J197" i="37"/>
  <c r="I197" i="37"/>
  <c r="H197" i="37"/>
  <c r="K196" i="37"/>
  <c r="J196" i="37"/>
  <c r="I196" i="37"/>
  <c r="F197" i="37"/>
  <c r="E197" i="37"/>
  <c r="G196" i="37"/>
  <c r="F196" i="37"/>
  <c r="E196" i="37"/>
  <c r="D196" i="37"/>
  <c r="L196" i="37"/>
  <c r="G195" i="37"/>
  <c r="F195" i="37"/>
  <c r="L195" i="37"/>
  <c r="K195" i="37"/>
  <c r="H196" i="37"/>
  <c r="E195" i="37"/>
  <c r="D195" i="37"/>
  <c r="J195" i="37"/>
  <c r="I195" i="37"/>
  <c r="H195" i="37"/>
  <c r="L194" i="37"/>
  <c r="K194" i="37"/>
  <c r="J194" i="37"/>
  <c r="I194" i="37"/>
  <c r="H194" i="37"/>
  <c r="J193" i="37"/>
  <c r="G194" i="37"/>
  <c r="F194" i="37"/>
  <c r="E194" i="37"/>
  <c r="D194" i="37"/>
  <c r="G193" i="37"/>
  <c r="F193" i="37"/>
  <c r="E193" i="37"/>
  <c r="L193" i="37"/>
  <c r="K193" i="37"/>
  <c r="G192" i="37"/>
  <c r="D193" i="37"/>
  <c r="L192" i="37"/>
  <c r="I193" i="37"/>
  <c r="H193" i="37"/>
  <c r="D192" i="37"/>
  <c r="K192" i="37"/>
  <c r="J192" i="37"/>
  <c r="I192" i="37"/>
  <c r="H192" i="37"/>
  <c r="K191" i="37"/>
  <c r="J191" i="37"/>
  <c r="I191" i="37"/>
  <c r="F192" i="37"/>
  <c r="E192" i="37"/>
  <c r="G191" i="37"/>
  <c r="F191" i="37"/>
  <c r="E191" i="37"/>
  <c r="D191" i="37"/>
  <c r="L191" i="37"/>
  <c r="G190" i="37"/>
  <c r="F190" i="37"/>
  <c r="L190" i="37"/>
  <c r="K190" i="37"/>
  <c r="H191" i="37"/>
  <c r="E190" i="37"/>
  <c r="D190" i="37"/>
  <c r="J190" i="37"/>
  <c r="I190" i="37"/>
  <c r="H190" i="37"/>
  <c r="L189" i="37"/>
  <c r="K189" i="37"/>
  <c r="J189" i="37"/>
  <c r="I189" i="37"/>
  <c r="H189" i="37"/>
  <c r="J188" i="37"/>
  <c r="G189" i="37"/>
  <c r="F189" i="37"/>
  <c r="E189" i="37"/>
  <c r="D189" i="37"/>
  <c r="G188" i="37"/>
  <c r="F188" i="37"/>
  <c r="E188" i="37"/>
  <c r="L188" i="37"/>
  <c r="K188" i="37"/>
  <c r="G187" i="37"/>
  <c r="D188" i="37"/>
  <c r="L187" i="37"/>
  <c r="I188" i="37"/>
  <c r="H188" i="37"/>
  <c r="D187" i="37"/>
  <c r="K187" i="37"/>
  <c r="J187" i="37"/>
  <c r="I187" i="37"/>
  <c r="H187" i="37"/>
  <c r="K186" i="37"/>
  <c r="J186" i="37"/>
  <c r="I186" i="37"/>
  <c r="F187" i="37"/>
  <c r="E187" i="37"/>
  <c r="G186" i="37"/>
  <c r="F186" i="37"/>
  <c r="E186" i="37"/>
  <c r="D186" i="37"/>
  <c r="L186" i="37"/>
  <c r="G185" i="37"/>
  <c r="F185" i="37"/>
  <c r="L185" i="37"/>
  <c r="K185" i="37"/>
  <c r="H186" i="37"/>
  <c r="E185" i="37"/>
  <c r="D185" i="37"/>
  <c r="J185" i="37"/>
  <c r="I185" i="37"/>
  <c r="H185" i="37"/>
  <c r="L184" i="37"/>
  <c r="K184" i="37"/>
  <c r="J184" i="37"/>
  <c r="I184" i="37"/>
  <c r="H184" i="37"/>
  <c r="J183" i="37"/>
  <c r="G184" i="37"/>
  <c r="F184" i="37"/>
  <c r="E184" i="37"/>
  <c r="D184" i="37"/>
  <c r="G183" i="37"/>
  <c r="F183" i="37"/>
  <c r="E183" i="37"/>
  <c r="L183" i="37"/>
  <c r="K183" i="37"/>
  <c r="G182" i="37"/>
  <c r="D183" i="37"/>
  <c r="L182" i="37"/>
  <c r="I183" i="37"/>
  <c r="H183" i="37"/>
  <c r="D182" i="37"/>
  <c r="K182" i="37"/>
  <c r="J182" i="37"/>
  <c r="I182" i="37"/>
  <c r="H182" i="37"/>
  <c r="K181" i="37"/>
  <c r="J181" i="37"/>
  <c r="I181" i="37"/>
  <c r="F182" i="37"/>
  <c r="E182" i="37"/>
  <c r="G181" i="37"/>
  <c r="F181" i="37"/>
  <c r="E181" i="37"/>
  <c r="D181" i="37"/>
  <c r="L181" i="37"/>
  <c r="G180" i="37"/>
  <c r="F180" i="37"/>
  <c r="L180" i="37"/>
  <c r="K180" i="37"/>
  <c r="H181" i="37"/>
  <c r="E180" i="37"/>
  <c r="D180" i="37"/>
  <c r="J180" i="37"/>
  <c r="I180" i="37"/>
  <c r="H180" i="37"/>
  <c r="L179" i="37"/>
  <c r="K179" i="37"/>
  <c r="J179" i="37"/>
  <c r="I179" i="37"/>
  <c r="H179" i="37"/>
  <c r="J178" i="37"/>
  <c r="G179" i="37"/>
  <c r="F179" i="37"/>
  <c r="E179" i="37"/>
  <c r="D179" i="37"/>
  <c r="G178" i="37"/>
  <c r="F178" i="37"/>
  <c r="E178" i="37"/>
  <c r="L178" i="37"/>
  <c r="K178" i="37"/>
  <c r="G177" i="37"/>
  <c r="D178" i="37"/>
  <c r="L177" i="37"/>
  <c r="I178" i="37"/>
  <c r="H178" i="37"/>
  <c r="D177" i="37"/>
  <c r="K177" i="37"/>
  <c r="J177" i="37"/>
  <c r="I177" i="37"/>
  <c r="H177" i="37"/>
  <c r="K176" i="37"/>
  <c r="J176" i="37"/>
  <c r="I176" i="37"/>
  <c r="F177" i="37"/>
  <c r="E177" i="37"/>
  <c r="G176" i="37"/>
  <c r="F176" i="37"/>
  <c r="E176" i="37"/>
  <c r="D176" i="37"/>
  <c r="L176" i="37"/>
  <c r="G175" i="37"/>
  <c r="F175" i="37"/>
  <c r="L175" i="37"/>
  <c r="K175" i="37"/>
  <c r="H176" i="37"/>
  <c r="E175" i="37"/>
  <c r="D175" i="37"/>
  <c r="J175" i="37"/>
  <c r="I175" i="37"/>
  <c r="H175" i="37"/>
  <c r="L174" i="37"/>
  <c r="K174" i="37"/>
  <c r="J174" i="37"/>
  <c r="I174" i="37"/>
  <c r="H174" i="37"/>
  <c r="J173" i="37"/>
  <c r="G174" i="37"/>
  <c r="F174" i="37"/>
  <c r="E174" i="37"/>
  <c r="D174" i="37"/>
  <c r="G173" i="37"/>
  <c r="F173" i="37"/>
  <c r="E173" i="37"/>
  <c r="L173" i="37"/>
  <c r="K173" i="37"/>
  <c r="G172" i="37"/>
  <c r="D173" i="37"/>
  <c r="L172" i="37"/>
  <c r="I173" i="37"/>
  <c r="H173" i="37"/>
  <c r="D172" i="37"/>
  <c r="K172" i="37"/>
  <c r="J172" i="37"/>
  <c r="I172" i="37"/>
  <c r="H172" i="37"/>
  <c r="K171" i="37"/>
  <c r="J171" i="37"/>
  <c r="I171" i="37"/>
  <c r="F172" i="37"/>
  <c r="E172" i="37"/>
  <c r="G171" i="37"/>
  <c r="F171" i="37"/>
  <c r="E171" i="37"/>
  <c r="D171" i="37"/>
  <c r="L171" i="37"/>
  <c r="G170" i="37"/>
  <c r="F170" i="37"/>
  <c r="L170" i="37"/>
  <c r="K170" i="37"/>
  <c r="H171" i="37"/>
  <c r="E170" i="37"/>
  <c r="D170" i="37"/>
  <c r="J170" i="37"/>
  <c r="I170" i="37"/>
  <c r="H170" i="37"/>
  <c r="L169" i="37"/>
  <c r="K169" i="37"/>
  <c r="J169" i="37"/>
  <c r="I169" i="37"/>
  <c r="H169" i="37"/>
  <c r="J168" i="37"/>
  <c r="G169" i="37"/>
  <c r="F169" i="37"/>
  <c r="E169" i="37"/>
  <c r="D169" i="37"/>
  <c r="G168" i="37"/>
  <c r="F168" i="37"/>
  <c r="E168" i="37"/>
  <c r="L168" i="37"/>
  <c r="K168" i="37"/>
  <c r="G167" i="37"/>
  <c r="D168" i="37"/>
  <c r="L167" i="37"/>
  <c r="I168" i="37"/>
  <c r="H168" i="37"/>
  <c r="D167" i="37"/>
  <c r="K167" i="37"/>
  <c r="J167" i="37"/>
  <c r="I167" i="37"/>
  <c r="H167" i="37"/>
  <c r="K166" i="37"/>
  <c r="J166" i="37"/>
  <c r="I166" i="37"/>
  <c r="F167" i="37"/>
  <c r="E167" i="37"/>
  <c r="G166" i="37"/>
  <c r="F166" i="37"/>
  <c r="E166" i="37"/>
  <c r="D166" i="37"/>
  <c r="L166" i="37"/>
  <c r="G165" i="37"/>
  <c r="F165" i="37"/>
  <c r="L165" i="37"/>
  <c r="K165" i="37"/>
  <c r="H166" i="37"/>
  <c r="E165" i="37"/>
  <c r="D165" i="37"/>
  <c r="J165" i="37"/>
  <c r="I165" i="37"/>
  <c r="H165" i="37"/>
  <c r="L164" i="37"/>
  <c r="K164" i="37"/>
  <c r="J164" i="37"/>
  <c r="I164" i="37"/>
  <c r="H164" i="37"/>
  <c r="J163" i="37"/>
  <c r="G164" i="37"/>
  <c r="F164" i="37"/>
  <c r="E164" i="37"/>
  <c r="D164" i="37"/>
  <c r="G163" i="37"/>
  <c r="F163" i="37"/>
  <c r="E163" i="37"/>
  <c r="L163" i="37"/>
  <c r="K163" i="37"/>
  <c r="G162" i="37"/>
  <c r="D163" i="37"/>
  <c r="L162" i="37"/>
  <c r="I163" i="37"/>
  <c r="H163" i="37"/>
  <c r="D162" i="37"/>
  <c r="K162" i="37"/>
  <c r="J162" i="37"/>
  <c r="I162" i="37"/>
  <c r="H162" i="37"/>
  <c r="K161" i="37"/>
  <c r="J161" i="37"/>
  <c r="I161" i="37"/>
  <c r="F162" i="37"/>
  <c r="E162" i="37"/>
  <c r="G161" i="37"/>
  <c r="F161" i="37"/>
  <c r="E161" i="37"/>
  <c r="D161" i="37"/>
  <c r="L161" i="37"/>
  <c r="G160" i="37"/>
  <c r="F160" i="37"/>
  <c r="L160" i="37"/>
  <c r="K160" i="37"/>
  <c r="H161" i="37"/>
  <c r="E160" i="37"/>
  <c r="D160" i="37"/>
  <c r="J160" i="37"/>
  <c r="I160" i="37"/>
  <c r="H160" i="37"/>
  <c r="L159" i="37"/>
  <c r="K159" i="37"/>
  <c r="J159" i="37"/>
  <c r="I159" i="37"/>
  <c r="H159" i="37"/>
  <c r="J158" i="37"/>
  <c r="G159" i="37"/>
  <c r="F159" i="37"/>
  <c r="E159" i="37"/>
  <c r="D159" i="37"/>
  <c r="G158" i="37"/>
  <c r="F158" i="37"/>
  <c r="E158" i="37"/>
  <c r="L158" i="37"/>
  <c r="K158" i="37"/>
  <c r="G157" i="37"/>
  <c r="D158" i="37"/>
  <c r="L157" i="37"/>
  <c r="I158" i="37"/>
  <c r="H158" i="37"/>
  <c r="D157" i="37"/>
  <c r="K157" i="37"/>
  <c r="J157" i="37"/>
  <c r="I157" i="37"/>
  <c r="H157" i="37"/>
  <c r="K156" i="37"/>
  <c r="J156" i="37"/>
  <c r="I156" i="37"/>
  <c r="F157" i="37"/>
  <c r="E157" i="37"/>
  <c r="G156" i="37"/>
  <c r="F156" i="37"/>
  <c r="E156" i="37"/>
  <c r="D156" i="37"/>
  <c r="L156" i="37"/>
  <c r="G155" i="37"/>
  <c r="F155" i="37"/>
  <c r="L155" i="37"/>
  <c r="K155" i="37"/>
  <c r="H156" i="37"/>
  <c r="E155" i="37"/>
  <c r="D155" i="37"/>
  <c r="J155" i="37"/>
  <c r="I155" i="37"/>
  <c r="H155" i="37"/>
  <c r="L154" i="37"/>
  <c r="K154" i="37"/>
  <c r="J154" i="37"/>
  <c r="I154" i="37"/>
  <c r="H154" i="37"/>
  <c r="J153" i="37"/>
  <c r="G154" i="37"/>
  <c r="F154" i="37"/>
  <c r="E154" i="37"/>
  <c r="D154" i="37"/>
  <c r="G153" i="37"/>
  <c r="F153" i="37"/>
  <c r="E153" i="37"/>
  <c r="L153" i="37"/>
  <c r="K153" i="37"/>
  <c r="G152" i="37"/>
  <c r="D153" i="37"/>
  <c r="L152" i="37"/>
  <c r="I153" i="37"/>
  <c r="H153" i="37"/>
  <c r="D152" i="37"/>
  <c r="K152" i="37"/>
  <c r="J152" i="37"/>
  <c r="I152" i="37"/>
  <c r="H152" i="37"/>
  <c r="K151" i="37"/>
  <c r="J151" i="37"/>
  <c r="I151" i="37"/>
  <c r="F152" i="37"/>
  <c r="E152" i="37"/>
  <c r="G151" i="37"/>
  <c r="F151" i="37"/>
  <c r="E151" i="37"/>
  <c r="D151" i="37"/>
  <c r="L151" i="37"/>
  <c r="G150" i="37"/>
  <c r="F150" i="37"/>
  <c r="L150" i="37"/>
  <c r="K150" i="37"/>
  <c r="H151" i="37"/>
  <c r="E150" i="37"/>
  <c r="D150" i="37"/>
  <c r="J150" i="37"/>
  <c r="I150" i="37"/>
  <c r="H150" i="37"/>
  <c r="L149" i="37"/>
  <c r="K149" i="37"/>
  <c r="J149" i="37"/>
  <c r="I149" i="37"/>
  <c r="H149" i="37"/>
  <c r="J148" i="37"/>
  <c r="G149" i="37"/>
  <c r="F149" i="37"/>
  <c r="E149" i="37"/>
  <c r="D149" i="37"/>
  <c r="G148" i="37"/>
  <c r="F148" i="37"/>
  <c r="E148" i="37"/>
  <c r="L148" i="37"/>
  <c r="K148" i="37"/>
  <c r="G147" i="37"/>
  <c r="D148" i="37"/>
  <c r="L147" i="37"/>
  <c r="I148" i="37"/>
  <c r="H148" i="37"/>
  <c r="D147" i="37"/>
  <c r="K147" i="37"/>
  <c r="J147" i="37"/>
  <c r="I147" i="37"/>
  <c r="H147" i="37"/>
  <c r="K146" i="37"/>
  <c r="J146" i="37"/>
  <c r="I146" i="37"/>
  <c r="F147" i="37"/>
  <c r="E147" i="37"/>
  <c r="G146" i="37"/>
  <c r="F146" i="37"/>
  <c r="E146" i="37"/>
  <c r="D146" i="37"/>
  <c r="L146" i="37"/>
  <c r="G145" i="37"/>
  <c r="F145" i="37"/>
  <c r="L145" i="37"/>
  <c r="K145" i="37"/>
  <c r="H146" i="37"/>
  <c r="E145" i="37"/>
  <c r="D145" i="37"/>
  <c r="J145" i="37"/>
  <c r="I145" i="37"/>
  <c r="H145" i="37"/>
  <c r="L144" i="37"/>
  <c r="K144" i="37"/>
  <c r="J144" i="37"/>
  <c r="I144" i="37"/>
  <c r="H144" i="37"/>
  <c r="J143" i="37"/>
  <c r="G144" i="37"/>
  <c r="F144" i="37"/>
  <c r="E144" i="37"/>
  <c r="D144" i="37"/>
  <c r="G143" i="37"/>
  <c r="F143" i="37"/>
  <c r="E143" i="37"/>
  <c r="L143" i="37"/>
  <c r="K143" i="37"/>
  <c r="G142" i="37"/>
  <c r="D143" i="37"/>
  <c r="L142" i="37"/>
  <c r="I143" i="37"/>
  <c r="H143" i="37"/>
  <c r="D142" i="37"/>
  <c r="K142" i="37"/>
  <c r="J142" i="37"/>
  <c r="I142" i="37"/>
  <c r="H142" i="37"/>
  <c r="K141" i="37"/>
  <c r="J141" i="37"/>
  <c r="I141" i="37"/>
  <c r="F142" i="37"/>
  <c r="E142" i="37"/>
  <c r="G141" i="37"/>
  <c r="F141" i="37"/>
  <c r="E141" i="37"/>
  <c r="D141" i="37"/>
  <c r="L141" i="37"/>
  <c r="G140" i="37"/>
  <c r="F140" i="37"/>
  <c r="L140" i="37"/>
  <c r="K140" i="37"/>
  <c r="H141" i="37"/>
  <c r="E140" i="37"/>
  <c r="D140" i="37"/>
  <c r="J140" i="37"/>
  <c r="I140" i="37"/>
  <c r="H140" i="37"/>
  <c r="L139" i="37"/>
  <c r="K139" i="37"/>
  <c r="J139" i="37"/>
  <c r="I139" i="37"/>
  <c r="H139" i="37"/>
  <c r="J138" i="37"/>
  <c r="G139" i="37"/>
  <c r="F139" i="37"/>
  <c r="E139" i="37"/>
  <c r="D139" i="37"/>
  <c r="G138" i="37"/>
  <c r="F138" i="37"/>
  <c r="E138" i="37"/>
  <c r="L138" i="37"/>
  <c r="K138" i="37"/>
  <c r="G137" i="37"/>
  <c r="D138" i="37"/>
  <c r="L137" i="37"/>
  <c r="I138" i="37"/>
  <c r="H138" i="37"/>
  <c r="D137" i="37"/>
  <c r="K137" i="37"/>
  <c r="J137" i="37"/>
  <c r="I137" i="37"/>
  <c r="H137" i="37"/>
  <c r="K136" i="37"/>
  <c r="J136" i="37"/>
  <c r="I136" i="37"/>
  <c r="F137" i="37"/>
  <c r="E137" i="37"/>
  <c r="G136" i="37"/>
  <c r="F136" i="37"/>
  <c r="E136" i="37"/>
  <c r="D136" i="37"/>
  <c r="L136" i="37"/>
  <c r="G135" i="37"/>
  <c r="F135" i="37"/>
  <c r="L135" i="37"/>
  <c r="K135" i="37"/>
  <c r="H136" i="37"/>
  <c r="E135" i="37"/>
  <c r="D135" i="37"/>
  <c r="J135" i="37"/>
  <c r="I135" i="37"/>
  <c r="H135" i="37"/>
  <c r="L134" i="37"/>
  <c r="K134" i="37"/>
  <c r="J134" i="37"/>
  <c r="I134" i="37"/>
  <c r="H134" i="37"/>
  <c r="H129" i="37"/>
  <c r="G134" i="37"/>
  <c r="F134" i="37"/>
  <c r="E134" i="37"/>
  <c r="D134" i="37"/>
  <c r="D129" i="37"/>
  <c r="L129" i="37"/>
  <c r="K129" i="37"/>
  <c r="J129" i="37"/>
  <c r="I129" i="37"/>
  <c r="J126" i="37"/>
  <c r="I126" i="37"/>
  <c r="G129" i="37"/>
  <c r="F129" i="37"/>
  <c r="E129" i="37"/>
  <c r="F126" i="37"/>
  <c r="E126" i="37"/>
  <c r="D126" i="37"/>
  <c r="L126" i="37"/>
  <c r="K126" i="37"/>
  <c r="J124" i="37"/>
  <c r="I124" i="37"/>
  <c r="H124" i="37"/>
  <c r="H126" i="37"/>
  <c r="G126" i="37"/>
  <c r="F124" i="37"/>
  <c r="E124" i="37"/>
  <c r="D124" i="37"/>
  <c r="L124" i="37"/>
  <c r="K124" i="37"/>
  <c r="L121" i="37"/>
  <c r="K121" i="37"/>
  <c r="J121" i="37"/>
  <c r="I121" i="37"/>
  <c r="G124" i="37"/>
  <c r="H121" i="37"/>
  <c r="G121" i="37"/>
  <c r="F121" i="37"/>
  <c r="E121" i="37"/>
  <c r="D121" i="37"/>
  <c r="H120" i="37"/>
  <c r="G120" i="37"/>
  <c r="F120" i="37"/>
  <c r="L120" i="37"/>
  <c r="K120" i="37"/>
  <c r="H119" i="37"/>
  <c r="E120" i="37"/>
  <c r="D120" i="37"/>
  <c r="J120" i="37"/>
  <c r="I120" i="37"/>
  <c r="D119" i="37"/>
  <c r="L119" i="37"/>
  <c r="K119" i="37"/>
  <c r="J119" i="37"/>
  <c r="I119" i="37"/>
  <c r="K118" i="37"/>
  <c r="J118" i="37"/>
  <c r="G119" i="37"/>
  <c r="F119" i="37"/>
  <c r="E119" i="37"/>
  <c r="H118" i="37"/>
  <c r="G118" i="37"/>
  <c r="F118" i="37"/>
  <c r="E118" i="37"/>
  <c r="L118" i="37"/>
  <c r="H117" i="37"/>
  <c r="G117" i="37"/>
  <c r="D118" i="37"/>
  <c r="L117" i="37"/>
  <c r="I118" i="37"/>
  <c r="E117" i="37"/>
  <c r="D117" i="37"/>
  <c r="K117" i="37"/>
  <c r="J117" i="37"/>
  <c r="I117" i="37"/>
  <c r="L116" i="37"/>
  <c r="K116" i="37"/>
  <c r="J116" i="37"/>
  <c r="I116" i="37"/>
  <c r="F117" i="37"/>
  <c r="H116" i="37"/>
  <c r="G116" i="37"/>
  <c r="F116" i="37"/>
  <c r="E116" i="37"/>
  <c r="D116" i="37"/>
  <c r="H115" i="37"/>
  <c r="G115" i="37"/>
  <c r="F115" i="37"/>
  <c r="L115" i="37"/>
  <c r="K115" i="37"/>
  <c r="H114" i="37"/>
  <c r="E115" i="37"/>
  <c r="D115" i="37"/>
  <c r="J115" i="37"/>
  <c r="I115" i="37"/>
  <c r="D114" i="37"/>
  <c r="L114" i="37"/>
  <c r="K114" i="37"/>
  <c r="J114" i="37"/>
  <c r="I114" i="37"/>
  <c r="K113" i="37"/>
  <c r="J113" i="37"/>
  <c r="G114" i="37"/>
  <c r="F114" i="37"/>
  <c r="E114" i="37"/>
  <c r="H113" i="37"/>
  <c r="G113" i="37"/>
  <c r="F113" i="37"/>
  <c r="E113" i="37"/>
  <c r="L113" i="37"/>
  <c r="H112" i="37"/>
  <c r="G112" i="37"/>
  <c r="D113" i="37"/>
  <c r="L112" i="37"/>
  <c r="I113" i="37"/>
  <c r="E112" i="37"/>
  <c r="D112" i="37"/>
  <c r="K112" i="37"/>
  <c r="J112" i="37"/>
  <c r="I112" i="37"/>
  <c r="L111" i="37"/>
  <c r="K111" i="37"/>
  <c r="J111" i="37"/>
  <c r="I111" i="37"/>
  <c r="F112" i="37"/>
  <c r="H111" i="37"/>
  <c r="G111" i="37"/>
  <c r="F111" i="37"/>
  <c r="E111" i="37"/>
  <c r="D111" i="37"/>
  <c r="H110" i="37"/>
  <c r="G110" i="37"/>
  <c r="F110" i="37"/>
  <c r="L110" i="37"/>
  <c r="K110" i="37"/>
  <c r="H109" i="37"/>
  <c r="E110" i="37"/>
  <c r="D110" i="37"/>
  <c r="J110" i="37"/>
  <c r="I110" i="37"/>
  <c r="D109" i="37"/>
  <c r="L109" i="37"/>
  <c r="K109" i="37"/>
  <c r="J109" i="37"/>
  <c r="I109" i="37"/>
  <c r="K108" i="37"/>
  <c r="J108" i="37"/>
  <c r="G109" i="37"/>
  <c r="F109" i="37"/>
  <c r="E109" i="37"/>
  <c r="H108" i="37"/>
  <c r="G108" i="37"/>
  <c r="F108" i="37"/>
  <c r="E108" i="37"/>
  <c r="L108" i="37"/>
  <c r="H107" i="37"/>
  <c r="G107" i="37"/>
  <c r="D108" i="37"/>
  <c r="L107" i="37"/>
  <c r="I108" i="37"/>
  <c r="E107" i="37"/>
  <c r="D107" i="37"/>
  <c r="K107" i="37"/>
  <c r="J107" i="37"/>
  <c r="I107" i="37"/>
  <c r="L106" i="37"/>
  <c r="K106" i="37"/>
  <c r="J106" i="37"/>
  <c r="I106" i="37"/>
  <c r="F107" i="37"/>
  <c r="H106" i="37"/>
  <c r="G106" i="37"/>
  <c r="F106" i="37"/>
  <c r="E106" i="37"/>
  <c r="D106" i="37"/>
  <c r="H105" i="37"/>
  <c r="G105" i="37"/>
  <c r="F105" i="37"/>
  <c r="L105" i="37"/>
  <c r="K105" i="37"/>
  <c r="H104" i="37"/>
  <c r="E105" i="37"/>
  <c r="D105" i="37"/>
  <c r="J105" i="37"/>
  <c r="I105" i="37"/>
  <c r="D104" i="37"/>
  <c r="L104" i="37"/>
  <c r="K104" i="37"/>
  <c r="J104" i="37"/>
  <c r="I104" i="37"/>
  <c r="K103" i="37"/>
  <c r="J103" i="37"/>
  <c r="G104" i="37"/>
  <c r="F104" i="37"/>
  <c r="E104" i="37"/>
  <c r="H103" i="37"/>
  <c r="G103" i="37"/>
  <c r="F103" i="37"/>
  <c r="E103" i="37"/>
  <c r="L103" i="37"/>
  <c r="H102" i="37"/>
  <c r="G102" i="37"/>
  <c r="D103" i="37"/>
  <c r="L102" i="37"/>
  <c r="I103" i="37"/>
  <c r="E102" i="37"/>
  <c r="D102" i="37"/>
  <c r="K102" i="37"/>
  <c r="J102" i="37"/>
  <c r="I102" i="37"/>
  <c r="L101" i="37"/>
  <c r="K101" i="37"/>
  <c r="J101" i="37"/>
  <c r="I101" i="37"/>
  <c r="F102" i="37"/>
  <c r="H101" i="37"/>
  <c r="G101" i="37"/>
  <c r="F101" i="37"/>
  <c r="E101" i="37"/>
  <c r="D101" i="37"/>
  <c r="H100" i="37"/>
  <c r="G100" i="37"/>
  <c r="F100" i="37"/>
  <c r="L100" i="37"/>
  <c r="K100" i="37"/>
  <c r="H99" i="37"/>
  <c r="E100" i="37"/>
  <c r="D100" i="37"/>
  <c r="J100" i="37"/>
  <c r="I100" i="37"/>
  <c r="D99" i="37"/>
  <c r="L99" i="37"/>
  <c r="K99" i="37"/>
  <c r="J99" i="37"/>
  <c r="I99" i="37"/>
  <c r="K98" i="37"/>
  <c r="J98" i="37"/>
  <c r="G99" i="37"/>
  <c r="F99" i="37"/>
  <c r="E99" i="37"/>
  <c r="H98" i="37"/>
  <c r="G98" i="37"/>
  <c r="F98" i="37"/>
  <c r="E98" i="37"/>
  <c r="L98" i="37"/>
  <c r="H97" i="37"/>
  <c r="G97" i="37"/>
  <c r="D98" i="37"/>
  <c r="L97" i="37"/>
  <c r="I98" i="37"/>
  <c r="E97" i="37"/>
  <c r="D97" i="37"/>
  <c r="K97" i="37"/>
  <c r="J97" i="37"/>
  <c r="I97" i="37"/>
  <c r="L96" i="37"/>
  <c r="K96" i="37"/>
  <c r="J96" i="37"/>
  <c r="I96" i="37"/>
  <c r="F97" i="37"/>
  <c r="H96" i="37"/>
  <c r="G96" i="37"/>
  <c r="F96" i="37"/>
  <c r="E96" i="37"/>
  <c r="D96" i="37"/>
  <c r="L94" i="37"/>
  <c r="K94" i="37"/>
  <c r="J94" i="37"/>
  <c r="I94" i="37"/>
  <c r="H94" i="37"/>
  <c r="J93" i="37"/>
  <c r="G94" i="37"/>
  <c r="F94" i="37"/>
  <c r="E94" i="37"/>
  <c r="D94" i="37"/>
  <c r="G93" i="37"/>
  <c r="F93" i="37"/>
  <c r="E93" i="37"/>
  <c r="L93" i="37"/>
  <c r="K93" i="37"/>
  <c r="G92" i="37"/>
  <c r="D93" i="37"/>
  <c r="L92" i="37"/>
  <c r="I93" i="37"/>
  <c r="H93" i="37"/>
  <c r="D92" i="37"/>
  <c r="K92" i="37"/>
  <c r="J92" i="37"/>
  <c r="I92" i="37"/>
  <c r="H92" i="37"/>
  <c r="K91" i="37"/>
  <c r="J91" i="37"/>
  <c r="I91" i="37"/>
  <c r="F92" i="37"/>
  <c r="E92" i="37"/>
  <c r="G91" i="37"/>
  <c r="F91" i="37"/>
  <c r="E91" i="37"/>
  <c r="D91" i="37"/>
  <c r="L91" i="37"/>
  <c r="G90" i="37"/>
  <c r="F90" i="37"/>
  <c r="L90" i="37"/>
  <c r="K90" i="37"/>
  <c r="H91" i="37"/>
  <c r="E90" i="37"/>
  <c r="D90" i="37"/>
  <c r="J90" i="37"/>
  <c r="I90" i="37"/>
  <c r="H90" i="37"/>
  <c r="L89" i="37"/>
  <c r="K89" i="37"/>
  <c r="J89" i="37"/>
  <c r="I89" i="37"/>
  <c r="H89" i="37"/>
  <c r="J88" i="37"/>
  <c r="G89" i="37"/>
  <c r="F89" i="37"/>
  <c r="E89" i="37"/>
  <c r="D89" i="37"/>
  <c r="G88" i="37"/>
  <c r="F88" i="37"/>
  <c r="E88" i="37"/>
  <c r="L88" i="37"/>
  <c r="K88" i="37"/>
  <c r="G87" i="37"/>
  <c r="D88" i="37"/>
  <c r="L87" i="37"/>
  <c r="I88" i="37"/>
  <c r="H88" i="37"/>
  <c r="D87" i="37"/>
  <c r="K87" i="37"/>
  <c r="J87" i="37"/>
  <c r="I87" i="37"/>
  <c r="H87" i="37"/>
  <c r="K86" i="37"/>
  <c r="J86" i="37"/>
  <c r="I86" i="37"/>
  <c r="F87" i="37"/>
  <c r="E87" i="37"/>
  <c r="G86" i="37"/>
  <c r="F86" i="37"/>
  <c r="E86" i="37"/>
  <c r="D86" i="37"/>
  <c r="L86" i="37"/>
  <c r="G85" i="37"/>
  <c r="F85" i="37"/>
  <c r="L85" i="37"/>
  <c r="K85" i="37"/>
  <c r="H86" i="37"/>
  <c r="E85" i="37"/>
  <c r="D85" i="37"/>
  <c r="J85" i="37"/>
  <c r="I85" i="37"/>
  <c r="H85" i="37"/>
  <c r="L84" i="37"/>
  <c r="K84" i="37"/>
  <c r="J84" i="37"/>
  <c r="I84" i="37"/>
  <c r="H84" i="37"/>
  <c r="J83" i="37"/>
  <c r="G84" i="37"/>
  <c r="F84" i="37"/>
  <c r="E84" i="37"/>
  <c r="D84" i="37"/>
  <c r="G83" i="37"/>
  <c r="F83" i="37"/>
  <c r="E83" i="37"/>
  <c r="L83" i="37"/>
  <c r="K83" i="37"/>
  <c r="G82" i="37"/>
  <c r="D83" i="37"/>
  <c r="L82" i="37"/>
  <c r="I83" i="37"/>
  <c r="H83" i="37"/>
  <c r="D82" i="37"/>
  <c r="K82" i="37"/>
  <c r="J82" i="37"/>
  <c r="I82" i="37"/>
  <c r="H82" i="37"/>
  <c r="K81" i="37"/>
  <c r="J81" i="37"/>
  <c r="I81" i="37"/>
  <c r="F82" i="37"/>
  <c r="E82" i="37"/>
  <c r="G81" i="37"/>
  <c r="F81" i="37"/>
  <c r="E81" i="37"/>
  <c r="D81" i="37"/>
  <c r="L81" i="37"/>
  <c r="G80" i="37"/>
  <c r="F80" i="37"/>
  <c r="L80" i="37"/>
  <c r="K80" i="37"/>
  <c r="H81" i="37"/>
  <c r="E80" i="37"/>
  <c r="D80" i="37"/>
  <c r="J80" i="37"/>
  <c r="I80" i="37"/>
  <c r="H80" i="37"/>
  <c r="L79" i="37"/>
  <c r="K79" i="37"/>
  <c r="J79" i="37"/>
  <c r="I79" i="37"/>
  <c r="H79" i="37"/>
  <c r="J78" i="37"/>
  <c r="G79" i="37"/>
  <c r="F79" i="37"/>
  <c r="E79" i="37"/>
  <c r="D79" i="37"/>
  <c r="G78" i="37"/>
  <c r="F78" i="37"/>
  <c r="E78" i="37"/>
  <c r="L78" i="37"/>
  <c r="K78" i="37"/>
  <c r="G77" i="37"/>
  <c r="D78" i="37"/>
  <c r="L77" i="37"/>
  <c r="I78" i="37"/>
  <c r="H78" i="37"/>
  <c r="D77" i="37"/>
  <c r="K77" i="37"/>
  <c r="J77" i="37"/>
  <c r="I77" i="37"/>
  <c r="H77" i="37"/>
  <c r="K76" i="37"/>
  <c r="J76" i="37"/>
  <c r="I76" i="37"/>
  <c r="F77" i="37"/>
  <c r="E77" i="37"/>
  <c r="G76" i="37"/>
  <c r="F76" i="37"/>
  <c r="E76" i="37"/>
  <c r="D76" i="37"/>
  <c r="L76" i="37"/>
  <c r="G75" i="37"/>
  <c r="F75" i="37"/>
  <c r="L75" i="37"/>
  <c r="K75" i="37"/>
  <c r="H76" i="37"/>
  <c r="E75" i="37"/>
  <c r="D75" i="37"/>
  <c r="J75" i="37"/>
  <c r="I75" i="37"/>
  <c r="H75" i="37"/>
  <c r="L74" i="37"/>
  <c r="K74" i="37"/>
  <c r="J74" i="37"/>
  <c r="I74" i="37"/>
  <c r="H74" i="37"/>
  <c r="I71" i="37"/>
  <c r="G74" i="37"/>
  <c r="F74" i="37"/>
  <c r="E74" i="37"/>
  <c r="D74" i="37"/>
  <c r="E71" i="37"/>
  <c r="D71" i="37"/>
  <c r="L71" i="37"/>
  <c r="K71" i="37"/>
  <c r="J71" i="37"/>
  <c r="L70" i="37"/>
  <c r="K70" i="37"/>
  <c r="H71" i="37"/>
  <c r="G71" i="37"/>
  <c r="F71" i="37"/>
  <c r="J70" i="37"/>
  <c r="I70" i="37"/>
  <c r="H70" i="37"/>
  <c r="G70" i="37"/>
  <c r="F70" i="37"/>
  <c r="J69" i="37"/>
  <c r="I69" i="37"/>
  <c r="H69" i="37"/>
  <c r="E70" i="37"/>
  <c r="D70" i="37"/>
  <c r="F69" i="37"/>
  <c r="E69" i="37"/>
  <c r="D69" i="37"/>
  <c r="L69" i="37"/>
  <c r="K69" i="37"/>
  <c r="I67" i="37"/>
  <c r="H67" i="37"/>
  <c r="G67" i="37"/>
  <c r="L67" i="37"/>
  <c r="G69" i="37"/>
  <c r="F67" i="37"/>
  <c r="E67" i="37"/>
  <c r="D67" i="37"/>
  <c r="K67" i="37"/>
  <c r="J67" i="37"/>
  <c r="L64" i="37"/>
  <c r="K64" i="37"/>
  <c r="J64" i="37"/>
  <c r="I64" i="37"/>
  <c r="H64" i="37"/>
  <c r="J63" i="37"/>
  <c r="G64" i="37"/>
  <c r="F64" i="37"/>
  <c r="E64" i="37"/>
  <c r="D64" i="37"/>
  <c r="G63" i="37"/>
  <c r="F63" i="37"/>
  <c r="E63" i="37"/>
  <c r="L63" i="37"/>
  <c r="K63" i="37"/>
  <c r="G62" i="37"/>
  <c r="D63" i="37"/>
  <c r="L62" i="37"/>
  <c r="I63" i="37"/>
  <c r="H63" i="37"/>
  <c r="D62" i="37"/>
  <c r="K62" i="37"/>
  <c r="J62" i="37"/>
  <c r="I62" i="37"/>
  <c r="H62" i="37"/>
  <c r="F60" i="37"/>
  <c r="L60" i="37"/>
  <c r="K60" i="37"/>
  <c r="F62" i="37"/>
  <c r="E62" i="37"/>
  <c r="D60" i="37"/>
  <c r="J60" i="37"/>
  <c r="I60" i="37"/>
  <c r="H60" i="37"/>
  <c r="G60" i="37"/>
  <c r="K59" i="37"/>
  <c r="J59" i="37"/>
  <c r="I59" i="37"/>
  <c r="H59" i="37"/>
  <c r="E60" i="37"/>
  <c r="G59" i="37"/>
  <c r="F59" i="37"/>
  <c r="E59" i="37"/>
  <c r="D59" i="37"/>
  <c r="L59" i="37"/>
  <c r="J57" i="37"/>
  <c r="I57" i="37"/>
  <c r="H57" i="37"/>
  <c r="G57" i="37"/>
  <c r="L57" i="37"/>
  <c r="I56" i="37"/>
  <c r="F57" i="37"/>
  <c r="E57" i="37"/>
  <c r="D57" i="37"/>
  <c r="K57" i="37"/>
  <c r="E56" i="37"/>
  <c r="D56" i="37"/>
  <c r="L56" i="37"/>
  <c r="K56" i="37"/>
  <c r="J56" i="37"/>
  <c r="L55" i="37"/>
  <c r="K55" i="37"/>
  <c r="H56" i="37"/>
  <c r="G56" i="37"/>
  <c r="F56" i="37"/>
  <c r="J55" i="37"/>
  <c r="I55" i="37"/>
  <c r="H55" i="37"/>
  <c r="G55" i="37"/>
  <c r="F55" i="37"/>
  <c r="J54" i="37"/>
  <c r="I54" i="37"/>
  <c r="H54" i="37"/>
  <c r="E55" i="37"/>
  <c r="D55" i="37"/>
  <c r="F54" i="37"/>
  <c r="E54" i="37"/>
  <c r="D54" i="37"/>
  <c r="L54" i="37"/>
  <c r="K54" i="37"/>
  <c r="E53" i="37"/>
  <c r="L53" i="37"/>
  <c r="K53" i="37"/>
  <c r="J53" i="37"/>
  <c r="G54" i="37"/>
  <c r="L52" i="37"/>
  <c r="I53" i="37"/>
  <c r="H53" i="37"/>
  <c r="G53" i="37"/>
  <c r="F53" i="37"/>
  <c r="J52" i="37"/>
  <c r="I52" i="37"/>
  <c r="H52" i="37"/>
  <c r="G52" i="37"/>
  <c r="D53" i="37"/>
  <c r="I51" i="37"/>
  <c r="F52" i="37"/>
  <c r="E52" i="37"/>
  <c r="D52" i="37"/>
  <c r="K52" i="37"/>
  <c r="E51" i="37"/>
  <c r="D51" i="37"/>
  <c r="L51" i="37"/>
  <c r="K51" i="37"/>
  <c r="J51" i="37"/>
  <c r="L50" i="37"/>
  <c r="K50" i="37"/>
  <c r="H51" i="37"/>
  <c r="G51" i="37"/>
  <c r="F51" i="37"/>
  <c r="J50" i="37"/>
  <c r="I50" i="37"/>
  <c r="H50" i="37"/>
  <c r="G50" i="37"/>
  <c r="F50" i="37"/>
  <c r="J49" i="37"/>
  <c r="I49" i="37"/>
  <c r="H49" i="37"/>
  <c r="E50" i="37"/>
  <c r="D50" i="37"/>
  <c r="F49" i="37"/>
  <c r="E49" i="37"/>
  <c r="D49" i="37"/>
  <c r="L49" i="37"/>
  <c r="K49" i="37"/>
  <c r="E48" i="37"/>
  <c r="L48" i="37"/>
  <c r="K48" i="37"/>
  <c r="J48" i="37"/>
  <c r="G49" i="37"/>
  <c r="L47" i="37"/>
  <c r="I48" i="37"/>
  <c r="H48" i="37"/>
  <c r="G48" i="37"/>
  <c r="F48" i="37"/>
  <c r="J47" i="37"/>
  <c r="I47" i="37"/>
  <c r="H47" i="37"/>
  <c r="G47" i="37"/>
  <c r="D48" i="37"/>
  <c r="I46" i="37"/>
  <c r="F47" i="37"/>
  <c r="E47" i="37"/>
  <c r="D47" i="37"/>
  <c r="K47" i="37"/>
  <c r="E46" i="37"/>
  <c r="D46" i="37"/>
  <c r="L46" i="37"/>
  <c r="K46" i="37"/>
  <c r="J46" i="37"/>
  <c r="L45" i="37"/>
  <c r="K45" i="37"/>
  <c r="H46" i="37"/>
  <c r="G46" i="37"/>
  <c r="F46" i="37"/>
  <c r="J45" i="37"/>
  <c r="I45" i="37"/>
  <c r="H45" i="37"/>
  <c r="G45" i="37"/>
  <c r="F45" i="37"/>
  <c r="J44" i="37"/>
  <c r="I44" i="37"/>
  <c r="H44" i="37"/>
  <c r="E45" i="37"/>
  <c r="D45" i="37"/>
  <c r="F44" i="37"/>
  <c r="E44" i="37"/>
  <c r="D44" i="37"/>
  <c r="L44" i="37"/>
  <c r="K44" i="37"/>
  <c r="E43" i="37"/>
  <c r="L43" i="37"/>
  <c r="K43" i="37"/>
  <c r="J43" i="37"/>
  <c r="G44" i="37"/>
  <c r="L42" i="37"/>
  <c r="I43" i="37"/>
  <c r="H43" i="37"/>
  <c r="G43" i="37"/>
  <c r="F43" i="37"/>
  <c r="J42" i="37"/>
  <c r="I42" i="37"/>
  <c r="H42" i="37"/>
  <c r="G42" i="37"/>
  <c r="D43" i="37"/>
  <c r="I41" i="37"/>
  <c r="F42" i="37"/>
  <c r="E42" i="37"/>
  <c r="D42" i="37"/>
  <c r="K42" i="37"/>
  <c r="E41" i="37"/>
  <c r="D41" i="37"/>
  <c r="L41" i="37"/>
  <c r="K41" i="37"/>
  <c r="J41" i="37"/>
  <c r="L40" i="37"/>
  <c r="K40" i="37"/>
  <c r="H41" i="37"/>
  <c r="G41" i="37"/>
  <c r="F41" i="37"/>
  <c r="J40" i="37"/>
  <c r="I40" i="37"/>
  <c r="H40" i="37"/>
  <c r="G40" i="37"/>
  <c r="F40" i="37"/>
  <c r="J39" i="37"/>
  <c r="I39" i="37"/>
  <c r="H39" i="37"/>
  <c r="E40" i="37"/>
  <c r="D40" i="37"/>
  <c r="F39" i="37"/>
  <c r="E39" i="37"/>
  <c r="D39" i="37"/>
  <c r="L39" i="37"/>
  <c r="K39" i="37"/>
  <c r="E38" i="37"/>
  <c r="L38" i="37"/>
  <c r="K38" i="37"/>
  <c r="J38" i="37"/>
  <c r="G39" i="37"/>
  <c r="L37" i="37"/>
  <c r="I38" i="37"/>
  <c r="H38" i="37"/>
  <c r="G38" i="37"/>
  <c r="F38" i="37"/>
  <c r="J37" i="37"/>
  <c r="I37" i="37"/>
  <c r="H37" i="37"/>
  <c r="G37" i="37"/>
  <c r="D38" i="37"/>
  <c r="I36" i="37"/>
  <c r="F37" i="37"/>
  <c r="E37" i="37"/>
  <c r="D37" i="37"/>
  <c r="K37" i="37"/>
  <c r="E36" i="37"/>
  <c r="D36" i="37"/>
  <c r="L36" i="37"/>
  <c r="K36" i="37"/>
  <c r="J36" i="37"/>
  <c r="L35" i="37"/>
  <c r="K35" i="37"/>
  <c r="H36" i="37"/>
  <c r="G36" i="37"/>
  <c r="F36" i="37"/>
  <c r="J35" i="37"/>
  <c r="I35" i="37"/>
  <c r="H35" i="37"/>
  <c r="G35" i="37"/>
  <c r="F35" i="37"/>
  <c r="J34" i="37"/>
  <c r="I34" i="37"/>
  <c r="H34" i="37"/>
  <c r="E35" i="37"/>
  <c r="D35" i="37"/>
  <c r="F34" i="37"/>
  <c r="E34" i="37"/>
  <c r="D34" i="37"/>
  <c r="L34" i="37"/>
  <c r="K34" i="37"/>
  <c r="E33" i="37"/>
  <c r="L33" i="37"/>
  <c r="K33" i="37"/>
  <c r="J33" i="37"/>
  <c r="G34" i="37"/>
  <c r="L32" i="37"/>
  <c r="I33" i="37"/>
  <c r="H33" i="37"/>
  <c r="G33" i="37"/>
  <c r="F33" i="37"/>
  <c r="J32" i="37"/>
  <c r="I32" i="37"/>
  <c r="H32" i="37"/>
  <c r="G32" i="37"/>
  <c r="D33" i="37"/>
  <c r="I31" i="37"/>
  <c r="F32" i="37"/>
  <c r="E32" i="37"/>
  <c r="D32" i="37"/>
  <c r="K32" i="37"/>
  <c r="E31" i="37"/>
  <c r="D31" i="37"/>
  <c r="L31" i="37"/>
  <c r="K31" i="37"/>
  <c r="J31" i="37"/>
  <c r="L30" i="37"/>
  <c r="K30" i="37"/>
  <c r="H31" i="37"/>
  <c r="G31" i="37"/>
  <c r="F31" i="37"/>
  <c r="J30" i="37"/>
  <c r="I30" i="37"/>
  <c r="H30" i="37"/>
  <c r="G30" i="37"/>
  <c r="F30" i="37"/>
  <c r="J29" i="37"/>
  <c r="I29" i="37"/>
  <c r="H29" i="37"/>
  <c r="E30" i="37"/>
  <c r="D30" i="37"/>
  <c r="F29" i="37"/>
  <c r="E29" i="37"/>
  <c r="D29" i="37"/>
  <c r="L29" i="37"/>
  <c r="K29" i="37"/>
  <c r="E28" i="37"/>
  <c r="L28" i="37"/>
  <c r="K28" i="37"/>
  <c r="J28" i="37"/>
  <c r="G29" i="37"/>
  <c r="L27" i="37"/>
  <c r="I28" i="37"/>
  <c r="H28" i="37"/>
  <c r="G28" i="37"/>
  <c r="F28" i="37"/>
  <c r="J27" i="37"/>
  <c r="I27" i="37"/>
  <c r="H27" i="37"/>
  <c r="G27" i="37"/>
  <c r="D28" i="37"/>
  <c r="I26" i="37"/>
  <c r="F27" i="37"/>
  <c r="E27" i="37"/>
  <c r="D27" i="37"/>
  <c r="K27" i="37"/>
  <c r="E26" i="37"/>
  <c r="D26" i="37"/>
  <c r="L26" i="37"/>
  <c r="K26" i="37"/>
  <c r="J26" i="37"/>
  <c r="L25" i="37"/>
  <c r="K25" i="37"/>
  <c r="H26" i="37"/>
  <c r="G26" i="37"/>
  <c r="F26" i="37"/>
  <c r="J25" i="37"/>
  <c r="I25" i="37"/>
  <c r="H25" i="37"/>
  <c r="G25" i="37"/>
  <c r="F25" i="37"/>
  <c r="J24" i="37"/>
  <c r="I24" i="37"/>
  <c r="H24" i="37"/>
  <c r="E25" i="37"/>
  <c r="D25" i="37"/>
  <c r="F24" i="37"/>
  <c r="E24" i="37"/>
  <c r="D24" i="37"/>
  <c r="L24" i="37"/>
  <c r="K24" i="37"/>
  <c r="E23" i="37"/>
  <c r="L23" i="37"/>
  <c r="K23" i="37"/>
  <c r="J23" i="37"/>
  <c r="G24" i="37"/>
  <c r="L22" i="37"/>
  <c r="I23" i="37"/>
  <c r="H23" i="37"/>
  <c r="G23" i="37"/>
  <c r="F23" i="37"/>
  <c r="J22" i="37"/>
  <c r="I22" i="37"/>
  <c r="H22" i="37"/>
  <c r="G22" i="37"/>
  <c r="D23" i="37"/>
  <c r="I21" i="37"/>
  <c r="F22" i="37"/>
  <c r="E22" i="37"/>
  <c r="D22" i="37"/>
  <c r="K22" i="37"/>
  <c r="E21" i="37"/>
  <c r="D21" i="37"/>
  <c r="L21" i="37"/>
  <c r="K21" i="37"/>
  <c r="J21" i="37"/>
  <c r="L20" i="37"/>
  <c r="K20" i="37"/>
  <c r="H21" i="37"/>
  <c r="G21" i="37"/>
  <c r="F21" i="37"/>
  <c r="J20" i="37"/>
  <c r="I20" i="37"/>
  <c r="H20" i="37"/>
  <c r="G20" i="37"/>
  <c r="F20" i="37"/>
  <c r="J19" i="37"/>
  <c r="I19" i="37"/>
  <c r="H19" i="37"/>
  <c r="E20" i="37"/>
  <c r="D20" i="37"/>
  <c r="F19" i="37"/>
  <c r="E19" i="37"/>
  <c r="D19" i="37"/>
  <c r="L19" i="37"/>
  <c r="K19" i="37"/>
  <c r="E18" i="37"/>
  <c r="L18" i="37"/>
  <c r="K18" i="37"/>
  <c r="J18" i="37"/>
  <c r="G19" i="37"/>
  <c r="L17" i="37"/>
  <c r="I18" i="37"/>
  <c r="H18" i="37"/>
  <c r="G18" i="37"/>
  <c r="F18" i="37"/>
  <c r="J17" i="37"/>
  <c r="I17" i="37"/>
  <c r="H17" i="37"/>
  <c r="G17" i="37"/>
  <c r="D18" i="37"/>
  <c r="I16" i="37"/>
  <c r="F17" i="37"/>
  <c r="E17" i="37"/>
  <c r="D17" i="37"/>
  <c r="K17" i="37"/>
  <c r="E16" i="37"/>
  <c r="D16" i="37"/>
  <c r="L16" i="37"/>
  <c r="K16" i="37"/>
  <c r="J16" i="37"/>
  <c r="L15" i="37"/>
  <c r="K15" i="37"/>
  <c r="H16" i="37"/>
  <c r="G16" i="37"/>
  <c r="F16" i="37"/>
  <c r="J15" i="37"/>
  <c r="I15" i="37"/>
  <c r="H15" i="37"/>
  <c r="G15" i="37"/>
  <c r="F15" i="37"/>
  <c r="J14" i="37"/>
  <c r="I14" i="37"/>
  <c r="H14" i="37"/>
  <c r="E15" i="37"/>
  <c r="D15" i="37"/>
  <c r="F14" i="37"/>
  <c r="E14" i="37"/>
  <c r="D14" i="37"/>
  <c r="L14" i="37"/>
  <c r="K14" i="37"/>
  <c r="E13" i="37"/>
  <c r="L13" i="37"/>
  <c r="K13" i="37"/>
  <c r="J13" i="37"/>
  <c r="G14" i="37"/>
  <c r="L12" i="37"/>
  <c r="I13" i="37"/>
  <c r="H13" i="37"/>
  <c r="G13" i="37"/>
  <c r="F13" i="37"/>
  <c r="J12" i="37"/>
  <c r="I12" i="37"/>
  <c r="H12" i="37"/>
  <c r="G12" i="37"/>
  <c r="D13" i="37"/>
  <c r="I11" i="37"/>
  <c r="F12" i="37"/>
  <c r="E12" i="37"/>
  <c r="D12" i="37"/>
  <c r="K12" i="37"/>
  <c r="E11" i="37"/>
  <c r="D11" i="37"/>
  <c r="L11" i="37"/>
  <c r="K11" i="37"/>
  <c r="J11" i="37"/>
  <c r="L10" i="37"/>
  <c r="K10" i="37"/>
  <c r="H11" i="37"/>
  <c r="G11" i="37"/>
  <c r="F11" i="37"/>
  <c r="J10" i="37"/>
  <c r="I10" i="37"/>
  <c r="H10" i="37"/>
  <c r="G10" i="37"/>
  <c r="F10" i="37"/>
  <c r="J9" i="37"/>
  <c r="I9" i="37"/>
  <c r="H9" i="37"/>
  <c r="E10" i="37"/>
  <c r="D10" i="37"/>
  <c r="F9" i="37"/>
  <c r="E9" i="37"/>
  <c r="D9" i="37"/>
  <c r="L9" i="37"/>
  <c r="K9" i="37"/>
  <c r="E8" i="37"/>
  <c r="L8" i="37"/>
  <c r="K8" i="37"/>
  <c r="J8" i="37"/>
  <c r="G9" i="37"/>
  <c r="L7" i="37"/>
  <c r="I8" i="37"/>
  <c r="H8" i="37"/>
  <c r="G8" i="37"/>
  <c r="F8" i="37"/>
  <c r="J7" i="37"/>
  <c r="I7" i="37"/>
  <c r="H7" i="37"/>
  <c r="G7" i="37"/>
  <c r="D8" i="37"/>
  <c r="I6" i="37"/>
  <c r="F7" i="37"/>
  <c r="E7" i="37"/>
  <c r="D7" i="37"/>
  <c r="K7" i="37"/>
  <c r="E6" i="37"/>
  <c r="D6" i="37"/>
  <c r="L6" i="37"/>
  <c r="K6" i="37"/>
  <c r="J6" i="37"/>
  <c r="L5" i="37"/>
  <c r="K5" i="37"/>
  <c r="H6" i="37"/>
  <c r="G6" i="37"/>
  <c r="F6" i="37"/>
  <c r="J5" i="37"/>
  <c r="I5" i="37"/>
  <c r="H5" i="37"/>
  <c r="G5" i="37"/>
  <c r="F5" i="37"/>
  <c r="J4" i="37"/>
  <c r="I4" i="37"/>
  <c r="H4" i="37"/>
  <c r="E5" i="37"/>
  <c r="D5" i="37"/>
  <c r="F4" i="37"/>
  <c r="E4" i="37"/>
  <c r="D4" i="37"/>
  <c r="L4" i="37"/>
  <c r="K4" i="37"/>
  <c r="E3" i="37"/>
  <c r="L3" i="37"/>
  <c r="K3" i="37"/>
  <c r="J3" i="37"/>
  <c r="G4" i="37"/>
  <c r="D3" i="37"/>
  <c r="I3" i="37"/>
  <c r="H3" i="37"/>
  <c r="G3" i="37"/>
  <c r="F3" i="37"/>
  <c r="A1" i="49"/>
  <c r="B1" i="49"/>
  <c r="A2" i="49"/>
  <c r="B2" i="49"/>
  <c r="A10" i="38" s="1"/>
  <c r="E2" i="49"/>
  <c r="A3" i="49"/>
  <c r="B3" i="49"/>
  <c r="B6" i="49" s="1"/>
  <c r="A4" i="49"/>
  <c r="B4" i="49"/>
  <c r="A5" i="49"/>
  <c r="B5" i="49"/>
  <c r="A7" i="49"/>
  <c r="B7" i="49"/>
  <c r="C3" i="37"/>
  <c r="B3" i="37"/>
  <c r="B4" i="37"/>
  <c r="M3" i="37"/>
  <c r="C4" i="37"/>
  <c r="C5" i="37"/>
  <c r="B5" i="37"/>
  <c r="M4" i="37"/>
  <c r="C6" i="37"/>
  <c r="B6" i="37"/>
  <c r="M5" i="37"/>
  <c r="M6" i="37"/>
  <c r="C7" i="37"/>
  <c r="B7" i="37"/>
  <c r="C8" i="37"/>
  <c r="B8" i="37"/>
  <c r="M7" i="37"/>
  <c r="B9" i="37"/>
  <c r="M8" i="37"/>
  <c r="C9" i="37"/>
  <c r="C10" i="37"/>
  <c r="B10" i="37"/>
  <c r="M9" i="37"/>
  <c r="C11" i="37"/>
  <c r="B11" i="37"/>
  <c r="M10" i="37"/>
  <c r="M11" i="37"/>
  <c r="C12" i="37"/>
  <c r="B12" i="37"/>
  <c r="C13" i="37"/>
  <c r="B13" i="37"/>
  <c r="M12" i="37"/>
  <c r="B14" i="37"/>
  <c r="M13" i="37"/>
  <c r="C14" i="37"/>
  <c r="C15" i="37"/>
  <c r="B15" i="37"/>
  <c r="M14" i="37"/>
  <c r="C16" i="37"/>
  <c r="B16" i="37"/>
  <c r="M15" i="37"/>
  <c r="M16" i="37"/>
  <c r="C17" i="37"/>
  <c r="B17" i="37"/>
  <c r="C18" i="37"/>
  <c r="B18" i="37"/>
  <c r="M17" i="37"/>
  <c r="B19" i="37"/>
  <c r="M18" i="37"/>
  <c r="C19" i="37"/>
  <c r="C20" i="37"/>
  <c r="B20" i="37"/>
  <c r="M19" i="37"/>
  <c r="C21" i="37"/>
  <c r="B21" i="37"/>
  <c r="M20" i="37"/>
  <c r="M21" i="37"/>
  <c r="C22" i="37"/>
  <c r="B22" i="37"/>
  <c r="C23" i="37"/>
  <c r="B23" i="37"/>
  <c r="M22" i="37"/>
  <c r="B24" i="37"/>
  <c r="M23" i="37"/>
  <c r="C24" i="37"/>
  <c r="C25" i="37"/>
  <c r="B25" i="37"/>
  <c r="M24" i="37"/>
  <c r="C26" i="37"/>
  <c r="B26" i="37"/>
  <c r="M25" i="37"/>
  <c r="M26" i="37"/>
  <c r="C27" i="37"/>
  <c r="B27" i="37"/>
  <c r="C28" i="37"/>
  <c r="B28" i="37"/>
  <c r="M27" i="37"/>
  <c r="B29" i="37"/>
  <c r="M28" i="37"/>
  <c r="C29" i="37"/>
  <c r="C30" i="37"/>
  <c r="B30" i="37"/>
  <c r="M29" i="37"/>
  <c r="C31" i="37"/>
  <c r="B31" i="37"/>
  <c r="M30" i="37"/>
  <c r="M31" i="37"/>
  <c r="C32" i="37"/>
  <c r="B32" i="37"/>
  <c r="C33" i="37"/>
  <c r="B33" i="37"/>
  <c r="M32" i="37"/>
  <c r="B34" i="37"/>
  <c r="M33" i="37"/>
  <c r="C34" i="37"/>
  <c r="C35" i="37"/>
  <c r="B35" i="37"/>
  <c r="M34" i="37"/>
  <c r="C36" i="37"/>
  <c r="B36" i="37"/>
  <c r="M35" i="37"/>
  <c r="M36" i="37"/>
  <c r="C37" i="37"/>
  <c r="B37" i="37"/>
  <c r="C38" i="37"/>
  <c r="B38" i="37"/>
  <c r="M37" i="37"/>
  <c r="B39" i="37"/>
  <c r="M38" i="37"/>
  <c r="C39" i="37"/>
  <c r="C40" i="37"/>
  <c r="B40" i="37"/>
  <c r="M39" i="37"/>
  <c r="C41" i="37"/>
  <c r="B41" i="37"/>
  <c r="M40" i="37"/>
  <c r="M41" i="37"/>
  <c r="C42" i="37"/>
  <c r="B42" i="37"/>
  <c r="C43" i="37"/>
  <c r="B43" i="37"/>
  <c r="M42" i="37"/>
  <c r="B44" i="37"/>
  <c r="M43" i="37"/>
  <c r="C44" i="37"/>
  <c r="C45" i="37"/>
  <c r="B45" i="37"/>
  <c r="M44" i="37"/>
  <c r="C46" i="37"/>
  <c r="B46" i="37"/>
  <c r="M45" i="37"/>
  <c r="M46" i="37"/>
  <c r="C47" i="37"/>
  <c r="B47" i="37"/>
  <c r="C48" i="37"/>
  <c r="B48" i="37"/>
  <c r="M47" i="37"/>
  <c r="B49" i="37"/>
  <c r="M48" i="37"/>
  <c r="C49" i="37"/>
  <c r="C50" i="37"/>
  <c r="B50" i="37"/>
  <c r="M49" i="37"/>
  <c r="C51" i="37"/>
  <c r="B51" i="37"/>
  <c r="M50" i="37"/>
  <c r="M51" i="37"/>
  <c r="C52" i="37"/>
  <c r="B52" i="37"/>
  <c r="C53" i="37"/>
  <c r="B53" i="37"/>
  <c r="M52" i="37"/>
  <c r="B54" i="37"/>
  <c r="M53" i="37"/>
  <c r="C54" i="37"/>
  <c r="C55" i="37"/>
  <c r="B55" i="37"/>
  <c r="M54" i="37"/>
  <c r="C56" i="37"/>
  <c r="B56" i="37"/>
  <c r="M55" i="37"/>
  <c r="M56" i="37"/>
  <c r="C57" i="37"/>
  <c r="B57" i="37"/>
  <c r="M57" i="37"/>
  <c r="B59" i="37"/>
  <c r="C59" i="37"/>
  <c r="C60" i="37"/>
  <c r="B60" i="37"/>
  <c r="M59" i="37"/>
  <c r="M60" i="37"/>
  <c r="C62" i="37"/>
  <c r="B62" i="37"/>
  <c r="C63" i="37"/>
  <c r="B63" i="37"/>
  <c r="M62" i="37"/>
  <c r="B64" i="37"/>
  <c r="M63" i="37"/>
  <c r="C64" i="37"/>
  <c r="M64" i="37"/>
  <c r="C67" i="37"/>
  <c r="B67" i="37"/>
  <c r="M67" i="37"/>
  <c r="B69" i="37"/>
  <c r="C69" i="37"/>
  <c r="C70" i="37"/>
  <c r="B70" i="37"/>
  <c r="M69" i="37"/>
  <c r="C71" i="37"/>
  <c r="B71" i="37"/>
  <c r="M70" i="37"/>
  <c r="M71" i="37"/>
  <c r="B74" i="37"/>
  <c r="C74" i="37"/>
  <c r="C75" i="37"/>
  <c r="B75" i="37"/>
  <c r="M74" i="37"/>
  <c r="C76" i="37"/>
  <c r="B76" i="37"/>
  <c r="M75" i="37"/>
  <c r="M76" i="37"/>
  <c r="C77" i="37"/>
  <c r="B77" i="37"/>
  <c r="C78" i="37"/>
  <c r="B78" i="37"/>
  <c r="M77" i="37"/>
  <c r="B79" i="37"/>
  <c r="M78" i="37"/>
  <c r="C79" i="37"/>
  <c r="C80" i="37"/>
  <c r="B80" i="37"/>
  <c r="M79" i="37"/>
  <c r="C81" i="37"/>
  <c r="B81" i="37"/>
  <c r="M80" i="37"/>
  <c r="M81" i="37"/>
  <c r="C82" i="37"/>
  <c r="B82" i="37"/>
  <c r="C83" i="37"/>
  <c r="B83" i="37"/>
  <c r="M82" i="37"/>
  <c r="B84" i="37"/>
  <c r="M83" i="37"/>
  <c r="C84" i="37"/>
  <c r="C85" i="37"/>
  <c r="B85" i="37"/>
  <c r="M84" i="37"/>
  <c r="C86" i="37"/>
  <c r="B86" i="37"/>
  <c r="M85" i="37"/>
  <c r="M86" i="37"/>
  <c r="C87" i="37"/>
  <c r="B87" i="37"/>
  <c r="C88" i="37"/>
  <c r="B88" i="37"/>
  <c r="M87" i="37"/>
  <c r="B89" i="37"/>
  <c r="M88" i="37"/>
  <c r="C89" i="37"/>
  <c r="C90" i="37"/>
  <c r="B90" i="37"/>
  <c r="M89" i="37"/>
  <c r="C91" i="37"/>
  <c r="B91" i="37"/>
  <c r="M90" i="37"/>
  <c r="M91" i="37"/>
  <c r="C92" i="37"/>
  <c r="B92" i="37"/>
  <c r="C93" i="37"/>
  <c r="B93" i="37"/>
  <c r="M92" i="37"/>
  <c r="B94" i="37"/>
  <c r="M93" i="37"/>
  <c r="C94" i="37"/>
  <c r="M94" i="37"/>
  <c r="C96" i="37"/>
  <c r="B96" i="37"/>
  <c r="M96" i="37"/>
  <c r="C97" i="37"/>
  <c r="B97" i="37"/>
  <c r="C98" i="37"/>
  <c r="B98" i="37"/>
  <c r="M97" i="37"/>
  <c r="B99" i="37"/>
  <c r="M98" i="37"/>
  <c r="C99" i="37"/>
  <c r="C100" i="37"/>
  <c r="B100" i="37"/>
  <c r="M99" i="37"/>
  <c r="C101" i="37"/>
  <c r="B101" i="37"/>
  <c r="M100" i="37"/>
  <c r="M101" i="37"/>
  <c r="C102" i="37"/>
  <c r="B102" i="37"/>
  <c r="C103" i="37"/>
  <c r="B103" i="37"/>
  <c r="M102" i="37"/>
  <c r="B104" i="37"/>
  <c r="M103" i="37"/>
  <c r="C104" i="37"/>
  <c r="C105" i="37"/>
  <c r="B105" i="37"/>
  <c r="M104" i="37"/>
  <c r="C106" i="37"/>
  <c r="B106" i="37"/>
  <c r="M105" i="37"/>
  <c r="M106" i="37"/>
  <c r="C107" i="37"/>
  <c r="B107" i="37"/>
  <c r="C108" i="37"/>
  <c r="B108" i="37"/>
  <c r="M107" i="37"/>
  <c r="B109" i="37"/>
  <c r="M108" i="37"/>
  <c r="C109" i="37"/>
  <c r="C110" i="37"/>
  <c r="B110" i="37"/>
  <c r="M109" i="37"/>
  <c r="C111" i="37"/>
  <c r="B111" i="37"/>
  <c r="M110" i="37"/>
  <c r="M111" i="37"/>
  <c r="C112" i="37"/>
  <c r="B112" i="37"/>
  <c r="C113" i="37"/>
  <c r="B113" i="37"/>
  <c r="M112" i="37"/>
  <c r="B114" i="37"/>
  <c r="M113" i="37"/>
  <c r="C114" i="37"/>
  <c r="C115" i="37"/>
  <c r="B115" i="37"/>
  <c r="M114" i="37"/>
  <c r="C116" i="37"/>
  <c r="B116" i="37"/>
  <c r="M115" i="37"/>
  <c r="M116" i="37"/>
  <c r="C117" i="37"/>
  <c r="B117" i="37"/>
  <c r="C118" i="37"/>
  <c r="B118" i="37"/>
  <c r="M117" i="37"/>
  <c r="B119" i="37"/>
  <c r="M118" i="37"/>
  <c r="C119" i="37"/>
  <c r="C120" i="37"/>
  <c r="B120" i="37"/>
  <c r="M119" i="37"/>
  <c r="C121" i="37"/>
  <c r="B121" i="37"/>
  <c r="M120" i="37"/>
  <c r="M121" i="37"/>
  <c r="B124" i="37"/>
  <c r="C124" i="37"/>
  <c r="M124" i="37"/>
  <c r="C126" i="37"/>
  <c r="B126" i="37"/>
  <c r="M126" i="37"/>
  <c r="B129" i="37"/>
  <c r="C129" i="37"/>
  <c r="M129" i="37"/>
  <c r="B134" i="37"/>
  <c r="C134" i="37"/>
  <c r="C135" i="37"/>
  <c r="B135" i="37"/>
  <c r="M134" i="37"/>
  <c r="C136" i="37"/>
  <c r="B136" i="37"/>
  <c r="M135" i="37"/>
  <c r="M136" i="37"/>
  <c r="C137" i="37"/>
  <c r="B137" i="37"/>
  <c r="C138" i="37"/>
  <c r="B138" i="37"/>
  <c r="M137" i="37"/>
  <c r="B139" i="37"/>
  <c r="M138" i="37"/>
  <c r="C139" i="37"/>
  <c r="C140" i="37"/>
  <c r="B140" i="37"/>
  <c r="M139" i="37"/>
  <c r="C141" i="37"/>
  <c r="B141" i="37"/>
  <c r="M140" i="37"/>
  <c r="M141" i="37"/>
  <c r="C142" i="37"/>
  <c r="B142" i="37"/>
  <c r="C143" i="37"/>
  <c r="B143" i="37"/>
  <c r="M142" i="37"/>
  <c r="B144" i="37"/>
  <c r="M143" i="37"/>
  <c r="C144" i="37"/>
  <c r="C145" i="37"/>
  <c r="B145" i="37"/>
  <c r="M144" i="37"/>
  <c r="C146" i="37"/>
  <c r="B146" i="37"/>
  <c r="M145" i="37"/>
  <c r="M146" i="37"/>
  <c r="C147" i="37"/>
  <c r="B147" i="37"/>
  <c r="C148" i="37"/>
  <c r="B148" i="37"/>
  <c r="M147" i="37"/>
  <c r="B149" i="37"/>
  <c r="M148" i="37"/>
  <c r="C149" i="37"/>
  <c r="C150" i="37"/>
  <c r="B150" i="37"/>
  <c r="M149" i="37"/>
  <c r="C151" i="37"/>
  <c r="B151" i="37"/>
  <c r="M150" i="37"/>
  <c r="M151" i="37"/>
  <c r="C152" i="37"/>
  <c r="B152" i="37"/>
  <c r="C153" i="37"/>
  <c r="B153" i="37"/>
  <c r="M152" i="37"/>
  <c r="B154" i="37"/>
  <c r="M153" i="37"/>
  <c r="C154" i="37"/>
  <c r="C155" i="37"/>
  <c r="B155" i="37"/>
  <c r="M154" i="37"/>
  <c r="C156" i="37"/>
  <c r="B156" i="37"/>
  <c r="M155" i="37"/>
  <c r="M156" i="37"/>
  <c r="C157" i="37"/>
  <c r="B157" i="37"/>
  <c r="C158" i="37"/>
  <c r="B158" i="37"/>
  <c r="M157" i="37"/>
  <c r="B159" i="37"/>
  <c r="M158" i="37"/>
  <c r="C159" i="37"/>
  <c r="C160" i="37"/>
  <c r="B160" i="37"/>
  <c r="M159" i="37"/>
  <c r="C161" i="37"/>
  <c r="B161" i="37"/>
  <c r="M160" i="37"/>
  <c r="M161" i="37"/>
  <c r="C162" i="37"/>
  <c r="B162" i="37"/>
  <c r="C163" i="37"/>
  <c r="B163" i="37"/>
  <c r="M162" i="37"/>
  <c r="B164" i="37"/>
  <c r="M163" i="37"/>
  <c r="C164" i="37"/>
  <c r="C165" i="37"/>
  <c r="B165" i="37"/>
  <c r="M164" i="37"/>
  <c r="C166" i="37"/>
  <c r="B166" i="37"/>
  <c r="M165" i="37"/>
  <c r="M166" i="37"/>
  <c r="C167" i="37"/>
  <c r="B167" i="37"/>
  <c r="C168" i="37"/>
  <c r="B168" i="37"/>
  <c r="M167" i="37"/>
  <c r="B169" i="37"/>
  <c r="M168" i="37"/>
  <c r="C169" i="37"/>
  <c r="C170" i="37"/>
  <c r="B170" i="37"/>
  <c r="M169" i="37"/>
  <c r="C171" i="37"/>
  <c r="B171" i="37"/>
  <c r="M170" i="37"/>
  <c r="M171" i="37"/>
  <c r="C172" i="37"/>
  <c r="B172" i="37"/>
  <c r="C173" i="37"/>
  <c r="B173" i="37"/>
  <c r="M172" i="37"/>
  <c r="B174" i="37"/>
  <c r="M173" i="37"/>
  <c r="C174" i="37"/>
  <c r="C175" i="37"/>
  <c r="B175" i="37"/>
  <c r="M174" i="37"/>
  <c r="C176" i="37"/>
  <c r="B176" i="37"/>
  <c r="M175" i="37"/>
  <c r="M176" i="37"/>
  <c r="C177" i="37"/>
  <c r="B177" i="37"/>
  <c r="C178" i="37"/>
  <c r="B178" i="37"/>
  <c r="M177" i="37"/>
  <c r="B179" i="37"/>
  <c r="M178" i="37"/>
  <c r="C179" i="37"/>
  <c r="C180" i="37"/>
  <c r="B180" i="37"/>
  <c r="M179" i="37"/>
  <c r="C181" i="37"/>
  <c r="B181" i="37"/>
  <c r="M180" i="37"/>
  <c r="M181" i="37"/>
  <c r="C182" i="37"/>
  <c r="B182" i="37"/>
  <c r="C183" i="37"/>
  <c r="B183" i="37"/>
  <c r="M182" i="37"/>
  <c r="B184" i="37"/>
  <c r="M183" i="37"/>
  <c r="C184" i="37"/>
  <c r="C185" i="37"/>
  <c r="B185" i="37"/>
  <c r="M184" i="37"/>
  <c r="C186" i="37"/>
  <c r="B186" i="37"/>
  <c r="M185" i="37"/>
  <c r="M186" i="37"/>
  <c r="C187" i="37"/>
  <c r="B187" i="37"/>
  <c r="C188" i="37"/>
  <c r="B188" i="37"/>
  <c r="M187" i="37"/>
  <c r="B189" i="37"/>
  <c r="M188" i="37"/>
  <c r="C189" i="37"/>
  <c r="C190" i="37"/>
  <c r="B190" i="37"/>
  <c r="M189" i="37"/>
  <c r="C191" i="37"/>
  <c r="B191" i="37"/>
  <c r="M190" i="37"/>
  <c r="M191" i="37"/>
  <c r="C192" i="37"/>
  <c r="B192" i="37"/>
  <c r="C193" i="37"/>
  <c r="B193" i="37"/>
  <c r="M192" i="37"/>
  <c r="B194" i="37"/>
  <c r="M193" i="37"/>
  <c r="C194" i="37"/>
  <c r="C195" i="37"/>
  <c r="B195" i="37"/>
  <c r="M194" i="37"/>
  <c r="C196" i="37"/>
  <c r="B196" i="37"/>
  <c r="M195" i="37"/>
  <c r="M196" i="37"/>
  <c r="C197" i="37"/>
  <c r="B197" i="37"/>
  <c r="C198" i="37"/>
  <c r="B198" i="37"/>
  <c r="M197" i="37"/>
  <c r="B199" i="37"/>
  <c r="M198" i="37"/>
  <c r="C199" i="37"/>
  <c r="C200" i="37"/>
  <c r="B200" i="37"/>
  <c r="M199" i="37"/>
  <c r="C201" i="37"/>
  <c r="B201" i="37"/>
  <c r="M200" i="37"/>
  <c r="M201" i="37"/>
  <c r="C202" i="37"/>
  <c r="B202" i="37"/>
  <c r="C203" i="37"/>
  <c r="B203" i="37"/>
  <c r="M202" i="37"/>
  <c r="B204" i="37"/>
  <c r="M203" i="37"/>
  <c r="C204" i="37"/>
  <c r="C205" i="37"/>
  <c r="B205" i="37"/>
  <c r="M204" i="37"/>
  <c r="C206" i="37"/>
  <c r="B206" i="37"/>
  <c r="M205" i="37"/>
  <c r="M206" i="37"/>
  <c r="C207" i="37"/>
  <c r="B207" i="37"/>
  <c r="C208" i="37"/>
  <c r="B208" i="37"/>
  <c r="M207" i="37"/>
  <c r="B209" i="37"/>
  <c r="M208" i="37"/>
  <c r="C209" i="37"/>
  <c r="C210" i="37"/>
  <c r="B210" i="37"/>
  <c r="M209" i="37"/>
  <c r="C211" i="37"/>
  <c r="B211" i="37"/>
  <c r="M210" i="37"/>
  <c r="M211" i="37"/>
  <c r="C212" i="37"/>
  <c r="B212" i="37"/>
  <c r="C213" i="37"/>
  <c r="B213" i="37"/>
  <c r="M212" i="37"/>
  <c r="B214" i="37"/>
  <c r="M213" i="37"/>
  <c r="C214" i="37"/>
  <c r="C215" i="37"/>
  <c r="B215" i="37"/>
  <c r="M214" i="37"/>
  <c r="C216" i="37"/>
  <c r="B216" i="37"/>
  <c r="M215" i="37"/>
  <c r="M216" i="37"/>
  <c r="C217" i="37"/>
  <c r="B217" i="37"/>
  <c r="C218" i="37"/>
  <c r="B218" i="37"/>
  <c r="M217" i="37"/>
  <c r="B219" i="37"/>
  <c r="M218" i="37"/>
  <c r="C219" i="37"/>
  <c r="C220" i="37"/>
  <c r="B220" i="37"/>
  <c r="M219" i="37"/>
  <c r="C221" i="37"/>
  <c r="B221" i="37"/>
  <c r="M220" i="37"/>
  <c r="M221" i="37"/>
  <c r="C222" i="37"/>
  <c r="B222" i="37"/>
  <c r="C223" i="37"/>
  <c r="B223" i="37"/>
  <c r="M222" i="37"/>
  <c r="B224" i="37"/>
  <c r="M223" i="37"/>
  <c r="C224" i="37"/>
  <c r="C225" i="37"/>
  <c r="B225" i="37"/>
  <c r="M224" i="37"/>
  <c r="C226" i="37"/>
  <c r="B226" i="37"/>
  <c r="M225" i="37"/>
  <c r="M226" i="37"/>
  <c r="C227" i="37"/>
  <c r="B227" i="37"/>
  <c r="C228" i="37"/>
  <c r="B228" i="37"/>
  <c r="M227" i="37"/>
  <c r="B229" i="37"/>
  <c r="M228" i="37"/>
  <c r="C229" i="37"/>
  <c r="C230" i="37"/>
  <c r="B230" i="37"/>
  <c r="M229" i="37"/>
  <c r="C231" i="37"/>
  <c r="B231" i="37"/>
  <c r="M230" i="37"/>
  <c r="M231" i="37"/>
  <c r="C232" i="37"/>
  <c r="B232" i="37"/>
  <c r="C233" i="37"/>
  <c r="B233" i="37"/>
  <c r="M232" i="37"/>
  <c r="B234" i="37"/>
  <c r="M233" i="37"/>
  <c r="C234" i="37"/>
  <c r="C235" i="37"/>
  <c r="B235" i="37"/>
  <c r="M234" i="37"/>
  <c r="C236" i="37"/>
  <c r="B236" i="37"/>
  <c r="M235" i="37"/>
  <c r="M236" i="37"/>
  <c r="C237" i="37"/>
  <c r="B237" i="37"/>
  <c r="C238" i="37"/>
  <c r="B238" i="37"/>
  <c r="M237" i="37"/>
  <c r="B239" i="37"/>
  <c r="M238" i="37"/>
  <c r="C239" i="37"/>
  <c r="M239" i="37"/>
  <c r="C241" i="37"/>
  <c r="B241" i="37"/>
  <c r="M241" i="37"/>
  <c r="C242" i="37"/>
  <c r="B242" i="37"/>
  <c r="C243" i="37"/>
  <c r="B243" i="37"/>
  <c r="M242" i="37"/>
  <c r="B244" i="37"/>
  <c r="M243" i="37"/>
  <c r="C244" i="37"/>
  <c r="C245" i="37"/>
  <c r="B245" i="37"/>
  <c r="M244" i="37"/>
  <c r="C246" i="37"/>
  <c r="B246" i="37"/>
  <c r="M245" i="37"/>
  <c r="M246" i="37"/>
  <c r="C247" i="37"/>
  <c r="B247" i="37"/>
  <c r="C248" i="37"/>
  <c r="B248" i="37"/>
  <c r="M247" i="37"/>
  <c r="B249" i="37"/>
  <c r="M248" i="37"/>
  <c r="C249" i="37"/>
  <c r="C250" i="37"/>
  <c r="B250" i="37"/>
  <c r="M249" i="37"/>
  <c r="C251" i="37"/>
  <c r="B251" i="37"/>
  <c r="M250" i="37"/>
  <c r="M251" i="37"/>
  <c r="C252" i="37"/>
  <c r="B252" i="37"/>
  <c r="C253" i="37"/>
  <c r="B253" i="37"/>
  <c r="M252" i="37"/>
  <c r="B254" i="37"/>
  <c r="M253" i="37"/>
  <c r="C254" i="37"/>
  <c r="C255" i="37"/>
  <c r="B255" i="37"/>
  <c r="M254" i="37"/>
  <c r="C256" i="37"/>
  <c r="B256" i="37"/>
  <c r="M255" i="37"/>
  <c r="M256" i="37"/>
  <c r="C257" i="37"/>
  <c r="B257" i="37"/>
  <c r="C258" i="37"/>
  <c r="B258" i="37"/>
  <c r="M257" i="37"/>
  <c r="B259" i="37"/>
  <c r="M258" i="37"/>
  <c r="C259" i="37"/>
  <c r="C260" i="37"/>
  <c r="B260" i="37"/>
  <c r="M259" i="37"/>
  <c r="C261" i="37"/>
  <c r="B261" i="37"/>
  <c r="M260" i="37"/>
  <c r="M261" i="37"/>
  <c r="C262" i="37"/>
  <c r="B262" i="37"/>
  <c r="C263" i="37"/>
  <c r="B263" i="37"/>
  <c r="M262" i="37"/>
  <c r="B264" i="37"/>
  <c r="M263" i="37"/>
  <c r="C264" i="37"/>
  <c r="C265" i="37"/>
  <c r="B265" i="37"/>
  <c r="M264" i="37"/>
  <c r="C266" i="37"/>
  <c r="B266" i="37"/>
  <c r="M265" i="37"/>
  <c r="M266" i="37"/>
  <c r="C267" i="37"/>
  <c r="B267" i="37"/>
  <c r="C268" i="37"/>
  <c r="B268" i="37"/>
  <c r="M267" i="37"/>
  <c r="B269" i="37"/>
  <c r="M268" i="37"/>
  <c r="C269" i="37"/>
  <c r="C270" i="37"/>
  <c r="B270" i="37"/>
  <c r="M269" i="37"/>
  <c r="C271" i="37"/>
  <c r="B271" i="37"/>
  <c r="M270" i="37"/>
  <c r="M271" i="37"/>
  <c r="C272" i="37"/>
  <c r="B272" i="37"/>
  <c r="C273" i="37"/>
  <c r="B273" i="37"/>
  <c r="M272" i="37"/>
  <c r="B274" i="37"/>
  <c r="M273" i="37"/>
  <c r="C274" i="37"/>
  <c r="C275" i="37"/>
  <c r="B275" i="37"/>
  <c r="M274" i="37"/>
  <c r="C276" i="37"/>
  <c r="B276" i="37"/>
  <c r="M275" i="37"/>
  <c r="M276" i="37"/>
  <c r="C281" i="37"/>
  <c r="B281" i="37"/>
  <c r="M281" i="37"/>
  <c r="C282" i="37"/>
  <c r="B282" i="37"/>
  <c r="C283" i="37"/>
  <c r="B283" i="37"/>
  <c r="M282" i="37"/>
  <c r="B284" i="37"/>
  <c r="M283" i="37"/>
  <c r="C284" i="37"/>
  <c r="C285" i="37"/>
  <c r="B285" i="37"/>
  <c r="M284" i="37"/>
  <c r="C286" i="37"/>
  <c r="B286" i="37"/>
  <c r="M285" i="37"/>
  <c r="M286" i="37"/>
  <c r="C287" i="37"/>
  <c r="B287" i="37"/>
  <c r="C288" i="37"/>
  <c r="B288" i="37"/>
  <c r="M287" i="37"/>
  <c r="B289" i="37"/>
  <c r="M288" i="37"/>
  <c r="C289" i="37"/>
  <c r="C290" i="37"/>
  <c r="B290" i="37"/>
  <c r="M289" i="37"/>
  <c r="C291" i="37"/>
  <c r="B291" i="37"/>
  <c r="M290" i="37"/>
  <c r="M291" i="37"/>
  <c r="C292" i="37"/>
  <c r="B292" i="37"/>
  <c r="C293" i="37"/>
  <c r="B293" i="37"/>
  <c r="M292" i="37"/>
  <c r="B294" i="37"/>
  <c r="M293" i="37"/>
  <c r="C294" i="37"/>
  <c r="C295" i="37"/>
  <c r="B295" i="37"/>
  <c r="M294" i="37"/>
  <c r="C296" i="37"/>
  <c r="B296" i="37"/>
  <c r="M295" i="37"/>
  <c r="M296" i="37"/>
  <c r="C297" i="37"/>
  <c r="B297" i="37"/>
  <c r="C298" i="37"/>
  <c r="B298" i="37"/>
  <c r="M297" i="37"/>
  <c r="B299" i="37"/>
  <c r="M298" i="37"/>
  <c r="C299" i="37"/>
  <c r="C300" i="37"/>
  <c r="B300" i="37"/>
  <c r="M299" i="37"/>
  <c r="C301" i="37"/>
  <c r="B301" i="37"/>
  <c r="M300" i="37"/>
  <c r="M301" i="37"/>
  <c r="C302" i="37"/>
  <c r="B302" i="37"/>
  <c r="C303" i="37"/>
  <c r="B303" i="37"/>
  <c r="M302" i="37"/>
  <c r="B304" i="37"/>
  <c r="M303" i="37"/>
  <c r="C304" i="37"/>
  <c r="C305" i="37"/>
  <c r="B305" i="37"/>
  <c r="M304" i="37"/>
  <c r="C306" i="37"/>
  <c r="B306" i="37"/>
  <c r="M305" i="37"/>
  <c r="M306" i="37"/>
  <c r="C307" i="37"/>
  <c r="B307" i="37"/>
  <c r="C308" i="37"/>
  <c r="B308" i="37"/>
  <c r="M307" i="37"/>
  <c r="B309" i="37"/>
  <c r="M308" i="37"/>
  <c r="C309" i="37"/>
  <c r="C310" i="37"/>
  <c r="B310" i="37"/>
  <c r="M309" i="37"/>
  <c r="C311" i="37"/>
  <c r="B311" i="37"/>
  <c r="M310" i="37"/>
  <c r="M311" i="37"/>
  <c r="C312" i="37"/>
  <c r="B312" i="37"/>
  <c r="C313" i="37"/>
  <c r="B313" i="37"/>
  <c r="M312" i="37"/>
  <c r="B314" i="37"/>
  <c r="M313" i="37"/>
  <c r="C314" i="37"/>
  <c r="C315" i="37"/>
  <c r="B315" i="37"/>
  <c r="M314" i="37"/>
  <c r="C316" i="37"/>
  <c r="B316" i="37"/>
  <c r="M315" i="37"/>
  <c r="M316" i="37"/>
  <c r="C317" i="37"/>
  <c r="B317" i="37"/>
  <c r="C318" i="37"/>
  <c r="B318" i="37"/>
  <c r="M317" i="37"/>
  <c r="B319" i="37"/>
  <c r="M318" i="37"/>
  <c r="C319" i="37"/>
  <c r="C320" i="37"/>
  <c r="B320" i="37"/>
  <c r="M319" i="37"/>
  <c r="C321" i="37"/>
  <c r="B321" i="37"/>
  <c r="M320" i="37"/>
  <c r="M321" i="37"/>
  <c r="C322" i="37"/>
  <c r="B322" i="37"/>
  <c r="C323" i="37"/>
  <c r="B323" i="37"/>
  <c r="M322" i="37"/>
  <c r="B324" i="37"/>
  <c r="M323" i="37"/>
  <c r="C324" i="37"/>
  <c r="C325" i="37"/>
  <c r="B325" i="37"/>
  <c r="M324" i="37"/>
  <c r="C326" i="37"/>
  <c r="B326" i="37"/>
  <c r="M325" i="37"/>
  <c r="M326" i="37"/>
  <c r="C327" i="37"/>
  <c r="B327" i="37"/>
  <c r="C328" i="37"/>
  <c r="B328" i="37"/>
  <c r="M327" i="37"/>
  <c r="B329" i="37"/>
  <c r="M328" i="37"/>
  <c r="C329" i="37"/>
  <c r="C330" i="37"/>
  <c r="B330" i="37"/>
  <c r="M329" i="37"/>
  <c r="C331" i="37"/>
  <c r="B331" i="37"/>
  <c r="M330" i="37"/>
  <c r="M331" i="37"/>
  <c r="C332" i="37"/>
  <c r="B332" i="37"/>
  <c r="C333" i="37"/>
  <c r="B333" i="37"/>
  <c r="M332" i="37"/>
  <c r="B334" i="37"/>
  <c r="M333" i="37"/>
  <c r="C334" i="37"/>
  <c r="C335" i="37"/>
  <c r="B335" i="37"/>
  <c r="M334" i="37"/>
  <c r="C336" i="37"/>
  <c r="B336" i="37"/>
  <c r="M335" i="37"/>
  <c r="M336" i="37"/>
  <c r="C337" i="37"/>
  <c r="B337" i="37"/>
  <c r="C338" i="37"/>
  <c r="B338" i="37"/>
  <c r="M337" i="37"/>
  <c r="B339" i="37"/>
  <c r="M338" i="37"/>
  <c r="C339" i="37"/>
  <c r="C340" i="37"/>
  <c r="B340" i="37"/>
  <c r="M339" i="37"/>
  <c r="C341" i="37"/>
  <c r="B341" i="37"/>
  <c r="M340" i="37"/>
  <c r="M341" i="37"/>
  <c r="C342" i="37"/>
  <c r="B342" i="37"/>
  <c r="C343" i="37"/>
  <c r="B343" i="37"/>
  <c r="M342" i="37"/>
  <c r="B344" i="37"/>
  <c r="M343" i="37"/>
  <c r="C344" i="37"/>
  <c r="C345" i="37"/>
  <c r="B345" i="37"/>
  <c r="M344" i="37"/>
  <c r="C346" i="37"/>
  <c r="B346" i="37"/>
  <c r="M345" i="37"/>
  <c r="M346" i="37"/>
  <c r="C347" i="37"/>
  <c r="B347" i="37"/>
  <c r="C348" i="37"/>
  <c r="B348" i="37"/>
  <c r="M347" i="37"/>
  <c r="B349" i="37"/>
  <c r="M348" i="37"/>
  <c r="C349" i="37"/>
  <c r="C350" i="37"/>
  <c r="B350" i="37"/>
  <c r="M349" i="37"/>
  <c r="C351" i="37"/>
  <c r="B351" i="37"/>
  <c r="M350" i="37"/>
  <c r="M351" i="37"/>
  <c r="C352" i="37"/>
  <c r="B352" i="37"/>
  <c r="C353" i="37"/>
  <c r="B353" i="37"/>
  <c r="M352" i="37"/>
  <c r="B354" i="37"/>
  <c r="M353" i="37"/>
  <c r="C354" i="37"/>
  <c r="C355" i="37"/>
  <c r="B355" i="37"/>
  <c r="M354" i="37"/>
  <c r="C356" i="37"/>
  <c r="B356" i="37"/>
  <c r="M355" i="37"/>
  <c r="M356" i="37"/>
  <c r="C357" i="37"/>
  <c r="B357" i="37"/>
  <c r="C358" i="37"/>
  <c r="B358" i="37"/>
  <c r="M357" i="37"/>
  <c r="B359" i="37"/>
  <c r="M358" i="37"/>
  <c r="C359" i="37"/>
  <c r="C360" i="37"/>
  <c r="B360" i="37"/>
  <c r="M359" i="37"/>
  <c r="C361" i="37"/>
  <c r="B361" i="37"/>
  <c r="M360" i="37"/>
  <c r="M361" i="37"/>
  <c r="C362" i="37"/>
  <c r="B362" i="37"/>
  <c r="C363" i="37"/>
  <c r="B363" i="37"/>
  <c r="M362" i="37"/>
  <c r="B364" i="37"/>
  <c r="M363" i="37"/>
  <c r="C364" i="37"/>
  <c r="C365" i="37"/>
  <c r="B365" i="37"/>
  <c r="M364" i="37"/>
  <c r="C366" i="37"/>
  <c r="B366" i="37"/>
  <c r="M365" i="37"/>
  <c r="M366" i="37"/>
  <c r="C367" i="37"/>
  <c r="B367" i="37"/>
  <c r="C368" i="37"/>
  <c r="B368" i="37"/>
  <c r="M367" i="37"/>
  <c r="B369" i="37"/>
  <c r="M368" i="37"/>
  <c r="C369" i="37"/>
  <c r="M369" i="37"/>
  <c r="C372" i="37"/>
  <c r="B372" i="37"/>
  <c r="C373" i="37"/>
  <c r="B373" i="37"/>
  <c r="M372" i="37"/>
  <c r="B374" i="37"/>
  <c r="M373" i="37"/>
  <c r="C374" i="37"/>
  <c r="C375" i="37"/>
  <c r="B375" i="37"/>
  <c r="M374" i="37"/>
  <c r="C376" i="37"/>
  <c r="B376" i="37"/>
  <c r="M375" i="37"/>
  <c r="M376" i="37"/>
  <c r="C377" i="37"/>
  <c r="B377" i="37"/>
  <c r="C378" i="37"/>
  <c r="B378" i="37"/>
  <c r="M377" i="37"/>
  <c r="B379" i="37"/>
  <c r="M378" i="37"/>
  <c r="C379" i="37"/>
  <c r="C380" i="37"/>
  <c r="B380" i="37"/>
  <c r="M379" i="37"/>
  <c r="C381" i="37"/>
  <c r="B381" i="37"/>
  <c r="M380" i="37"/>
  <c r="M381" i="37"/>
  <c r="C382" i="37"/>
  <c r="B382" i="37"/>
  <c r="C383" i="37"/>
  <c r="B383" i="37"/>
  <c r="M382" i="37"/>
  <c r="B384" i="37"/>
  <c r="M383" i="37"/>
  <c r="C384" i="37"/>
  <c r="C385" i="37"/>
  <c r="B385" i="37"/>
  <c r="M384" i="37"/>
  <c r="C386" i="37"/>
  <c r="B386" i="37"/>
  <c r="M385" i="37"/>
  <c r="M386" i="37"/>
  <c r="C387" i="37"/>
  <c r="B387" i="37"/>
  <c r="C388" i="37"/>
  <c r="B388" i="37"/>
  <c r="M387" i="37"/>
  <c r="B389" i="37"/>
  <c r="M388" i="37"/>
  <c r="C389" i="37"/>
  <c r="M389" i="37"/>
  <c r="C391" i="37"/>
  <c r="B391" i="37"/>
  <c r="M391" i="37"/>
  <c r="C392" i="37"/>
  <c r="B392" i="37"/>
  <c r="C393" i="37"/>
  <c r="B393" i="37"/>
  <c r="M392" i="37"/>
  <c r="B394" i="37"/>
  <c r="M393" i="37"/>
  <c r="C394" i="37"/>
  <c r="C395" i="37"/>
  <c r="B395" i="37"/>
  <c r="M394" i="37"/>
  <c r="C396" i="37"/>
  <c r="B396" i="37"/>
  <c r="M395" i="37"/>
  <c r="M396" i="37"/>
  <c r="C397" i="37"/>
  <c r="B397" i="37"/>
  <c r="C398" i="37"/>
  <c r="B398" i="37"/>
  <c r="M397" i="37"/>
  <c r="B399" i="37"/>
  <c r="M398" i="37"/>
  <c r="C399" i="37"/>
  <c r="C400" i="37"/>
  <c r="B400" i="37"/>
  <c r="M399" i="37"/>
  <c r="C401" i="37"/>
  <c r="B401" i="37"/>
  <c r="M400" i="37"/>
  <c r="M401" i="37"/>
  <c r="C402" i="37"/>
  <c r="B402" i="37"/>
  <c r="C403" i="37"/>
  <c r="B403" i="37"/>
  <c r="M402" i="37"/>
  <c r="B404" i="37"/>
  <c r="M403" i="37"/>
  <c r="C404" i="37"/>
  <c r="C405" i="37"/>
  <c r="B405" i="37"/>
  <c r="M404" i="37"/>
  <c r="C406" i="37"/>
  <c r="B406" i="37"/>
  <c r="M405" i="37"/>
  <c r="M406" i="37"/>
  <c r="C407" i="37"/>
  <c r="B407" i="37"/>
  <c r="C408" i="37"/>
  <c r="B408" i="37"/>
  <c r="M407" i="37"/>
  <c r="B409" i="37"/>
  <c r="M408" i="37"/>
  <c r="C409" i="37"/>
  <c r="C410" i="37"/>
  <c r="B410" i="37"/>
  <c r="M409" i="37"/>
  <c r="C411" i="37"/>
  <c r="B411" i="37"/>
  <c r="M410" i="37"/>
  <c r="M411" i="37"/>
  <c r="C412" i="37"/>
  <c r="B412" i="37"/>
  <c r="C413" i="37"/>
  <c r="B413" i="37"/>
  <c r="M412" i="37"/>
  <c r="B414" i="37"/>
  <c r="M413" i="37"/>
  <c r="C414" i="37"/>
  <c r="C415" i="37"/>
  <c r="B415" i="37"/>
  <c r="M414" i="37"/>
  <c r="C416" i="37"/>
  <c r="B416" i="37"/>
  <c r="M415" i="37"/>
  <c r="M416" i="37"/>
  <c r="C417" i="37"/>
  <c r="B417" i="37"/>
  <c r="C418" i="37"/>
  <c r="B418" i="37"/>
  <c r="M417" i="37"/>
  <c r="B419" i="37"/>
  <c r="M418" i="37"/>
  <c r="C419" i="37"/>
  <c r="C420" i="37"/>
  <c r="B420" i="37"/>
  <c r="M419" i="37"/>
  <c r="C421" i="37"/>
  <c r="B421" i="37"/>
  <c r="M420" i="37"/>
  <c r="M421" i="37"/>
  <c r="C422" i="37"/>
  <c r="B422" i="37"/>
  <c r="C423" i="37"/>
  <c r="B423" i="37"/>
  <c r="M422" i="37"/>
  <c r="B424" i="37"/>
  <c r="M423" i="37"/>
  <c r="C424" i="37"/>
  <c r="C425" i="37"/>
  <c r="B425" i="37"/>
  <c r="M424" i="37"/>
  <c r="M425" i="37"/>
  <c r="C433" i="37"/>
  <c r="B433" i="37"/>
  <c r="B434" i="37"/>
  <c r="M433" i="37"/>
  <c r="C434" i="37"/>
  <c r="C435" i="37"/>
  <c r="B435" i="37"/>
  <c r="M434" i="37"/>
  <c r="C436" i="37"/>
  <c r="B436" i="37"/>
  <c r="M435" i="37"/>
  <c r="M436" i="37"/>
  <c r="C437" i="37"/>
  <c r="B437" i="37"/>
  <c r="C438" i="37"/>
  <c r="B438" i="37"/>
  <c r="M437" i="37"/>
  <c r="B439" i="37"/>
  <c r="M438" i="37"/>
  <c r="C439" i="37"/>
  <c r="M439" i="37"/>
  <c r="C441" i="37"/>
  <c r="B441" i="37"/>
  <c r="M441" i="37"/>
  <c r="C442" i="37"/>
  <c r="B442" i="37"/>
  <c r="C443" i="37"/>
  <c r="B443" i="37"/>
  <c r="M442" i="37"/>
  <c r="B444" i="37"/>
  <c r="M443" i="37"/>
  <c r="C444" i="37"/>
  <c r="C445" i="37"/>
  <c r="B445" i="37"/>
  <c r="M444" i="37"/>
  <c r="C446" i="37"/>
  <c r="B446" i="37"/>
  <c r="M445" i="37"/>
  <c r="M446" i="37"/>
  <c r="C447" i="37"/>
  <c r="B447" i="37"/>
  <c r="C448" i="37"/>
  <c r="B448" i="37"/>
  <c r="M447" i="37"/>
  <c r="B449" i="37"/>
  <c r="M448" i="37"/>
  <c r="C449" i="37"/>
  <c r="C450" i="37"/>
  <c r="B450" i="37"/>
  <c r="M449" i="37"/>
  <c r="C451" i="37"/>
  <c r="B451" i="37"/>
  <c r="M450" i="37"/>
  <c r="M451" i="37"/>
  <c r="C452" i="37"/>
  <c r="B452" i="37"/>
  <c r="C453" i="37"/>
  <c r="B453" i="37"/>
  <c r="M452" i="37"/>
  <c r="B454" i="37"/>
  <c r="M453" i="37"/>
  <c r="C454" i="37"/>
  <c r="C455" i="37"/>
  <c r="B455" i="37"/>
  <c r="M454" i="37"/>
  <c r="C456" i="37"/>
  <c r="B456" i="37"/>
  <c r="M455" i="37"/>
  <c r="M456" i="37"/>
  <c r="C457" i="37"/>
  <c r="B457" i="37"/>
  <c r="C458" i="37"/>
  <c r="B458" i="37"/>
  <c r="M457" i="37"/>
  <c r="B459" i="37"/>
  <c r="M458" i="37"/>
  <c r="C459" i="37"/>
  <c r="C460" i="37"/>
  <c r="B460" i="37"/>
  <c r="M459" i="37"/>
  <c r="C461" i="37"/>
  <c r="B461" i="37"/>
  <c r="M460" i="37"/>
  <c r="M461" i="37"/>
  <c r="C462" i="37"/>
  <c r="B462" i="37"/>
  <c r="C463" i="37"/>
  <c r="B463" i="37"/>
  <c r="M462" i="37"/>
  <c r="B464" i="37"/>
  <c r="M463" i="37"/>
  <c r="C464" i="37"/>
  <c r="C465" i="37"/>
  <c r="B465" i="37"/>
  <c r="M464" i="37"/>
  <c r="C466" i="37"/>
  <c r="B466" i="37"/>
  <c r="M465" i="37"/>
  <c r="M466" i="37"/>
  <c r="C467" i="37"/>
  <c r="B467" i="37"/>
  <c r="M467" i="37"/>
  <c r="C517" i="37"/>
  <c r="B517" i="37"/>
  <c r="M517" i="37"/>
  <c r="G10" i="38"/>
  <c r="F10" i="38"/>
  <c r="E10" i="38"/>
  <c r="O10" i="38"/>
  <c r="N10" i="38"/>
  <c r="M10" i="38"/>
  <c r="L10" i="38"/>
  <c r="U10" i="38"/>
  <c r="T10" i="38"/>
  <c r="S10" i="38"/>
  <c r="R10" i="38"/>
  <c r="Q10" i="38"/>
  <c r="Z10" i="38"/>
  <c r="Y10" i="38"/>
  <c r="X10" i="38"/>
  <c r="W10" i="38"/>
  <c r="V10" i="38"/>
  <c r="AB10" i="38"/>
  <c r="AA10" i="38"/>
  <c r="A5" i="38"/>
  <c r="A4" i="38"/>
  <c r="A3" i="38"/>
  <c r="A2" i="38"/>
  <c r="B10" i="38"/>
  <c r="A9" i="38"/>
  <c r="A8" i="38"/>
  <c r="A7" i="38"/>
  <c r="A6" i="38"/>
  <c r="D10" i="38"/>
  <c r="C10" i="38"/>
  <c r="J10" i="38"/>
  <c r="AG10" i="38"/>
  <c r="AD10" i="38"/>
  <c r="AC10" i="38"/>
  <c r="AL10" i="38"/>
  <c r="AK10" i="38"/>
  <c r="AJ10" i="38"/>
  <c r="AI10" i="38"/>
  <c r="AH10" i="38"/>
  <c r="AQ10" i="38"/>
  <c r="AP10" i="38"/>
  <c r="AO10" i="38"/>
  <c r="AN10" i="38"/>
  <c r="AM10" i="38"/>
  <c r="AV10" i="38"/>
  <c r="AU10" i="38"/>
  <c r="AT10" i="38"/>
  <c r="AS10" i="38"/>
  <c r="AR10" i="38"/>
  <c r="BA10" i="38"/>
  <c r="AZ10" i="38"/>
  <c r="AY10" i="38"/>
  <c r="AX10" i="38"/>
  <c r="AW10" i="38"/>
  <c r="BF10" i="38"/>
  <c r="BE10" i="38"/>
  <c r="BD10" i="38"/>
  <c r="BC10" i="38"/>
  <c r="BB10" i="38"/>
  <c r="BK10" i="38"/>
  <c r="BJ10" i="38"/>
  <c r="BI10" i="38"/>
  <c r="BH10" i="38"/>
  <c r="BG10" i="38"/>
  <c r="BP10" i="38"/>
  <c r="BO10" i="38"/>
  <c r="BN10" i="38"/>
  <c r="BM10" i="38"/>
  <c r="BL10" i="38"/>
  <c r="BV10" i="38"/>
  <c r="BU10" i="38"/>
  <c r="BT10" i="38"/>
  <c r="BS10" i="38"/>
  <c r="BR10" i="38"/>
  <c r="CA10" i="38"/>
  <c r="BZ10" i="38"/>
  <c r="BY10" i="38"/>
  <c r="BX10" i="38"/>
  <c r="BW10" i="38"/>
  <c r="CF10" i="38"/>
  <c r="CE10" i="38"/>
  <c r="CD10" i="38"/>
  <c r="CC10" i="38"/>
  <c r="CB10" i="38"/>
  <c r="CH10" i="38"/>
  <c r="CG10" i="38"/>
  <c r="C472" i="37"/>
  <c r="C2" i="37"/>
  <c r="B2" i="37"/>
  <c r="M2" i="37"/>
  <c r="C58" i="37"/>
  <c r="B58" i="37"/>
  <c r="M58" i="37"/>
  <c r="C61" i="37"/>
  <c r="B61" i="37"/>
  <c r="M61" i="37"/>
  <c r="C65" i="37"/>
  <c r="B65" i="37"/>
  <c r="C66" i="37"/>
  <c r="B66" i="37"/>
  <c r="M65" i="37"/>
  <c r="M66" i="37"/>
  <c r="C68" i="37"/>
  <c r="B68" i="37"/>
  <c r="M68" i="37"/>
  <c r="C72" i="37"/>
  <c r="B72" i="37"/>
  <c r="C73" i="37"/>
  <c r="B73" i="37"/>
  <c r="M72" i="37"/>
  <c r="M73" i="37"/>
  <c r="C95" i="37"/>
  <c r="B95" i="37"/>
  <c r="M95" i="37"/>
  <c r="C122" i="37"/>
  <c r="B122" i="37"/>
  <c r="C123" i="37"/>
  <c r="B123" i="37"/>
  <c r="M122" i="37"/>
  <c r="M123" i="37"/>
  <c r="C125" i="37"/>
  <c r="B125" i="37"/>
  <c r="M125" i="37"/>
  <c r="C127" i="37"/>
  <c r="B127" i="37"/>
  <c r="C128" i="37"/>
  <c r="B128" i="37"/>
  <c r="M127" i="37"/>
  <c r="M128" i="37"/>
  <c r="C130" i="37"/>
  <c r="B130" i="37"/>
  <c r="C131" i="37"/>
  <c r="B131" i="37"/>
  <c r="M130" i="37"/>
  <c r="M131" i="37"/>
  <c r="C132" i="37"/>
  <c r="B132" i="37"/>
  <c r="C133" i="37"/>
  <c r="B133" i="37"/>
  <c r="M132" i="37"/>
  <c r="M133" i="37"/>
  <c r="C240" i="37"/>
  <c r="B240" i="37"/>
  <c r="M240" i="37"/>
  <c r="C277" i="37"/>
  <c r="B277" i="37"/>
  <c r="C278" i="37"/>
  <c r="B278" i="37"/>
  <c r="M277" i="37"/>
  <c r="B279" i="37"/>
  <c r="M278" i="37"/>
  <c r="C279" i="37"/>
  <c r="C280" i="37"/>
  <c r="B280" i="37"/>
  <c r="M279" i="37"/>
  <c r="M280" i="37"/>
  <c r="C370" i="37"/>
  <c r="B370" i="37"/>
  <c r="C371" i="37"/>
  <c r="B371" i="37"/>
  <c r="M370" i="37"/>
  <c r="M371" i="37"/>
  <c r="C390" i="37"/>
  <c r="B390" i="37"/>
  <c r="M390" i="37"/>
  <c r="C426" i="37"/>
  <c r="B426" i="37"/>
  <c r="M426" i="37"/>
  <c r="C427" i="37"/>
  <c r="B427" i="37"/>
  <c r="C428" i="37"/>
  <c r="B428" i="37"/>
  <c r="M427" i="37"/>
  <c r="B429" i="37"/>
  <c r="M428" i="37"/>
  <c r="C429" i="37"/>
  <c r="C430" i="37"/>
  <c r="B430" i="37"/>
  <c r="M429" i="37"/>
  <c r="C431" i="37"/>
  <c r="B431" i="37"/>
  <c r="M430" i="37"/>
  <c r="M431" i="37"/>
  <c r="C432" i="37"/>
  <c r="B432" i="37"/>
  <c r="M432" i="37"/>
  <c r="C440" i="37"/>
  <c r="B440" i="37"/>
  <c r="M440" i="37"/>
  <c r="C468" i="37"/>
  <c r="B468" i="37"/>
  <c r="B469" i="37"/>
  <c r="M468" i="37"/>
  <c r="C469" i="37"/>
  <c r="C470" i="37"/>
  <c r="B470" i="37"/>
  <c r="M469" i="37"/>
  <c r="C471" i="37"/>
  <c r="B471" i="37"/>
  <c r="M470" i="37"/>
  <c r="M471" i="37"/>
  <c r="B472" i="37"/>
  <c r="C479" i="37"/>
  <c r="B479" i="37"/>
  <c r="M472" i="37"/>
  <c r="B480" i="37"/>
  <c r="M479" i="37"/>
  <c r="C480" i="37"/>
  <c r="C481" i="37"/>
  <c r="B481" i="37"/>
  <c r="M480" i="37"/>
  <c r="C482" i="37"/>
  <c r="B482" i="37"/>
  <c r="M481" i="37"/>
  <c r="M482" i="37"/>
  <c r="C483" i="37"/>
  <c r="B483" i="37"/>
  <c r="C484" i="37"/>
  <c r="B484" i="37"/>
  <c r="M483" i="37"/>
  <c r="B485" i="37"/>
  <c r="M484" i="37"/>
  <c r="C485" i="37"/>
  <c r="C486" i="37"/>
  <c r="B486" i="37"/>
  <c r="M485" i="37"/>
  <c r="C487" i="37"/>
  <c r="B487" i="37"/>
  <c r="M486" i="37"/>
  <c r="M487" i="37"/>
  <c r="C488" i="37"/>
  <c r="B488" i="37"/>
  <c r="C489" i="37"/>
  <c r="B489" i="37"/>
  <c r="M488" i="37"/>
  <c r="B490" i="37"/>
  <c r="M489" i="37"/>
  <c r="C490" i="37"/>
  <c r="C491" i="37"/>
  <c r="B491" i="37"/>
  <c r="M490" i="37"/>
  <c r="C492" i="37"/>
  <c r="B492" i="37"/>
  <c r="M491" i="37"/>
  <c r="M492" i="37"/>
  <c r="C493" i="37"/>
  <c r="B493" i="37"/>
  <c r="C494" i="37"/>
  <c r="B494" i="37"/>
  <c r="M493" i="37"/>
  <c r="B495" i="37"/>
  <c r="M494" i="37"/>
  <c r="C495" i="37"/>
  <c r="C496" i="37"/>
  <c r="B496" i="37"/>
  <c r="M495" i="37"/>
  <c r="C497" i="37"/>
  <c r="B497" i="37"/>
  <c r="M496" i="37"/>
  <c r="M497" i="37"/>
  <c r="C498" i="37"/>
  <c r="B498" i="37"/>
  <c r="C499" i="37"/>
  <c r="B499" i="37"/>
  <c r="M498" i="37"/>
  <c r="B500" i="37"/>
  <c r="M499" i="37"/>
  <c r="C500" i="37"/>
  <c r="C501" i="37"/>
  <c r="B501" i="37"/>
  <c r="M500" i="37"/>
  <c r="C502" i="37"/>
  <c r="B502" i="37"/>
  <c r="M501" i="37"/>
  <c r="M502" i="37"/>
  <c r="C503" i="37"/>
  <c r="B503" i="37"/>
  <c r="C504" i="37"/>
  <c r="B504" i="37"/>
  <c r="M503" i="37"/>
  <c r="B505" i="37"/>
  <c r="M504" i="37"/>
  <c r="C505" i="37"/>
  <c r="C506" i="37"/>
  <c r="B506" i="37"/>
  <c r="M505" i="37"/>
  <c r="C507" i="37"/>
  <c r="B507" i="37"/>
  <c r="M506" i="37"/>
  <c r="M507" i="37"/>
  <c r="C508" i="37"/>
  <c r="B508" i="37"/>
  <c r="C509" i="37"/>
  <c r="B509" i="37"/>
  <c r="M508" i="37"/>
  <c r="B510" i="37"/>
  <c r="M509" i="37"/>
  <c r="C510" i="37"/>
  <c r="C511" i="37"/>
  <c r="B511" i="37"/>
  <c r="M510" i="37"/>
  <c r="C512" i="37"/>
  <c r="B512" i="37"/>
  <c r="M511" i="37"/>
  <c r="M512" i="37"/>
  <c r="C513" i="37"/>
  <c r="B513" i="37"/>
  <c r="C514" i="37"/>
  <c r="B514" i="37"/>
  <c r="M513" i="37"/>
  <c r="B515" i="37"/>
  <c r="M514" i="37"/>
  <c r="C515" i="37"/>
  <c r="C516" i="37"/>
  <c r="B516" i="37"/>
  <c r="M515" i="37"/>
  <c r="M516" i="37"/>
  <c r="C518" i="37"/>
  <c r="B518" i="37"/>
  <c r="C519" i="37"/>
  <c r="B519" i="37"/>
  <c r="M518" i="37"/>
  <c r="B520" i="37"/>
  <c r="M519" i="37"/>
  <c r="C520" i="37"/>
  <c r="C521" i="37"/>
  <c r="B521" i="37"/>
  <c r="M520" i="37"/>
  <c r="C522" i="37"/>
  <c r="B522" i="37"/>
  <c r="M521" i="37"/>
  <c r="M522" i="37"/>
  <c r="C523" i="37"/>
  <c r="B523" i="37"/>
  <c r="C524" i="37"/>
  <c r="B524" i="37"/>
  <c r="M523" i="37"/>
  <c r="B525" i="37"/>
  <c r="M524" i="37"/>
  <c r="C525" i="37"/>
  <c r="C526" i="37"/>
  <c r="B526" i="37"/>
  <c r="M525" i="37"/>
  <c r="C527" i="37"/>
  <c r="B527" i="37"/>
  <c r="M526" i="37"/>
  <c r="M527" i="37"/>
  <c r="C528" i="37"/>
  <c r="B528" i="37"/>
  <c r="C529" i="37"/>
  <c r="B529" i="37"/>
  <c r="M528" i="37"/>
  <c r="B530" i="37"/>
  <c r="M529" i="37"/>
  <c r="C530" i="37"/>
  <c r="C531" i="37"/>
  <c r="B531" i="37"/>
  <c r="M530" i="37"/>
  <c r="C532" i="37"/>
  <c r="B532" i="37"/>
  <c r="M531" i="37"/>
  <c r="M532" i="37"/>
  <c r="C533" i="37"/>
  <c r="B533" i="37"/>
  <c r="C534" i="37"/>
  <c r="B534" i="37"/>
  <c r="M533" i="37"/>
  <c r="B535" i="37"/>
  <c r="M534" i="37"/>
  <c r="C535" i="37"/>
  <c r="C536" i="37"/>
  <c r="B536" i="37"/>
  <c r="M535" i="37"/>
  <c r="M536" i="37"/>
  <c r="E5" i="38"/>
  <c r="F5" i="38"/>
  <c r="G5" i="38"/>
  <c r="L5" i="38"/>
  <c r="M5" i="38"/>
  <c r="N5" i="38"/>
  <c r="O5" i="38"/>
  <c r="Q5" i="38"/>
  <c r="R5" i="38"/>
  <c r="S5" i="38"/>
  <c r="T5" i="38"/>
  <c r="U5" i="38"/>
  <c r="V5" i="38"/>
  <c r="W5" i="38"/>
  <c r="X5" i="38"/>
  <c r="Y5" i="38"/>
  <c r="Z5" i="38"/>
  <c r="AA5" i="38"/>
  <c r="AB5" i="38"/>
  <c r="CH5" i="38"/>
  <c r="CG5" i="38"/>
  <c r="CF5" i="38"/>
  <c r="CE5" i="38"/>
  <c r="CD5" i="38"/>
  <c r="CC5" i="38"/>
  <c r="CB5" i="38"/>
  <c r="CA5" i="38"/>
  <c r="BZ5" i="38"/>
  <c r="BY5" i="38"/>
  <c r="BX5" i="38"/>
  <c r="BW5" i="38"/>
  <c r="BV5" i="38"/>
  <c r="BU5" i="38"/>
  <c r="BT5" i="38"/>
  <c r="BS5" i="38"/>
  <c r="BR5" i="38"/>
  <c r="BP5" i="38"/>
  <c r="BO5" i="38"/>
  <c r="BN5" i="38"/>
  <c r="BM5" i="38"/>
  <c r="BL5" i="38"/>
  <c r="BK5" i="38"/>
  <c r="BJ5" i="38"/>
  <c r="BI5" i="38"/>
  <c r="BH5" i="38"/>
  <c r="BG5" i="38"/>
  <c r="BF5" i="38"/>
  <c r="BE5" i="38"/>
  <c r="BD5" i="38"/>
  <c r="BC5" i="38"/>
  <c r="BB5" i="38"/>
  <c r="BA5" i="38"/>
  <c r="AZ5" i="38"/>
  <c r="AY5" i="38"/>
  <c r="AX5" i="38"/>
  <c r="AW5" i="38"/>
  <c r="AV5" i="38"/>
  <c r="AU5" i="38"/>
  <c r="AT5" i="38"/>
  <c r="AS5" i="38"/>
  <c r="AR5" i="38"/>
  <c r="AQ5" i="38"/>
  <c r="AP5" i="38"/>
  <c r="AO5" i="38"/>
  <c r="AN5" i="38"/>
  <c r="AM5" i="38"/>
  <c r="AL5" i="38"/>
  <c r="AK5" i="38"/>
  <c r="AJ5" i="38"/>
  <c r="AI5" i="38"/>
  <c r="AH5" i="38"/>
  <c r="AG5" i="38"/>
  <c r="AD5" i="38"/>
  <c r="AC5" i="38"/>
  <c r="J5" i="38"/>
  <c r="D5" i="38"/>
  <c r="C5" i="38"/>
  <c r="B5" i="38"/>
  <c r="E4" i="38"/>
  <c r="F4" i="38"/>
  <c r="G4" i="38"/>
  <c r="L4" i="38"/>
  <c r="M4" i="38"/>
  <c r="N4" i="38"/>
  <c r="O4" i="38"/>
  <c r="Q4" i="38"/>
  <c r="R4" i="38"/>
  <c r="S4" i="38"/>
  <c r="T4" i="38"/>
  <c r="U4" i="38"/>
  <c r="V4" i="38"/>
  <c r="W4" i="38"/>
  <c r="X4" i="38"/>
  <c r="Y4" i="38"/>
  <c r="Z4" i="38"/>
  <c r="AA4" i="38"/>
  <c r="AB4" i="38"/>
  <c r="CH4" i="38"/>
  <c r="CG4" i="38"/>
  <c r="CF4" i="38"/>
  <c r="CE4" i="38"/>
  <c r="CD4" i="38"/>
  <c r="CC4" i="38"/>
  <c r="CB4" i="38"/>
  <c r="CA4" i="38"/>
  <c r="BZ4" i="38"/>
  <c r="BY4" i="38"/>
  <c r="BX4" i="38"/>
  <c r="BW4" i="38"/>
  <c r="BV4" i="38"/>
  <c r="BU4" i="38"/>
  <c r="BT4" i="38"/>
  <c r="BS4" i="38"/>
  <c r="BR4" i="38"/>
  <c r="BP4" i="38"/>
  <c r="BO4" i="38"/>
  <c r="BN4" i="38"/>
  <c r="BM4" i="38"/>
  <c r="BL4" i="38"/>
  <c r="BK4" i="38"/>
  <c r="BJ4" i="38"/>
  <c r="BI4" i="38"/>
  <c r="BH4" i="38"/>
  <c r="BG4" i="38"/>
  <c r="BF4" i="38"/>
  <c r="BE4" i="38"/>
  <c r="BD4" i="38"/>
  <c r="BC4" i="38"/>
  <c r="BB4" i="38"/>
  <c r="BA4" i="38"/>
  <c r="AZ4" i="38"/>
  <c r="AY4" i="38"/>
  <c r="AX4" i="38"/>
  <c r="AW4" i="38"/>
  <c r="AV4" i="38"/>
  <c r="AU4" i="38"/>
  <c r="AT4" i="38"/>
  <c r="AS4" i="38"/>
  <c r="AR4" i="38"/>
  <c r="AQ4" i="38"/>
  <c r="AP4" i="38"/>
  <c r="AO4" i="38"/>
  <c r="AN4" i="38"/>
  <c r="AM4" i="38"/>
  <c r="AL4" i="38"/>
  <c r="AK4" i="38"/>
  <c r="AJ4" i="38"/>
  <c r="AI4" i="38"/>
  <c r="AH4" i="38"/>
  <c r="AG4" i="38"/>
  <c r="AD4" i="38"/>
  <c r="AC4" i="38"/>
  <c r="J4" i="38"/>
  <c r="D4" i="38"/>
  <c r="C4" i="38"/>
  <c r="B4" i="38"/>
  <c r="E3" i="38"/>
  <c r="F3" i="38"/>
  <c r="G3" i="38"/>
  <c r="L3" i="38"/>
  <c r="M3" i="38"/>
  <c r="N3" i="38"/>
  <c r="O3" i="38"/>
  <c r="Q3" i="38"/>
  <c r="R3" i="38"/>
  <c r="S3" i="38"/>
  <c r="T3" i="38"/>
  <c r="U3" i="38"/>
  <c r="V3" i="38"/>
  <c r="W3" i="38"/>
  <c r="X3" i="38"/>
  <c r="Y3" i="38"/>
  <c r="Z3" i="38"/>
  <c r="AA3" i="38"/>
  <c r="AB3" i="38"/>
  <c r="CH3" i="38"/>
  <c r="CG3" i="38"/>
  <c r="CF3" i="38"/>
  <c r="CE3" i="38"/>
  <c r="CD3" i="38"/>
  <c r="CC3" i="38"/>
  <c r="CB3" i="38"/>
  <c r="CA3" i="38"/>
  <c r="BZ3" i="38"/>
  <c r="BY3" i="38"/>
  <c r="BX3" i="38"/>
  <c r="BW3" i="38"/>
  <c r="BV3" i="38"/>
  <c r="BU3" i="38"/>
  <c r="BT3" i="38"/>
  <c r="BS3" i="38"/>
  <c r="BR3" i="38"/>
  <c r="BP3" i="38"/>
  <c r="BO3" i="38"/>
  <c r="BN3" i="38"/>
  <c r="BM3" i="38"/>
  <c r="BL3" i="38"/>
  <c r="BK3" i="38"/>
  <c r="BJ3" i="38"/>
  <c r="BI3" i="38"/>
  <c r="BH3" i="38"/>
  <c r="BG3" i="38"/>
  <c r="BF3" i="38"/>
  <c r="BE3" i="38"/>
  <c r="BD3" i="38"/>
  <c r="BC3" i="38"/>
  <c r="BB3" i="38"/>
  <c r="BA3" i="38"/>
  <c r="AZ3" i="38"/>
  <c r="AY3" i="38"/>
  <c r="AX3" i="38"/>
  <c r="AW3" i="38"/>
  <c r="AV3" i="38"/>
  <c r="AU3" i="38"/>
  <c r="AT3" i="38"/>
  <c r="AS3" i="38"/>
  <c r="AR3" i="38"/>
  <c r="AQ3" i="38"/>
  <c r="AP3" i="38"/>
  <c r="AO3" i="38"/>
  <c r="AN3" i="38"/>
  <c r="AM3" i="38"/>
  <c r="AL3" i="38"/>
  <c r="AK3" i="38"/>
  <c r="AJ3" i="38"/>
  <c r="AI3" i="38"/>
  <c r="AH3" i="38"/>
  <c r="AG3" i="38"/>
  <c r="AD3" i="38"/>
  <c r="AC3" i="38"/>
  <c r="J3" i="38"/>
  <c r="D3" i="38"/>
  <c r="C3" i="38"/>
  <c r="B3" i="38"/>
  <c r="E2" i="38"/>
  <c r="F2" i="38"/>
  <c r="G2" i="38"/>
  <c r="L2" i="38"/>
  <c r="M2" i="38"/>
  <c r="N2" i="38"/>
  <c r="O2" i="38"/>
  <c r="Q2" i="38"/>
  <c r="R2" i="38"/>
  <c r="S2" i="38"/>
  <c r="T2" i="38"/>
  <c r="U2" i="38"/>
  <c r="V2" i="38"/>
  <c r="W2" i="38"/>
  <c r="X2" i="38"/>
  <c r="Y2" i="38"/>
  <c r="Z2" i="38"/>
  <c r="AA2" i="38"/>
  <c r="AB2" i="38"/>
  <c r="CH2" i="38"/>
  <c r="CG2" i="38"/>
  <c r="CF2" i="38"/>
  <c r="CE2" i="38"/>
  <c r="CD2" i="38"/>
  <c r="CC2" i="38"/>
  <c r="CB2" i="38"/>
  <c r="CA2" i="38"/>
  <c r="BZ2" i="38"/>
  <c r="BY2" i="38"/>
  <c r="BX2" i="38"/>
  <c r="BW2" i="38"/>
  <c r="BV2" i="38"/>
  <c r="BU2" i="38"/>
  <c r="BT2" i="38"/>
  <c r="BS2" i="38"/>
  <c r="BR2" i="38"/>
  <c r="BP2" i="38"/>
  <c r="BO2" i="38"/>
  <c r="BN2" i="38"/>
  <c r="BM2" i="38"/>
  <c r="BL2" i="38"/>
  <c r="BK2" i="38"/>
  <c r="BJ2" i="38"/>
  <c r="BI2" i="38"/>
  <c r="BH2" i="38"/>
  <c r="BG2" i="38"/>
  <c r="BF2" i="38"/>
  <c r="BE2" i="38"/>
  <c r="BD2" i="38"/>
  <c r="BC2" i="38"/>
  <c r="BB2" i="38"/>
  <c r="BA2" i="38"/>
  <c r="AZ2" i="38"/>
  <c r="AY2" i="38"/>
  <c r="AX2" i="38"/>
  <c r="AW2" i="38"/>
  <c r="AV2" i="38"/>
  <c r="AU2" i="38"/>
  <c r="AT2" i="38"/>
  <c r="AS2" i="38"/>
  <c r="AR2" i="38"/>
  <c r="AQ2" i="38"/>
  <c r="AP2" i="38"/>
  <c r="AO2" i="38"/>
  <c r="AN2" i="38"/>
  <c r="AM2" i="38"/>
  <c r="AL2" i="38"/>
  <c r="AJ2" i="38"/>
  <c r="AI2" i="38"/>
  <c r="AH2" i="38"/>
  <c r="AD2" i="38"/>
  <c r="J2" i="38"/>
  <c r="D2" i="38"/>
  <c r="C2" i="38"/>
  <c r="B2" i="38"/>
  <c r="E9" i="38"/>
  <c r="F9" i="38"/>
  <c r="G9" i="38"/>
  <c r="L9" i="38"/>
  <c r="M9" i="38"/>
  <c r="N9" i="38"/>
  <c r="O9" i="38"/>
  <c r="Q9" i="38"/>
  <c r="R9" i="38"/>
  <c r="S9" i="38"/>
  <c r="T9" i="38"/>
  <c r="U9" i="38"/>
  <c r="V9" i="38"/>
  <c r="W9" i="38"/>
  <c r="X9" i="38"/>
  <c r="Y9" i="38"/>
  <c r="Z9" i="38"/>
  <c r="AA9" i="38"/>
  <c r="AB9" i="38"/>
  <c r="CH9" i="38"/>
  <c r="CG9" i="38"/>
  <c r="CF9" i="38"/>
  <c r="CE9" i="38"/>
  <c r="CD9" i="38"/>
  <c r="CC9" i="38"/>
  <c r="CB9" i="38"/>
  <c r="CA9" i="38"/>
  <c r="BZ9" i="38"/>
  <c r="BY9" i="38"/>
  <c r="BX9" i="38"/>
  <c r="BW9" i="38"/>
  <c r="BV9" i="38"/>
  <c r="BU9" i="38"/>
  <c r="BT9" i="38"/>
  <c r="BS9" i="38"/>
  <c r="BR9" i="38"/>
  <c r="BP9" i="38"/>
  <c r="BO9" i="38"/>
  <c r="BN9" i="38"/>
  <c r="BM9" i="38"/>
  <c r="BL9" i="38"/>
  <c r="BK9" i="38"/>
  <c r="BJ9" i="38"/>
  <c r="BI9" i="38"/>
  <c r="BH9" i="38"/>
  <c r="BG9" i="38"/>
  <c r="BF9" i="38"/>
  <c r="BE9" i="38"/>
  <c r="BD9" i="38"/>
  <c r="BC9" i="38"/>
  <c r="BB9" i="38"/>
  <c r="BA9" i="38"/>
  <c r="AZ9" i="38"/>
  <c r="AY9" i="38"/>
  <c r="AX9" i="38"/>
  <c r="AW9" i="38"/>
  <c r="AV9" i="38"/>
  <c r="AU9" i="38"/>
  <c r="AT9" i="38"/>
  <c r="AS9" i="38"/>
  <c r="AR9" i="38"/>
  <c r="AQ9" i="38"/>
  <c r="AP9" i="38"/>
  <c r="AO9" i="38"/>
  <c r="AN9" i="38"/>
  <c r="AM9" i="38"/>
  <c r="AL9" i="38"/>
  <c r="AK9" i="38"/>
  <c r="AJ9" i="38"/>
  <c r="AI9" i="38"/>
  <c r="AH9" i="38"/>
  <c r="AG9" i="38"/>
  <c r="AD9" i="38"/>
  <c r="AC9" i="38"/>
  <c r="J9" i="38"/>
  <c r="D9" i="38"/>
  <c r="C9" i="38"/>
  <c r="B9" i="38"/>
  <c r="E8" i="38"/>
  <c r="F8" i="38"/>
  <c r="G8" i="38"/>
  <c r="L8" i="38"/>
  <c r="M8" i="38"/>
  <c r="N8" i="38"/>
  <c r="O8" i="38"/>
  <c r="Q8" i="38"/>
  <c r="R8" i="38"/>
  <c r="S8" i="38"/>
  <c r="T8" i="38"/>
  <c r="U8" i="38"/>
  <c r="V8" i="38"/>
  <c r="W8" i="38"/>
  <c r="X8" i="38"/>
  <c r="Y8" i="38"/>
  <c r="Z8" i="38"/>
  <c r="AA8" i="38"/>
  <c r="AB8" i="38"/>
  <c r="CH8" i="38"/>
  <c r="CG8" i="38"/>
  <c r="CF8" i="38"/>
  <c r="CE8" i="38"/>
  <c r="CD8" i="38"/>
  <c r="CC8" i="38"/>
  <c r="CB8" i="38"/>
  <c r="CA8" i="38"/>
  <c r="BZ8" i="38"/>
  <c r="BY8" i="38"/>
  <c r="BX8" i="38"/>
  <c r="BW8" i="38"/>
  <c r="BV8" i="38"/>
  <c r="BU8" i="38"/>
  <c r="BT8" i="38"/>
  <c r="BS8" i="38"/>
  <c r="BR8" i="38"/>
  <c r="BP8" i="38"/>
  <c r="BO8" i="38"/>
  <c r="BN8" i="38"/>
  <c r="BM8" i="38"/>
  <c r="BL8" i="38"/>
  <c r="BK8" i="38"/>
  <c r="BJ8" i="38"/>
  <c r="BI8" i="38"/>
  <c r="BH8" i="38"/>
  <c r="BG8" i="38"/>
  <c r="BF8" i="38"/>
  <c r="BE8" i="38"/>
  <c r="BD8" i="38"/>
  <c r="BC8" i="38"/>
  <c r="BB8" i="38"/>
  <c r="BA8" i="38"/>
  <c r="AZ8" i="38"/>
  <c r="AY8" i="38"/>
  <c r="AX8" i="38"/>
  <c r="AW8" i="38"/>
  <c r="AV8" i="38"/>
  <c r="AU8" i="38"/>
  <c r="AT8" i="38"/>
  <c r="AS8" i="38"/>
  <c r="AR8" i="38"/>
  <c r="AQ8" i="38"/>
  <c r="AP8" i="38"/>
  <c r="AO8" i="38"/>
  <c r="AN8" i="38"/>
  <c r="AM8" i="38"/>
  <c r="AL8" i="38"/>
  <c r="AK8" i="38"/>
  <c r="AJ8" i="38"/>
  <c r="AI8" i="38"/>
  <c r="AH8" i="38"/>
  <c r="AG8" i="38"/>
  <c r="AD8" i="38"/>
  <c r="AC8" i="38"/>
  <c r="J8" i="38"/>
  <c r="D8" i="38"/>
  <c r="C8" i="38"/>
  <c r="B8" i="38"/>
  <c r="E7" i="38"/>
  <c r="F7" i="38"/>
  <c r="G7" i="38"/>
  <c r="L7" i="38"/>
  <c r="M7" i="38"/>
  <c r="N7" i="38"/>
  <c r="O7" i="38"/>
  <c r="Q7" i="38"/>
  <c r="R7" i="38"/>
  <c r="S7" i="38"/>
  <c r="T7" i="38"/>
  <c r="U7" i="38"/>
  <c r="V7" i="38"/>
  <c r="W7" i="38"/>
  <c r="X7" i="38"/>
  <c r="Y7" i="38"/>
  <c r="Z7" i="38"/>
  <c r="AA7" i="38"/>
  <c r="AB7" i="38"/>
  <c r="CH7" i="38"/>
  <c r="CG7" i="38"/>
  <c r="CF7" i="38"/>
  <c r="CE7" i="38"/>
  <c r="CD7" i="38"/>
  <c r="CC7" i="38"/>
  <c r="CB7" i="38"/>
  <c r="CA7" i="38"/>
  <c r="BZ7" i="38"/>
  <c r="BY7" i="38"/>
  <c r="BX7" i="38"/>
  <c r="BW7" i="38"/>
  <c r="BV7" i="38"/>
  <c r="BU7" i="38"/>
  <c r="BT7" i="38"/>
  <c r="BS7" i="38"/>
  <c r="BR7" i="38"/>
  <c r="BP7" i="38"/>
  <c r="BO7" i="38"/>
  <c r="BN7" i="38"/>
  <c r="BM7" i="38"/>
  <c r="BL7" i="38"/>
  <c r="BK7" i="38"/>
  <c r="BJ7" i="38"/>
  <c r="BI7" i="38"/>
  <c r="BH7" i="38"/>
  <c r="BG7" i="38"/>
  <c r="BF7" i="38"/>
  <c r="BE7" i="38"/>
  <c r="BD7" i="38"/>
  <c r="BC7" i="38"/>
  <c r="BB7" i="38"/>
  <c r="BA7" i="38"/>
  <c r="AZ7" i="38"/>
  <c r="AY7" i="38"/>
  <c r="AX7" i="38"/>
  <c r="AW7" i="38"/>
  <c r="AV7" i="38"/>
  <c r="AU7" i="38"/>
  <c r="AT7" i="38"/>
  <c r="AS7" i="38"/>
  <c r="AR7" i="38"/>
  <c r="AQ7" i="38"/>
  <c r="AP7" i="38"/>
  <c r="AO7" i="38"/>
  <c r="AN7" i="38"/>
  <c r="AM7" i="38"/>
  <c r="AL7" i="38"/>
  <c r="AK7" i="38"/>
  <c r="AJ7" i="38"/>
  <c r="AI7" i="38"/>
  <c r="AH7" i="38"/>
  <c r="AG7" i="38"/>
  <c r="AD7" i="38"/>
  <c r="AC7" i="38"/>
  <c r="J7" i="38"/>
  <c r="D7" i="38"/>
  <c r="C7" i="38"/>
  <c r="B7" i="38"/>
  <c r="E6" i="38"/>
  <c r="F6" i="38"/>
  <c r="G6" i="38"/>
  <c r="L6" i="38"/>
  <c r="M6" i="38"/>
  <c r="N6" i="38"/>
  <c r="O6" i="38"/>
  <c r="Q6" i="38"/>
  <c r="R6" i="38"/>
  <c r="S6" i="38"/>
  <c r="T6" i="38"/>
  <c r="U6" i="38"/>
  <c r="V6" i="38"/>
  <c r="W6" i="38"/>
  <c r="X6" i="38"/>
  <c r="Y6" i="38"/>
  <c r="Z6" i="38"/>
  <c r="AA6" i="38"/>
  <c r="AB6" i="38"/>
  <c r="CH6" i="38"/>
  <c r="CG6" i="38"/>
  <c r="CF6" i="38"/>
  <c r="CE6" i="38"/>
  <c r="CD6" i="38"/>
  <c r="CC6" i="38"/>
  <c r="CB6" i="38"/>
  <c r="CA6" i="38"/>
  <c r="BZ6" i="38"/>
  <c r="BY6" i="38"/>
  <c r="BX6" i="38"/>
  <c r="BW6" i="38"/>
  <c r="BV6" i="38"/>
  <c r="BU6" i="38"/>
  <c r="BT6" i="38"/>
  <c r="BS6" i="38"/>
  <c r="BR6" i="38"/>
  <c r="BP6" i="38"/>
  <c r="BO6" i="38"/>
  <c r="BN6" i="38"/>
  <c r="BM6" i="38"/>
  <c r="BL6" i="38"/>
  <c r="BK6" i="38"/>
  <c r="BJ6" i="38"/>
  <c r="BI6" i="38"/>
  <c r="BH6" i="38"/>
  <c r="BG6" i="38"/>
  <c r="BF6" i="38"/>
  <c r="BE6" i="38"/>
  <c r="BD6" i="38"/>
  <c r="BC6" i="38"/>
  <c r="BB6" i="38"/>
  <c r="BA6" i="38"/>
  <c r="AZ6" i="38"/>
  <c r="AY6" i="38"/>
  <c r="AX6" i="38"/>
  <c r="AW6" i="38"/>
  <c r="AV6" i="38"/>
  <c r="AU6" i="38"/>
  <c r="AT6" i="38"/>
  <c r="AS6" i="38"/>
  <c r="AR6" i="38"/>
  <c r="AQ6" i="38"/>
  <c r="AP6" i="38"/>
  <c r="AO6" i="38"/>
  <c r="AN6" i="38"/>
  <c r="AM6" i="38"/>
  <c r="AL6" i="38"/>
  <c r="AK6" i="38"/>
  <c r="AJ6" i="38"/>
  <c r="AI6" i="38"/>
  <c r="AH6" i="38"/>
  <c r="AG6" i="38"/>
  <c r="AD6" i="38"/>
  <c r="AC6" i="38"/>
  <c r="J6" i="38"/>
  <c r="D6" i="38"/>
  <c r="C6" i="38"/>
  <c r="B6" i="38"/>
  <c r="C478" i="37"/>
  <c r="C477" i="37"/>
  <c r="C476" i="37"/>
  <c r="C475" i="37"/>
  <c r="C474" i="37"/>
  <c r="C473" i="37"/>
  <c r="B478" i="37"/>
  <c r="B477" i="37"/>
  <c r="B476" i="37"/>
  <c r="B475" i="37"/>
  <c r="B474" i="37"/>
  <c r="B473" i="37"/>
  <c r="M478" i="37"/>
  <c r="M477" i="37"/>
  <c r="M476" i="37"/>
  <c r="M475" i="37"/>
  <c r="M474" i="37"/>
  <c r="M473" i="37"/>
  <c r="AK2" i="38"/>
  <c r="AG2" i="38"/>
  <c r="AC2" i="38"/>
  <c r="K6" i="38" l="1"/>
  <c r="P6" i="38" s="1"/>
  <c r="BQ6" i="38"/>
  <c r="H6" i="38"/>
  <c r="I6" i="38"/>
  <c r="K7" i="38"/>
  <c r="P7" i="38" s="1"/>
  <c r="BQ7" i="38"/>
  <c r="H7" i="38"/>
  <c r="I7" i="38"/>
  <c r="K8" i="38"/>
  <c r="P8" i="38" s="1"/>
  <c r="BQ8" i="38"/>
  <c r="H8" i="38"/>
  <c r="I8" i="38"/>
  <c r="K9" i="38"/>
  <c r="P9" i="38" s="1"/>
  <c r="BQ9" i="38"/>
  <c r="H9" i="38"/>
  <c r="I9" i="38"/>
  <c r="K2" i="38"/>
  <c r="P2" i="38" s="1"/>
  <c r="BQ2" i="38"/>
  <c r="I2" i="38"/>
  <c r="H2" i="38"/>
  <c r="K3" i="38"/>
  <c r="P3" i="38" s="1"/>
  <c r="BQ3" i="38"/>
  <c r="H3" i="38"/>
  <c r="I3" i="38"/>
  <c r="K4" i="38"/>
  <c r="P4" i="38" s="1"/>
  <c r="BQ4" i="38"/>
  <c r="H4" i="38"/>
  <c r="I4" i="38"/>
  <c r="K5" i="38"/>
  <c r="P5" i="38" s="1"/>
  <c r="BQ5" i="38"/>
  <c r="H5" i="38"/>
  <c r="I5" i="38"/>
  <c r="M2" i="40"/>
  <c r="B1" i="37"/>
  <c r="B2" i="40"/>
  <c r="B1" i="40" s="1"/>
  <c r="C2" i="40"/>
  <c r="C1" i="40" s="1"/>
  <c r="C1" i="37"/>
  <c r="K10" i="38"/>
  <c r="P10" i="38" s="1"/>
  <c r="BQ10" i="38"/>
  <c r="H10" i="38"/>
  <c r="I10" i="38"/>
  <c r="M121" i="40"/>
  <c r="M120" i="40"/>
  <c r="B121" i="40"/>
  <c r="C121" i="40"/>
  <c r="M119" i="40"/>
  <c r="B120" i="40"/>
  <c r="C120" i="40"/>
  <c r="C119" i="40"/>
  <c r="M118" i="40"/>
  <c r="B119" i="40"/>
  <c r="M117" i="40"/>
  <c r="B118" i="40"/>
  <c r="C118" i="40"/>
  <c r="B117" i="40"/>
  <c r="C117" i="40"/>
  <c r="M116" i="40"/>
  <c r="M115" i="40"/>
  <c r="B116" i="40"/>
  <c r="C116" i="40"/>
  <c r="M114" i="40"/>
  <c r="B115" i="40"/>
  <c r="C115" i="40"/>
  <c r="C114" i="40"/>
  <c r="M113" i="40"/>
  <c r="B114" i="40"/>
  <c r="M112" i="40"/>
  <c r="B113" i="40"/>
  <c r="C113" i="40"/>
  <c r="B112" i="40"/>
  <c r="C112" i="40"/>
  <c r="M111" i="40"/>
  <c r="M110" i="40"/>
  <c r="B111" i="40"/>
  <c r="C111" i="40"/>
  <c r="M109" i="40"/>
  <c r="B110" i="40"/>
  <c r="C110" i="40"/>
  <c r="C109" i="40"/>
  <c r="M108" i="40"/>
  <c r="B109" i="40"/>
  <c r="M107" i="40"/>
  <c r="B108" i="40"/>
  <c r="C108" i="40"/>
  <c r="B107" i="40"/>
  <c r="C107" i="40"/>
  <c r="M106" i="40"/>
  <c r="M105" i="40"/>
  <c r="B106" i="40"/>
  <c r="C106" i="40"/>
  <c r="M104" i="40"/>
  <c r="B105" i="40"/>
  <c r="C105" i="40"/>
  <c r="C104" i="40"/>
  <c r="M103" i="40"/>
  <c r="B104" i="40"/>
  <c r="M102" i="40"/>
  <c r="B103" i="40"/>
  <c r="C103" i="40"/>
  <c r="B102" i="40"/>
  <c r="C102" i="40"/>
  <c r="M101" i="40"/>
  <c r="M100" i="40"/>
  <c r="B101" i="40"/>
  <c r="C101" i="40"/>
  <c r="M99" i="40"/>
  <c r="B100" i="40"/>
  <c r="C100" i="40"/>
  <c r="C99" i="40"/>
  <c r="M98" i="40"/>
  <c r="B99" i="40"/>
  <c r="M97" i="40"/>
  <c r="B98" i="40"/>
  <c r="C98" i="40"/>
  <c r="B97" i="40"/>
  <c r="C97" i="40"/>
  <c r="M96" i="40"/>
  <c r="M95" i="40"/>
  <c r="B96" i="40"/>
  <c r="C96" i="40"/>
  <c r="M94" i="40"/>
  <c r="B95" i="40"/>
  <c r="C95" i="40"/>
  <c r="C94" i="40"/>
  <c r="M93" i="40"/>
  <c r="B94" i="40"/>
  <c r="M92" i="40"/>
  <c r="B93" i="40"/>
  <c r="C93" i="40"/>
  <c r="B92" i="40"/>
  <c r="C92" i="40"/>
  <c r="M91" i="40"/>
  <c r="M90" i="40"/>
  <c r="B91" i="40"/>
  <c r="C91" i="40"/>
  <c r="M89" i="40"/>
  <c r="B90" i="40"/>
  <c r="C90" i="40"/>
  <c r="C89" i="40"/>
  <c r="M88" i="40"/>
  <c r="B89" i="40"/>
  <c r="M87" i="40"/>
  <c r="B88" i="40"/>
  <c r="C88" i="40"/>
  <c r="B87" i="40"/>
  <c r="C87" i="40"/>
  <c r="M86" i="40"/>
  <c r="M85" i="40"/>
  <c r="B86" i="40"/>
  <c r="C86" i="40"/>
  <c r="M84" i="40"/>
  <c r="B85" i="40"/>
  <c r="C85" i="40"/>
  <c r="C84" i="40"/>
  <c r="M83" i="40"/>
  <c r="B84" i="40"/>
  <c r="M82" i="40"/>
  <c r="B83" i="40"/>
  <c r="C83" i="40"/>
  <c r="B82" i="40"/>
  <c r="C82" i="40"/>
  <c r="M81" i="40"/>
  <c r="M80" i="40"/>
  <c r="B81" i="40"/>
  <c r="C81" i="40"/>
  <c r="M79" i="40"/>
  <c r="B80" i="40"/>
  <c r="C80" i="40"/>
  <c r="C79" i="40"/>
  <c r="M78" i="40"/>
  <c r="B79" i="40"/>
  <c r="M77" i="40"/>
  <c r="B78" i="40"/>
  <c r="C78" i="40"/>
  <c r="B77" i="40"/>
  <c r="C77" i="40"/>
  <c r="M76" i="40"/>
  <c r="M75" i="40"/>
  <c r="B76" i="40"/>
  <c r="C76" i="40"/>
  <c r="M74" i="40"/>
  <c r="B75" i="40"/>
  <c r="C75" i="40"/>
  <c r="C74" i="40"/>
  <c r="M73" i="40"/>
  <c r="B74" i="40"/>
  <c r="M72" i="40"/>
  <c r="B73" i="40"/>
  <c r="C73" i="40"/>
  <c r="B72" i="40"/>
  <c r="C72" i="40"/>
  <c r="M71" i="40"/>
  <c r="M70" i="40"/>
  <c r="B71" i="40"/>
  <c r="C71" i="40"/>
  <c r="M69" i="40"/>
  <c r="B70" i="40"/>
  <c r="C70" i="40"/>
  <c r="C69" i="40"/>
  <c r="M68" i="40"/>
  <c r="B69" i="40"/>
  <c r="M67" i="40"/>
  <c r="B68" i="40"/>
  <c r="C68" i="40"/>
  <c r="B67" i="40"/>
  <c r="C67" i="40"/>
  <c r="M66" i="40"/>
  <c r="M65" i="40"/>
  <c r="B66" i="40"/>
  <c r="C66" i="40"/>
  <c r="M64" i="40"/>
  <c r="B65" i="40"/>
  <c r="C65" i="40"/>
  <c r="C64" i="40"/>
  <c r="M63" i="40"/>
  <c r="B64" i="40"/>
  <c r="M62" i="40"/>
  <c r="B63" i="40"/>
  <c r="C63" i="40"/>
  <c r="B62" i="40"/>
  <c r="C62" i="40"/>
  <c r="M61" i="40"/>
  <c r="M60" i="40"/>
  <c r="B61" i="40"/>
  <c r="C61" i="40"/>
  <c r="M59" i="40"/>
  <c r="B60" i="40"/>
  <c r="C60" i="40"/>
  <c r="C59" i="40"/>
  <c r="M58" i="40"/>
  <c r="B59" i="40"/>
  <c r="M57" i="40"/>
  <c r="B58" i="40"/>
  <c r="C58" i="40"/>
  <c r="B57" i="40"/>
  <c r="C57" i="40"/>
  <c r="M56" i="40"/>
  <c r="B56" i="40"/>
  <c r="C56" i="40"/>
  <c r="M55" i="40"/>
  <c r="M54" i="40"/>
  <c r="B55" i="40"/>
  <c r="C55" i="40"/>
  <c r="C54" i="40"/>
  <c r="M53" i="40"/>
  <c r="B54" i="40"/>
  <c r="M52" i="40"/>
  <c r="B53" i="40"/>
  <c r="C53" i="40"/>
  <c r="B52" i="40"/>
  <c r="C52" i="40"/>
  <c r="M51" i="40"/>
  <c r="M50" i="40"/>
  <c r="B51" i="40"/>
  <c r="C51" i="40"/>
  <c r="M49" i="40"/>
  <c r="B50" i="40"/>
  <c r="C50" i="40"/>
  <c r="C49" i="40"/>
  <c r="M48" i="40"/>
  <c r="B49" i="40"/>
  <c r="M47" i="40"/>
  <c r="B48" i="40"/>
  <c r="C48" i="40"/>
  <c r="B47" i="40"/>
  <c r="C47" i="40"/>
  <c r="M46" i="40"/>
  <c r="M45" i="40"/>
  <c r="B46" i="40"/>
  <c r="C46" i="40"/>
  <c r="M44" i="40"/>
  <c r="B45" i="40"/>
  <c r="C45" i="40"/>
  <c r="C44" i="40"/>
  <c r="M43" i="40"/>
  <c r="B44" i="40"/>
  <c r="M42" i="40"/>
  <c r="B43" i="40"/>
  <c r="C43" i="40"/>
  <c r="B42" i="40"/>
  <c r="C42" i="40"/>
  <c r="M41" i="40"/>
  <c r="M40" i="40"/>
  <c r="B41" i="40"/>
  <c r="C41" i="40"/>
  <c r="M39" i="40"/>
  <c r="B40" i="40"/>
  <c r="C40" i="40"/>
  <c r="C39" i="40"/>
  <c r="M38" i="40"/>
  <c r="B39" i="40"/>
  <c r="M37" i="40"/>
  <c r="B38" i="40"/>
  <c r="C38" i="40"/>
  <c r="B37" i="40"/>
  <c r="C37" i="40"/>
  <c r="M36" i="40"/>
  <c r="M35" i="40"/>
  <c r="B36" i="40"/>
  <c r="C36" i="40"/>
  <c r="M34" i="40"/>
  <c r="B35" i="40"/>
  <c r="C35" i="40"/>
  <c r="C34" i="40"/>
  <c r="M33" i="40"/>
  <c r="B34" i="40"/>
  <c r="M32" i="40"/>
  <c r="B33" i="40"/>
  <c r="C33" i="40"/>
  <c r="B32" i="40"/>
  <c r="C32" i="40"/>
  <c r="M31" i="40"/>
  <c r="M30" i="40"/>
  <c r="B31" i="40"/>
  <c r="C31" i="40"/>
  <c r="M29" i="40"/>
  <c r="B30" i="40"/>
  <c r="C30" i="40"/>
  <c r="C29" i="40"/>
  <c r="M28" i="40"/>
  <c r="B29" i="40"/>
  <c r="M27" i="40"/>
  <c r="B28" i="40"/>
  <c r="C28" i="40"/>
  <c r="B27" i="40"/>
  <c r="C27" i="40"/>
  <c r="M26" i="40"/>
  <c r="M25" i="40"/>
  <c r="B26" i="40"/>
  <c r="C26" i="40"/>
  <c r="M24" i="40"/>
  <c r="B25" i="40"/>
  <c r="C25" i="40"/>
  <c r="C24" i="40"/>
  <c r="M23" i="40"/>
  <c r="B24" i="40"/>
  <c r="M22" i="40"/>
  <c r="B23" i="40"/>
  <c r="C23" i="40"/>
  <c r="B22" i="40"/>
  <c r="C22" i="40"/>
  <c r="M21" i="40"/>
  <c r="M20" i="40"/>
  <c r="B21" i="40"/>
  <c r="C21" i="40"/>
  <c r="M19" i="40"/>
  <c r="B20" i="40"/>
  <c r="C20" i="40"/>
  <c r="C19" i="40"/>
  <c r="M18" i="40"/>
  <c r="B19" i="40"/>
  <c r="M17" i="40"/>
  <c r="B18" i="40"/>
  <c r="C18" i="40"/>
  <c r="B17" i="40"/>
  <c r="C17" i="40"/>
  <c r="M16" i="40"/>
  <c r="M15" i="40"/>
  <c r="B16" i="40"/>
  <c r="C16" i="40"/>
  <c r="M14" i="40"/>
  <c r="B15" i="40"/>
  <c r="C15" i="40"/>
  <c r="C14" i="40"/>
  <c r="M13" i="40"/>
  <c r="B14" i="40"/>
  <c r="M12" i="40"/>
  <c r="B13" i="40"/>
  <c r="C13" i="40"/>
  <c r="B12" i="40"/>
  <c r="C12" i="40"/>
  <c r="M11" i="40"/>
  <c r="M10" i="40"/>
  <c r="B11" i="40"/>
  <c r="C11" i="40"/>
  <c r="M9" i="40"/>
  <c r="B10" i="40"/>
  <c r="C10" i="40"/>
  <c r="C9" i="40"/>
  <c r="M8" i="40"/>
  <c r="B9" i="40"/>
  <c r="M7" i="40"/>
  <c r="B8" i="40"/>
  <c r="C8" i="40"/>
  <c r="B7" i="40"/>
  <c r="C7" i="40"/>
  <c r="M6" i="40"/>
  <c r="M5" i="40"/>
  <c r="B6" i="40"/>
  <c r="C6" i="40"/>
  <c r="M4" i="40"/>
  <c r="B5" i="40"/>
  <c r="C5" i="40"/>
  <c r="C4" i="40"/>
  <c r="M3" i="40"/>
  <c r="B4" i="40"/>
  <c r="B3" i="40"/>
  <c r="C3" i="40"/>
  <c r="F2" i="49"/>
  <c r="D472" i="37"/>
  <c r="D478" i="37"/>
  <c r="D477" i="37"/>
  <c r="D476" i="37"/>
  <c r="D475" i="37"/>
  <c r="D474" i="37"/>
  <c r="D473" i="37"/>
  <c r="D3" i="40" l="1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2" i="40"/>
  <c r="D1" i="40" s="1"/>
  <c r="D1" i="37"/>
  <c r="AE2" i="38"/>
  <c r="AF2" i="38"/>
  <c r="AE10" i="38"/>
  <c r="AF10" i="38"/>
  <c r="AE9" i="38"/>
  <c r="AF9" i="38"/>
  <c r="AE3" i="38"/>
  <c r="AF3" i="38"/>
  <c r="AE8" i="38"/>
  <c r="AF8" i="38"/>
  <c r="AE5" i="38"/>
  <c r="AF5" i="38"/>
  <c r="AE7" i="38"/>
  <c r="AF7" i="38"/>
  <c r="G2" i="49"/>
  <c r="AE4" i="38"/>
  <c r="AF4" i="38"/>
  <c r="AE6" i="38"/>
  <c r="AF6" i="38"/>
  <c r="E472" i="37"/>
  <c r="E478" i="37"/>
  <c r="E477" i="37"/>
  <c r="E476" i="37"/>
  <c r="E475" i="37"/>
  <c r="E474" i="37"/>
  <c r="E473" i="37"/>
  <c r="E3" i="40" l="1"/>
  <c r="E4" i="40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" i="37"/>
  <c r="E2" i="40"/>
  <c r="E1" i="40" s="1"/>
  <c r="H2" i="49"/>
  <c r="F472" i="37"/>
  <c r="F478" i="37"/>
  <c r="F477" i="37"/>
  <c r="F476" i="37"/>
  <c r="F475" i="37"/>
  <c r="F474" i="37"/>
  <c r="F473" i="37"/>
  <c r="F3" i="40" l="1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23" i="40"/>
  <c r="F24" i="40"/>
  <c r="F25" i="40"/>
  <c r="F26" i="40"/>
  <c r="F27" i="40"/>
  <c r="F28" i="40"/>
  <c r="F29" i="40"/>
  <c r="F30" i="40"/>
  <c r="F31" i="40"/>
  <c r="F32" i="40"/>
  <c r="F33" i="40"/>
  <c r="F34" i="40"/>
  <c r="F35" i="40"/>
  <c r="F36" i="40"/>
  <c r="F37" i="40"/>
  <c r="F38" i="40"/>
  <c r="F39" i="40"/>
  <c r="F40" i="40"/>
  <c r="F41" i="40"/>
  <c r="F42" i="40"/>
  <c r="F43" i="40"/>
  <c r="F44" i="40"/>
  <c r="F45" i="40"/>
  <c r="F46" i="40"/>
  <c r="F47" i="40"/>
  <c r="F48" i="40"/>
  <c r="F49" i="40"/>
  <c r="F50" i="40"/>
  <c r="F51" i="40"/>
  <c r="F52" i="40"/>
  <c r="F53" i="40"/>
  <c r="F54" i="40"/>
  <c r="F55" i="40"/>
  <c r="F56" i="40"/>
  <c r="F57" i="40"/>
  <c r="F58" i="40"/>
  <c r="F59" i="40"/>
  <c r="F60" i="40"/>
  <c r="F61" i="40"/>
  <c r="F62" i="40"/>
  <c r="F63" i="40"/>
  <c r="F64" i="40"/>
  <c r="F65" i="40"/>
  <c r="F66" i="40"/>
  <c r="F67" i="40"/>
  <c r="F68" i="40"/>
  <c r="F69" i="40"/>
  <c r="F70" i="40"/>
  <c r="F71" i="40"/>
  <c r="F72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86" i="40"/>
  <c r="F87" i="40"/>
  <c r="F88" i="40"/>
  <c r="F89" i="40"/>
  <c r="F90" i="40"/>
  <c r="F91" i="40"/>
  <c r="F92" i="40"/>
  <c r="F93" i="40"/>
  <c r="F94" i="40"/>
  <c r="F95" i="40"/>
  <c r="F96" i="40"/>
  <c r="F97" i="40"/>
  <c r="F98" i="40"/>
  <c r="F99" i="40"/>
  <c r="F100" i="40"/>
  <c r="F101" i="40"/>
  <c r="F102" i="40"/>
  <c r="F103" i="40"/>
  <c r="F104" i="40"/>
  <c r="F105" i="40"/>
  <c r="F106" i="40"/>
  <c r="F107" i="40"/>
  <c r="F108" i="40"/>
  <c r="F109" i="40"/>
  <c r="F110" i="40"/>
  <c r="F111" i="40"/>
  <c r="F112" i="40"/>
  <c r="F113" i="40"/>
  <c r="F114" i="40"/>
  <c r="F115" i="40"/>
  <c r="F116" i="40"/>
  <c r="F117" i="40"/>
  <c r="F118" i="40"/>
  <c r="F119" i="40"/>
  <c r="F120" i="40"/>
  <c r="F121" i="40"/>
  <c r="F1" i="37"/>
  <c r="F2" i="40"/>
  <c r="F1" i="40" s="1"/>
  <c r="I2" i="49"/>
  <c r="G472" i="37"/>
  <c r="G478" i="37"/>
  <c r="G477" i="37"/>
  <c r="G476" i="37"/>
  <c r="G475" i="37"/>
  <c r="G474" i="37"/>
  <c r="G473" i="37"/>
  <c r="G3" i="40" l="1"/>
  <c r="G4" i="40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G48" i="40"/>
  <c r="G49" i="40"/>
  <c r="G50" i="40"/>
  <c r="G51" i="40"/>
  <c r="G52" i="40"/>
  <c r="G53" i="40"/>
  <c r="G54" i="40"/>
  <c r="G55" i="40"/>
  <c r="G56" i="40"/>
  <c r="G57" i="40"/>
  <c r="G58" i="40"/>
  <c r="G59" i="40"/>
  <c r="G60" i="40"/>
  <c r="G61" i="40"/>
  <c r="G62" i="40"/>
  <c r="G63" i="40"/>
  <c r="G64" i="40"/>
  <c r="G65" i="40"/>
  <c r="G66" i="40"/>
  <c r="G67" i="40"/>
  <c r="G68" i="40"/>
  <c r="G69" i="40"/>
  <c r="G70" i="40"/>
  <c r="G71" i="40"/>
  <c r="G72" i="40"/>
  <c r="G73" i="40"/>
  <c r="G74" i="40"/>
  <c r="G75" i="40"/>
  <c r="G76" i="40"/>
  <c r="G77" i="40"/>
  <c r="G78" i="40"/>
  <c r="G79" i="40"/>
  <c r="G80" i="40"/>
  <c r="G81" i="40"/>
  <c r="G82" i="40"/>
  <c r="G83" i="40"/>
  <c r="G84" i="40"/>
  <c r="G85" i="40"/>
  <c r="G86" i="40"/>
  <c r="G87" i="40"/>
  <c r="G88" i="40"/>
  <c r="G89" i="40"/>
  <c r="G90" i="40"/>
  <c r="G91" i="40"/>
  <c r="G92" i="40"/>
  <c r="G93" i="40"/>
  <c r="G94" i="40"/>
  <c r="G95" i="40"/>
  <c r="G96" i="40"/>
  <c r="G97" i="40"/>
  <c r="G98" i="40"/>
  <c r="G99" i="40"/>
  <c r="G100" i="40"/>
  <c r="G101" i="40"/>
  <c r="G102" i="40"/>
  <c r="G103" i="40"/>
  <c r="G104" i="40"/>
  <c r="G105" i="40"/>
  <c r="G106" i="40"/>
  <c r="G107" i="40"/>
  <c r="G108" i="40"/>
  <c r="G109" i="40"/>
  <c r="G110" i="40"/>
  <c r="G111" i="40"/>
  <c r="G112" i="40"/>
  <c r="G113" i="40"/>
  <c r="G114" i="40"/>
  <c r="G115" i="40"/>
  <c r="G116" i="40"/>
  <c r="G117" i="40"/>
  <c r="G118" i="40"/>
  <c r="G119" i="40"/>
  <c r="G120" i="40"/>
  <c r="G121" i="40"/>
  <c r="G1" i="37"/>
  <c r="G2" i="40"/>
  <c r="G1" i="40" s="1"/>
  <c r="J2" i="49"/>
  <c r="H472" i="37"/>
  <c r="H478" i="37"/>
  <c r="H477" i="37"/>
  <c r="H476" i="37"/>
  <c r="H475" i="37"/>
  <c r="H474" i="37"/>
  <c r="H473" i="37"/>
  <c r="H3" i="40" l="1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23" i="40"/>
  <c r="H24" i="40"/>
  <c r="H25" i="40"/>
  <c r="H26" i="40"/>
  <c r="H27" i="40"/>
  <c r="H28" i="40"/>
  <c r="H29" i="40"/>
  <c r="H30" i="40"/>
  <c r="H31" i="40"/>
  <c r="H32" i="40"/>
  <c r="H33" i="40"/>
  <c r="H34" i="40"/>
  <c r="H35" i="40"/>
  <c r="H36" i="40"/>
  <c r="H37" i="40"/>
  <c r="H38" i="40"/>
  <c r="H39" i="40"/>
  <c r="H40" i="40"/>
  <c r="H41" i="40"/>
  <c r="H42" i="40"/>
  <c r="H43" i="40"/>
  <c r="H44" i="40"/>
  <c r="H45" i="40"/>
  <c r="H46" i="40"/>
  <c r="H47" i="40"/>
  <c r="H48" i="40"/>
  <c r="H49" i="40"/>
  <c r="H50" i="40"/>
  <c r="H51" i="40"/>
  <c r="H52" i="40"/>
  <c r="H53" i="40"/>
  <c r="H54" i="40"/>
  <c r="H55" i="40"/>
  <c r="H56" i="40"/>
  <c r="H57" i="40"/>
  <c r="H58" i="40"/>
  <c r="H59" i="40"/>
  <c r="H60" i="40"/>
  <c r="H61" i="40"/>
  <c r="H62" i="40"/>
  <c r="H63" i="40"/>
  <c r="H64" i="40"/>
  <c r="H65" i="40"/>
  <c r="H66" i="40"/>
  <c r="H67" i="40"/>
  <c r="H68" i="40"/>
  <c r="H69" i="40"/>
  <c r="H70" i="40"/>
  <c r="H71" i="40"/>
  <c r="H72" i="40"/>
  <c r="H73" i="40"/>
  <c r="H74" i="40"/>
  <c r="H75" i="40"/>
  <c r="H76" i="40"/>
  <c r="H77" i="40"/>
  <c r="H78" i="40"/>
  <c r="H79" i="40"/>
  <c r="H80" i="40"/>
  <c r="H81" i="40"/>
  <c r="H82" i="40"/>
  <c r="H83" i="40"/>
  <c r="H84" i="40"/>
  <c r="H85" i="40"/>
  <c r="H86" i="40"/>
  <c r="H87" i="40"/>
  <c r="H88" i="40"/>
  <c r="H89" i="40"/>
  <c r="H90" i="40"/>
  <c r="H91" i="40"/>
  <c r="H92" i="40"/>
  <c r="H93" i="40"/>
  <c r="H94" i="40"/>
  <c r="H95" i="40"/>
  <c r="H96" i="40"/>
  <c r="H97" i="40"/>
  <c r="H98" i="40"/>
  <c r="H99" i="40"/>
  <c r="H100" i="40"/>
  <c r="H101" i="40"/>
  <c r="H102" i="40"/>
  <c r="H103" i="40"/>
  <c r="H104" i="40"/>
  <c r="H105" i="40"/>
  <c r="H106" i="40"/>
  <c r="H107" i="40"/>
  <c r="H108" i="40"/>
  <c r="H109" i="40"/>
  <c r="H110" i="40"/>
  <c r="H111" i="40"/>
  <c r="H112" i="40"/>
  <c r="H113" i="40"/>
  <c r="H114" i="40"/>
  <c r="H115" i="40"/>
  <c r="H116" i="40"/>
  <c r="H117" i="40"/>
  <c r="H118" i="40"/>
  <c r="H119" i="40"/>
  <c r="H120" i="40"/>
  <c r="H121" i="40"/>
  <c r="H1" i="37"/>
  <c r="H2" i="40"/>
  <c r="H1" i="40" s="1"/>
  <c r="K2" i="49"/>
  <c r="I472" i="37"/>
  <c r="I478" i="37"/>
  <c r="I477" i="37"/>
  <c r="I476" i="37"/>
  <c r="I475" i="37"/>
  <c r="I474" i="37"/>
  <c r="I473" i="37"/>
  <c r="I3" i="40" l="1"/>
  <c r="I4" i="40"/>
  <c r="I5" i="40"/>
  <c r="I6" i="40"/>
  <c r="I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24" i="40"/>
  <c r="I25" i="40"/>
  <c r="I26" i="40"/>
  <c r="I27" i="40"/>
  <c r="I28" i="40"/>
  <c r="I29" i="40"/>
  <c r="I30" i="40"/>
  <c r="I31" i="40"/>
  <c r="I32" i="40"/>
  <c r="I33" i="40"/>
  <c r="I34" i="40"/>
  <c r="I35" i="40"/>
  <c r="I36" i="40"/>
  <c r="I37" i="40"/>
  <c r="I38" i="40"/>
  <c r="I39" i="40"/>
  <c r="I40" i="40"/>
  <c r="I41" i="40"/>
  <c r="I42" i="40"/>
  <c r="I43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" i="37"/>
  <c r="I2" i="40"/>
  <c r="I1" i="40" s="1"/>
  <c r="L2" i="49"/>
  <c r="J472" i="37"/>
  <c r="J478" i="37"/>
  <c r="J477" i="37"/>
  <c r="J476" i="37"/>
  <c r="J475" i="37"/>
  <c r="J474" i="37"/>
  <c r="J473" i="37"/>
  <c r="J3" i="40" l="1"/>
  <c r="J4" i="40"/>
  <c r="J5" i="40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35" i="40"/>
  <c r="J36" i="40"/>
  <c r="J37" i="40"/>
  <c r="J38" i="40"/>
  <c r="J39" i="40"/>
  <c r="J40" i="40"/>
  <c r="J41" i="40"/>
  <c r="J42" i="40"/>
  <c r="J43" i="40"/>
  <c r="J44" i="40"/>
  <c r="J45" i="40"/>
  <c r="J46" i="40"/>
  <c r="J47" i="40"/>
  <c r="J48" i="40"/>
  <c r="J49" i="40"/>
  <c r="J50" i="40"/>
  <c r="J51" i="40"/>
  <c r="J52" i="40"/>
  <c r="J53" i="40"/>
  <c r="J54" i="40"/>
  <c r="J55" i="40"/>
  <c r="J56" i="40"/>
  <c r="J57" i="40"/>
  <c r="J58" i="40"/>
  <c r="J59" i="40"/>
  <c r="J60" i="40"/>
  <c r="J61" i="40"/>
  <c r="J62" i="40"/>
  <c r="J63" i="40"/>
  <c r="J64" i="40"/>
  <c r="J65" i="40"/>
  <c r="J66" i="40"/>
  <c r="J67" i="40"/>
  <c r="J68" i="40"/>
  <c r="J69" i="40"/>
  <c r="J70" i="40"/>
  <c r="J71" i="40"/>
  <c r="J72" i="40"/>
  <c r="J73" i="40"/>
  <c r="J74" i="40"/>
  <c r="J75" i="40"/>
  <c r="J76" i="40"/>
  <c r="J77" i="40"/>
  <c r="J78" i="40"/>
  <c r="J79" i="40"/>
  <c r="J80" i="40"/>
  <c r="J81" i="40"/>
  <c r="J82" i="40"/>
  <c r="J83" i="40"/>
  <c r="J84" i="40"/>
  <c r="J85" i="40"/>
  <c r="J86" i="40"/>
  <c r="J87" i="40"/>
  <c r="J88" i="40"/>
  <c r="J89" i="40"/>
  <c r="J90" i="40"/>
  <c r="J91" i="40"/>
  <c r="J92" i="40"/>
  <c r="J93" i="40"/>
  <c r="J94" i="40"/>
  <c r="J95" i="40"/>
  <c r="J96" i="40"/>
  <c r="J97" i="40"/>
  <c r="J98" i="40"/>
  <c r="J99" i="40"/>
  <c r="J100" i="40"/>
  <c r="J101" i="40"/>
  <c r="J102" i="40"/>
  <c r="J103" i="40"/>
  <c r="J104" i="40"/>
  <c r="J105" i="40"/>
  <c r="J106" i="40"/>
  <c r="J107" i="40"/>
  <c r="J108" i="40"/>
  <c r="J109" i="40"/>
  <c r="J110" i="40"/>
  <c r="J111" i="40"/>
  <c r="J112" i="40"/>
  <c r="J113" i="40"/>
  <c r="J114" i="40"/>
  <c r="J115" i="40"/>
  <c r="J116" i="40"/>
  <c r="J117" i="40"/>
  <c r="J118" i="40"/>
  <c r="J119" i="40"/>
  <c r="J120" i="40"/>
  <c r="J121" i="40"/>
  <c r="J2" i="40"/>
  <c r="J1" i="40" s="1"/>
  <c r="J1" i="37"/>
  <c r="M2" i="49"/>
  <c r="K472" i="37"/>
  <c r="K478" i="37"/>
  <c r="K477" i="37"/>
  <c r="K476" i="37"/>
  <c r="K475" i="37"/>
  <c r="K474" i="37"/>
  <c r="K473" i="37"/>
  <c r="K3" i="40" l="1"/>
  <c r="K4" i="40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K27" i="40"/>
  <c r="K28" i="40"/>
  <c r="K29" i="40"/>
  <c r="K30" i="40"/>
  <c r="K31" i="40"/>
  <c r="K32" i="40"/>
  <c r="K33" i="40"/>
  <c r="K34" i="40"/>
  <c r="K35" i="40"/>
  <c r="K36" i="40"/>
  <c r="K37" i="40"/>
  <c r="K38" i="40"/>
  <c r="K39" i="40"/>
  <c r="K40" i="40"/>
  <c r="K41" i="40"/>
  <c r="K42" i="40"/>
  <c r="K43" i="40"/>
  <c r="K44" i="40"/>
  <c r="K45" i="40"/>
  <c r="K46" i="40"/>
  <c r="K47" i="40"/>
  <c r="K48" i="40"/>
  <c r="K49" i="40"/>
  <c r="K50" i="40"/>
  <c r="K51" i="40"/>
  <c r="K52" i="40"/>
  <c r="K53" i="40"/>
  <c r="K54" i="40"/>
  <c r="K55" i="40"/>
  <c r="K56" i="40"/>
  <c r="K57" i="40"/>
  <c r="K58" i="40"/>
  <c r="K59" i="40"/>
  <c r="K60" i="40"/>
  <c r="K61" i="40"/>
  <c r="K62" i="40"/>
  <c r="K63" i="40"/>
  <c r="K64" i="40"/>
  <c r="K65" i="40"/>
  <c r="K66" i="40"/>
  <c r="K67" i="40"/>
  <c r="K68" i="40"/>
  <c r="K69" i="40"/>
  <c r="K70" i="40"/>
  <c r="K71" i="40"/>
  <c r="K72" i="40"/>
  <c r="K73" i="40"/>
  <c r="K74" i="40"/>
  <c r="K75" i="40"/>
  <c r="K76" i="40"/>
  <c r="K77" i="40"/>
  <c r="K78" i="40"/>
  <c r="K79" i="40"/>
  <c r="K80" i="40"/>
  <c r="K81" i="40"/>
  <c r="K82" i="40"/>
  <c r="K83" i="40"/>
  <c r="K84" i="40"/>
  <c r="K85" i="40"/>
  <c r="K86" i="40"/>
  <c r="K87" i="40"/>
  <c r="K88" i="40"/>
  <c r="K89" i="40"/>
  <c r="K90" i="40"/>
  <c r="K91" i="40"/>
  <c r="K92" i="40"/>
  <c r="K93" i="40"/>
  <c r="K94" i="40"/>
  <c r="K95" i="40"/>
  <c r="K96" i="40"/>
  <c r="K97" i="40"/>
  <c r="K98" i="40"/>
  <c r="K99" i="40"/>
  <c r="K100" i="40"/>
  <c r="K101" i="40"/>
  <c r="K102" i="40"/>
  <c r="K103" i="40"/>
  <c r="K104" i="40"/>
  <c r="K105" i="40"/>
  <c r="K106" i="40"/>
  <c r="K107" i="40"/>
  <c r="K108" i="40"/>
  <c r="K109" i="40"/>
  <c r="K110" i="40"/>
  <c r="K111" i="40"/>
  <c r="K112" i="40"/>
  <c r="K113" i="40"/>
  <c r="K114" i="40"/>
  <c r="K115" i="40"/>
  <c r="K116" i="40"/>
  <c r="K117" i="40"/>
  <c r="K118" i="40"/>
  <c r="K119" i="40"/>
  <c r="K120" i="40"/>
  <c r="K121" i="40"/>
  <c r="K2" i="40"/>
  <c r="K1" i="40" s="1"/>
  <c r="K1" i="37"/>
  <c r="N2" i="49"/>
  <c r="L472" i="37"/>
  <c r="L478" i="37"/>
  <c r="L477" i="37"/>
  <c r="L476" i="37"/>
  <c r="L475" i="37"/>
  <c r="L474" i="37"/>
  <c r="L473" i="37"/>
  <c r="L3" i="40" l="1"/>
  <c r="L4" i="40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36" i="40"/>
  <c r="L37" i="40"/>
  <c r="L38" i="40"/>
  <c r="L39" i="40"/>
  <c r="L40" i="40"/>
  <c r="L41" i="40"/>
  <c r="L42" i="40"/>
  <c r="L43" i="40"/>
  <c r="L44" i="40"/>
  <c r="L45" i="40"/>
  <c r="L46" i="40"/>
  <c r="L47" i="40"/>
  <c r="L48" i="40"/>
  <c r="L49" i="40"/>
  <c r="L50" i="40"/>
  <c r="L51" i="40"/>
  <c r="L52" i="40"/>
  <c r="L53" i="40"/>
  <c r="L54" i="40"/>
  <c r="L55" i="40"/>
  <c r="L56" i="40"/>
  <c r="L57" i="40"/>
  <c r="L58" i="40"/>
  <c r="L59" i="40"/>
  <c r="L60" i="40"/>
  <c r="L61" i="40"/>
  <c r="L62" i="40"/>
  <c r="L63" i="40"/>
  <c r="L64" i="40"/>
  <c r="L65" i="40"/>
  <c r="L66" i="40"/>
  <c r="L67" i="40"/>
  <c r="L68" i="40"/>
  <c r="L69" i="40"/>
  <c r="L70" i="40"/>
  <c r="L71" i="40"/>
  <c r="L72" i="40"/>
  <c r="L73" i="40"/>
  <c r="L74" i="40"/>
  <c r="L75" i="40"/>
  <c r="L76" i="40"/>
  <c r="L77" i="40"/>
  <c r="L78" i="40"/>
  <c r="L79" i="40"/>
  <c r="L80" i="40"/>
  <c r="L81" i="40"/>
  <c r="L82" i="40"/>
  <c r="L83" i="40"/>
  <c r="L84" i="40"/>
  <c r="L85" i="40"/>
  <c r="L86" i="40"/>
  <c r="L87" i="40"/>
  <c r="L88" i="40"/>
  <c r="L89" i="40"/>
  <c r="L90" i="40"/>
  <c r="L91" i="40"/>
  <c r="L92" i="40"/>
  <c r="L93" i="40"/>
  <c r="L94" i="40"/>
  <c r="L95" i="40"/>
  <c r="L96" i="40"/>
  <c r="L97" i="40"/>
  <c r="L98" i="40"/>
  <c r="L99" i="40"/>
  <c r="L100" i="40"/>
  <c r="L101" i="40"/>
  <c r="L102" i="40"/>
  <c r="L103" i="40"/>
  <c r="L104" i="40"/>
  <c r="L105" i="40"/>
  <c r="L106" i="40"/>
  <c r="L107" i="40"/>
  <c r="L108" i="40"/>
  <c r="L109" i="40"/>
  <c r="L110" i="40"/>
  <c r="L111" i="40"/>
  <c r="L112" i="40"/>
  <c r="L113" i="40"/>
  <c r="L114" i="40"/>
  <c r="L115" i="40"/>
  <c r="L116" i="40"/>
  <c r="L117" i="40"/>
  <c r="L118" i="40"/>
  <c r="L119" i="40"/>
  <c r="L120" i="40"/>
  <c r="L121" i="40"/>
  <c r="L2" i="40"/>
  <c r="L1" i="40" s="1"/>
  <c r="L1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E153E-9484-4A22-B747-386987480F72}" keepAlive="1" name="ModelConnection_ExternalData_1" description="Data Model" type="5" refreshedVersion="8" minRefreshableVersion="5" saveData="1">
    <dbPr connection="Data Model Connection" command="financials_inpu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28B8124-7EAF-4906-8304-C133ACEA22AD}" name="Query - financials_input" description="Connection to the 'financials_input' query in the workbook." type="100" refreshedVersion="8" minRefreshableVersion="5">
    <extLst>
      <ext xmlns:x15="http://schemas.microsoft.com/office/spreadsheetml/2010/11/main" uri="{DE250136-89BD-433C-8126-D09CA5730AF9}">
        <x15:connection id="5e3fbd90-746a-4d2a-ae1a-4d0477c2c3f2"/>
      </ext>
    </extLst>
  </connection>
  <connection id="3" xr16:uid="{A75A9DA2-D6B5-48B0-B50F-519F1A8FA3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<sst xmlns="http://schemas.openxmlformats.org/spreadsheetml/2006/main" count="2417" uniqueCount="2243">
  <si>
    <t>Provision for Doubtful Accounts - Patient Service Revenue</t>
  </si>
  <si>
    <t>General Partner - Common Equity</t>
  </si>
  <si>
    <t>General Partner - Preferred Equity</t>
  </si>
  <si>
    <t>General Partner - Minority Interest</t>
  </si>
  <si>
    <t>General Partner Interest (Supple)</t>
  </si>
  <si>
    <t>Depreciation And Amortization Notes for Partial CF</t>
  </si>
  <si>
    <t>Amortization Of Goodwill Notes for Partial CF</t>
  </si>
  <si>
    <t>Contingent Rental Expense</t>
  </si>
  <si>
    <t>Short-Term Borrowing Derivatives</t>
  </si>
  <si>
    <t>Curr. Port. of LT Debt Derivatives</t>
  </si>
  <si>
    <t>Long-Term Debt Derivatives</t>
  </si>
  <si>
    <t>Current Derivative Assets</t>
  </si>
  <si>
    <t>Long-Term Derivative Assets</t>
  </si>
  <si>
    <t>Gross Intangible Assets</t>
  </si>
  <si>
    <t>Accumulated Amortization of Intangible Assets</t>
  </si>
  <si>
    <t>Gross Goodwill</t>
  </si>
  <si>
    <t>Accumulated Amortization of Goodwill</t>
  </si>
  <si>
    <t>Aircraft Rental Expense</t>
  </si>
  <si>
    <t>Current Derivative Liabilities</t>
  </si>
  <si>
    <t>Non-Current Derivative Liabilities</t>
  </si>
  <si>
    <t>Derivative Trading Asset Securities</t>
  </si>
  <si>
    <t>Net Income to Company</t>
  </si>
  <si>
    <t>Net Income to Parent</t>
  </si>
  <si>
    <t>Earnings to Parent before Extraordinary Items</t>
  </si>
  <si>
    <t>Redeemable Minority Interest</t>
  </si>
  <si>
    <t>Finance Division Redeemable Minority Interest</t>
  </si>
  <si>
    <t>Total Redeemable Minority Interest</t>
  </si>
  <si>
    <t>Finance Division Minority Interest</t>
  </si>
  <si>
    <t>Capitalized/Purchased Software</t>
  </si>
  <si>
    <t>Minimum Rental Expense</t>
  </si>
  <si>
    <t>Other Rental Expense</t>
  </si>
  <si>
    <t>Depreciation of Rental Assets</t>
  </si>
  <si>
    <t>Sale Proceeds from Rental Assets</t>
  </si>
  <si>
    <t>Cash Flow per Share</t>
  </si>
  <si>
    <t>Net Cash from Discontinued Ops. - Investing</t>
  </si>
  <si>
    <t>Net Cash from Discontinued Ops. - Financing</t>
  </si>
  <si>
    <t>Net Rental Expense, Total</t>
  </si>
  <si>
    <t>Net Rental Expense</t>
  </si>
  <si>
    <t>Net Rental Expense (Supple)</t>
  </si>
  <si>
    <t>Fees and Other Income</t>
  </si>
  <si>
    <t>Amortization of Negative Goodwill</t>
  </si>
  <si>
    <t>Amortization of Negative Goodwill - After Tax</t>
  </si>
  <si>
    <t>Book Value/Share (Reported)</t>
  </si>
  <si>
    <t>Accounts Receivables - Unbilled</t>
  </si>
  <si>
    <t>Net Income</t>
  </si>
  <si>
    <t>Total Current Assets</t>
  </si>
  <si>
    <t>Total Equity</t>
  </si>
  <si>
    <t>Common Stock</t>
  </si>
  <si>
    <t>Cash Interest Paid</t>
  </si>
  <si>
    <t>Cash Taxes Paid</t>
  </si>
  <si>
    <t>Accounts Payable</t>
  </si>
  <si>
    <t>Total Debt</t>
  </si>
  <si>
    <t>Interest Expense</t>
  </si>
  <si>
    <t>Gross Profit</t>
  </si>
  <si>
    <t>Treasury Stock</t>
  </si>
  <si>
    <t>Accounts Receivable</t>
  </si>
  <si>
    <t>Goodwill</t>
  </si>
  <si>
    <t>Revenues</t>
  </si>
  <si>
    <t>Total Revenues</t>
  </si>
  <si>
    <t>R &amp; D Exp.</t>
  </si>
  <si>
    <t>Depreciation &amp; Amort., Total</t>
  </si>
  <si>
    <t>Other Operating Expense/(Income)</t>
  </si>
  <si>
    <t>Other Operating Exp., Total</t>
  </si>
  <si>
    <t>Operating Income</t>
  </si>
  <si>
    <t>Interest and Invest. Income</t>
  </si>
  <si>
    <t>Net Interest Exp.</t>
  </si>
  <si>
    <t>EBT Excl Unusual Items</t>
  </si>
  <si>
    <t>Impairment of Goodwill</t>
  </si>
  <si>
    <t>Gain (Loss) On Sale Of Invest.</t>
  </si>
  <si>
    <t>Gain (Loss) On Sale Of Assets</t>
  </si>
  <si>
    <t>EBT Incl Unusual Items</t>
  </si>
  <si>
    <t>Income Tax Expense</t>
  </si>
  <si>
    <t>Earnings from Cont. Ops.</t>
  </si>
  <si>
    <t>Earnings of Discontinued Ops.</t>
  </si>
  <si>
    <t>Extraord. Item &amp; Account. Change</t>
  </si>
  <si>
    <t>Pref. Dividends and Other Adj.</t>
  </si>
  <si>
    <t>NI to Common Incl Extra Items</t>
  </si>
  <si>
    <t>NI to Common Excl Extra Items</t>
  </si>
  <si>
    <t>Basic EPS</t>
  </si>
  <si>
    <t>Basic EPS Excl. Extra Items</t>
  </si>
  <si>
    <t>Weighted Avg. Basic Shares Out.</t>
  </si>
  <si>
    <t>Diluted EPS</t>
  </si>
  <si>
    <t>Diluted EPS Excl Extra Items</t>
  </si>
  <si>
    <t>Weighted Avg. Diluted Shares Out.</t>
  </si>
  <si>
    <t>EBITDA</t>
  </si>
  <si>
    <t>Cash And Equivalents</t>
  </si>
  <si>
    <t>Short Term Investments</t>
  </si>
  <si>
    <t>Total Cash &amp; ST Investments</t>
  </si>
  <si>
    <t>Notes Receivable</t>
  </si>
  <si>
    <t>Total Receivables</t>
  </si>
  <si>
    <t>Inventory</t>
  </si>
  <si>
    <t>Prepaid Exp.</t>
  </si>
  <si>
    <t>Gross Property, Plant &amp; Equipment</t>
  </si>
  <si>
    <t>Accumulated Depreciation</t>
  </si>
  <si>
    <t>Net Property, Plant &amp; Equipment</t>
  </si>
  <si>
    <t>Other Intangibles</t>
  </si>
  <si>
    <t>Accrued Exp.</t>
  </si>
  <si>
    <t>Total Current Liabilities</t>
  </si>
  <si>
    <t>Retained Earnings</t>
  </si>
  <si>
    <t>Total Common Equity</t>
  </si>
  <si>
    <t>Total Liabilities And Equity</t>
  </si>
  <si>
    <t>Book Value/Share</t>
  </si>
  <si>
    <t>Net Debt</t>
  </si>
  <si>
    <t>Cash from Ops.</t>
  </si>
  <si>
    <t>Capital Expenditure</t>
  </si>
  <si>
    <t>Sale of Property, Plant, and Equipment</t>
  </si>
  <si>
    <t>Cash Acquisitions</t>
  </si>
  <si>
    <t>Divestitures</t>
  </si>
  <si>
    <t>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</si>
  <si>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</si>
  <si>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</si>
  <si>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</si>
  <si>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</si>
  <si>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</si>
  <si>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</si>
  <si>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Issuance of Common Stock</t>
  </si>
  <si>
    <t>Repurchase of Common</t>
  </si>
  <si>
    <t>Issuance of Pref. Stock</t>
  </si>
  <si>
    <t>Repurchase of Preferred</t>
  </si>
  <si>
    <t>Total Dividends Paid</t>
  </si>
  <si>
    <t>Cash from Financing</t>
  </si>
  <si>
    <t>Net Change in Cash</t>
  </si>
  <si>
    <t>Net Debt Issued</t>
  </si>
  <si>
    <t>Other Revenues</t>
  </si>
  <si>
    <t>Cost Of Goods Sold</t>
  </si>
  <si>
    <t>Selling General &amp; Admin Exp.</t>
  </si>
  <si>
    <t>Depreciation &amp; Amort.</t>
  </si>
  <si>
    <t>Other Non-Operating Inc. (Exp.)</t>
  </si>
  <si>
    <t>Merger &amp; Related Restruct. Charges</t>
  </si>
  <si>
    <t>Other Unusual Items</t>
  </si>
  <si>
    <t>Deferred Tax Assets, Curr.</t>
  </si>
  <si>
    <t>Other Current Assets</t>
  </si>
  <si>
    <t>Loans Receivable Long-Term</t>
  </si>
  <si>
    <t>Deferred Tax Assets, LT</t>
  </si>
  <si>
    <t>Other Long-Term Assets</t>
  </si>
  <si>
    <t>Unearned Revenue, Current</t>
  </si>
  <si>
    <t>Other Current Liabilities</t>
  </si>
  <si>
    <t>Def. Tax Liability, Non-Curr.</t>
  </si>
  <si>
    <t>Other Non-Current Liabilities</t>
  </si>
  <si>
    <t>Additional Paid In Capital</t>
  </si>
  <si>
    <t>Comprehensive Inc. and Other</t>
  </si>
  <si>
    <t>Amort. of Goodwill and Intangibles</t>
  </si>
  <si>
    <t>(Gain) Loss On Sale Of Invest.</t>
  </si>
  <si>
    <t>Tax Benefit from Stock Options</t>
  </si>
  <si>
    <t>Change in Acc. Receivable</t>
  </si>
  <si>
    <t>Change In Inventories</t>
  </si>
  <si>
    <t>Change in Acc. Payable</t>
  </si>
  <si>
    <t>Change in Unearned Rev.</t>
  </si>
  <si>
    <t>Change in Def. Taxes</t>
  </si>
  <si>
    <t>Net (Inc.) Dec. in Loans Originated/Sold</t>
  </si>
  <si>
    <t>Other Investing Activities</t>
  </si>
  <si>
    <t>Common Dividends Paid</t>
  </si>
  <si>
    <t>Pref. Dividends Paid</t>
  </si>
  <si>
    <t>Common and/or Pref. Dividends Paid</t>
  </si>
  <si>
    <t>Special Dividend Paid</t>
  </si>
  <si>
    <t>Other Financing Activities</t>
  </si>
  <si>
    <t>Foreign Exchange Rate Adj.</t>
  </si>
  <si>
    <t>Finance Div. Revenues</t>
  </si>
  <si>
    <t>Insurance Div. Revenues</t>
  </si>
  <si>
    <t>Interest And Invest. Income (Rev)</t>
  </si>
  <si>
    <t>Finance Div. Operating Exp.</t>
  </si>
  <si>
    <t>Insurance Div. Operating Exp.</t>
  </si>
  <si>
    <t>Interest Expense - Finance Division</t>
  </si>
  <si>
    <t>Income / (Loss) from Affiliates</t>
  </si>
  <si>
    <t>Currency Exchange Gains (Loss)</t>
  </si>
  <si>
    <t>Restructuring Charges</t>
  </si>
  <si>
    <t>Asset Writedown</t>
  </si>
  <si>
    <t>Insurance Settlements</t>
  </si>
  <si>
    <t>Legal Settlements</t>
  </si>
  <si>
    <t>Minority Int. in Earnings</t>
  </si>
  <si>
    <t>Trading Asset Securities</t>
  </si>
  <si>
    <t>Other Receivables</t>
  </si>
  <si>
    <t>Finance Div. Loans and Leases, ST</t>
  </si>
  <si>
    <t>Finance Div. Other Curr. Assets</t>
  </si>
  <si>
    <t>Loans Held For Sale</t>
  </si>
  <si>
    <t>Restricted Cash</t>
  </si>
  <si>
    <t>Long-term Investments</t>
  </si>
  <si>
    <t>Finance Div. Loans and Leases, LT</t>
  </si>
  <si>
    <t>Finance Div. Other LT Assets</t>
  </si>
  <si>
    <t>Accounts Receivable Long-Term</t>
  </si>
  <si>
    <t>Deferred Charges, LT</t>
  </si>
  <si>
    <t>Short-term Borrowings</t>
  </si>
  <si>
    <t>Current Portion of Long Term Debt</t>
  </si>
  <si>
    <t>Finance Div. Debt Current</t>
  </si>
  <si>
    <t>Finance Div. Other Curr. Liab.</t>
  </si>
  <si>
    <t>Curr. Income Taxes Payable</t>
  </si>
  <si>
    <t>Def. Tax Liability, Curr.</t>
  </si>
  <si>
    <t>Long-Term Debt</t>
  </si>
  <si>
    <t>Minority Interest</t>
  </si>
  <si>
    <t>Finance Div. Debt Non-Curr.</t>
  </si>
  <si>
    <t>Finance Div. Other Non-Curr. Liab.</t>
  </si>
  <si>
    <t>Unearned Revenue, Non-Current</t>
  </si>
  <si>
    <t>Pension &amp; Other Post-Retire. Benefits</t>
  </si>
  <si>
    <t>Pref. Stock, Redeemable</t>
  </si>
  <si>
    <t>Pref. Stock, Non-Redeem.</t>
  </si>
  <si>
    <t>Pref. Stock, Convertible</t>
  </si>
  <si>
    <t>Pref. Stock, Other</t>
  </si>
  <si>
    <t>Impair. of Oil, Gas &amp; Mineral Prop.</t>
  </si>
  <si>
    <t>(Gain) Loss From Sale Of Asset</t>
  </si>
  <si>
    <t>Asset Writedown &amp; Restructuring Costs</t>
  </si>
  <si>
    <t>Net (Increase) Decrease in Loans Orig./Sold</t>
  </si>
  <si>
    <t>Provision for Credit Losses</t>
  </si>
  <si>
    <t>(Income) Loss on Equity Invest.</t>
  </si>
  <si>
    <t>Stock-Based Compensation</t>
  </si>
  <si>
    <t>Provision &amp; Write-off of Bad debts</t>
  </si>
  <si>
    <t>Net Cash From Discontinued Ops.</t>
  </si>
  <si>
    <t>Other Operating Activities</t>
  </si>
  <si>
    <t>Change in Trad. Asset Securities</t>
  </si>
  <si>
    <t>Change in Inc. Taxes</t>
  </si>
  <si>
    <t>Exploration/Drilling Costs</t>
  </si>
  <si>
    <t>Provision for Bad Debts</t>
  </si>
  <si>
    <t>Pre-Opening Costs</t>
  </si>
  <si>
    <t>Misc. Cash Flow Adj.</t>
  </si>
  <si>
    <t>Net Income per SFAS 123 (after Options)</t>
  </si>
  <si>
    <t>Ticker</t>
  </si>
  <si>
    <t>As-Reported Total Revenue</t>
  </si>
  <si>
    <t>Filing Date</t>
  </si>
  <si>
    <t>Tangible Book Value/Share</t>
  </si>
  <si>
    <t>Total Capitalization</t>
  </si>
  <si>
    <t>LIFO Reserve</t>
  </si>
  <si>
    <t>Raw Materials Inventory</t>
  </si>
  <si>
    <t>Work in Progress Inventory</t>
  </si>
  <si>
    <t>Finished Goods Inventory</t>
  </si>
  <si>
    <t>Other Inventory Accounts</t>
  </si>
  <si>
    <t>Land</t>
  </si>
  <si>
    <t>Buildings</t>
  </si>
  <si>
    <t>Machinery</t>
  </si>
  <si>
    <t>Return on Assets (%)</t>
  </si>
  <si>
    <t>Return on Capital (%)</t>
  </si>
  <si>
    <t>Return on Equity (%)</t>
  </si>
  <si>
    <t>Gross Margin (%)</t>
  </si>
  <si>
    <t>EBITDA Margin (%)</t>
  </si>
  <si>
    <t>EBIT Margin (%)</t>
  </si>
  <si>
    <t>Net Income Margin (%)</t>
  </si>
  <si>
    <t>Total Asset Turnover</t>
  </si>
  <si>
    <t>Fixed Asset Turnover</t>
  </si>
  <si>
    <t>Accounts Receivable Turnover</t>
  </si>
  <si>
    <t>Inventory Turnover</t>
  </si>
  <si>
    <t>Current Ratio</t>
  </si>
  <si>
    <t>Quick Ratio</t>
  </si>
  <si>
    <t>Avg. Cash Conversion Cycle</t>
  </si>
  <si>
    <t>EBIT / Interest Expense</t>
  </si>
  <si>
    <t>Total Debt / EBITDA</t>
  </si>
  <si>
    <t>Net Debt / EBITDA</t>
  </si>
  <si>
    <t>Altman Z Score</t>
  </si>
  <si>
    <t>EBITDA / Interest Expense</t>
  </si>
  <si>
    <t>(EBITDA-CAPEX) / Interest Expense</t>
  </si>
  <si>
    <t>Avg. Days Sales Outstanding</t>
  </si>
  <si>
    <t>Avg. Days Inventory Outstanding</t>
  </si>
  <si>
    <t>Avg. Days Payable Outstanding</t>
  </si>
  <si>
    <t>Cash from Operations to Currrent Liabilities</t>
  </si>
  <si>
    <t>Total Debt / Equity (%)</t>
  </si>
  <si>
    <t>Total Debt / Capital (%)</t>
  </si>
  <si>
    <t>LT Debt / Equity (%)</t>
  </si>
  <si>
    <t>LT Debt / Capital (%)</t>
  </si>
  <si>
    <t>Total Liabilities / Total Assets (%)</t>
  </si>
  <si>
    <t>Stock Price</t>
  </si>
  <si>
    <t>Name</t>
  </si>
  <si>
    <t>FYE</t>
  </si>
  <si>
    <t>52W High</t>
  </si>
  <si>
    <t>52W Low</t>
  </si>
  <si>
    <t>Shares Out</t>
  </si>
  <si>
    <t>Market Cap</t>
  </si>
  <si>
    <t>Cash</t>
  </si>
  <si>
    <t>Pref. Stock</t>
  </si>
  <si>
    <t>Minority Int.</t>
  </si>
  <si>
    <t>LTM</t>
  </si>
  <si>
    <t>Total Assets</t>
  </si>
  <si>
    <t>TEV / Total Revenue</t>
  </si>
  <si>
    <t>TEV / EBITDA</t>
  </si>
  <si>
    <t>TEV / EBIT</t>
  </si>
  <si>
    <t>P/E</t>
  </si>
  <si>
    <t>P/BV</t>
  </si>
  <si>
    <t>P/Tangible BV</t>
  </si>
  <si>
    <t>Value</t>
  </si>
  <si>
    <t>TEV</t>
  </si>
  <si>
    <t>Gain/(Loss) on Sale Of Assets (Rev)</t>
  </si>
  <si>
    <t>Gain/(Loss) on Sale Of Invest.(Rev)</t>
  </si>
  <si>
    <t>In Process R &amp; D Exp.</t>
  </si>
  <si>
    <t>Sale/(Purchase) of Real Estate Properties</t>
  </si>
  <si>
    <t>Sale/(Purchase) of Intangible Assets</t>
  </si>
  <si>
    <t>Invest. in Marketable &amp; Equity Sec.</t>
  </si>
  <si>
    <t>Effective Tax Rate (%)</t>
  </si>
  <si>
    <t>Payout Ratio (%)</t>
  </si>
  <si>
    <t>Tangible Book Value</t>
  </si>
  <si>
    <t>Total Shares Out. on Balance Sheet Date</t>
  </si>
  <si>
    <t>EBITDA (Incl. Equity Inc. from Affiliates)</t>
  </si>
  <si>
    <t>EBITDA (Excl. SBC and Incl. Equity Inc. from Affiliates)</t>
  </si>
  <si>
    <t>EBITDA (Excl. SBC)</t>
  </si>
  <si>
    <t>EBIT (Incl. Equity Inc. from Affiliates)</t>
  </si>
  <si>
    <t>EBIT (Excl. SBC and Incl. Equity Inc. from Affiliates)</t>
  </si>
  <si>
    <t>EBIT (Excl. SBC)</t>
  </si>
  <si>
    <t>EBITA (Incl. Equity Inc. from Affiliates)</t>
  </si>
  <si>
    <t>EBITA (Excl. SBC and Incl. Equity Inc. from Affiliates)</t>
  </si>
  <si>
    <t>EBITA (Excl. SBC)</t>
  </si>
  <si>
    <t>EBITDAR (Incl. Equity Inc. from Affiliates)</t>
  </si>
  <si>
    <t>EBITDAR (Excl. SBC and Incl. Equity Inc. from Affiliates)</t>
  </si>
  <si>
    <t>EBITDAR (Excl. SBC)</t>
  </si>
  <si>
    <t>Restr. Stock Comp. Exp., Before Tax</t>
  </si>
  <si>
    <t>Restr. Stock Comp. Exp. Tax Effect</t>
  </si>
  <si>
    <t>Restr. Stock Comp. Exp., After Tax</t>
  </si>
  <si>
    <t>Stock Options Comp. Exp., Before Tax</t>
  </si>
  <si>
    <t>Stock Options Comp. Exp. Tax Effect</t>
  </si>
  <si>
    <t>Stock Options Comp. Exp., After Tax</t>
  </si>
  <si>
    <t>Stock Based Comp. Exp., Before Tax</t>
  </si>
  <si>
    <t>Stock Based Comp. Exp. Tax Effect</t>
  </si>
  <si>
    <t>Stock Based Comp. Exp., After Tax</t>
  </si>
  <si>
    <t>EBIT</t>
  </si>
  <si>
    <t>EBITA</t>
  </si>
  <si>
    <t>EBITDAR</t>
  </si>
  <si>
    <t>Interest Capitalized</t>
  </si>
  <si>
    <t>Normalized Basic EPS</t>
  </si>
  <si>
    <t>Normalized Diluted EPS</t>
  </si>
  <si>
    <t>Distributable Cash per Share</t>
  </si>
  <si>
    <t>Revenues per Share</t>
  </si>
  <si>
    <t>Special Dividend per Share</t>
  </si>
  <si>
    <t>Dividends per Share</t>
  </si>
  <si>
    <t>Period Length in Months</t>
  </si>
  <si>
    <t>Same Store Sales Growth</t>
  </si>
  <si>
    <t>Current Domestic Taxes</t>
  </si>
  <si>
    <t>Current Foreign Taxes</t>
  </si>
  <si>
    <t>Deferred Domestic Taxes</t>
  </si>
  <si>
    <t>Deferred Foreign Taxes</t>
  </si>
  <si>
    <t>Normalized Net Income</t>
  </si>
  <si>
    <t>Interest On Long Term Debt</t>
  </si>
  <si>
    <t>Non-Cash Pension Expense</t>
  </si>
  <si>
    <t>D&amp;A For EBITDA</t>
  </si>
  <si>
    <t>Distributable Cash</t>
  </si>
  <si>
    <t>Interest Expense (Incl. Cap. Interest)</t>
  </si>
  <si>
    <t>Common Stock Dividend Declared</t>
  </si>
  <si>
    <t>Marketing Expense</t>
  </si>
  <si>
    <t>Selling And Marketing Expense</t>
  </si>
  <si>
    <t>General and Administrative Expense</t>
  </si>
  <si>
    <t>Maintenance &amp; Repair Expenses</t>
  </si>
  <si>
    <t>Imputed Oper. Lease Interest Exp</t>
  </si>
  <si>
    <t>Imputed Oper. Lease Depreciation</t>
  </si>
  <si>
    <t>Stock-Based Comp., COGS</t>
  </si>
  <si>
    <t>Stock-Based Comp., R&amp;D Exp</t>
  </si>
  <si>
    <t>Stock-Based Comp., S&amp;M Exp</t>
  </si>
  <si>
    <t>Stock-Based Comp., G&amp;A Exp</t>
  </si>
  <si>
    <t>Stock-Based Comp., SG&amp;A Exp</t>
  </si>
  <si>
    <t>Stock-Based Comp., Unallocated</t>
  </si>
  <si>
    <t>Stock-Based Comp., After-Tax</t>
  </si>
  <si>
    <t>Stock-Based Comp., Total</t>
  </si>
  <si>
    <t>Annualized Distributions per Unit</t>
  </si>
  <si>
    <t>Restatement Type</t>
  </si>
  <si>
    <t>Calculation Type</t>
  </si>
  <si>
    <t>Filing Currency</t>
  </si>
  <si>
    <t>Diluted Net Income</t>
  </si>
  <si>
    <t>Depreciation (From Notes)</t>
  </si>
  <si>
    <t>Change in Net Working Capital</t>
  </si>
  <si>
    <t>Maintenance CAPEX</t>
  </si>
  <si>
    <t>Cash per Share</t>
  </si>
  <si>
    <t>Working Capital</t>
  </si>
  <si>
    <t>Net Working Capital</t>
  </si>
  <si>
    <t>Equity Method Investments</t>
  </si>
  <si>
    <t>Inventory Method</t>
  </si>
  <si>
    <t>Full Time Employees</t>
  </si>
  <si>
    <t>Part Time Employees</t>
  </si>
  <si>
    <t>Total Employees</t>
  </si>
  <si>
    <t>Finance Division Long-term Debt, Total</t>
  </si>
  <si>
    <t>Finance Division Short-term Debt, Total</t>
  </si>
  <si>
    <t>Cost of Borrowing</t>
  </si>
  <si>
    <t>Total Debt (Excl.Fin.Div.Debt)</t>
  </si>
  <si>
    <t>Order Backlog</t>
  </si>
  <si>
    <t>Distributable Cash Payout Ratio (Income Trusts)</t>
  </si>
  <si>
    <t>Advertising Expense</t>
  </si>
  <si>
    <t>Accumulated Allowance for Doubtful Accounts</t>
  </si>
  <si>
    <t>Minority Interest, Total</t>
  </si>
  <si>
    <t>R&amp;D Expense (Foot Note)</t>
  </si>
  <si>
    <t>Change In Other Net Operating Assets</t>
  </si>
  <si>
    <t>Avg Employees</t>
  </si>
  <si>
    <t>Temporary/Seasonal Employees</t>
  </si>
  <si>
    <t>Excise Taxes Excluded from Sales</t>
  </si>
  <si>
    <t>Excise Taxes Included in Sales</t>
  </si>
  <si>
    <t>Finance Division Debt, Total</t>
  </si>
  <si>
    <t>Financial Accounting Standard</t>
  </si>
  <si>
    <t>Total Debt Current</t>
  </si>
  <si>
    <t>Restricted Cash (Non-Current)</t>
  </si>
  <si>
    <t>Finance Division Cash and Equivalents</t>
  </si>
  <si>
    <t>Finance Division Short-Term Investments</t>
  </si>
  <si>
    <t>Cash Interest Paid - Operating Activities</t>
  </si>
  <si>
    <t>Cash Interest Paid - Investing Activities</t>
  </si>
  <si>
    <t>Cash Interest Paid - Financing Activities</t>
  </si>
  <si>
    <t>Cash Taxes Paid - Operating Activities</t>
  </si>
  <si>
    <t>Cash Taxes Paid - Investing Activities</t>
  </si>
  <si>
    <t>Cash Taxes Paid - Financing Activities</t>
  </si>
  <si>
    <t>USD</t>
  </si>
  <si>
    <t>Deferred Income Taxes, Total</t>
  </si>
  <si>
    <t>Distributable Cash Shares (Basic)</t>
  </si>
  <si>
    <t>Distributable Cash Shares (Diluted)</t>
  </si>
  <si>
    <t>Distributable Cash per Share (Diluted)</t>
  </si>
  <si>
    <t>Salaries and Other Employee Benefits</t>
  </si>
  <si>
    <t>Stock-Based Comp., Exploration/Drilling Exp.</t>
  </si>
  <si>
    <t>Employees Under Union Contracts</t>
  </si>
  <si>
    <t>Contingent Liabilities</t>
  </si>
  <si>
    <t>Liquidation Value of Preferred Stock - Convertible</t>
  </si>
  <si>
    <t>Liquidation Value of Preferred Stock - Non-Redeemable</t>
  </si>
  <si>
    <t>Liquidation Value of Preferred Stock - Redeemable</t>
  </si>
  <si>
    <t>Level 1 Assets - Quoted Prices</t>
  </si>
  <si>
    <t>Netting and Other Adj. to Assets</t>
  </si>
  <si>
    <t>Fair Value of Assets</t>
  </si>
  <si>
    <t>Level 1 Liabilities - Quoted Prices</t>
  </si>
  <si>
    <t>Netting and Other Adj. to Liabilities</t>
  </si>
  <si>
    <t>Fair Value of Liabilities</t>
  </si>
  <si>
    <t>Fair Value Change Included in Earnings</t>
  </si>
  <si>
    <t>Exploration/Drilling Exp.</t>
  </si>
  <si>
    <t>Debt Issuance Costs</t>
  </si>
  <si>
    <t>Period Date</t>
  </si>
  <si>
    <t>Cash Interest Paid Net of Interest Received</t>
  </si>
  <si>
    <t>Unusual Items, Total (Supple)</t>
  </si>
  <si>
    <t>Restructuring Charges (Supple)</t>
  </si>
  <si>
    <t>Merger &amp; Related Restruct. Charges (Supple)</t>
  </si>
  <si>
    <t>Impairment of Goodwill (Supple)</t>
  </si>
  <si>
    <t>Asset Writedown, Total (Supple)</t>
  </si>
  <si>
    <t>In Process R &amp; D Exp. (Supple)</t>
  </si>
  <si>
    <t>Insurance Settlements (Supple)</t>
  </si>
  <si>
    <t>Legal Settlements (Supple)</t>
  </si>
  <si>
    <t>Other Unusual Items (Supple)</t>
  </si>
  <si>
    <t>Total Shares Out. on Filing Date</t>
  </si>
  <si>
    <t>Level 2 Assets - Observable Prices</t>
  </si>
  <si>
    <t>Level 3 Assets - Unobservable Prices</t>
  </si>
  <si>
    <t>Level 2 Liabilities - Observable Prices</t>
  </si>
  <si>
    <t>Level 3 Liabilities - Unobservable Prices</t>
  </si>
  <si>
    <t>Other Amortization</t>
  </si>
  <si>
    <t>Return on Common Equity (%)</t>
  </si>
  <si>
    <t>Total Debt / (EBITDA-CAPEX)</t>
  </si>
  <si>
    <t>Net Debt / (EBITDA-CAPEX)</t>
  </si>
  <si>
    <t>Total Revenues/ Employee</t>
  </si>
  <si>
    <t>Shares per Depository Receipt</t>
  </si>
  <si>
    <t>EBITDA - CAPEX</t>
  </si>
  <si>
    <t>Tangible Book Value Per Share (Reported)</t>
  </si>
  <si>
    <t>Total Current Taxes</t>
  </si>
  <si>
    <t>Total Deferred Taxes</t>
  </si>
  <si>
    <t>Capex as % of Revenues</t>
  </si>
  <si>
    <t>Total Intangibles</t>
  </si>
  <si>
    <t>Standardized Distributable Cash</t>
  </si>
  <si>
    <t>Construction in Progress</t>
  </si>
  <si>
    <t>Leasehold Improvements</t>
  </si>
  <si>
    <t>Amortization of Debt Issuance Costs</t>
  </si>
  <si>
    <t>Amortization of Software Assets</t>
  </si>
  <si>
    <t>Deferred Tax Valuation Allowance</t>
  </si>
  <si>
    <t>Interest Income</t>
  </si>
  <si>
    <t>Warranty Liabilities</t>
  </si>
  <si>
    <t>Investment Income</t>
  </si>
  <si>
    <t>Depreciation on Right of Use Assets</t>
  </si>
  <si>
    <t>Operating Lease Payments</t>
  </si>
  <si>
    <t>Change in Operating Lease Liabilities</t>
  </si>
  <si>
    <t>Change in Operating Lease Liabilities Non-Cash</t>
  </si>
  <si>
    <t>Right-of-Use Asset-Gross</t>
  </si>
  <si>
    <t>Right-of-Use Asset-Accumulated Depreciation</t>
  </si>
  <si>
    <t>Right-of-Use Asset-Net</t>
  </si>
  <si>
    <t>Right-of-Use Asset-Capital Lease-Gross</t>
  </si>
  <si>
    <t>Right-of-Use Asset-Capital Lease-Accumulated Depreciation</t>
  </si>
  <si>
    <t>Right-of-Use Asset-Capital Lease-Net</t>
  </si>
  <si>
    <t>Right-of-Use Asset-Operating Lease-Gross</t>
  </si>
  <si>
    <t>Right-of-Use Asset-Operating Lease-Accumulated Depreciation</t>
  </si>
  <si>
    <t>Right-of-Use Asset-Operating Lease-Net</t>
  </si>
  <si>
    <t>Non-Recurring Income Taxes</t>
  </si>
  <si>
    <t>Interest Expenses On Lease Liability/Debt</t>
  </si>
  <si>
    <t>EBITDA, Lease Adjusted</t>
  </si>
  <si>
    <t>Lease Adjustment for EBITDA</t>
  </si>
  <si>
    <t>EBITDA (Incl. Equity Inc. from Affiliates, Excl. Op. Lease Adj.)</t>
  </si>
  <si>
    <t>As Reported EBITDA</t>
  </si>
  <si>
    <t>Gain on Bargain Acquisition</t>
  </si>
  <si>
    <t>Gain on Bargain Acquisition  - Supple</t>
  </si>
  <si>
    <t>Depreciation &amp; Amortization - CF, Excl. Operating Leases</t>
  </si>
  <si>
    <t>Depreciation &amp; Amort., Total, Excl. Operating Leases</t>
  </si>
  <si>
    <t>Long-Term Debt Repaid, Excl. Leases</t>
  </si>
  <si>
    <t>Total Debt Repaid, Excl. Leases</t>
  </si>
  <si>
    <t>Gain on Bargain Acquisition - (CF)</t>
  </si>
  <si>
    <t>Current Portion of Leases</t>
  </si>
  <si>
    <t>Long-Term Leases</t>
  </si>
  <si>
    <t>Gross PP&amp;E, Excl. Operating Leases</t>
  </si>
  <si>
    <t>Accumulated Depreciation, Excl. Operating Leases</t>
  </si>
  <si>
    <t>Net PP&amp;E, Excl. Operating Leases</t>
  </si>
  <si>
    <t>Finance Leases, Current</t>
  </si>
  <si>
    <t>Finance Leases, Long Term</t>
  </si>
  <si>
    <t>Total Finance Leases</t>
  </si>
  <si>
    <t>Current Portion of Operating Lease Liabilities</t>
  </si>
  <si>
    <t>Long-Term Portion of Operating Lease Liabilities</t>
  </si>
  <si>
    <t>Total Operating Leases</t>
  </si>
  <si>
    <t>Total Leases</t>
  </si>
  <si>
    <t>Current Financing Obligations, Excl. Operating Leases</t>
  </si>
  <si>
    <t>Non-Current Financing Obligations Excl. Operating Leases</t>
  </si>
  <si>
    <t>Total Debt, Excl. Operating Leases</t>
  </si>
  <si>
    <t>Total Debt, Excl. Leases</t>
  </si>
  <si>
    <t>Long Term Marketable Securities</t>
  </si>
  <si>
    <t>Advances for Supplies</t>
  </si>
  <si>
    <t>Goodwill and Intangibles (Net)</t>
  </si>
  <si>
    <t>Goodwill (Net)</t>
  </si>
  <si>
    <t>Intangibles (Net)</t>
  </si>
  <si>
    <t>Intercompany Non-Current Assets</t>
  </si>
  <si>
    <t>Intercompany Current Liabilities</t>
  </si>
  <si>
    <t>Intercompany Non-Current Liabilities</t>
  </si>
  <si>
    <t>EBITDA, Excl. Operating Leases/Interest Expense</t>
  </si>
  <si>
    <t>(EBITDA, Excl. Operating Leases-CAPEX)/Interest Exp.</t>
  </si>
  <si>
    <t>Total Debt / EBITDA, Excl. Operating Leases</t>
  </si>
  <si>
    <t>Net Debt/EBITDA, Excl. Operating Leases</t>
  </si>
  <si>
    <t>Total Debt/(EBITDA, Excl. Operating Leases - CAPEX)</t>
  </si>
  <si>
    <t>Net Debt/(EBITDA, Excl. Operating Leases - CAPEX)</t>
  </si>
  <si>
    <t>Natural Resources, at Cost</t>
  </si>
  <si>
    <t>Number Of ADR Holders</t>
  </si>
  <si>
    <t>Debt Equiv. of Unfunded Proj. Benefit Obligation</t>
  </si>
  <si>
    <t>Debt Equivalent Oper. Leases</t>
  </si>
  <si>
    <t>Total Restricted Cash</t>
  </si>
  <si>
    <t>Intercompany Current Assets</t>
  </si>
  <si>
    <t>Cash Dividend and Interest Received</t>
  </si>
  <si>
    <t>Levered Free Cash Flow</t>
  </si>
  <si>
    <t>Unlevered Free Cash Flow</t>
  </si>
  <si>
    <t>Total Liabilities</t>
  </si>
  <si>
    <t>Total Pref. Equity</t>
  </si>
  <si>
    <t>Total Non-Current Debt</t>
  </si>
  <si>
    <t>ticker</t>
  </si>
  <si>
    <t>% of 52W High</t>
  </si>
  <si>
    <t>% of 52W Low</t>
  </si>
  <si>
    <t>Total Revenue - FY</t>
  </si>
  <si>
    <t>Total Revenue - LTM</t>
  </si>
  <si>
    <t>Total Revenue - CY+1</t>
  </si>
  <si>
    <t>Total Revenue - CY+2</t>
  </si>
  <si>
    <t>EBITDA - FY</t>
  </si>
  <si>
    <t>EBITDA - LTM</t>
  </si>
  <si>
    <t>EBITDA - CY+1</t>
  </si>
  <si>
    <t>EBITDA - CY+2</t>
  </si>
  <si>
    <t>Diluted EPS - FY</t>
  </si>
  <si>
    <t>Diluted EPS - LTM</t>
  </si>
  <si>
    <t>Diluted EPS - CY+1</t>
  </si>
  <si>
    <t>Diluted EPS - CY+2</t>
  </si>
  <si>
    <t>TEV/Total Revenue - FY</t>
  </si>
  <si>
    <t>TEV/Total Revenue - LTM</t>
  </si>
  <si>
    <t>TEV/Total Revenue - CY+1</t>
  </si>
  <si>
    <t>TEV/Total Revenue - CY+2</t>
  </si>
  <si>
    <t>TEV/EBITDA - FY</t>
  </si>
  <si>
    <t>TEV/EBITDA - LTM</t>
  </si>
  <si>
    <t>TEV/EBITDA - CY+1</t>
  </si>
  <si>
    <t>TEV/EBITDA - CY+2</t>
  </si>
  <si>
    <t>PE - FY</t>
  </si>
  <si>
    <t>PE - LTM</t>
  </si>
  <si>
    <t>PE - CY+1</t>
  </si>
  <si>
    <t>PE - CY+2</t>
  </si>
  <si>
    <t>Price / - BV</t>
  </si>
  <si>
    <t>Price / - Tangible BV</t>
  </si>
  <si>
    <t>Gross Margin - FY-2</t>
  </si>
  <si>
    <t>Gross Margin - FY-1</t>
  </si>
  <si>
    <t>Gross Margin - FY</t>
  </si>
  <si>
    <t>Gross Margin - LTM</t>
  </si>
  <si>
    <t>Net Income Margin - FY-2</t>
  </si>
  <si>
    <t>Net Income Margin - FY-1</t>
  </si>
  <si>
    <t>Net Income Margin - FY</t>
  </si>
  <si>
    <t>Net Income Margin - LTM</t>
  </si>
  <si>
    <t>Total Revenue - 5-Yr CAGR</t>
  </si>
  <si>
    <t>Total Revenue - 3-Yr CAGR</t>
  </si>
  <si>
    <t>EBITDA - 5-Yr CAGR</t>
  </si>
  <si>
    <t>EBITDA - 3-Yr CAGR</t>
  </si>
  <si>
    <t>EPS - 5-Yr CAGR</t>
  </si>
  <si>
    <t>EPS - 3-Yr CAGR</t>
  </si>
  <si>
    <t>EPS - FY</t>
  </si>
  <si>
    <t>EPS - LTM</t>
  </si>
  <si>
    <t>Total Debt/LTM EBITDA</t>
  </si>
  <si>
    <t>Net Debt/LTM EBITDA</t>
  </si>
  <si>
    <t>(Debt+Pref)/LTM EBITDA</t>
  </si>
  <si>
    <t>EBITDA/Interest</t>
  </si>
  <si>
    <t>(EBITDA-Capex)/Interest</t>
  </si>
  <si>
    <t>Total Debt/Total Equity (%)</t>
  </si>
  <si>
    <t>Total Debt/Total Cap. (%)</t>
  </si>
  <si>
    <t>Total Debt/ROE</t>
  </si>
  <si>
    <t>Total Debt/ROA</t>
  </si>
  <si>
    <t>Total Debt/ROIC</t>
  </si>
  <si>
    <t>Avg. Days Sales Out.</t>
  </si>
  <si>
    <t>Avg. Days Inv. Out.</t>
  </si>
  <si>
    <t>Avg. Days Payable Out.</t>
  </si>
  <si>
    <t>Avg. Cash Conv. Cycle</t>
  </si>
  <si>
    <t>Avg. Total Assets</t>
  </si>
  <si>
    <t>Avg. Fixed Assets</t>
  </si>
  <si>
    <t>Avg. A/R</t>
  </si>
  <si>
    <t>Avg. Inventory</t>
  </si>
  <si>
    <t>H</t>
  </si>
  <si>
    <t>date_year</t>
  </si>
  <si>
    <t>2026</t>
  </si>
  <si>
    <t>date_month</t>
  </si>
  <si>
    <t>date_day</t>
  </si>
  <si>
    <t>currency</t>
  </si>
  <si>
    <t>date</t>
  </si>
  <si>
    <t>conversion</t>
  </si>
  <si>
    <t>Total Revenue (%, yoy)</t>
  </si>
  <si>
    <t>Gross Profit (%, yoy)</t>
  </si>
  <si>
    <t>EBITDA (%, yoy)</t>
  </si>
  <si>
    <t>EBIT (%, yoy)</t>
  </si>
  <si>
    <t>Net Income (%, yoy)</t>
  </si>
  <si>
    <t>Diluted EPS before Extra (%, yoy)</t>
  </si>
  <si>
    <t>Total Revenue (%, CAGR-3Y)</t>
  </si>
  <si>
    <t>Gross Profit (%, CAGR-3Y)</t>
  </si>
  <si>
    <t>EBITDA (%, CAGR-3Y)</t>
  </si>
  <si>
    <t>EBIT (%, CAGR-3Y)</t>
  </si>
  <si>
    <t>Net Income (%, CAGR-3Y)</t>
  </si>
  <si>
    <t>Diluted EPS before Extra (%, CAGR-3Y)</t>
  </si>
  <si>
    <t>Total Revenue (%, CAGR-5Y)</t>
  </si>
  <si>
    <t>Gross Profit (%, CAGR-5Y)</t>
  </si>
  <si>
    <t>EBITDA (%, CAGR-5Y)</t>
  </si>
  <si>
    <t>EBIT (%, CAGR-5Y)</t>
  </si>
  <si>
    <t>Net Income (%, CAGR-5Y)</t>
  </si>
  <si>
    <t>Diluted EPS before Extra (%, CAGR-5Y)</t>
  </si>
  <si>
    <t>RatiosDate</t>
  </si>
  <si>
    <t>(User access restricted)</t>
  </si>
  <si>
    <t>Period</t>
  </si>
  <si>
    <t>NASDAQ:CALM</t>
  </si>
  <si>
    <t>BAABTAVMT0NBTAFI/////wFQYiQAACNDSVEuTllTRTpQT1NULklRX1BFX0VYQ0xfRldELjEwMDAxLgEAAACPvWYIAgAAABAxMi4yNDQxNDUzMDcwMjU2AQ0AAAAFAAAAATkBAAAACTE1NDE0ODk4NwIAAAAHMjYyODc4NgMAAAAGMTAwMzA5BAAAAAEyBgAAAAEwBwAAAAMxNjAIAAAAATAJAAAAATEKAAAAATALAAAACzE0ODgyNTkxNTgwDAAAAAE3DQAAAAg4LzEvMjAyNmo+WQo7794IqjLmMjvv3ggoQ0lRLlNaU0U6MzAwNzYxLklRX1RFVl9FQklUREFfRldELjEwMDAxLgEAAADv78cTAgAAABA5LjU4NjczOTAwOTA4ODM5AQ0AAAAFAAAAATkBAAAACTU1Nzg1NTUyOAIAAAAKMTAwNDc2Mzg2MwMAAAAGMTAwMzA4BAAAAAIyNwYAAAABMAcAAAACMzIIAAAAATAJAAAAATEKAAAAATALAAAACzE0ODEzNjk3MTQ5DAAAAAE3DQAAAAg4LzEvMjAyNmo+WQo7794IGILkMjvv3ggiQ0lRLk5ZU0U6R0lTLklRX1BFX0VYQ0xfRldELjEwMDAyLgEAAAAbMQQAAgAAABAxMS41NDg3MDYyNDA0ODcxAQ0AAAAFAAAAATkBAAAABzI2MTQ2NjYCAAAABzEzMjYzMjADAAAABjEwMDMwOQQAAAABMgYAAAABMAcAAAADMTYwCAAAAAEwCQAAAAExCgAAAAEwCwAAAAsxNDg3NjQ4NzY4OAwAAAABNw0AAAAIOC8xLzIwMjZqPlkKO+/eCB/N5zI7794IJ0NJUS5OQVNEQVFHUzpNRExaLklRX1BFX0VYQ0xfRldELjEwMDAxLgEAAABtSQsA</t>
  </si>
  <si>
    <t>AgAAABAyMC43MTE0Mzg1NzE2MDY4AQ0AAAAFAAAAATkBAAAABzI2MjQzMzYCAAAACjEwMDE0NDQ5NDkDAAAABjEwMDMwOQQAAAABMgYAAAABMAcAAAADMTYwCAAAAAEwCQAAAAExCgAAAAEwCwAAAAsxNDg5MTkxNjAwNgwAAAABNw0AAAAIOC8xLzIwMjZqPlkKO+/eCEZm6jI7794IJkNJUS5OQVNEQVFHUzpLSEMuSVFfUEVfRVhDTF9GV0QuMTAwMDIuAQAAAMQ+BAACAAAAEDEyLjU3MDUyNDU1MDE2NzcBDQAAAAUAAAABOQEAAAAJMzA1NzU1NjgzAgAAAAoxMDA0MjY3NTE5AwAAAAYxMDAzMDkEAAAAATIGAAAAATAHAAAAAzE2MAgAAAABMAkAAAABMQoAAAABMAsAAAALMTQ4Nzg0MjA4MzEMAAAAATcNAAAACDgvMS8yMDI2aj5ZCjvv3gh2buUyO+/eCCZDSVEuTkFTREFRR1M6S0hDLklRX1BFX0VYQ0xfRldELjEwMDAxLgEAAADEPgQAAgAAABAxMi44MDcxOTMwMDExOTQzAQ0AAAAFAAAAATkBAAAACTMwNTc1NTY4MwIAAAAKMTAwMzk3MTk0OAMAAAAGMTAwMzA5BAAAAAEyBgAAAAEwBwAAAAMxNjAIAAAAATAJAAAAATEKAAAAATALAAAACzE0ODc4NDIwNzI4DAAAAAE3DQAAAAg4LzEvMjAyNmo+WQo7794Idm7lMjvv3ggoQ0lRLk5BU0RBUTpDQUxNLklRX1RFVl9FQklUREFfRldELjEwMDAyLgEAAAAgegUAAgAAABAxMi4yMDgyMTE4ODcwMTk2AQ0AAAAFAAAAATkBAAAABzI1OTcwNzgCAAAACTcwNDE1Mzc3</t>
  </si>
  <si>
    <t>MgMAAAAGMTAwMzA4BAAAAAEyBgAAAAEwBwAAAAMxNjAIAAAAATAJAAAAATEKAAAAATALAAAACzE0ODg2Nzk2Mjk3DAAAAAE3DQAAAAg4LzEvMjAyNv1NhzA7794IksLUMjvv3ggqQ0lRLk5BU0RBUUdTOk1ETFouSVFfVEVWX0VCSVREQV9GV0QuMTAwMDIuAQAAAG1JCwACAAAAEDEzLjkwNjg5OTY0NjYyOTEBDQAAAAUAAAABOQEAAAAHMjYyNDMzNgIAAAAKMTAwMTQ0NDk1MAMAAAAGMTAwMzA4BAAAAAEyBgAAAAEwBwAAAAMxNjAIAAAAATAJAAAAATEKAAAAATALAAAACzE0ODkxOTE1NDk1DAAAAAE3DQAAAAg4LzEvMjAyNmo+WQo7794IcI3qMjvv3gglQ0lRLk5ZU0U6R0lTLklRX1RFVl9FQklUREFfRldELjEwMDAxLgEAAAAbMQQAAgAAABAxMC4zMDgyMTY4MjA1MzY2AQ0AAAAFAAAAATkBAAAABzI2MTQ2NjYCAAAABzM4NzAwNDcDAAAABjEwMDMwOAQAAAABMgYAAAABMAcAAAADMTYwCAAAAAEwCQAAAAExCgAAAAEwCwAAAAsxNDg3NjQ4NzY2OQwAAAABNw0AAAAIOC8xLzIwMjZqPlkKO+/eCB/N5zI7794IKENJUS5OQVNEQVE6Q0FMTS5JUV9URVZfRUJJVERBX0ZXRC4xMDAwMS4BAAAAIHoFAAIAAAAQMzIuNTQwMzM2MzIzNTQ2OAENAAAABQAAAAE5AQAAAAcyNTk3MDc4AgAAAAk3MDQxNTM3NzEDAAAABjEwMDMwOAQAAAABMgYAAAABMAcAAAADMTYwCAAAAAEwCQAAAAExCgAAAAEwCwAAAAsxNDg4Njc5</t>
  </si>
  <si>
    <t>NjE5NwwAAAABNw0AAAAIOC8xLzIwMjb9TYcwO+/eCJLC1DI7794IKkNJUS5OQVNEQVFHUzpNRExaLklRX1RFVl9FQklUREFfRldELjEwMDAxLgEAAABtSQsAAgAAABAxNC45OTY0Mzk2Mzc3ODI5AQ0AAAAFAAAAATkBAAAABzI2MjQzMzYCAAAACjEwMDE0NDQ5NDkDAAAABjEwMDMwOAQAAAABMgYAAAABMAcAAAADMTYwCAAAAAEwCQAAAAExCgAAAAEwCwAAAAsxNDg5MTkxNTQ4OQwAAAABNw0AAAAIOC8xLzIwMjZqPlkKO+/eCHCN6jI7794IJUNJUS5OWVNFOkdJUy5JUV9URVZfRUJJVERBX0ZXRC4xMDAwMi4BAAAAGzEEAAIAAAAQMTAuNDg1OTk1NjEwNDEwMQENAAAABQAAAAE5AQAAAAcyNjE0NjY2AgAAAAcxMzI2MzIwAwAAAAYxMDAzMDgEAAAAATIGAAAAATAHAAAAAzE2MAgAAAABMAkAAAABMQoAAAABMAsAAAALMTQ4NzY0ODc2NDcMAAAAATcNAAAACDgvMS8yMDI2aj5ZCjvv3ggfzecyO+/eCClDSVEuTkFTREFRR1M6S0hDLklRX1RFVl9FQklUREFfRldELjEwMDAyLgEAAADEPgQAAgAAAA85LjU5MjcyNzU0NDI0MzMBDQAAAAUAAAABOQEAAAAJMzA1NzU1NjgzAgAAAAoxMDA0MjY3NTE5AwAAAAYxMDAzMDgEAAAAATIGAAAAATAHAAAAAzE2MAgAAAABMAkAAAABMQoAAAABMAsAAAALMTQ4Nzc5MjAzODAMAAAAATcNAAAACDgvMS8yMDI2aj5ZCjvv3gh2buUyO+/eCClDSVEuTkFTREFRR1M6S0hDLklR</t>
  </si>
  <si>
    <t>X1RFVl9FQklUREFfRldELjEwMDAxLgEAAADEPgQAAgAAABA5LjcyNTQ5OTI0Mjg1OTg4AQ0AAAAFAAAAATkBAAAACTMwNTc1NTY4MwIAAAAKMTAwMzk3MTk0OAMAAAAGMTAwMzA4BAAAAAEyBgAAAAEwBwAAAAMxNjAIAAAAATAJAAAAATEKAAAAATALAAAACzE0ODc4NDIyMjAwDAAAAAE3DQAAAAg4LzEvMjAyNmo+WQo7794Idm7lMjvv3gglQ0lRLk5BU0RBUTpDQUxNLklRX1BFX0VYQ0xfRldELjEwMDAyLgEAAAAgegUAAgAAABAyNy42ODgzOTQyNzY2Mjk2AQ0AAAAFAAAAATkBAAAABzI1OTcwNzgCAAAACTcwNDE1Mzc3MgMAAAAGMTAwMzA5BAAAAAEyBgAAAAEwBwAAAAMxNjAIAAAAATAJAAAAATEKAAAAATALAAAACzE0ODg2Nzk2MzI5DAAAAAE3DQAAAAg4LzEvMjAyNv1NhzA7794IA+rUMjvv3ggnQ0lRLk5BU0RBUUdNOlZJVEwuSVFfUEVfRVhDTF9GV0QuMTAwMDIuAQAAAJHszw0CAAAAEDI4LjE1NzI4NDY1NjQxODEBDQAAAAUAAAABOQEAAAAJNjc2NzYxNzI1AgAAAAoxMDA0NzY5MDY1AwAAAAYxMDAzMDkEAAAAATIGAAAAATAHAAAAAzE2MAgAAAABMAkAAAABMQoAAAABMAsAAAALMTQ4NzY0MDYzMTgMAAAAATcNAAAACDgvMS8yMDI2aj5ZCjvv3gjMCecyO+/eCCVDSVEuTkFTREFROkNBTE0uSVFfUEVfRVhDTF9GV0QuMTAwMDEuAQAAACB6BQACAAAADzE5NC41OTIxNzg3NzA5NQENAAAABQAAAAE5</t>
  </si>
  <si>
    <t>AQAAAAcyNTk3MDc4AgAAAAk3MDQxNTM3NzEDAAAABjEwMDMwOQQAAAABMgYAAAABMAcAAAADMTYwCAAAAAEwCQAAAAExCgAAAAEwCwAAAAsxNDg4Njc5NjIyOQwAAAABNw0AAAAIOC8xLzIwMjb9TYcwO+/eCAPq1DI7794IJ0NJUS5OQVNEQVFHTTpWSVRMLklRX1BFX0VYQ0xfRldELjEwMDAxLgEAAACR7M8NAwAAAAJOTQENAAAABQAAAAE5AQAAAAk2NzY3NjE3MjUCAAAACjEwMDQ3NjkwNjQDAAAABjEwMDMwOQQAAAABMgYAAAABMAcAAAADMTYwCAAAAAEwCQAAAAExCgAAAAEwCwAAAAsxNDg3NjQwNjQ2MgwAAAABNw0AAAAIOC8xLzIwMjZqPlkKO+/eCMwJ5zI7794IIkNJUS5OWVNFOkdJUy5JUV9QRV9FWENMX0ZXRC4xMDAwMS4BAAAAGzEEAAIAAAAQMTEuMDY2NTQ1MTIzMDYyOQENAAAABQAAAAE5AQAAAAcyNjE0NjY2AgAAAAczODcwMDQ3AwAAAAYxMDAzMDkEAAAAATIGAAAAATAHAAAAAzE2MAgAAAABMAkAAAABMQoAAAABMAsAAAALMTQ4NzY0ODc2OTMMAAAAATcNAAAACDgvMS8yMDI2aj5ZCjvv3ggfzecyO+/eCCpDSVEuTkFTREFRR006VklUTC5JUV9URVZfRUJJVERBX0ZXRC4xMDAwMi4BAAAAkezPDQIAAAAQMTEuNzk5NjYxNzA0MzU2NgENAAAABQAAAAE5AQAAAAk2NzY3NjE3MjUCAAAACjEwMDQ3NjkwNjUDAAAABjEwMDMwOAQAAAABMgYAAAABMAcAAAADMTYwCAAAAAEwCQAAAAExCgAAAAEw</t>
  </si>
  <si>
    <t>CwAAAAsxNDg3NjQwNTU2NQwAAAABNw0AAAAIOC8xLzIwMjZqPlkKO+/eCMwJ5zI7794IKkNJUS5OQVNEQVFHTTpWSVRMLklRX1RFVl9FQklUREFfRldELjEwMDAxLgEAAACR7M8NAgAAABAxNTcuNDExODczODYzMjQxAQ0AAAAFAAAAATkBAAAACTY3Njc2MTcyNQIAAAAKMTAwNDc2OTA2NAMAAAAGMTAwMzA4BAAAAAEyBgAAAAEwBwAAAAMxNjAIAAAAATAJAAAAATEKAAAAATALAAAACzE0ODc2NDA1NzAzDAAAAAE3DQAAAAg4LzEvMjAyNmo+WQo7794IzAnnMjvv3ggnQ0lRLk5BU0RBUUdTOk1ETFouSVFfUEVfRVhDTF9GV0QuMTAwMDIuAQAAAG1JCwACAAAAEDE4Ljc3OTAwNzI4NDc1NDQBDQAAAAUAAAABOQEAAAAHMjYyNDMzNgIAAAAKMTAwMTQ0NDk1MAMAAAAGMTAwMzA5BAAAAAEyBgAAAAEwBwAAAAMxNjAIAAAAATAJAAAAATEKAAAAATALAAAACzE0ODkxOTE2MDI0DAAAAAE3DQAAAAg4LzEvMjAyNmo+WQo7794IRmbqMjvv3gglQ0lRLlNaU0U6MzAwNzYxLklRX1BFX0VYQ0xfRldELjEwMDAyLgEAAADv78cTAgAAABA5LjI1NzQxNjM3MDE0MTMxAQ0AAAAFAAAAATkBAAAACTU1Nzg1NTUyOAIAAAAKMTAwNDc2Mzg2NAMAAAAGMTAwMzA5BAAAAAIyNwYAAAABMAcAAAACMzIIAAAAATAJAAAAATEKAAAAATALAAAACzE0ODEzNjk3MjM5DAAAAAE3DQAAAAg4LzEvMjAyNmo+WQo7794IGILkMjvv3ggoQ0lR</t>
  </si>
  <si>
    <t>LlNaU0U6MzAwNzYxLklRX1RFVl9FQklUREFfRldELjEwMDAyLgEAAADv78cTAgAAABA2LjExNjU2MDEwNzc2MjkzAQ0AAAAFAAAAATkBAAAACTU1Nzg1NTUyOAIAAAAKMTAwNDc2Mzg2NAMAAAAGMTAwMzA4BAAAAAIyNwYAAAABMAcAAAACMzIIAAAAATAJAAAAATEKAAAAATALAAAACzE0ODEzNjk3MTQzDAAAAAE3DQAAAAg4LzEvMjAyNmo+WQo7794IGILkMjvv3ggmQ0lRLk5ZU0U6UE9TVC5JUV9URVZfRUJJVERBX0ZXRC4xMDAwMS4BAAAAj71mCAIAAAAPNy40ODc4MjU3MDY5MTA3AQ0AAAAFAAAAATkBAAAACTE1NDE0ODk4NwIAAAAHMjYyODc4NgMAAAAGMTAwMzA4BAAAAAEyBgAAAAEwBwAAAAMxNjAIAAAAATAJAAAAATEKAAAAATALAAAACzE0ODgyNTkxNTEwDAAAAAE3DQAAAAg4LzEvMjAyNmo+WQo7794IqlnmMjvv3gglQ0lRLlNaU0U6MzAwNzYxLklRX1BFX0VYQ0xfRldELjEwMDAxLgEAAADv78cTAgAAAA8xOC4zNTI3NzM2MDc0MjIBDQAAAAUAAAABOQEAAAAJNTU3ODU1NTI4AgAAAAoxMDA0NzYzODYzAwAAAAYxMDAzMDkEAAAAAjI3BgAAAAEwBwAAAAIzMggAAAABMAkAAAABMQoAAAABMAsAAAALMTQ4MTM2OTcyMjEMAAAAATcNAAAACDgvMS8yMDI2aj5ZCjvv3ggYguQyO+/eCCZDSVEuTllTRTpQT1NULklRX1RFVl9FQklUREFfRldELjEwMDAyLgEAAACPvWYIAgAAABA3LjM3OTY4ODQzMDE2</t>
  </si>
  <si>
    <t>MzU2AQ0AAAAFAAAAATkBAAAACTE1NDE0ODk4NwIAAAAHMzkwODYxMAMAAAAGMTAwMzA4BAAAAAEyBgAAAAEwBwAAAAMxNjAIAAAAATAJAAAAATEKAAAAATALAAAACzE0ODgyNTkxNTQyDAAAAAE3DQAAAAg4LzEvMjAyNmo+WQo7794IqlnmMjvv3ggjQ0lRLk5ZU0U6UE9TVC5JUV9QRV9FWENMX0ZXRC4xMDAwMi4BAAAAj71mCAIAAAAPMTAuNjI0NzI4NTUyODE1AQ0AAAAFAAAAATkBAAAACTE1NDE0ODk4NwIAAAAHMzkwODYxMAMAAAAGMTAwMzA5BAAAAAEyBgAAAAEwBwAAAAMxNjAIAAAAATAJAAAAATEKAAAAATALAAAACzE0ODgyNTkxNTg0DAAAAAE3DQAAAAg4LzEvMjAyNmo+WQo7794IqjLmMjvv3ggjQ0lRLk5BU0RBUTpDQUxNLklRX1BFUklPRERBVEUuMjAwMC4BAAAAIHoFAAUAAAAKMzAvMDUvMjAyNgCyiIcwO+/eCJLC1DI7794IIUNJUS5OQVNEQVE6Q0FMTS5JUV9OSV9NQVJHSU4uOTk5LgEAAAAgegUAAgAAAAcyOC42MjY5AQgAAAAFAAAAATEBAAAACy0xODgxMDY4Njc1AwAAAAMxNjACAAAABDQwOTQEAAAAATAHAAAACTcvMzEvMjAyNggAAAAJNS8zMS8yMDI1CQAAAAEwsoiHMDvv3ggD6tQyO+/eCClDSVEuTkFTREFROkNBTE0uSVFfRUJJVERBX0NBUEVYX0lOVC4yMDAwLgEAAAAgegUAAgAAAAo1NjkuMTk3ODQxAQgAAAAFAAAAATEBAAAACy0xODgxMDY4Mjk1AwAAAAMxNjACAAAABDQxOTEE</t>
  </si>
  <si>
    <t>AAAAATAHAAAACTcvMzEvMjAyNggAAAAJNS8zMC8yMDI2CQAAAAEwsoiHMDvv3gjaN9UyO+/eCClDSVEuTkFTREFRR1M6TURMWi5JUV9FQklUREEuMTAwMC4uLi5VU0QuSAEAAABtSQsAAgAAAAQ0OTkwAQgAAAAFAAAAATEBAAAACy0xOTA3Njg1MDk5AwAAAAMxNjACAAAABDQwNTEEAAAAATAHAAAACTcvMzEvMjAyNggAAAAKMTIvMzEvMjAyNQkAAAABMGo+WQo7794ILN3pMjvv3ggqQ0lRLlNaU0U6MzAwNzYxLklRX1RPVEFMX1JFVi4yMDAwLi4uLlVTRC5IAQAAAO/vxxMCAAAACzI4NDUuNzYxOTYyAQgAAAAFAAAAATEBAAAACy0xODk1NzY1NTgyAwAAAAMxNjACAAAAAjI4BAAAAAEwBwAAAAk3LzMxLzIwMjYIAAAACTMvMzEvMjAyNgkAAAABMGo+WQo7794IANLjMjvv3ggtQ0lRLk5ZU0U6UE9TVC5JUV9ESUxVVF9FUFNfRVhDTC4xMDAwLi4uLlVTRC5IAQAAAI+9ZggCAAAACDUuNTEwMzMzAQgAAAAFAAAAATEBAAAACy0xOTE0ODgyNDYxAwAAAAMxNjACAAAAAzE0MgQAAAABMAcAAAAJNy8zMS8yMDI2CAAAAAk5LzMwLzIwMjUJAAAAATBqPlkKO+/eCI6V5TI7794IKUNJUS5OQVNEQVFHTTpWSVRMLklRX0VCSVREQS4yMDAwLi4uLlVTRC5IAQAAAJHszw0CAAAABjc5LjQ4NAEIAAAABQAAAAExAQAAAAstMTg5MTAxNDU2NAMAAAADMTYwAgAAAAQ0MDUxBAAAAAEwBwAAAAk3LzMxLzIwMjYIAAAACTMvMjkv</t>
  </si>
  <si>
    <t>MjAyNgkAAAABMGo+WQo7794IvIDmMjvv3ggpQ0lRLk5BU0RBUUdTOktIQy5JUV9ORVRfREVCVF9FQklUREEuMjAwMC4BAAAAxD4EAAIAAAAIMi43MDg1MTgBCAAAAAUAAAABMQEAAAALLTE4OTEzNjA3MzIDAAAAAzE2MAIAAAAENDE5MwQAAAABMAcAAAAJNy8zMS8yMDI2CAAAAAkzLzI4LzIwMjYJAAAAATBqPlkKO+/eCE735DI7794IJkNJUS5OQVNEQVFHUzpLSEMuSVFfR1JPU1NfTUFSR0lOLjIwMDAuAQAAAMQ+BAACAAAABzMzLjk3MzUBCAAAAAUAAAABMQEAAAALLTE4OTEzNjA3MzIDAAAAAzE2MAIAAAAENDA3NAQAAAABMAcAAAAJNy8zMS8yMDI2CAAAAAkzLzI4LzIwMjYJAAAAATBqPlkKO+/eCD5H5TI7794IKENJUS5OWVNFOlBPU1QuSVFfRklYRURfQVNTRVRfVFVSTlMuMjAwMC4BAAAAj71mCAIAAAAIMy4zNTcxNjEBCAAAAAUAAAABMQEAAAALLTE4OTA4OTAyNDIDAAAAAzE2MAIAAAAENDA2NgQAAAABMAcAAAAJNy8zMS8yMDI2CAAAAAkzLzMxLzIwMjYJAAAAATBqPlkKO+/eCE/Q5TI7794ILENJUS5OWVNFOlBPU1QuSVFfRUJJVERBXzFZUl9BTk5fR1JPV1RILjEwMDAuAQAAAI+9ZggCAAAABjYuMzQ1NgEIAAAABQAAAAExAQAAAAstMTkxNDg4MjQ2MQMAAAADMTYwAgAAAAQ0MTk2BAAAAAEwBwAAAAk3LzMxLzIwMjYIAAAACTkvMzAvMjAyNQkAAAABMGo+WQo7794IWgvmMjvv3ggnQ0lRLk5B</t>
  </si>
  <si>
    <t>U0RBUUdNOlZJVEwuSVFfQ1VSUkVOVF9SQVRJTy41MDAuAQAAAJHszw0CAAAABzEuNzY2MzkBCAAAAAUAAAABMQEAAAALLTE4OTEwMTY0MDUDAAAAAzE2MAIAAAAENDAzMAQAAAABMAcAAAAJNy8zMS8yMDI2CAAAAAkzLzI5LzIwMjYJAAAAATBqPlkKO+/eCMen5jI7794ILUNJUS5OQVNEQVFHUzpNRExaLklRX0VQU18xWVJfQU5OX0dST1dUSC4yMDAwLgEAAABtSQsAAgAAAActMC43NDM1AQgAAAAFAAAAATEBAAAACy0xODgwNDE1NDk2AwAAAAMxNjACAAAABDQyMDAEAAAAATAHAAAACTcvMzEvMjAyNggAAAAJNi8zMC8yMDI2CQAAAAEwaj5ZCjvv3gg+GOoyO+/eCCZDSVEuTkFTREFRR1M6TURMWi5JUV9HUk9TU19NQVJHSU4uOTk5LgEAAABtSQsAAgAAAAczOS4xMjM1AQgAAAAFAAAAATEBAAAACy0xOTA3Njg1MDk0AwAAAAMxNjACAAAABDQwNzQEAAAAATAHAAAACTcvMzEvMjAyNggAAAAKMTIvMzEvMjAyNAkAAAABMGo+WQo7794IQj/qMjvv3ggnQ0lRLk5ZU0U6R0lTLklRX1RPVEFMX0RFQlRfRUJJVERBLjIwMDAuAQAAABsxBAACAAAACDMuODQ0NTY3AQgAAAAFAAAAATEBAAAACy0xODgyNTQ5NDUwAwAAAAMxNjACAAAABDQxOTIEAAAAATAHAAAACTcvMzEvMjAyNggAAAAJNS8zMS8yMDI2CQAAAAEwaj5ZCjvv3gj3fucyO+/eCDBDSVEuTkFTREFRR1M6TURMWi5JUV9FQklUREFfMVlSX0FOTl9HUk9X</t>
  </si>
  <si>
    <t>VEguMjAwMC4BAAAAbUkLAAIAAAAGMi41ODE0AQgAAAAFAAAAATEBAAAACy0xODgwNDE1NDk2AwAAAAMxNjACAAAABDQxOTYEAAAAATAHAAAACTcvMzEvMjAyNggAAAAJNi8zMC8yMDI2CQAAAAEwaj5ZCjvv3gg+GOoyO+/eCCZDSVEuTllTRTpHSVMuSVFfRVBTXzVZUl9BTk5fQ0FHUi4yMDAwLgEAAAAbMQQAAwAAAAJOTQEIAAAABQAAAAExAQAAAAstMTg4MjU0OTQ1MAMAAAADMTYwAgAAAAQ0MjM5BAAAAAEwBwAAAAk3LzMxLzIwMjYIAAAACTUvMzEvMjAyNgkAAAABMGo+WQo7794ICKbnMjvv3gglQ0lRLlNaU0U6MzAwNzYxLklRX0NVUlJFTlRfUkFUSU8uNTAwLgEAAADv78cTAgAAAAgwLjgzNzY4NwEIAAAABQAAAAExAQAAAAstMTg5NTc2NjgyMgMAAAACMzICAAAABDQwMzAEAAAAATAHAAAACTcvMzEvMjAyNggAAAAJMy8zMS8yMDI2CQAAAAEwaj5ZCjvv3gjxM+QyO+/eCB5DSVEuTllTRTpHSVMuSVFfQVJfVFVSTlMuMjAwMC4BAAAAGzEEAAIAAAAJMTAuNzAzNTc1AQgAAAAFAAAAATEBAAAACy0xODgyNTQ5NDUwAwAAAAMxNjACAAAABDQwMDEEAAAAATAHAAAACTcvMzEvMjAyNggAAAAJNS8zMS8yMDI2CQAAAAEwaj5ZCjvv3gjuV+cyO+/eCCNDSVEuTkFTREFROkNBTE0uSVFfUEVSSU9EREFURS4xMDAwLgEAAAAgegUABQAAAAozMC8wNS8yMDI2ALKIhzA7794IksLUMjvv3gghQ0lRLk5BU0RBUTpD</t>
  </si>
  <si>
    <t>QUxNLklRX05JX01BUkdJTi45OTguAQAAACB6BQACAAAABzExLjk0NDcBCAAAAAUAAAABMQEAAAALLTE4ODEwNjg2NzYDAAAAAzE2MAIAAAAENDA5NAQAAAABMAcAAAAJNy8zMS8yMDI2CAAAAAg2LzEvMjAyNAkAAAABMLKIhzA7794IA+rUMjvv3ggjQ0lRLk5BU0RBUTpDQUxNLklRX0VCSVREQV9JTlQuMjAwMC4BAAAAIHoFAAIAAAAKODQxLjE3NjI1OAEIAAAABQAAAAExAQAAAAstMTg4MTA2ODI5NQMAAAADMTYwAgAAAAQ0MTkwBAAAAAEwBwAAAAk3LzMxLzIwMjYIAAAACTUvMzAvMjAyNgkAAAABMLKIhzA7794I2jfVMjvv3ggqQ0lRLlNaU0U6MzAwNzYxLklRX1RPVEFMX1JFVi4xMDAwLi4uLlVTRC5IAQAAAO/vxxMCAAAACzI2NzcuNzY1NDE1AQgAAAAFAAAAATEBAAAACy0xODk1NzUzMTQxAwAAAAMxNjACAAAAAjI4BAAAAAEwBwAAAAk3LzMxLzIwMjYIAAAACjEyLzMxLzIwMjUJAAAAATBqPlkKO+/eCADS4zI7794IKUNJUS5OQVNEQVFHTTpWSVRMLklRX0VCSVREQS4xMDAwLi4uLlVTRC5IAQAAAJHszw0CAAAABzEwMi44ODUBCAAAAAUAAAABMQEAAAALLTE5MDQ5NjMzNDEDAAAAAzE2MAIAAAAENDA1MQQAAAABMAcAAAAJNy8zMS8yMDI2CAAAAAoxMi8yOC8yMDI1CQAAAAEwaj5ZCjvv3gi8gOYyO+/eCCtDSVEuTkFTREFRR1M6S0hDLklRX1RPVEFMX0RFQlRfRUJJVERBLjIwMDAuAQAAAMQ+BAAC</t>
  </si>
  <si>
    <t>AAAACDMuMzU4NzA5AQgAAAAFAAAAATEBAAAACy0xODkxMzYwNzMyAwAAAAMxNjACAAAABDQxOTIEAAAAATAHAAAACTcvMzEvMjAyNggAAAAJMy8yOC8yMDI2CQAAAAEwaj5ZCjvv3ghO9+QyO+/eCCZDSVEuTkFTREFRR1M6S0hDLklRX0dST1NTX01BUkdJTi4xMDAwLgEAAADEPgQAAgAAAAczMy4zMTcyAQgAAAAFAAAAATEBAAAACy0xOTA2OTQxMjIwAwAAAAMxNjACAAAABDQwNzQEAAAAATAHAAAACTcvMzEvMjAyNggAAAAKMTIvMjcvMjAyNQkAAAABMGo+WQo7794IPkflMjvv3ggiQ0lRLk5ZU0U6UE9TVC5JUV9BU1NFVF9UVVJOUy4yMDAwLgEAAACPvWYIAgAAAAgwLjY1NTU0NwEIAAAABQAAAAExAQAAAAstMTg5MDg5MDI0MgMAAAADMTYwAgAAAAQ0MTc3BAAAAAEwBwAAAAk3LzMxLzIwMjYIAAAACTMvMzEvMjAyNgkAAAABMGo+WQo7794IT9DlMjvv3ggqQ0lRLk5ZU0U6UE9TVC5JUV9FQklUREFfM1lSX0FOTl9DQUdSLjIwMDAuAQAAAI+9ZggCAAAABjE3LjgxMwEIAAAABQAAAAExAQAAAAstMTg5MDg5MDI0MgMAAAADMTYwAgAAAAQ0MjIyBAAAAAEwBwAAAAk3LzMxLzIwMjYIAAAACTMvMzEvMjAyNgkAAAABMGo+WQo7794IWgvmMjvv3ggyQ0lRLk5BU0RBUUdNOlZJVEwuSVFfUkVUVVJOX0lOVkVTVEVEX0NBUElUQUwuMjAwMC4BAAAAkezPDQIAAAAGMTMuODA3AGo+WQo7794Ix6fmMjvv3ggkQ0lR</t>
  </si>
  <si>
    <t>Lk5BU0RBUUdNOlZJVEwuSVFfTklfTUFSR0lOLjEwMDAuAQAAAJHszw0CAAAABjguNzI3NwEIAAAABQAAAAExAQAAAAstMTkwNDk2MzM0MQMAAAADMTYwAgAAAAQ0MDk0BAAAAAEwBwAAAAk3LzMxLzIwMjYIAAAACjEyLzI4LzIwMjUJAAAAATBqPlkKO+/eCI7i5jI7794IJUNJUS5OQVNEQVFHTTpWSVRMLklRX1BFUklPRERBVEUuMTAwMC4BAAAAkezPDQUAAAAKMjgvMTIvMjAyNQBqPlkKO+/eCNww5zI7794II0NJUS5OQVNEQVFHTTpWSVRMLklRX05JX01BUkdJTi45OTguAQAAAJHszw0CAAAABjUuNDE4MQEIAAAABQAAAAExAQAAAAstMTkwNDk2MzMzMQMAAAADMTYwAgAAAAQ0MDk0BAAAAAEwBwAAAAk3LzMxLzIwMjYIAAAACjEyLzMxLzIwMjMJAAAAATBqPlkKO+/eCI7i5jI7794IJkNJUS5OQVNEQVE6Q0FMTS5JUV9FQklUREFfTUFSR0lOLjIwMDAuAQAAACB6BQACAAAABzE2LjA2MjkBCAAAAAUAAAABMQEAAAALLTE4ODEwNjgyOTUDAAAAAzE2MAIAAAAENDA0NwQAAAABMAcAAAAJNy8zMS8yMDI2CAAAAAk1LzMwLzIwMjYJAAAAATCyiIcwO+/eCAPq1DI7794IJ0NJUS5OQVNEQVE6Q0FMTS5JUV9EQVlTX1NBTEVTX09VVC4yMDAwLgEAAAAgegUAAgAAAAkyMy43NzMyMDQBCAAAAAUAAAABMQEAAAALLTE4ODEwNjgyOTUDAAAAAzE2MAIAAAAENDA0MgQAAAABMAcAAAAJNy8zMS8yMDI2CAAAAAk1LzMw</t>
  </si>
  <si>
    <t>LzIwMjYJAAAAATCyiIcwO+/eCNo31TI7794IOENJUS5TWlNFOjMwMDc2MS5JUV9NSU5PUklUWV9JTlRFUkVTVF9UT1RBTC41MDAuLi5GLlVTRC5IAQAAAO/vxxMCAAAACDAuNzY2MzI5AQgAAAAFAAAAATEBAAAACy0xODk1NzY2ODIyAwAAAAMxNjACAAAABDEzMTIEAAAAATAHAAAACTcvMzEvMjAyNggAAAAJMy8zMS8yMDI2CQAAAAEwaj5ZCjvv3ggA0uMyO+/eCDBDSVEuTkFTREFRR1M6S0hDLklRX0RJTFVUX0VQU19FWENMLjIwMDAuLi4uVVNELkgBAAAAxD4EAAIAAAAJLTQuODY0MTIzAQgAAAAFAAAAATEBAAAACy0xODkxMzYwNzMyAwAAAAMxNjACAAAAAzE0MgQAAAABMAcAAAAJNy8zMS8yMDI2CAAAAAkzLzI4LzIwMjYJAAAAATBqPlkKO+/eCD/Q5DI7794IKkNJUS5OQVNEQVE6Q0FMTS5JUV9UT1RBTF9SRVYuMjAwMC4uLi5VU0QuSAEAAAAgegUAAgAAAAgyOTExLjYzMgEIAAAABQAAAAExAQAAAAstMTg4MTA2ODI5NQMAAAADMTYwAgAAAAIyOAQAAAABMAcAAAAJNy8zMS8yMDI2CAAAAAk1LzMwLzIwMjYJAAAAATCyiIcwO+/eCIly1DI7794ILENJUS5OQVNEQVFHUzpLSEMuSVFfRVBTXzFZUl9BTk5fR1JPV1RILjIwMDAuAQAAAMQ+BAADAAAAAk5NAQgAAAAFAAAAATEBAAAACy0xODkxMzYwNzMyAwAAAAMxNjACAAAABDQyMDAEAAAAATAHAAAACTcvMzEvMjAyNggAAAAJMy8yOC8yMDI2CQAAAAEw</t>
  </si>
  <si>
    <t>aj5ZCjvv3ggMMuUyO+/eCCVDSVEuTkFTREFRR1M6S0hDLklRX0dST1NTX01BUkdJTi45OTkuAQAAAMQ+BAACAAAABzM0LjcyODcBCAAAAAUAAAABMQEAAAALLTE5MDY5NDEyMjIDAAAAAzE2MAIAAAAENDA3NAQAAAABMAcAAAAJNy8zMS8yMDI2CAAAAAoxMi8yOC8yMDI0CQAAAAEwaj5ZCjvv3gh2buUyO+/eCCZDSVEuTllTRTpQT1NULklRX0NBU0hfQ09OVkVSU0lPTi4yMDAwLgEAAACPvWYIAgAAAAk0NS42NDIxNTUBCAAAAAUAAAABMQEAAAALLTE4OTA4OTAyNDIDAAAAAzE2MAIAAAAENDE4NAQAAAABMAcAAAAJNy8zMS8yMDI2CAAAAAkzLzMxLzIwMjYJAAAAATBqPlkKO+/eCE/Q5TI7794IKkNJUS5OWVNFOlBPU1QuSVFfRUJJVERBXzVZUl9BTk5fQ0FHUi4yMDAwLgEAAACPvWYIAgAAAAY5LjEwNTUBCAAAAAUAAAABMQEAAAALLTE4OTA4OTAyNDIDAAAAAzE2MAIAAAAENDIzNQQAAAABMAcAAAAJNy8zMS8yMDI2CAAAAAkzLzMxLzIwMjYJAAAAATBqPlkKO+/eCFoL5jI7794IKENJUS5OQVNEQVFHTTpWSVRMLklRX1JFVFVSTl9BU1NFVFMuMjAwMC4BAAAAkezPDQIAAAAGOS4yMzk0AQgAAAAFAAAAATEBAAAACy0xODkxMDE0NTY0AwAAAAMxNjACAAAABDQxNzgEAAAAATAHAAAACTcvMzEvMjAyNggAAAAJMy8yOS8yMDI2CQAAAAEwaj5ZCjvv3gjHp+YyO+/eCCNDSVEuTkFTREFRR006VklUTC5JUV9O</t>
  </si>
  <si>
    <t>SV9NQVJHSU4uOTk5LgEAAACR7M8NAgAAAAY4LjgwNTQBCAAAAAUAAAABMQEAAAALLTE5MDQ5NjMzNDMDAAAAAzE2MAIAAAAENDA5NAQAAAABMAcAAAAJNy8zMS8yMDI2CAAAAAoxMi8yOS8yMDI0CQAAAAEwaj5ZCjvv3giO4uYyO+/eCCtDSVEuTkFTREFRR1M6TURMWi5JUV9FUFNfM1lSX0FOTl9DQUdSLjIwMDAuAQAAAG1JCwACAAAABy0zLjE2ODYBCAAAAAUAAAABMQEAAAALLTE4ODA0MTU0OTYDAAAAAzE2MAIAAAAENDIyNgQAAAABMAcAAAAJNy8zMS8yMDI2CAAAAAk2LzMwLzIwMjYJAAAAATBqPlkKO+/eCD4Y6jI7794IL0NJUS5OWVNFOlBPU1QuSVFfVE9UQUxfUkVWXzFZUl9BTk5fR1JPV1RILjIwMDAuAQAAAI+9ZggCAAAABjcuMTU1NwEIAAAABQAAAAExAQAAAAstMTg5MDg5MDI0MgMAAAADMTYwAgAAAAQ0MTk0BAAAAAEwBwAAAAk3LzMxLzIwMjYIAAAACTMvMzEvMjAyNgkAAAABMGo+WQo7794IWgvmMjvv3ggoQ0lRLk5BU0RBUUdNOlZJVEwuSVFfUkVUVVJOX0VRVUlUWS4yMDAwLgEAAACR7M8NAgAAAAYxNS40NDMBCAAAAAUAAAABMQEAAAALLTE4OTEwMTQ1NjQDAAAAAzE2MAIAAAAENDEyOAQAAAABMAcAAAAJNy8zMS8yMDI2CAAAAAkzLzI5LzIwMjYJAAAAATBqPlkKO+/eCMen5jI7794IK0NJUS5OQVNEQVFHUzpNRExaLklRX0VQU181WVJfQU5OX0NBR1IuMjAwMC4BAAAAbUkLAAIAAAAH</t>
  </si>
  <si>
    <t>LTIuMDE3NgEIAAAABQAAAAExAQAAAAstMTg4MDQxNTQ5NgMAAAADMTYwAgAAAAQ0MjM5BAAAAAEwBwAAAAk3LzMxLzIwMjYIAAAACTYvMzAvMjAyNgkAAAABMGo+WQo7794IPhjqMjvv3ggvQ0lRLlNaU0U6MzAwNzYxLklRX1RPVEFMX1JFVl8zWVJfQU5OX0NBR1IuMjAwMC4BAAAA7+/HEwIAAAAGOS4wMjE4AQgAAAAFAAAAATEBAAAACy0xODk1NzY1NTgyAwAAAAIzMgIAAAAENDIyMAQAAAABMAcAAAAJNy8zMS8yMDI2CAAAAAkzLzMxLzIwMjYJAAAAATBqPlkKO+/eCBNb5DI7794IL0NJUS5OWVNFOlBPU1QuSVFfVE9UQUxfUkVWXzFZUl9BTk5fR1JPV1RILjEwMDAuAQAAAI+9ZggCAAAABjIuOTcxMgEIAAAABQAAAAExAQAAAAstMTkxNDg4MjQ2MQMAAAADMTYwAgAAAAQ0MTk0BAAAAAEwBwAAAAk3LzMxLzIwMjYIAAAACTkvMzAvMjAyNQkAAAABMGo+WQo7794IWgvmMjvv3ggmQ0lRLk5BU0RBUTpDQUxNLklRX0VCSVREQV9NQVJHSU4uMTAwMC4BAAAAIHoFAAIAAAAHMTYuMDYyOQEIAAAABQAAAAExAQAAAAstMTg4MTA2ODY2OAMAAAADMTYwAgAAAAQ0MDQ3BAAAAAEwBwAAAAk3LzMxLzIwMjYIAAAACTUvMzAvMjAyNgkAAAABMLKIhzA7794I1xDVMjvv3ggjQ0lRLk5BU0RBUTpDQUxNLklRX1FVSUNLX1JBVElPLjUwMC4BAAAAIHoFAAIAAAAINS43ODI5NDYBCAAAAAUAAAABMQEAAAALLTE4ODEwNjgy</t>
  </si>
  <si>
    <t>OTcDAAAAAzE2MAIAAAAENDEyMQQAAAABMAcAAAAJNy8zMS8yMDI2CAAAAAk1LzMwLzIwMjYJAAAAATCyiIcwO+/eCNo31TI7794ILENJUS5OQVNEQVFHUzpNRExaLklRX1RPVEFMX1JFVi4yMDAwLi4uLlVTRC5IAQAAAG1JCwACAAAABTM5Njc1AQgAAAAFAAAAATEBAAAACy0xODgwNDE1NDk2AwAAAAMxNjACAAAAAjI4BAAAAAEwBwAAAAk3LzMxLzIwMjYIAAAACTYvMzAvMjAyNgkAAAABMGo+WQo7794IGbbpMjvv3ggsQ0lRLlNaU0U6MzAwNzYxLklRX1BSRUZfRVFVSVRZLjUwMC4uLkYuVVNELkgBAAAA7+/HEwMAAAAAAGo+WQo7794IANLjMjvv3ggwQ0lRLk5BU0RBUUdTOktIQy5JUV9ESUxVVF9FUFNfRVhDTC4xMDAwLi4uLlVTRC5IAQAAAMQ+BAACAAAABS00LjkzAQgAAAAFAAAAATEBAAAACy0xOTA2OTQxMjIwAwAAAAMxNjACAAAAAzE0MgQAAAABMAcAAAAJNy8zMS8yMDI2CAAAAAoxMi8yNy8yMDI1CQAAAAEwaj5ZCjvv3gg/0OQyO+/eCCVDSVEuTllTRTpQT1NULklRX0VCSVREQS4yMDAwLi4uLlVTRC5IAQAAAI+9ZggCAAAABjE0ODYuMQEIAAAABQAAAAExAQAAAAstMTg5MDg5MDI0MgMAAAADMTYwAgAAAAQ0MDUxBAAAAAEwBwAAAAk3LzMxLzIwMjYIAAAACTMvMzEvMjAyNgkAAAABMGo+WQo7794IjpXlMjvv3ggqQ0lRLk5BU0RBUTpDQUxNLklRX1RPVEFMX1JFVi4xMDAwLi4uLlVTRC5IAQAA</t>
  </si>
  <si>
    <t>ACB6BQACAAAACDI5MTEuNjMyAQgAAAAFAAAAATEBAAAACy0xODgxMDY4NjY4AwAAAAMxNjACAAAAAjI4BAAAAAEwBwAAAAk3LzMxLzIwMjYIAAAACTUvMzAvMjAyNgkAAAABMLKIhzA7794IwZvUMjvv3ggsQ0lRLk5BU0RBUUdTOktIQy5JUV9FUFNfMVlSX0FOTl9HUk9XVEguMTAwMC4BAAAAxD4EAAMAAAACTk0BCAAAAAUAAAABMQEAAAALLTE5MDY5NDEyMjADAAAAAzE2MAIAAAAENDIwMAQAAAABMAcAAAAJNy8zMS8yMDI2CAAAAAoxMi8yNy8yMDI1CQAAAAEwaj5ZCjvv3ggMMuUyO+/eCCVDSVEuTkFTREFRR1M6S0hDLklRX0dST1NTX01BUkdJTi45OTguAQAAAMQ+BAACAAAABzMzLjcxOTkBCAAAAAUAAAABMQEAAAALLTE5MDY5NDEyMTADAAAAAzE2MAIAAAAENDA3NAQAAAABMAcAAAAJNy8zMS8yMDI2CAAAAAoxMi8zMC8yMDIzCQAAAAEwaj5ZCjvv3gh2buUyO+/eCDFDSVEuTkFTREFROkNBTE0uSVFfVE9UQUxfUkVWXzFZUl9BTk5fR1JPV1RILjIwMDAuAQAAACB6BQACAAAACC0zMS42ODIxAQgAAAAFAAAAATEBAAAACy0xODgxMDY4Mjk1AwAAAAMxNjACAAAABDQxOTQEAAAAATAHAAAACTcvMzEvMjAyNggAAAAJNS8zMC8yMDI2CQAAAAEwsoiHMDvv3gjXENUyO+/eCCVDSVEuTkFTREFROkNBTE0uSVFfQ1VSUkVOVF9SQVRJTy41MDAuAQAAACB6BQACAAAACDcuNjk1NDY4AQgAAAAFAAAAATEBAAAA</t>
  </si>
  <si>
    <t>Cy0xODgxMDY4Mjk3AwAAAAMxNjACAAAABDQwMzAEAAAAATAHAAAACTcvMzEvMjAyNggAAAAJNS8zMC8yMDI2CQAAAAEwsoiHMDvv3gjaN9UyO+/eCCxDSVEuTkFTREFRR1M6TURMWi5JUV9UT1RBTF9SRVYuMTAwMC4uLi5VU0QuSAEAAABtSQsAAgAAAAUzODUzNwEIAAAABQAAAAExAQAAAAstMTkwNzY4NTA5OQMAAAADMTYwAgAAAAIyOAQAAAABMAcAAAAJNy8zMS8yMDI2CAAAAAoxMi8zMS8yMDI1CQAAAAEwaj5ZCjvv3ggZtukyO+/eCCtDSVEuU1pTRTozMDA3NjEuSVFfVE9UQUxfREVCVC41MDAuLi5GLlVTRC5IAQAAAO/vxxMCAAAACjU1MS41NDMxOTEBCAAAAAUAAAABMQEAAAALLTE4OTU3NjY4MjIDAAAAAzE2MAIAAAAENDE3MwQAAAABMAcAAAAJNy8zMS8yMDI2CAAAAAkzLzMxLzIwMjYJAAAAATBqPlkKO+/eCADS4zI7794IJUNJUS5OWVNFOlBPU1QuSVFfRUJJVERBLjEwMDAuLi4uVVNELkgBAAAAj71mCAIAAAAGMTM3NS45AQgAAAAFAAAAATEBAAAACy0xOTE0ODgyNDYxAwAAAAMxNjACAAAABDQwNTEEAAAAATAHAAAACTcvMzEvMjAyNggAAAAJOS8zMC8yMDI1CQAAAAEwaj5ZCjvv3giOleUyO+/eCCxDSVEuTkFTREFRR006VklUTC5JUV9UT1RBTF9SRVYuMjAwMC4uLi5VU0QuSAEAAACR7M8NAgAAAAY3ODQuNDEBCAAAAAUAAAABMQEAAAALLTE4OTEwMTQ1NjQDAAAAAzE2MAIAAAACMjgEAAAA</t>
  </si>
  <si>
    <t>ATAHAAAACTcvMzEvMjAyNggAAAAJMy8yOS8yMDI2CQAAAAEwaj5ZCjvv3gi8gOYyO+/eCC9DSVEuTkFTREFROkNBTE0uSVFfRElMVVRfRVBTX0VYQ0wuMjAwMC4uLi5VU0QuSAEAAAAgegUAAgAAAAQ2LjYzAQgAAAAFAAAAATEBAAAACy0xODgxMDY4Mjk1AwAAAAMxNjACAAAAAzE0MgQAAAABMAcAAAAJNy8zMS8yMDI2CAAAAAk1LzMwLzIwMjYJAAAAATCyiIcwO+/eCMGb1DI7794IKkNJUS5OQVNEQVFHUzpLSEMuSVFfRVBTXzNZUl9BTk5fQ0FHUi4yMDAwLgEAAADEPgQAAwAAAAJOTQEIAAAABQAAAAExAQAAAAstMTg5MTM2MDczMgMAAAADMTYwAgAAAAQ0MjI2BAAAAAEwBwAAAAk3LzMxLzIwMjYIAAAACTMvMjgvMjAyNgkAAAABMGo+WQo7794IDDLlMjvv3ggpQ0lRLk5ZU0U6UE9TVC5JUV9EQVlTX0lOVkVOVE9SWV9PVVQuMjAwMC4BAAAAj71mCAIAAAAINDkuNjMxMjQBCAAAAAUAAAABMQEAAAALLTE4OTA4OTAyNDIDAAAAAzE2MAIAAAAENDAzNQQAAAABMAcAAAAJNy8zMS8yMDI2CAAAAAkzLzMxLzIwMjYJAAAAATBqPlkKO+/eCE/Q5TI7794IK0NJUS5OWVNFOkdJUy5JUV9FQklUREFfMVlSX0FOTl9HUk9XVEguMjAwMC4BAAAAGzEEAAIAAAAILTExLjY0MzkBCAAAAAUAAAABMQEAAAALLTE4ODI1NDk0NTADAAAAAzE2MAIAAAAENDE5NgQAAAABMAcAAAAJNy8zMS8yMDI2CAAAAAk1LzMxLzIwMjYJ</t>
  </si>
  <si>
    <t>AAAAATBqPlkKO+/eCAim5zI7794IMUNJUS5OQVNEQVE6Q0FMTS5JUV9UT1RBTF9SRVZfMVlSX0FOTl9HUk9XVEguMTAwMC4BAAAAIHoFAAIAAAAILTMxLjY4MjEBCAAAAAUAAAABMQEAAAALLTE4ODEwNjg2NjgDAAAAAzE2MAIAAAAENDE5NAQAAAABMAcAAAAJNy8zMS8yMDI2CAAAAAk1LzMwLzIwMjYJAAAAATCyiIcwO+/eCNcQ1TI7794IMENJUS5OQVNEQVE6Q0FMTS5JUV9SRVRVUk5fSU5WRVNURURfQ0FQSVRBTC4yMDAwLgEAAAAgegUAAgAAAAYzLjI2NzQAsoiHMDvv3gjaN9UyO+/eCDpDSVEuTkFTREFRR1M6TURMWi5JUV9NSU5PUklUWV9JTlRFUkVTVF9UT1RBTC41MDAuLi5GLlVTRC5IAQAAAG1JCwACAAAAAjUzAQgAAAAFAAAAATEBAAAACy0xODgwNDE2MDU3AwAAAAMxNjACAAAABDEzMTIEAAAAATAHAAAACTcvMzEvMjAyNggAAAAJNi8zMC8yMDI2CQAAAAEwaj5ZCjvv3ggZtukyO+/eCC9DSVEuU1pTRTozMDA3NjEuSVFfQ0FTSF9TVF9JTlZFU1QuNTAwLi4uRi5VU0QuSAEAAADv78cTAgAAAAoyNTkuOTg5MDE4AQgAAAAFAAAAATEBAAAACy0xODk1NzY2ODIyAwAAAAMxNjACAAAABDEwMDIEAAAAATAHAAAACTcvMzEvMjAyNggAAAAJMy8zMS8yMDI2CQAAAAEwaj5ZCjvv3ggA0uMyO+/eCCxDSVEuTkFTREFRR006VklUTC5JUV9UT1RBTF9SRVYuMTAwMC4uLi5VU0QuSAEAAACR7M8NAgAAAAc3</t>
  </si>
  <si>
    <t>NTkuNDQ0AQgAAAAFAAAAATEBAAAACy0xOTA0OTYzMzQxAwAAAAMxNjACAAAAAjI4BAAAAAEwBwAAAAk3LzMxLzIwMjYIAAAACjEyLzI4LzIwMjUJAAAAATBqPlkKO+/eCLyA5jI7794IL0NJUS5OQVNEQVE6Q0FMTS5JUV9ESUxVVF9FUFNfRVhDTC4xMDAwLi4uLlVTRC5IAQAAACB6BQACAAAABDYuNjMBCAAAAAUAAAABMQEAAAALLTE4ODEwNjg2NjgDAAAAAzE2MAIAAAADMTQyBAAAAAEwBwAAAAk3LzMxLzIwMjYIAAAACTUvMzAvMjAyNgkAAAABMLKIhzA7794IwZvUMjvv3ggpQ0lRLk5BU0RBUUdTOktIQy5JUV9JTlZFTlRPUllfVFVSTlMuMjAwMC4BAAAAxD4EAAIAAAAINC43ODE5MTUBCAAAAAUAAAABMQEAAAALLTE4OTEzNjA3MzIDAAAAAzE2MAIAAAAENDA4MgQAAAABMAcAAAAJNy8zMS8yMDI2CAAAAAkzLzI4LzIwMjYJAAAAATBqPlkKO+/eCE735DI7794IKkNJUS5OQVNEQVFHUzpLSEMuSVFfRVBTXzVZUl9BTk5fQ0FHUi4yMDAwLgEAAADEPgQAAwAAAAJOTQEIAAAABQAAAAExAQAAAAstMTg5MTM2MDczMgMAAAADMTYwAgAAAAQ0MjM5BAAAAAEwBwAAAAk3LzMxLzIwMjYIAAAACTMvMjgvMjAyNgkAAAABMGo+WQo7794IDDLlMjvv3gglQ0lRLk5ZU0U6UE9TVC5JUV9EQVlTX1NBTEVTX09VVC4yMDAwLgEAAACPvWYIAgAAAAgzMC43NTkyOAEIAAAABQAAAAExAQAAAAstMTg5MDg5MDI0MgMAAAAD</t>
  </si>
  <si>
    <t>MTYwAgAAAAQ0MDQyBAAAAAEwBwAAAAk3LzMxLzIwMjYIAAAACTMvMzEvMjAyNgkAAAABMGo+WQo7794IT9DlMjvv3ggtQ0lRLk5ZU0U6UE9TVC5JUV9UT1RBTF9SRVZfM1lSX0FOTl9DQUdSLjIwMDAuAQAAAI+9ZggCAAAABzEwLjMzNDIBCAAAAAUAAAABMQEAAAALLTE4OTA4OTAyNDIDAAAAAzE2MAIAAAAENDIyMAQAAAABMAcAAAAJNy8zMS8yMDI2CAAAAAkzLzMxLzIwMjYJAAAAATBqPlkKO+/eCFoL5jI7794IK0NJUS5OQVNEQVFHTTpWSVRMLklRX1RPVEFMX0RFQlRfRVFVSVRZLjUwMC4BAAAAkezPDQIAAAAFMTYuMzkBCAAAAAUAAAABMQEAAAALLTE4OTEwMTY0MDUDAAAAAzE2MAIAAAAENDAzNAQAAAABMAcAAAAJNy8zMS8yMDI2CAAAAAkzLzI5LzIwMjYJAAAAATBqPlkKO+/eCNzO5jI7794IKENJUS5OQVNEQVFHTTpWSVRMLklRX0VCSVREQV9NQVJHSU4uMTAwMC4BAAAAkezPDQIAAAAHMTMuNTQ3NAEIAAAABQAAAAExAQAAAAstMTkwNDk2MzM0MQMAAAADMTYwAgAAAAQ0MDQ3BAAAAAEwBwAAAAk3LzMxLzIwMjYIAAAACjEyLzI4LzIwMjUJAAAAATBqPlkKO+/eCMwJ5zI7794ILENJUS5OQVNEQVFHUzpNRExaLklRX0ZJWEVEX0FTU0VUX1RVUk5TLjIwMDAuAQAAAG1JCwACAAAACDMuNTMzNzM0AQgAAAAFAAAAATEBAAAACy0xODgwNDE1NDk2AwAAAAMxNjACAAAABDQwNjYEAAAAATAHAAAACTcv</t>
  </si>
  <si>
    <t>MzEvMjAyNggAAAAJNi8zMC8yMDI2CQAAAAEwaj5ZCjvv3gj98OkyO+/eCC9DSVEuTkFTREFROkNBTE0uSVFfVE9UQUxfUkVWXzNZUl9BTk5fQ0FHUi4yMDAwLgEAAAAgegUAAgAAAActMi41NDk4AQgAAAAFAAAAATEBAAAACy0xODgxMDY4Mjk1AwAAAAMxNjACAAAABDQyMjAEAAAAATAHAAAACTcvMzEvMjAyNggAAAAJNS8zMC8yMDI2CQAAAAEwsoiHMDvv3gjXENUyO+/eCCZDSVEuTkFTREFROkNBTE0uSVFfUkVUVVJOX0FTU0VUUy4yMDAwLgEAAAAgegUAAgAAAAY2LjkzMTEBCAAAAAUAAAABMQEAAAALLTE4ODEwNjgyOTUDAAAAAzE2MAIAAAAENDE3OAQAAAABMAcAAAAJNy8zMS8yMDI2CAAAAAk1LzMwLzIwMjYJAAAAATCyiIcwO+/eCNo31TI7794ILkNJUS5OQVNEQVFHUzpNRExaLklRX1BSRUZfRVFVSVRZLjUwMC4uLkYuVVNELkgBAAAAbUkLAAMAAAAAAGo+WQo7794IGbbpMjvv3ggoQ0lRLk5BU0RBUUdTOktIQy5JUV9FQklUREEuMjAwMC4uLi5VU0QuSAEAAADEPgQAAgAAAAQ1NzYyAQgAAAAFAAAAATEBAAAACy0xODkxMzYwNzMyAwAAAAMxNjACAAAABDQwNTEEAAAAATAHAAAACTcvMzEvMjAyNggAAAAJMy8yOC8yMDI2CQAAAAEwaj5ZCjvv3gg/0OQyO+/eCDpDSVEuTkFTREFRR006VklUTC5JUV9NSU5PUklUWV9JTlRFUkVTVF9UT1RBTC41MDAuLi5GLlVTRC5IAQAAAJHszw0DAAAAAABqPlkK</t>
  </si>
  <si>
    <t>O+/eCLyA5jI7794IIkNJUS5OQVNEQVFHUzpLSEMuSVFfQVJfVFVSTlMuMjAwMC4BAAAAxD4EAAIAAAAIMTAuOTUzMzIBCAAAAAUAAAABMQEAAAALLTE4OTEzNjA3MzIDAAAAAzE2MAIAAAAENDAwMQQAAAABMAcAAAAJNy8zMS8yMDI2CAAAAAkzLzI4LzIwMjYJAAAAATBqPlkKO+/eCE735DI7794IL0NJUS5OQVNEQVFHUzpLSEMuSVFfRUJJVERBXzFZUl9BTk5fR1JPV1RILjIwMDAuAQAAAMQ+BAACAAAABy05LjUzMDYBCAAAAAUAAAABMQEAAAALLTE4OTEzNjA3MzIDAAAAAzE2MAIAAAAENDE5NgQAAAABMAcAAAAJNy8zMS8yMDI2CAAAAAkzLzI4LzIwMjYJAAAAATBqPlkKO+/eCAwy5TI7794IIUNJUS5OWVNFOlBPU1QuSVFfUVVJQ0tfUkFUSU8uNTAwLgEAAACPvWYIAgAAAAgwLjkwMTg4OAEIAAAABQAAAAExAQAAAAstMTg5MDg5MDkyNAMAAAADMTYwAgAAAAQ0MTIxBAAAAAEwBwAAAAk3LzMxLzIwMjYIAAAACTMvMzEvMjAyNgkAAAABMGo+WQo7794IT9DlMjvv3ggtQ0lRLk5ZU0U6UE9TVC5JUV9UT1RBTF9SRVZfNVlSX0FOTl9DQUdSLjIwMDAuAQAAAI+9ZggCAAAABzEwLjUxNDcBCAAAAAUAAAABMQEAAAALLTE4OTA4OTAyNDIDAAAAAzE2MAIAAAAENDIzMwQAAAABMAcAAAAJNy8zMS8yMDI2CAAAAAkzLzMxLzIwMjYJAAAAATBqPlkKO+/eCFoL5jI7794IK0NJUS5OQVNEQVFHTTpWSVRMLklRX0VC</t>
  </si>
  <si>
    <t>SVREQV9DQVBFWF9JTlQuMjAwMC4BAAAAkezPDQIAAAAKMzUzLjU4NDMzNwEIAAAABQAAAAExAQAAAAstMTg5MTAxNDU2NAMAAAADMTYwAgAAAAQ0MTkxBAAAAAEwBwAAAAk3LzMxLzIwMjYIAAAACTMvMjkvMjAyNgkAAAABMGo+WQo7794I3M7mMjvv3ggnQ0lRLk5BU0RBUUdNOlZJVEwuSVFfRUJJVERBX01BUkdJTi45OTkuAQAAAJHszw0CAAAABzEyLjY0MTIBCAAAAAUAAAABMQEAAAALLTE5MDQ5NjMzNDMDAAAAAzE2MAIAAAAENDA0NwQAAAABMAcAAAAJNy8zMS8yMDI2CAAAAAoxMi8yOS8yMDI0CQAAAAEwaj5ZCjvv3gjMCecyO+/eCCZDSVEuTkFTREFRR1M6TURMWi5JUV9BU1NFVF9UVVJOUy4yMDAwLgEAAABtSQsAAgAAAAgwLjU1Nzc1NAEIAAAABQAAAAExAQAAAAstMTg4MDQxNTQ5NgMAAAADMTYwAgAAAAQ0MTc3BAAAAAEwBwAAAAk3LzMxLzIwMjYIAAAACTYvMzAvMjAyNgkAAAABMGo+WQo7794I/fDpMjvv3gguQ0lRLk5BU0RBUUdTOk1ETFouSVFfRUJJVERBXzNZUl9BTk5fQ0FHUi4yMDAwLgEAAABtSQsAAgAAAActMi45MjgzAQgAAAAFAAAAATEBAAAACy0xODgwNDE1NDk2AwAAAAMxNjACAAAABDQyMjIEAAAAATAHAAAACTcvMzEvMjAyNggAAAAJNi8zMC8yMDI2CQAAAAEwaj5ZCjvv3gg+GOoyO+/eCDBDSVEuU1pTRTozMDA3NjEuSVFfUkVUVVJOX0lOVkVTVEVEX0NBUElUQUwuMjAwMC4B</t>
  </si>
  <si>
    <t>AAAA7+/HEwIAAAAHLTAuMjQxMQBqPlkKO+/eCPEz5DI7794IIkNJUS5TWlNFOjMwMDc2MS5JUV9OSV9NQVJHSU4uMTAwMC4BAAAA7+/HEwIAAAAGMy4wODQ5AQgAAAAFAAAAATEBAAAACy0xODk1NzUzMTQxAwAAAAIzMgIAAAAENDA5NAQAAAABMAcAAAAJNy8zMS8yMDI2CAAAAAoxMi8zMS8yMDI1CQAAAAEwaj5ZCjvv3ggTW+QyO+/eCCtDSVEuTllTRTpHSVMuSVFfRUJJVERBXzFZUl9BTk5fR1JPV1RILjEwMDAuAQAAABsxBAACAAAACC0xMS42NDM5AQgAAAAFAAAAATEBAAAACy0xODgyNTUwNDk5AwAAAAMxNjACAAAABDQxOTYEAAAAATAHAAAACTcvMzEvMjAyNggAAAAJNS8zMS8yMDI2CQAAAAEwaj5ZCjvv3ggIpucyO+/eCC9DSVEuTkFTREFROkNBTE0uSVFfVE9UQUxfUkVWXzVZUl9BTk5fQ0FHUi4yMDAwLgEAAAAgegUAAgAAAAcxNi42MzQyAQgAAAAFAAAAATEBAAAACy0xODgxMDY4Mjk1AwAAAAMxNjACAAAABDQyMzMEAAAAATAHAAAACTcvMzEvMjAyNggAAAAJNS8zMC8yMDI2CQAAAAEwsoiHMDvv3gjXENUyO+/eCCpDSVEuTkFTREFROkNBTE0uSVFfRklYRURfQVNTRVRfVFVSTlMuMjAwMC4BAAAAIHoFAAIAAAAIMi40ODMyNDgBCAAAAAUAAAABMQEAAAALLTE4ODEwNjgyOTUDAAAAAzE2MAIAAAAENDA2NgQAAAABMAcAAAAJNy8zMS8yMDI2CAAAAAk1LzMwLzIwMjYJAAAAATCyiIcwO+/eCNo3</t>
  </si>
  <si>
    <t>1TI7794ILUNJUS5OQVNEQVFHUzpNRExaLklRX1RPVEFMX0RFQlQuNTAwLi4uRi5VU0QuSAEAAABtSQsAAgAAAAUyMjA1OQEIAAAABQAAAAExAQAAAAstMTg4MDQxNjA1NwMAAAADMTYwAgAAAAQ0MTczBAAAAAEwBwAAAAk3LzMxLzIwMjYIAAAACTYvMzAvMjAyNgkAAAABMGo+WQo7794IGbbpMjvv3ggoQ0lRLk5BU0RBUUdTOktIQy5JUV9FQklUREEuMTAwMC4uLi5VU0QuSAEAAADEPgQAAgAAAAQ1NzI3AQgAAAAFAAAAATEBAAAACy0xOTA2OTQxMjIwAwAAAAMxNjACAAAABDQwNTEEAAAAATAHAAAACTcvMzEvMjAyNggAAAAKMTIvMjcvMjAyNQkAAAABMGo+WQo7794IP9DkMjvv3ggoQ0lRLk5ZU0U6UE9TVC5JUV9UT1RBTF9SRVYuMjAwMC4uLi5VU0QuSAEAAACPvWYIAgAAAAY4NDQ4LjgBCAAAAAUAAAABMQEAAAALLTE4OTA4OTAyNDIDAAAAAzE2MAIAAAACMjgEAAAAATAHAAAACTcvMzEvMjAyNggAAAAJMy8zMS8yMDI2CQAAAAEwaj5ZCjvv3giOleUyO+/eCC5DSVEuTkFTREFRR006VklUTC5JUV9QUkVGX0VRVUlUWS41MDAuLi5GLlVTRC5IAQAAAJHszw0DAAAAAABqPlkKO+/eCLyA5jI7794IK0NJUS5OQVNEQVFHUzpLSEMuSVFfRklYRURfQVNTRVRfVFVSTlMuMjAwMC4BAAAAxD4EAAIAAAAIMy40NzMyNDUBCAAAAAUAAAABMQEAAAALLTE4OTEzNjA3MzIDAAAAAzE2MAIAAAAENDA2NgQAAAABMAcA</t>
  </si>
  <si>
    <t>AAAJNy8zMS8yMDI2CAAAAAkzLzI4LzIwMjYJAAAAATBqPlkKO+/eCE735DI7794IL0NJUS5OQVNEQVFHUzpLSEMuSVFfRUJJVERBXzFZUl9BTk5fR1JPV1RILjEwMDAuAQAAAMQ+BAACAAAACC0xMS40NDI4AQgAAAAFAAAAATEBAAAACy0xOTA2OTQxMjIwAwAAAAMxNjACAAAABDQxOTYEAAAAATAHAAAACTcvMzEvMjAyNggAAAAKMTIvMjcvMjAyNQkAAAABMGo+WQo7794IDDLlMjvv3ggjQ0lRLk5ZU0U6UE9TVC5JUV9DVVJSRU5UX1JBVElPLjUwMC4BAAAAj71mCAIAAAAIMS44NTM2NDUBCAAAAAUAAAABMQEAAAALLTE4OTA4OTA5MjQDAAAAAzE2MAIAAAAENDAzMAQAAAABMAcAAAAJNy8zMS8yMDI2CAAAAAkzLzMxLzIwMjYJAAAAATBqPlkKO+/eCE/Q5TI7794IIENJUS5OWVNFOlBPU1QuSVFfTklfTUFSR0lOLjIwMDAuAQAAAI+9ZggCAAAABjQuMDA2NAEIAAAABQAAAAExAQAAAAstMTg5MDg5MDI0MgMAAAADMTYwAgAAAAQ0MDk0BAAAAAEwBwAAAAk3LzMxLzIwMjYIAAAACTMvMzEvMjAyNgkAAAABMGo+WQo7794IWgvmMjvv3gglQ0lRLk5BU0RBUUdNOlZJVEwuSVFfRUJJVERBX0lOVC4yMDAwLgEAAACR7M8NAgAAAAo0NzMuNTU5MDM2AQgAAAAFAAAAATEBAAAACy0xODkxMDE0NTY0AwAAAAMxNjACAAAABDQxOTAEAAAAATAHAAAACTcvMzEvMjAyNggAAAAJMy8yOS8yMDI2CQAAAAEwaj5ZCjvv3gjc</t>
  </si>
  <si>
    <t>zuYyO+/eCCdDSVEuTkFTREFRR006VklUTC5JUV9FQklUREFfTUFSR0lOLjk5OC4BAAAAkezPDQIAAAAFOC43MjcBCAAAAAUAAAABMQEAAAALLTE5MDQ5NjMzMzEDAAAAAzE2MAIAAAAENDA0NwQAAAABMAcAAAAJNy8zMS8yMDI2CAAAAAoxMi8zMS8yMDIzCQAAAAEwaj5ZCjvv3gjMCecyO+/eCCpDSVEuTkFTREFRR1M6TURMWi5JUV9DQVNIX0NPTlZFUlNJT04uMjAwMC4BAAAAbUkLAAIAAAAKLTM0Ljk3MzkzNQEIAAAABQAAAAExAQAAAAstMTg4MDQxNTQ5NgMAAAADMTYwAgAAAAQ0MTg0BAAAAAEwBwAAAAk3LzMxLzIwMjYIAAAACTYvMzAvMjAyNgkAAAABMGo+WQo7794I/fDpMjvv3gguQ0lRLk5BU0RBUUdTOk1ETFouSVFfRUJJVERBXzVZUl9BTk5fQ0FHUi4yMDAwLgEAAABtSQsAAgAAAActMC4yNzQxAQgAAAAFAAAAATEBAAAACy0xODgwNDE1NDk2AwAAAAMxNjACAAAABDQyMzUEAAAAATAHAAAACTcvMzEvMjAyNggAAAAJNi8zMC8yMDI2CQAAAAEwaj5ZCjvv3gg+GOoyO+/eCCZDSVEuU1pTRTozMDA3NjEuSVFfUkVUVVJOX0FTU0VUUy4yMDAwLgEAAADv78cTAgAAAAYyLjc5MDUBCAAAAAUAAAABMQEAAAALLTE4OTU3NjU1ODIDAAAAAjMyAgAAAAQ0MTc4BAAAAAEwBwAAAAk3LzMxLzIwMjYIAAAACTMvMzEvMjAyNgkAAAABMGo+WQo7794I8TPkMjvv3gghQ0lRLlNaU0U6MzAwNzYxLklRX05JX01B</t>
  </si>
  <si>
    <t>UkdJTi45OTkuAQAAAO/vxxMCAAAABjguNTgwOQEIAAAABQAAAAExAQAAAAstMTg5NTc1MzEzMQMAAAACMzICAAAABDQwOTQEAAAAATAHAAAACTcvMzEvMjAyNggAAAAKMTIvMzEvMjAyNAkAAAABMGo+WQo7794IE1vkMjvv3gghQ0lRLk5ZU0U6R0lTLklRX0FTU0VUX1RVUk5TLjIwMDAuAQAAABsxBAACAAAACDAuNTg0MDkzAQgAAAAFAAAAATEBAAAACy0xODgyNTQ5NDUwAwAAAAMxNjACAAAABDQxNzcEAAAAATAHAAAACTcvMzEvMjAyNggAAAAJNS8zMS8yMDI2CQAAAAEwaj5ZCjvv3gjuV+cyO+/eCClDSVEuTllTRTpHSVMuSVFfRUJJVERBXzNZUl9BTk5fQ0FHUi4yMDAwLgEAAAAbMQQAAgAAAActMi4yMDI5AQgAAAAFAAAAATEBAAAACy0xODgyNTQ5NDUwAwAAAAMxNjACAAAABDQyMjIEAAAAATAHAAAACTcvMzEvMjAyNggAAAAJNS8zMS8yMDI2CQAAAAEwaj5ZCjvv3ggIpucyO+/eCCJDSVEuTkFTREFROkNBTE0uSVFfTklfTUFSR0lOLjIwMDAuAQAAACB6BQACAAAABzEwLjg3NjQBCAAAAAUAAAABMQEAAAALLTE4ODEwNjgyOTUDAAAAAzE2MAIAAAAENDA5NAQAAAABMAcAAAAJNy8zMS8yMDI2CAAAAAk1LzMwLzIwMjYJAAAAATCyiIcwO+/eCNcQ1TI7794IJENJUS5OQVNEQVE6Q0FMTS5JUV9BU1NFVF9UVVJOUy4yMDAwLgEAAAAgegUAAgAAAAcwLjk0MDQyAQgAAAAFAAAAATEBAAAACy0xODgxMDY4</t>
  </si>
  <si>
    <t>Mjk1AwAAAAMxNjACAAAABDQxNzcEAAAAATAHAAAACTcvMzEvMjAyNggAAAAJNS8zMC8yMDI2CQAAAAEwsoiHMDvv3gjaN9UyO+/eCDFDSVEuTkFTREFRR1M6TURMWi5JUV9DQVNIX1NUX0lOVkVTVC41MDAuLi5GLlVTRC5IAQAAAG1JCwACAAAABDE3MTYBCAAAAAUAAAABMQEAAAALLTE4ODA0MTYwNTcDAAAAAzE2MAIAAAAEMTAwMgQAAAABMAcAAAAJNy8zMS8yMDI2CAAAAAk2LzMwLzIwMjYJAAAAATBqPlkKO+/eCBm26TI7794ILENJUS5OWVNFOkdJUy5JUV9ESUxVVF9FUFNfRVhDTC4yMDAwLi4uLlVTRC5IAQAAABsxBAACAAAACS0wLjE2MjkxNgEIAAAABQAAAAExAQAAAAstMTg4MjU0OTQ1MAMAAAADMTYwAgAAAAMxNDIEAAAAATAHAAAACTcvMzEvMjAyNggAAAAJNS8zMS8yMDI2CQAAAAEwaj5ZCjvv3gjuV+cyO+/eCChDSVEuTllTRTpQT1NULklRX1RPVEFMX1JFVi4xMDAwLi4uLlVTRC5IAQAAAI+9ZggCAAAABjgxNTguMQEIAAAABQAAAAExAQAAAAstMTkxNDg4MjQ2MQMAAAADMTYwAgAAAAIyOAQAAAABMAcAAAAJNy8zMS8yMDI2CAAAAAk5LzMwLzIwMjUJAAAAATBqPlkKO+/eCI6V5TI7794ILUNJUS5OQVNEQVFHTTpWSVRMLklRX1RPVEFMX0RFQlQuNTAwLi4uRi5VU0QuSAEAAACR7M8NAgAAAAY1NC4yMzYBCAAAAAUAAAABMQEAAAALLTE4OTEwMTY0MDUDAAAAAzE2MAIAAAAENDE3MwQAAAAB</t>
  </si>
  <si>
    <t>MAcAAAAJNy8zMS8yMDI2CAAAAAkzLzI5LzIwMjYJAAAAATBqPlkKO+/eCLyA5jI7794IJ0NJUS5OQVNEQVE6Q0FMTS5JUV9FQklUREEuMjAwMC4uLi5VU0QuSAEAAAAgegUAAgAAAAc0NjcuNjk0AQgAAAAFAAAAATEBAAAACy0xODgxMDY4Mjk1AwAAAAMxNjACAAAABDQwNTEEAAAAATAHAAAACTcvMzEvMjAyNggAAAAJNS8zMC8yMDI2CQAAAAEwsoiHMDvv3gjBm9QyO+/eCCVDSVEuTkFTREFRR1M6S0hDLklRX0FTU0VUX1RVUk5TLjIwMDAuAQAAAMQ+BAACAAAACDAuMjkwMDQxAQgAAAAFAAAAATEBAAAACy0xODkxMzYwNzMyAwAAAAMxNjACAAAABDQxNzcEAAAAATAHAAAACTcvMzEvMjAyNggAAAAJMy8yOC8yMDI2CQAAAAEwaj5ZCjvv3ghO9+QyO+/eCC1DSVEuTkFTREFRR1M6S0hDLklRX0VCSVREQV8zWVJfQU5OX0NBR1IuMjAwMC4BAAAAxD4EAAIAAAAHLTEuMzk0OQEIAAAABQAAAAExAQAAAAstMTg5MTM2MDczMgMAAAADMTYwAgAAAAQ0MjIyBAAAAAEwBwAAAAk3LzMxLzIwMjYIAAAACTMvMjgvMjAyNgkAAAABMGo+WQo7794IDDLlMjvv3gguQ0lRLk5ZU0U6UE9TVC5JUV9SRVRVUk5fSU5WRVNURURfQ0FQSVRBTC4yMDAwLgEAAACPvWYIAgAAAAYzLjEzMDYAaj5ZCjvv3ghP0OUyO+/eCCBDSVEuTllTRTpQT1NULklRX05JX01BUkdJTi4xMDAwLgEAAACPvWYIAgAAAAY0LjExNDkBCAAAAAUAAAAB</t>
  </si>
  <si>
    <t>MQEAAAALLTE5MTQ4ODI0NjEDAAAAAzE2MAIAAAAENDA5NAQAAAABMAcAAAAJNy8zMS8yMDI2CAAAAAk5LzMwLzIwMjUJAAAAATBqPlkKO+/eCKoy5jI7794IKkNJUS5OQVNEQVFHTTpWSVRMLklRX05FVF9ERUJUX0VCSVREQS4yMDAwLgEAAACR7M8NAgAAAAgwLjAwNzEzMwEIAAAABQAAAAExAQAAAAstMTg5MTAxNDU2NAMAAAADMTYwAgAAAAQ0MTkzBAAAAAEwBwAAAAk3LzMxLzIwMjYIAAAACTMvMjkvMjAyNgkAAAABMJhlWQo7794I3M7mMjvv3ggnQ0lRLk5BU0RBUUdNOlZJVEwuSVFfR1JPU1NfTUFSR0lOLjIwMDAuAQAAAJHszw0CAAAABzM1LjIwODMBCAAAAAUAAAABMQEAAAALLTE4OTEwMTQ1NjQDAAAAAzE2MAIAAAAENDA3NAQAAAABMAcAAAAJNy8zMS8yMDI2CAAAAAkzLzI5LzIwMjYJAAAAATCYZVkKO+/eCMwJ5zI7794IK0NJUS5OQVNEQVFHUzpNRExaLklRX0RBWVNfUEFZQUJMRV9PVVQuMjAwMC4BAAAAbUkLAAIAAAAKMTMyLjE1MDgwNQEIAAAABQAAAAExAQAAAAstMTg4MDQxNTQ5NgMAAAADMTYwAgAAAAQ0MTgzBAAAAAEwBwAAAAk3LzMxLzIwMjYIAAAACTYvMzAvMjAyNgkAAAABMJhlWQo7794I/fDpMjvv3ggzQ0lRLk5BU0RBUUdTOk1ETFouSVFfVE9UQUxfUkVWXzFZUl9BTk5fR1JPV1RILjIwMDAuAQAAAG1JCwACAAAABjYuOTI2MgEIAAAABQAAAAExAQAAAAstMTg4MDQxNTQ5NgMA</t>
  </si>
  <si>
    <t>AAADMTYwAgAAAAQ0MTk0BAAAAAEwBwAAAAk3LzMxLzIwMjYIAAAACTYvMzAvMjAyNgkAAAABMJhlWQo7794IPhjqMjvv3ggmQ0lRLlNaU0U6MzAwNzYxLklRX1JFVFVSTl9FUVVJVFkuMjAwMC4BAAAA7+/HEwIAAAAGNS40ODg0AQgAAAAFAAAAATEBAAAACy0xODk1NzY1NTgyAwAAAAIzMgIAAAAENDEyOAQAAAABMAcAAAAJNy8zMS8yMDI2CAAAAAkzLzMxLzIwMjYJAAAAATCYZVkKO+/eCPEz5DI7794IIUNJUS5TWlNFOjMwMDc2MS5JUV9OSV9NQVJHSU4uOTk4LgEAAADv78cTAgAAAActMi44NDg4AQgAAAAFAAAAATEBAAAACy0xOTUwMTI0NDY1AwAAAAIzMgIAAAAENDA5NAQAAAABMAcAAAAJNy8zMS8yMDI2CAAAAAoxMi8zMS8yMDIzCQAAAAEwmGVZCjvv3ggTW+QyO+/eCCNDSVEuU1pTRTozMDA3NjEuSVFfUEVSSU9EREFURS4yMDAwLgEAAADv78cTBQAAAAozMS8wMy8yMDI2AJhlWQo7794IJankMjvv3gglQ0lRLk5ZU0U6R0lTLklRX0NBU0hfQ09OVkVSU0lPTi4yMDAwLgEAAAAbMQQAAgAAAAotMjQuNjgwNDA0AQgAAAAFAAAAATEBAAAACy0xODgyNTQ5NDUwAwAAAAMxNjACAAAABDQxODQEAAAAATAHAAAACTcvMzEvMjAyNggAAAAJNS8zMS8yMDI2CQAAAAEwmGVZCjvv3gjuV+cyO+/eCClDSVEuTllTRTpHSVMuSVFfRUJJVERBXzVZUl9BTk5fQ0FHUi4yMDAwLgEAAAAbMQQAAgAAAActMy40MjAx</t>
  </si>
  <si>
    <t>AQgAAAAFAAAAATEBAAAACy0xODgyNTQ5NDUwAwAAAAMxNjACAAAABDQyMzUEAAAAATAHAAAACTcvMzEvMjAyNggAAAAJNS8zMS8yMDI2CQAAAAEwmGVZCjvv3ggIpucyO+/eCCxDSVEuTllTRTpHSVMuSVFfRElMVVRfRVBTX0VYQ0wuMTAwMC4uLi5VU0QuSAEAAAAbMQQAAgAAAAktMC4xNjI5MTYBCAAAAAUAAAABMQEAAAALLTE4ODI1NTA0OTkDAAAAAzE2MAIAAAADMTQyBAAAAAEwBwAAAAk3LzMxLzIwMjYIAAAACTUvMzEvMjAyNgkAAAABMJhlWQo7794I7lfnMjvv3gg2Q0lRLk5ZU0U6UE9TVC5JUV9NSU5PUklUWV9JTlRFUkVTVF9UT1RBTC41MDAuLi5GLlVTRC5IAQAAAI+9ZggCAAAABDEwLjkBCAAAAAUAAAABMQEAAAALLTE4OTA4OTA5MjQDAAAAAzE2MAIAAAAEMTMxMgQAAAABMAcAAAAJNy8zMS8yMDI2CAAAAAkzLzMxLzIwMjYJAAAAATCYZVkKO+/eCI6V5TI7794IMUNJUS5OQVNEQVFHTTpWSVRMLklRX0NBU0hfU1RfSU5WRVNULjUwMC4uLkYuVVNELkgBAAAAkezPDQIAAAAGNTEuNDMyAQgAAAAFAAAAATEBAAAACy0xODkxMDE2NDA1AwAAAAMxNjACAAAABDEwMDIEAAAAATAHAAAACTcvMzEvMjAyNggAAAAJMy8yOS8yMDI2CQAAAAEwmGVZCjvv3gi8gOYyO+/eCClDSVEuTkFTREFRR1M6S0hDLklRX0NBU0hfQ09OVkVSU0lPTi4yMDAwLgEAAADEPgQAAgAAAAkxMy44MzUyNzYBCAAAAAUAAAAB</t>
  </si>
  <si>
    <t>MQEAAAALLTE4OTEzNjA3MzIDAAAAAzE2MAIAAAAENDE4NAQAAAABMAcAAAAJNy8zMS8yMDI2CAAAAAkzLzI4LzIwMjYJAAAAATCYZVkKO+/eCE735DI7794IJ0NJUS5OQVNEQVFHTTpWSVRMLklRX0dST1NTX01BUkdJTi4xMDAwLgEAAACR7M8NAgAAAAczNy42MTcyAQgAAAAFAAAAATEBAAAACy0xOTA0OTYzMzQxAwAAAAMxNjACAAAABDQwNzQEAAAAATAHAAAACTcvMzEvMjAyNggAAAAKMTIvMjgvMjAyNQkAAAABMJhlWQo7794IzAnnMjvv3ggzQ0lRLk5BU0RBUUdTOk1ETFouSVFfVE9UQUxfUkVWXzFZUl9BTk5fR1JPV1RILjEwMDAuAQAAAG1JCwACAAAABjUuNzUxNwEIAAAABQAAAAExAQAAAAstMTkwNzY4NTA5OQMAAAADMTYwAgAAAAQ0MTk0BAAAAAEwBwAAAAk3LzMxLzIwMjYIAAAACjEyLzMxLzIwMjUJAAAAATCYZVkKO+/eCEI/6jI7794IJkNJUS5OWVNFOkdJUy5JUV9EQVlTX1BBWUFCTEVfT1VULjIwMDAuAQAAABsxBAACAAAACjExNy41MTA5MTEBCAAAAAUAAAABMQEAAAALLTE4ODI1NDk0NTADAAAAAzE2MAIAAAAENDE4MwQAAAABMAcAAAAJNy8zMS8yMDI2CAAAAAk1LzMxLzIwMjYJAAAAATCYZVkKO+/eCPd+5zI7794IJkNJUS5OQVNEQVFHTTpWSVRMLklRX0dST1NTX01BUkdJTi45OTkuAQAAAJHszw0CAAAABzM3LjkyMjMBCAAAAAUAAAABMQEAAAALLTE5MDQ5NjMzNDMDAAAAAzE2MAIA</t>
  </si>
  <si>
    <t>AAAENDA3NAQAAAABMAcAAAAJNy8zMS8yMDI2CAAAAAoxMi8yOS8yMDI0CQAAAAEwmGVZCjvv3gjMCecyO+/eCClDSVEuTkFTREFRR1M6TURMWi5JUV9EQVlTX1NBTEVTX09VVC4yMDAwLgEAAABtSQsAAgAAAAgzNC42NzM1NAEIAAAABQAAAAExAQAAAAstMTg4MDQxNTQ5NgMAAAADMTYwAgAAAAQ0MDQyBAAAAAEwBwAAAAk3LzMxLzIwMjYIAAAACTYvMzAvMjAyNgkAAAABMJhlWQo7794I/fDpMjvv3ggxQ0lRLk5BU0RBUUdTOk1ETFouSVFfVE9UQUxfUkVWXzNZUl9BTk5fQ0FHUi4yMDAwLgEAAABtSQsAAgAAAAY1LjE0NTEBCAAAAAUAAAABMQEAAAALLTE4ODA0MTU0OTYDAAAAAzE2MAIAAAAENDIyMAQAAAABMAcAAAAJNy8zMS8yMDI2CAAAAAk2LzMwLzIwMjYJAAAAATCYZVkKO+/eCEI/6jI7794IJENJUS5OWVNFOkdJUy5JUV9EQVlTX1NBTEVTX09VVC4yMDAwLgEAAAAbMQQAAgAAAAkzNC42NjEwNDYBCAAAAAUAAAABMQEAAAALLTE4ODI1NDk0NTADAAAAAzE2MAIAAAAENDA0MgQAAAABMAcAAAAJNy8zMS8yMDI2CAAAAAk1LzMxLzIwMjYJAAAAATCYZVkKO+/eCPd+5zI7794IJ0NJUS5OWVNFOkdJUy5JUV9GSVhFRF9BU1NFVF9UVVJOUy4yMDAwLgEAAAAbMQQAAgAAAAg0LjY4ODI1MwEIAAAABQAAAAExAQAAAAstMTg4MjU0OTQ1MAMAAAADMTYwAgAAAAQ0MDY2BAAAAAEwBwAAAAk3LzMxLzIwMjYI</t>
  </si>
  <si>
    <t>AAAACTUvMzEvMjAyNgkAAAABMJhlWQo7794I7lfnMjvv3ggpQ0lRLk5BU0RBUTpDQUxNLklRX0VQU181WVJfQU5OX0NBR1IuMjAwMC4BAAAAIHoFAAIAAAAIMTc3LjkwMTQBCAAAAAUAAAABMQEAAAALLTE4ODEwNjgyOTUDAAAAAzE2MAIAAAAENDIzOQQAAAABMAcAAAAJNy8zMS8yMDI2CAAAAAk1LzMwLzIwMjYJAAAAATCyiIcwO+/eCNcQ1TI7794IKENJUS5OQVNEQVE6Q0FMTS5JUV9DQVNIX0NPTlZFUlNJT04uMjAwMC4BAAAAIHoFAAIAAAAHNjIuODI2NAEIAAAABQAAAAExAQAAAAstMTg4MTA2ODI5NQMAAAADMTYwAgAAAAQ0MTg0BAAAAAEwBwAAAAk3LzMxLzIwMjYIAAAACTUvMzAvMjAyNgkAAAABMLKIhzA7794I2jfVMjvv3ggtQ0lRLk5BU0RBUUdTOktIQy5JUV9FQklUREFfNVlSX0FOTl9DQUdSLjIwMDAuAQAAAMQ+BAACAAAABy00LjI1NDIBCAAAAAUAAAABMQEAAAALLTE4OTEzNjA3MzIDAAAAAzE2MAIAAAAENDIzNQQAAAABMAcAAAAJNy8zMS8yMDI2CAAAAAkzLzI4LzIwMjYJAAAAATCYZVkKO+/eCD5H5TI7794IJENJUS5OWVNFOlBPU1QuSVFfUkVUVVJOX0FTU0VUUy4yMDAwLgEAAACPvWYIAgAAAAY0LjQ0NjkBCAAAAAUAAAABMQEAAAALLTE4OTA4OTAyNDIDAAAAAzE2MAIAAAAENDE3OAQAAAABMAcAAAAJNy8zMS8yMDI2CAAAAAkzLzMxLzIwMjYJAAAAATCYZVkKO+/eCE/Q5TI7794I</t>
  </si>
  <si>
    <t>H0NJUS5OWVNFOlBPU1QuSVFfTklfTUFSR0lOLjk5OS4BAAAAj71mCAIAAAAGNC42Mjg0AQgAAAAFAAAAATEBAAAACy0xOTE0ODgzMTg3AwAAAAMxNjACAAAABDQwOTQEAAAAATAHAAAACTcvMzEvMjAyNggAAAAJOS8zMC8yMDI0CQAAAAEwmGVZCjvv3giqMuYyO+/eCCxDSVEuTkFTREFRR006VklUTC5JUV9UT1RBTF9ERUJUX0VCSVREQS4yMDAwLgEAAACR7M8NAgAAAAgwLjEzNzk4NgEIAAAABQAAAAExAQAAAAstMTg5MTAxNDU2NAMAAAADMTYwAgAAAAQ0MTkyBAAAAAEwBwAAAAk3LzMxLzIwMjYIAAAACTMvMjkvMjAyNgkAAAABMJhlWQo7794I3M7mMjvv3ggtQ0lRLk5BU0RBUUdTOk1ETFouSVFfREFZU19JTlZFTlRPUllfT1VULjIwMDAuAQAAAG1JCwACAAAACDYyLjUwMzMzAQgAAAAFAAAAATEBAAAACy0xODgwNDE1NDk2AwAAAAMxNjACAAAABDQwMzUEAAAAATAHAAAACTcvMzEvMjAyNggAAAAJNi8zMC8yMDI2CQAAAAEwmGVZCjvv3gj98OkyO+/eCCpDSVEuU1pTRTozMDA3NjEuSVFfVE9UQUxfREVCVF9DQVBJVEFMLjUwMC4BAAAA7+/HEwIAAAAGMjguNTk1AQgAAAAFAAAAATEBAAAACy0xODk1NzY2ODIyAwAAAAIzMgIAAAAENDE4NgQAAAABMAcAAAAJNy8zMS8yMDI2CAAAAAkzLzMxLzIwMjYJAAAAATCYZVkKO+/eCPEz5DI7794IJkNJUS5TWlNFOjMwMDc2MS5JUV9FQklUREFfTUFSR0lOLjIw</t>
  </si>
  <si>
    <t>MDAuAQAAAO/vxxMCAAAABjguMjM4OAEIAAAABQAAAAExAQAAAAstMTg5NTc2NTU4MgMAAAACMzICAAAABDQwNDcEAAAAATAHAAAACTcvMzEvMjAyNggAAAAJMy8zMS8yMDI2CQAAAAEwmGVZCjvv3ggTW+QyO+/eCCNDSVEuU1pTRTozMDA3NjEuSVFfUEVSSU9EREFURS4xMDAwLgEAAADv78cTBQAAAAozMS8xMi8yMDI1AJhlWQo7794IJankMjvv3gguQ0lRLk5ZU0U6R0lTLklRX1RPVEFMX1JFVl8xWVJfQU5OX0dST1dUSC4yMDAwLgEAAAAbMQQAAgAAAActNS40NDk5AQgAAAAFAAAAATEBAAAACy0xODgyNTQ5NDUwAwAAAAMxNjACAAAABDQxOTQEAAAAATAHAAAACTcvMzEvMjAyNggAAAAJNS8zMS8yMDI2CQAAAAEwmGVZCjvv3ggIpucyO+/eCCFDSVEuTllTRTpQT1NULklRX1BFUklPRERBVEUuMjAwMC4BAAAAj71mCAUAAAAKMzEvMDMvMjAyNgCYZVkKO+/eCKpZ5jI7794IKUNJUS5TWlNFOjMwMDc2MS5JUV9UT1RBTF9ERUJUX0VRVUlUWS41MDAuAQAAAO/vxxMCAAAABzQwLjA0NjMBCAAAAAUAAAABMQEAAAALLTE4OTU3NjY4MjIDAAAAAjMyAgAAAAQ0MDM0BAAAAAEwBwAAAAk3LzMxLzIwMjYIAAAACTMvMzEvMjAyNgkAAAABMJhlWQo7794I8TPkMjvv3ggpQ0lRLlNaU0U6MzAwNzYxLklRX0VCSVREQV9DQVBFWF9JTlQuMjAwMC4BAAAA7+/HEwIAAAAIMi4wOTk1NDIBCAAAAAUAAAABMQEAAAALLTE4</t>
  </si>
  <si>
    <t>OTU3NjU1ODIDAAAAAjMyAgAAAAQ0MTkxBAAAAAEwBwAAAAk3LzMxLzIwMjYIAAAACTMvMzEvMjAyNgkAAAABMJhlWQo7794I8TPkMjvv3gguQ0lRLk5BU0RBUTpDQUxNLklRX0VCSVREQV8xWVJfQU5OX0dST1dUSC4yMDAwLgEAAAAgegUAAgAAAAgtNzEuNjkwMwEIAAAABQAAAAExAQAAAAstMTg4MTA2ODI5NQMAAAADMTYwAgAAAAQ0MTk2BAAAAAEwBwAAAAk3LzMxLzIwMjYIAAAACTUvMzAvMjAyNgkAAAABMLKIhzA7794I1xDVMjvv3ggpQ0lRLk5BU0RBUTpDQUxNLklRX0RBWVNfUEFZQUJMRV9PVVQuMjAwMC4BAAAAIHoFAAIAAAAJMTUuNDcwMzY0AQgAAAAFAAAAATEBAAAACy0xODgxMDY4Mjk1AwAAAAMxNjACAAAABDQxODMEAAAAATAHAAAACTcvMzEvMjAyNggAAAAJNS8zMC8yMDI2CQAAAAEwsoiHMDvv3gjaN9UyO+/eCCtDSVEuTkFTREFRR1M6S0hDLklRX1RPVEFMX1JFVi4yMDAwLi4uLlVTRC5IAQAAAMQ+BAACAAAABTI0OTkwAQgAAAAFAAAAATEBAAAACy0xODkxMzYwNzMyAwAAAAMxNjACAAAAAjI4BAAAAAEwBwAAAAk3LzMxLzIwMjYIAAAACTMvMjgvMjAyNgkAAAABMJhlWQo7794IP9DkMjvv3ggqQ0lRLk5ZU0U6UE9TVC5JUV9QUkVGX0VRVUlUWS41MDAuLi5GLlVTRC5IAQAAAI+9ZggDAAAAAACYZVkKO+/eCI6V5TI7794IKkNJUS5OQVNEQVFHUzpLSEMuSVFfREFZU19QQVlBQkxFX09V</t>
  </si>
  <si>
    <t>VC4yMDAwLgEAAADEPgQAAgAAAAk5NS41MTY1MTIBCAAAAAUAAAABMQEAAAALLTE4OTEzNjA3MzIDAAAAAzE2MAIAAAAENDE4MwQAAAABMAcAAAAJNy8zMS8yMDI2CAAAAAkzLzI4LzIwMjYJAAAAATCYZVkKO+/eCE735DI7794IMkNJUS5OQVNEQVFHUzpLSEMuSVFfVE9UQUxfUkVWXzFZUl9BTk5fR1JPV1RILjIwMDAuAQAAAMQ+BAACAAAABy0xLjc0NTcBCAAAAAUAAAABMQEAAAALLTE4OTEzNjA3MzIDAAAAAzE2MAIAAAAENDE5NAQAAAABMAcAAAAJNy8zMS8yMDI2CAAAAAkzLzI4LzIwMjYJAAAAATCYZVkKO+/eCD5H5TI7794IJENJUS5OWVNFOlBPU1QuSVFfUkVUVVJOX0VRVUlUWS4yMDAwLgEAAACPvWYIAgAAAAY5LjYxNTkBCAAAAAUAAAABMQEAAAALLTE4OTA4OTAyNDIDAAAAAzE2MAIAAAAENDEyOAQAAAABMAcAAAAJNy8zMS8yMDI2CAAAAAkzLzMxLzIwMjYJAAAAATCYZVkKO+/eCE/Q5TI7794IH0NJUS5OWVNFOlBPU1QuSVFfTklfTUFSR0lOLjk5OC4BAAAAj71mCAIAAAAGNC4zMDk4AQgAAAAFAAAAATEBAAAACy0xOTE0ODgyNzE4AwAAAAMxNjACAAAABDQwOTQEAAAAATAHAAAACTcvMzEvMjAyNggAAAAJOS8zMC8yMDIzCQAAAAEwmGVZCjvv3giqMuYyO+/eCC1DSVEuTkFTREFRR006VklUTC5JUV9FUFNfMVlSX0FOTl9HUk9XVEguMjAwMC4BAAAAkezPDQIAAAAHLTYuNzQ3OQEIAAAABQAA</t>
  </si>
  <si>
    <t>AAExAQAAAAstMTg5MTAxNDU2NAMAAAADMTYwAgAAAAQ0MjAwBAAAAAEwBwAAAAk3LzMxLzIwMjYIAAAACTMvMjkvMjAyNgkAAAABMJhlWQo7794I3M7mMjvv3ggmQ0lRLlNaU0U6MzAwNzYxLklRX0VCSVREQV9NQVJHSU4uMTAwMC4BAAAA7+/HEwIAAAAGOC4zMDE0AQgAAAAFAAAAATEBAAAACy0xODk1NzUzMTQxAwAAAAIzMgIAAAAENDA0NwQAAAABMAcAAAAJNy8zMS8yMDI2CAAAAAoxMi8zMS8yMDI1CQAAAAEwmGVZCjvv3ggYguQyO+/eCChDSVEuTllTRTpHSVMuSVFfREFZU19JTlZFTlRPUllfT1VULjIwMDAuAQAAABsxBAACAAAACTU4LjE2OTQ2MQEIAAAABQAAAAExAQAAAAstMTg4MjU0OTQ1MAMAAAADMTYwAgAAAAQ0MDM1BAAAAAEwBwAAAAk3LzMxLzIwMjYIAAAACTUvMzEvMjAyNgkAAAABMJhlWQo7794I937nMjvv3gguQ0lRLk5ZU0U6R0lTLklRX1RPVEFMX1JFVl8xWVJfQU5OX0dST1dUSC4xMDAwLgEAAAAbMQQAAgAAAActNS40NDk5AQgAAAAFAAAAATEBAAAACy0xODgyNTUwNDk5AwAAAAMxNjACAAAABDQxOTQEAAAAATAHAAAACTcvMzEvMjAyNggAAAAJNS8zMS8yMDI2CQAAAAEwmGVZCjvv3ggIpucyO+/eCDFDSVEuTkFTREFRR1M6TURMWi5JUV9UT1RBTF9SRVZfNVlSX0FOTl9DQUdSLjIwMDAuAQAAAG1JCwACAAAABjcuMzM5NgEIAAAABQAAAAExAQAAAAstMTg4MDQxNTQ5NgMAAAAD</t>
  </si>
  <si>
    <t>MTYwAgAAAAQ0MjMzBAAAAAEwBwAAAAk3LzMxLzIwMjYIAAAACTYvMzAvMjAyNgkAAAABMJhlWQo7794IQj/qMjvv3ggkQ0lRLk5BU0RBUTpDQUxNLklRX0dST1NTX01BUkdJTi45OTguAQAAACB6BQACAAAABzIzLjI3ODkBCAAAAAUAAAABMQEAAAALLTE4ODEwNjg2NzYDAAAAAzE2MAIAAAAENDA3NAQAAAABMAcAAAAJNy8zMS8yMDI2CAAAAAg2LzEvMjAyNAkAAAABMLKIhzA7794IA+rUMjvv3gguQ0lRLk5BU0RBUTpDQUxNLklRX0VCSVREQV8xWVJfQU5OX0dST1dUSC4xMDAwLgEAAAAgegUAAgAAAAgtNzEuNjkwMwEIAAAABQAAAAExAQAAAAstMTg4MTA2ODY2OAMAAAADMTYwAgAAAAQ0MTk2BAAAAAEwBwAAAAk3LzMxLzIwMjYIAAAACTUvMzAvMjAyNgkAAAABMLKIhzA7794I1xDVMjvv3ggrQ0lRLk5BU0RBUTpDQUxNLklRX0RBWVNfSU5WRU5UT1JZX09VVC4yMDAwLgEAAAAgegUAAgAAAAg1NC41MjM1NgEIAAAABQAAAAExAQAAAAstMTg4MTA2ODI5NQMAAAADMTYwAgAAAAQ0MDM1BAAAAAEwBwAAAAk3LzMxLzIwMjYIAAAACTUvMzAvMjAyNgkAAAABMLKIhzA7794I2jfVMjvv3ggrQ0lRLk5BU0RBUUdTOktIQy5JUV9UT1RBTF9SRVYuMTAwMC4uLi5VU0QuSAEAAADEPgQAAgAAAAUyNDk0MgEIAAAABQAAAAExAQAAAAstMTkwNjk0MTIyMAMAAAADMTYwAgAAAAIyOAQAAAABMAcAAAAJNy8zMS8yMDI2</t>
  </si>
  <si>
    <t>CAAAAAoxMi8yNy8yMDI1CQAAAAEwmGVZCjvv3gg/0OQyO+/eCClDSVEuTllTRTpQT1NULklRX1RPVEFMX0RFQlQuNTAwLi4uRi5VU0QuSAEAAACPvWYIAgAAAAY3NjMxLjQBCAAAAAUAAAABMQEAAAALLTE4OTA4OTA5MjQDAAAAAzE2MAIAAAAENDE3MwQAAAABMAcAAAAJNy8zMS8yMDI2CAAAAAkzLzMxLzIwMjYJAAAAATCYZVkKO+/eCI6V5TI7794ILENJUS5OQVNEQVFHUzpLSEMuSVFfREFZU19JTlZFTlRPUllfT1VULjIwMDAuAQAAAMQ+BAACAAAACTc2LjEyMDA0NAEIAAAABQAAAAExAQAAAAstMTg5MTM2MDczMgMAAAADMTYwAgAAAAQ0MDM1BAAAAAEwBwAAAAk3LzMxLzIwMjYIAAAACTMvMjgvMjAyNgkAAAABMJhlWQo7794ITvfkMjvv3ggyQ0lRLk5BU0RBUUdTOktIQy5JUV9UT1RBTF9SRVZfMVlSX0FOTl9HUk9XVEguMTAwMC4BAAAAxD4EAAIAAAAHLTMuNDk3NwEIAAAABQAAAAExAQAAAAstMTkwNjk0MTIyMAMAAAADMTYwAgAAAAQ0MTk0BAAAAAEwBwAAAAk3LzMxLzIwMjYIAAAACjEyLzI3LzIwMjUJAAAAATCYZVkKO+/eCD5H5TI7794IKENJUS5OWVNFOlBPU1QuSVFfVE9UQUxfREVCVF9DQVBJVEFMLjUwMC4BAAAAj71mCAIAAAAHNzAuNDIyNAEIAAAABQAAAAExAQAAAAstMTg5MDg5MDkyNAMAAAADMTYwAgAAAAQ0MTg2BAAAAAEwBwAAAAk3LzMxLzIwMjYIAAAACTMvMzEvMjAyNgkAAAAB</t>
  </si>
  <si>
    <t>MJhlWQo7794IT9DlMjvv3ggkQ0lRLk5ZU0U6UE9TVC5JUV9FQklUREFfTUFSR0lOLjIwMDAuAQAAAI+9ZggCAAAABzE3LjU4OTQBCAAAAAUAAAABMQEAAAALLTE4OTA4OTAyNDIDAAAAAzE2MAIAAAAENDA0NwQAAAABMAcAAAAJNy8zMS8yMDI2CAAAAAkzLzMxLzIwMjYJAAAAATCYZVkKO+/eCKoy5jI7794IIUNJUS5OWVNFOlBPU1QuSVFfUEVSSU9EREFURS4xMDAwLgEAAACPvWYIBQAAAAozMC8wOS8yMDI1AJhlWQo7794IqlnmMjvv3ggtQ0lRLk5BU0RBUUdNOlZJVEwuSVFfRVBTXzFZUl9BTk5fR1JPV1RILjEwMDAuAQAAAJHszw0CAAAABzIyLjAzMzkBCAAAAAUAAAABMQEAAAALLTE5MDQ5NjMzNDEDAAAAAzE2MAIAAAAENDIwMAQAAAABMAcAAAAJNy8zMS8yMDI2CAAAAAoxMi8yOC8yMDI1CQAAAAEwmGVZCjvv3gjczuYyO+/eCCZDSVEuTkFTREFRR006VklUTC5JUV9HUk9TU19NQVJHSU4uOTk4LgEAAACR7M8NAgAAAAczNC40MDE1AQgAAAAFAAAAATEBAAAACy0xOTA0OTYzMzMxAwAAAAMxNjACAAAABDQwNzQEAAAAATAHAAAACTcvMzEvMjAyNggAAAAKMTIvMzEvMjAyMwkAAAABMJhlWQo7794IzAnnMjvv3gglQ0lRLk5BU0RBUUdTOk1ETFouSVFfUVVJQ0tfUkFUSU8uNTAwLgEAAABtSQsAAgAAAAgwLjMxMTM5NwEIAAAABQAAAAExAQAAAAstMTg4MDQxNjA1NwMAAAADMTYwAgAAAAQ0MTIxBAAA</t>
  </si>
  <si>
    <t>AAEwBwAAAAk3LzMxLzIwMjYIAAAACTYvMzAvMjAyNgkAAAABMJhlWQo7794I/fDpMjvv3gglQ0lRLlNaU0U6MzAwNzYxLklRX0VCSVREQV9NQVJHSU4uOTk5LgEAAADv78cTAgAAAAcxMy41MTI4AQgAAAAFAAAAATEBAAAACy0xODk1NzUzMTMxAwAAAAIzMgIAAAAENDA0NwQAAAABMAcAAAAJNy8zMS8yMDI2CAAAAAoxMi8zMS8yMDI0CQAAAAEwmGVZCjvv3ggYguQyO+/eCCxDSVEuTllTRTpHSVMuSVFfVE9UQUxfUkVWXzNZUl9BTk5fQ0FHUi4yMDAwLgEAAAAbMQQAAgAAAActMi44NTAxAQgAAAAFAAAAATEBAAAACy0xODgyNTQ5NDUwAwAAAAMxNjACAAAABDQyMjAEAAAAATAHAAAACTcvMzEvMjAyNggAAAAJNS8zMS8yMDI2CQAAAAEwmGVZCjvv3ggIpucyO+/eCCBDSVEuTllTRTpHSVMuSVFfUVVJQ0tfUkFUSU8uNTAwLgEAAAAbMQQAAgAAAAgwLjM0NTk5NAEIAAAABQAAAAExAQAAAAstMTg4MjU0OTQ1MgMAAAADMTYwAgAAAAQ0MTIxBAAAAAEwBwAAAAk3LzMxLzIwMjYIAAAACTUvMzEvMjAyNgkAAAABMJhlWQo7794I937nMjvv3ggsQ0lRLk5ZU0U6R0lTLklRX1RPVEFMX1JFVl81WVJfQU5OX0NBR1IuMjAwMC4BAAAAGzEEAAIAAAAGMC4zMjYyAQgAAAAFAAAAATEBAAAACy0xODgyNTQ5NDUwAwAAAAMxNjACAAAABDQyMzMEAAAAATAHAAAACTcvMzEvMjAyNggAAAAJNS8zMS8yMDI2CQAAAAEwmGVZ</t>
  </si>
  <si>
    <t>Cjvv3ggIpucyO+/eCCJDSVEuU1pTRTozMDA3NjEuSVFfTklfTUFSR0lOLjIwMDAuAQAAAO/vxxMCAAAABjIuNjgyNwEIAAAABQAAAAExAQAAAAstMTg5NTc2NTU4MgMAAAACMzICAAAABDQwOTQEAAAAATAHAAAACTcvMzEvMjAyNggAAAAJMy8zMS8yMDI2CQAAAAEwmGVZCjvv3ggTW+QyO+/eCCxDSVEuTkFTREFROkNBTE0uSVFfRUJJVERBXzNZUl9BTk5fQ0FHUi4yMDAwLgEAAAAgegUAAgAAAAgtMjMuMjk5MgEIAAAABQAAAAExAQAAAAstMTg4MTA2ODI5NQMAAAADMTYwAgAAAAQ0MjIyBAAAAAEwBwAAAAk3LzMxLzIwMjYIAAAACTUvMzAvMjAyNgkAAAABMLKIhzA7794I1xDVMjvv3ggoQ0lRLk5BU0RBUTpDQUxNLklRX0lOVkVOVE9SWV9UVVJOUy4yMDAwLgEAAAAgegUAAgAAAAg2LjY3NjAwNQEIAAAABQAAAAExAQAAAAstMTg4MTA2ODI5NQMAAAADMTYwAgAAAAQ0MDgyBAAAAAEwBwAAAAk3LzMxLzIwMjYIAAAACTUvMzAvMjAyNgkAAAABMLKIhzA7794I817VMjvv3ggkQ0lRLk5ZU0U6R0lTLklRX0VCSVREQS4yMDAwLi4uLlVTRC5IAQAAABsxBAACAAAABjM0NDkuNgEIAAAABQAAAAExAQAAAAstMTg4MjU0OTQ1MAMAAAADMTYwAgAAAAQ0MDUxBAAAAAEwBwAAAAk3LzMxLzIwMjYIAAAACTUvMzEvMjAyNgkAAAABMJhlWQo7794I7lfnMjvv3gg5Q0lRLk5BU0RBUUdTOktIQy5JUV9NSU5PUklUWV9J</t>
  </si>
  <si>
    <t>TlRFUkVTVF9UT1RBTC41MDAuLi5GLlVTRC5IAQAAAMQ+BAACAAAAAzEyNgEIAAAABQAAAAExAQAAAAstMTg5MTM2MDg0NQMAAAADMTYwAgAAAAQxMzEyBAAAAAEwBwAAAAk3LzMxLzIwMjYIAAAACTMvMjgvMjAyNgkAAAABMJhlWQo7794IP9DkMjvv3ggtQ0lRLk5ZU0U6UE9TVC5JUV9DQVNIX1NUX0lOVkVTVC41MDAuLi5GLlVTRC5IAQAAAI+9ZggCAAAABTI2OS41AQgAAAAFAAAAATEBAAAACy0xODkwODkwOTI0AwAAAAMxNjACAAAABDEwMDIEAAAAATAHAAAACTcvMzEvMjAyNggAAAAJMy8zMS8yMDI2CQAAAAEwmGVZCjvv3giOleUyO+/eCChDSVEuTkFTREFRR1M6S0hDLklRX0RBWVNfU0FMRVNfT1VULjIwMDAuAQAAAMQ+BAACAAAACTMzLjIzMTc0NAEIAAAABQAAAAExAQAAAAstMTg5MTM2MDczMgMAAAADMTYwAgAAAAQ0MDQyBAAAAAEwBwAAAAk3LzMxLzIwMjYIAAAACTMvMjgvMjAyNgkAAAABMJhlWQo7794ITvfkMjvv3ggwQ0lRLk5BU0RBUUdTOktIQy5JUV9UT1RBTF9SRVZfM1lSX0FOTl9DQUdSLjIwMDAuAQAAAMQ+BAACAAAABy0yLjQ2MDIBCAAAAAUAAAABMQEAAAALLTE4OTEzNjA3MzIDAAAAAzE2MAIAAAAENDIyMAQAAAABMAcAAAAJNy8zMS8yMDI2CAAAAAkzLzI4LzIwMjYJAAAAATCYZVkKO+/eCD5H5TI7794IJ0NJUS5OWVNFOlBPU1QuSVFfVE9UQUxfREVCVF9FUVVJVFkuNTAwLgEA</t>
  </si>
  <si>
    <t>AACPvWYIAgAAAAgyMzguMDk0MwEIAAAABQAAAAExAQAAAAstMTg5MDg5MDkyNAMAAAADMTYwAgAAAAQ0MDM0BAAAAAEwBwAAAAk3LzMxLzIwMjYIAAAACTMvMzEvMjAyNgkAAAABMJhlWQo7794IT9DlMjvv3ggkQ0lRLk5ZU0U6UE9TVC5JUV9FQklUREFfTUFSR0lOLjEwMDAuAQAAAI+9ZggCAAAABzE2Ljg2NTQBCAAAAAUAAAABMQEAAAALLTE5MTQ4ODI0NjEDAAAAAzE2MAIAAAAENDA0NwQAAAABMAcAAAAJNy8zMS8yMDI2CAAAAAk5LzMwLzIwMjUJAAAAATCYZVkKO+/eCKoy5jI7794IK0NJUS5OQVNEQVFHTTpWSVRMLklRX0VQU18zWVJfQU5OX0NBR1IuMjAwMC4BAAAAkezPDQIAAAAHNjcuNDk4MQEIAAAABQAAAAExAQAAAAstMTg5MTAxNDU2NAMAAAADMTYwAgAAAAQ0MjI2BAAAAAEwBwAAAAk3LzMxLzIwMjYIAAAACTMvMjkvMjAyNgkAAAABMJhlWQo7794IjuLmMjvv3ggnQ0lRLk5BU0RBUUdTOk1ETFouSVFfQ1VSUkVOVF9SQVRJTy41MDAuAQAAAG1JCwACAAAACDAuNTk5MTc1AQgAAAAFAAAAATEBAAAACy0xODgwNDE2MDU3AwAAAAMxNjACAAAABDQwMzAEAAAAATAHAAAACTcvMzEvMjAyNggAAAAJNi8zMC8yMDI2CQAAAAEwmGVZCjvv3gj98OkyO+/eCCRDSVEuTkFTREFRR1M6TURMWi5JUV9OSV9NQVJHSU4uMjAwMC4BAAAAbUkLAAIAAAAFOC44NjIBCAAAAAUAAAABMQEAAAALLTE4ODA0MTU0</t>
  </si>
  <si>
    <t>OTYDAAAAAzE2MAIAAAAENDA5NAQAAAABMAcAAAAJNy8zMS8yMDI2CAAAAAk2LzMwLzIwMjYJAAAAATCYZVkKO+/eCEI/6jI7794II0NJUS5TWlNFOjMwMDc2MS5JUV9FQklUREFfSU5ULjIwMDAuAQAAAO/vxxMCAAAACTIyLjkwMjAzNQEIAAAABQAAAAExAQAAAAstMTg5NTc2NTU4MgMAAAACMzICAAAABDQxOTAEAAAAATAHAAAACTcvMzEvMjAyNggAAAAJMy8zMS8yMDI2CQAAAAEwmGVZCjvv3gjxM+QyO+/eCCVDSVEuU1pTRTozMDA3NjEuSVFfRUJJVERBX01BUkdJTi45OTguAQAAAO/vxxMCAAAABTIuMTA3AQgAAAAFAAAAATEBAAAACy0xOTUwMTI0NDY1AwAAAAIzMgIAAAAENDA0NwQAAAABMAcAAAAJNy8zMS8yMDI2CAAAAAoxMi8zMS8yMDIzCQAAAAEwmGVZCjvv3ggYguQyO+/eCCBDSVEuTllTRTpHSVMuSVFfUEVSSU9EREFURS4yMDAwLgEAAAAbMQQABQAAAAozMS8wNS8yMDI2AJhlWQo7794IKPTnMjvv3ggsQ0lRLk5BU0RBUTpDQUxNLklRX0VCSVREQV81WVJfQU5OX0NBR1IuMjAwMC4BAAAAIHoFAAIAAAAHNjYuODI1NgEIAAAABQAAAAExAQAAAAstMTg4MTA2ODI5NQMAAAADMTYwAgAAAAQ0MjM1BAAAAAEwBwAAAAk3LzMxLzIwMjYIAAAACTUvMzAvMjAyNgkAAAABMLKIhzA7794I1xDVMjvv3gghQ0lRLk5BU0RBUTpDQUxNLklRX0FSX1RVUk5TLjIwMDAuAQAAACB6BQACAAAACTE1LjMxMTE2</t>
  </si>
  <si>
    <t>MgEIAAAABQAAAAExAQAAAAstMTg4MTA2ODI5NQMAAAADMTYwAgAAAAQ0MDAxBAAAAAEwBwAAAAk3LzMxLzIwMjYIAAAACTUvMzAvMjAyNgkAAAABMLKIhzA7794I817VMjvv3ggkQ0lRLk5ZU0U6R0lTLklRX0VCSVREQS4xMDAwLi4uLlVTRC5IAQAAABsxBAACAAAABjM0NDkuNgEIAAAABQAAAAExAQAAAAstMTg4MjU1MDQ5OQMAAAADMTYwAgAAAAQ0MDUxBAAAAAEwBwAAAAk3LzMxLzIwMjYIAAAACTUvMzEvMjAyNgkAAAABMJhlWQo7794I7lfnMjvv3ggtQ0lRLk5BU0RBUUdTOktIQy5JUV9QUkVGX0VRVUlUWS41MDAuLi5GLlVTRC5IAQAAAMQ+BAADAAAAAACYZVkKO+/eCCWp5DI7794IJENJUS5OQVNEQVFHUzpLSEMuSVFfUVVJQ0tfUkFUSU8uNTAwLgEAAADEPgQAAgAAAAgwLjcxNTcwOAEIAAAABQAAAAExAQAAAAstMTg5MTM2MDg0NQMAAAADMTYwAgAAAAQ0MTIxBAAAAAEwBwAAAAk3LzMxLzIwMjYIAAAACTMvMjgvMjAyNgkAAAABMJhlWQo7794ITvfkMjvv3ggwQ0lRLk5BU0RBUUdTOktIQy5JUV9UT1RBTF9SRVZfNVlSX0FOTl9DQUdSLjIwMDAuAQAAAMQ+BAACAAAABy0xLjEwODMBCAAAAAUAAAABMQEAAAALLTE4OTEzNjA3MzIDAAAAAzE2MAIAAAAENDIzMwQAAAABMAcAAAAJNy8zMS8yMDI2CAAAAAkzLzI4LzIwMjYJAAAAATCYZVkKO+/eCD5H5TI7794IJ0NJUS5OWVNFOlBPU1QuSVFfRUJJ</t>
  </si>
  <si>
    <t>VERBX0NBUEVYX0lOVC4yMDAwLgEAAACPvWYIAgAAAAgyLjczMzE5OQEIAAAABQAAAAExAQAAAAstMTg5MDg5MDI0MgMAAAADMTYwAgAAAAQ0MTkxBAAAAAEwBwAAAAk3LzMxLzIwMjYIAAAACTMvMzEvMjAyNgkAAAABMJhlWQo7794IT9DlMjvv3ggjQ0lRLk5ZU0U6UE9TVC5JUV9FQklUREFfTUFSR0lOLjk5OS4BAAAAj71mCAIAAAAHMTYuMzMwMgEIAAAABQAAAAExAQAAAAstMTkxNDg4MzE4NwMAAAADMTYwAgAAAAQ0MDQ3BAAAAAEwBwAAAAk3LzMxLzIwMjYIAAAACTkvMzAvMjAyNAkAAAABMJhlWQo7794IqjLmMjvv3ggqQ0lRLk5BU0RBUUdNOlZJVEwuSVFfSU5WRU5UT1JZX1RVUk5TLjIwMDAuAQAAAJHszw0CAAAACDguMTQ4NTk1AQgAAAAFAAAAATEBAAAACy0xODkxMDE0NTY0AwAAAAMxNjACAAAABDQwODIEAAAAATAHAAAACTcvMzEvMjAyNggAAAAJMy8yOS8yMDI2CQAAAAEwmGVZCjvv3gjHp+YyO+/eCCtDSVEuTkFTREFRR006VklUTC5JUV9FUFNfNVlSX0FOTl9DQUdSLjIwMDAuAQAAAJHszw0CAAAABjI4LjA3NQEIAAAABQAAAAExAQAAAAstMTg5MTAxNDU2NAMAAAADMTYwAgAAAAQ0MjM5BAAAAAEwBwAAAAk3LzMxLzIwMjYIAAAACTMvMjkvMjAyNgkAAAABMJhlWQo7794IjuLmMjvv3ggyQ0lRLk5BU0RBUUdTOk1ETFouSVFfUkVUVVJOX0lOVkVTVEVEX0NBUElUQUwuMjAwMC4BAAAAbUkL</t>
  </si>
  <si>
    <t>AAIAAAAGMi4wMjA2AJhlWQo7794I/fDpMjvv3ggkQ0lRLk5BU0RBUUdTOk1ETFouSVFfTklfTUFSR0lOLjEwMDAuAQAAAG1JCwACAAAABjYuMzYwMQEIAAAABQAAAAExAQAAAAstMTkwNzY4NTA5OQMAAAADMTYwAgAAAAQ0MDk0BAAAAAEwBwAAAAk3LzMxLzIwMjYIAAAACjEyLzMxLzIwMjUJAAAAATCYZVkKO+/eCEI/6jI7794IKENJUS5TWlNFOjMwMDc2MS5JUV9ORVRfREVCVF9FQklUREEuMjAwMC4BAAAA7+/HEwIAAAAHMS4yMDcyMgEIAAAABQAAAAExAQAAAAstMTg5NTc2NTU4MgMAAAACMzICAAAABDQxOTMEAAAAATAHAAAACTcvMzEvMjAyNggAAAAJMy8zMS8yMDI2CQAAAAEwmGVZCjvv3gjxM+QyO+/eCCVDSVEuU1pTRTozMDA3NjEuSVFfR1JPU1NfTUFSR0lOLjIwMDAuAQAAAO/vxxMCAAAABjkuOTkzNAEIAAAABQAAAAExAQAAAAstMTg5NTc2NTU4MgMAAAACMzICAAAABDQwNzQEAAAAATAHAAAACTcvMzEvMjAyNggAAAAJMy8zMS8yMDI2CQAAAAEwmGVZCjvv3ggYguQyO+/eCCJDSVEuTllTRTpHSVMuSVFfQ1VSUkVOVF9SQVRJTy41MDAuAQAAABsxBAACAAAACDAuNjgxNzU4AQgAAAAFAAAAATEBAAAACy0xODgyNTQ5NDUyAwAAAAMxNjACAAAABDQwMzAEAAAAATAHAAAACTcvMzEvMjAyNggAAAAJNS8zMS8yMDI2CQAAAAEwmGVZCjvv3gj3fucyO+/eCB9DSVEuTllTRTpHSVMuSVFfTklfTUFS</t>
  </si>
  <si>
    <t>R0lOLjIwMDAuAQAAABsxBAACAAAABy0wLjQ3NTQBCAAAAAUAAAABMQEAAAALLTE4ODI1NDk0NTADAAAAAzE2MAIAAAAENDA5NAQAAAABMAcAAAAJNy8zMS8yMDI2CAAAAAk1LzMxLzIwMjYJAAAAATCYZVkKO+/eCAim5zI7794IKENJUS5OQVNEQVE6Q0FMTS5JUV9ORVRfREVCVF9FQklUREEuMjAwMC4BAAAAIHoFAAMAAAACTk0BCAAAAAUAAAABMQEAAAALLTE4ODEwNjgyOTUDAAAAAzE2MAIAAAAENDE5MwQAAAABMAcAAAAJNy8zMS8yMDI2CAAAAAk1LzMwLzIwMjYJAAAAATCyiIcwO+/eCNcQ1TI7794IL0NJUS5TWlNFOjMwMDc2MS5JUV9ESUxVVF9FUFNfRVhDTC4yMDAwLi4uLlVTRC5IAQAAAO/vxxMCAAAACDAuMDg5MzU5AQgAAAAFAAAAATEBAAAACy0xODk1NzY1NTgyAwAAAAMxNjACAAAAAzE0MgQAAAABMAcAAAAJNy8zMS8yMDI2CAAAAAkzLzMxLzIwMjYJAAAAATCYZVkKO+/eCLsM5DI7794ILENJUS5OQVNEQVFHUzpLSEMuSVFfVE9UQUxfREVCVC41MDAuLi5GLlVTRC5IAQAAAMQ+BAACAAAABTIxMTMzAQgAAAAFAAAAATEBAAAACy0xODkxMzYwODQ1AwAAAAMxNjACAAAABDQxNzMEAAAAATAHAAAACTcvMzEvMjAyNggAAAAJMy8yOC8yMDI2CQAAAAEwmGVZCjvv3gglqeQyO+/eCCZDSVEuTkFTREFRR1M6S0hDLklRX0NVUlJFTlRfUkFUSU8uNTAwLgEAAADEPgQAAgAAAAcxLjE5NTAxAQgAAAAF</t>
  </si>
  <si>
    <t>AAAAATEBAAAACy0xODkxMzYwODQ1AwAAAAMxNjACAAAABDQwMzAEAAAAATAHAAAACTcvMzEvMjAyNggAAAAJMy8yOC8yMDI2CQAAAAEwmGVZCjvv3ghO9+QyO+/eCCNDSVEuTkFTREFRR1M6S0hDLklRX05JX01BUkdJTi4yMDAwLgEAAADEPgQAAgAAAAgtMjMuMDQ5MgEIAAAABQAAAAExAQAAAAstMTg5MTM2MDczMgMAAAADMTYwAgAAAAQ0MDk0BAAAAAEwBwAAAAk3LzMxLzIwMjYIAAAACTMvMjgvMjAyNgkAAAABMJhlWQo7794IPkflMjvv3gghQ0lRLk5ZU0U6UE9TVC5JUV9FQklUREFfSU5ULjIwMDAuAQAAAI+9ZggCAAAACDMuOTU3ODczAQgAAAAFAAAAATEBAAAACy0xODkwODkwMjQyAwAAAAMxNjACAAAABDQxOTAEAAAAATAHAAAACTcvMzEvMjAyNggAAAAJMy8zMS8yMDI2CQAAAAEwmGVZCjvv3ghP0OUyO+/eCCNDSVEuTllTRTpQT1NULklRX0VCSVREQV9NQVJHSU4uOTk4LgEAAACPvWYIAgAAAAcxNS4yNjk2AQgAAAAFAAAAATEBAAAACy0xOTE0ODgyNzE4AwAAAAMxNjACAAAABDQwNDcEAAAAATAHAAAACTcvMzEvMjAyNggAAAAJOS8zMC8yMDIzCQAAAAEwmGVZCjvv3giqMuYyO+/eCCNDSVEuTkFTREFRR006VklUTC5JUV9BUl9UVVJOUy4yMDAwLgEAAACR7M8NAgAAAAkxNS4xODYyOTMBCAAAAAUAAAABMQEAAAALLTE4OTEwMTQ1NjQDAAAAAzE2MAIAAAAENDAwMQQAAAABMAcAAAAJNy8zMS8y</t>
  </si>
  <si>
    <t>MDI2CAAAAAkzLzI5LzIwMjYJAAAAATCYZVkKO+/eCMen5jI7794IMENJUS5OQVNEQVFHTTpWSVRMLklRX0VCSVREQV8xWVJfQU5OX0dST1dUSC4yMDAwLgEAAACR7M8NAgAAAAY1LjY4NjkBCAAAAAUAAAABMQEAAAALLTE4OTEwMTQ1NjQDAAAAAzE2MAIAAAAENDE5NgQAAAABMAcAAAAJNy8zMS8yMDI2CAAAAAkzLzI5LzIwMjYJAAAAATCYZVkKO+/eCI7i5jI7794IKENJUS5OQVNEQVFHUzpNRExaLklRX1JFVFVSTl9BU1NFVFMuMjAwMC4BAAAAbUkLAAIAAAAGNC4xMjI1AQgAAAAFAAAAATEBAAAACy0xODgwNDE1NDk2AwAAAAMxNjACAAAABDQxNzgEAAAAATAHAAAACTcvMzEvMjAyNggAAAAJNi8zMC8yMDI2CQAAAAEwmGVZCjvv3gj98OkyO+/eCCNDSVEuTkFTREFRR1M6TURMWi5JUV9OSV9NQVJHSU4uOTk5LgEAAABtSQsAAgAAAAcxMi42NTMzAQgAAAAFAAAAATEBAAAACy0xOTA3Njg1MDk0AwAAAAMxNjACAAAABDQwOTQEAAAAATAHAAAACTcvMzEvMjAyNggAAAAKMTIvMzEvMjAyNAkAAAABMJhlWQo7794IQj/qMjvv3ggqQ0lRLlNaU0U6MzAwNzYxLklRX1RPVEFMX0RFQlRfRUJJVERBLjIwMDAuAQAAAO/vxxMCAAAABzIuMjgzNzQBCAAAAAUAAAABMQEAAAALLTE4OTU3NjU1ODIDAAAAAjMyAgAAAAQ0MTkyBAAAAAEwBwAAAAk3LzMxLzIwMjYIAAAACTMvMzEvMjAyNgkAAAABMJhlWQo7794I8TPk</t>
  </si>
  <si>
    <t>Mjvv3gglQ0lRLlNaU0U6MzAwNzYxLklRX0dST1NTX01BUkdJTi4xMDAwLgEAAADv78cTAgAAAAcxMC4wODUxAQgAAAAFAAAAATEBAAAACy0xODk1NzUzMTQxAwAAAAIzMgIAAAAENDA3NAQAAAABMAcAAAAJNy8zMS8yMDI2CAAAAAoxMi8zMS8yMDI1CQAAAAEwmGVZCjvv3ggYguQyO+/eCC1DSVEuTllTRTpHSVMuSVFfUkVUVVJOX0lOVkVTVEVEX0NBUElUQUwuMjAwMC4BAAAAGzEEAAIAAAAHLTYuMTIyMwCYZVkKO+/eCPd+5zI7794IH0NJUS5OWVNFOkdJUy5JUV9OSV9NQVJHSU4uMTAwMC4BAAAAGzEEAAIAAAAHLTAuNDc1NAEIAAAABQAAAAExAQAAAAstMTg4MjU1MDQ5OQMAAAADMTYwAgAAAAQ0MDk0BAAAAAEwBwAAAAk3LzMxLzIwMjYIAAAACTUvMzEvMjAyNgkAAAABMJhlWQo7794ICKbnMjvv3ggwQ0lRLk5BU0RBUUdTOk1ETFouSVFfRUJJVERBXzFZUl9BTk5fR1JPV1RILjEwMDAuAQAAAG1JCwACAAAACC0zNS41Mjk4AQgAAAAFAAAAATEBAAAACy0xOTA3Njg1MDk5AwAAAAMxNjACAAAABDQxOTYEAAAAATAHAAAACTcvMzEvMjAyNggAAAAKMTIvMzEvMjAyNQkAAAABMJhlWQo7794IPhjqMjvv3ggqQ0lRLk5BU0RBUTpDQUxNLklRX1RPVEFMX0RFQlRfRUJJVERBLjIwMDAuAQAAACB6BQADAAAAAACyiIcwO+/eCNcQ1TI7794IL0NJUS5TWlNFOjMwMDc2MS5JUV9ESUxVVF9FUFNfRVhDTC4xMDAw</t>
  </si>
  <si>
    <t>Li4uLlVTRC5IAQAAAO/vxxMCAAAACDAuMDk3MzkyAQgAAAAFAAAAATEBAAAACy0xODk1NzUzMTQxAwAAAAMxNjACAAAAAzE0MgQAAAABMAcAAAAJNy8zMS8yMDI2CAAAAAoxMi8zMS8yMDI1CQAAAAEwmGVZCjvv3gi7DOQyO+/eCDBDSVEuTkFTREFRR1M6S0hDLklRX0NBU0hfU1RfSU5WRVNULjUwMC4uLkYuVVNELkgBAAAAxD4EAAIAAAAENDA5MQEIAAAABQAAAAExAQAAAAstMTg5MTM2MDg0NQMAAAADMTYwAgAAAAQxMDAyBAAAAAEwBwAAAAk3LzMxLzIwMjYIAAAACTMvMjgvMjAyNgkAAAABMJhlWQo7794IJankMjvv3ggxQ0lRLk5BU0RBUUdTOktIQy5JUV9SRVRVUk5fSU5WRVNURURfQ0FQSVRBTC4yMDAwLgEAAADEPgQAAgAAAAgtMTEuMzkyMgCYZVkKO+/eCE735DI7794II0NJUS5OQVNEQVFHUzpLSEMuSVFfTklfTUFSR0lOLjEwMDAuAQAAAMQ+BAACAAAACC0yMy40MzgzAQgAAAAFAAAAATEBAAAACy0xOTA2OTQxMjIwAwAAAAMxNjACAAAABDQwOTQEAAAAATAHAAAACTcvMzEvMjAyNggAAAAKMTIvMjcvMjAyNQkAAAABMJhlWQo7794IPkflMjvv3ggmQ0lRLk5ZU0U6UE9TVC5JUV9ORVRfREVCVF9FQklUREEuMjAwMC4BAAAAj71mCAIAAAAINC42NjQxNTMBCAAAAAUAAAABMQEAAAALLTE4OTA4OTAyNDIDAAAAAzE2MAIAAAAENDE5MwQAAAABMAcAAAAJNy8zMS8yMDI2CAAAAAkzLzMxLzIwMjYJ</t>
  </si>
  <si>
    <t>AAAAATCYZVkKO+/eCE/Q5TI7794II0NJUS5OWVNFOlBPU1QuSVFfR1JPU1NfTUFSR0lOLjIwMDAuAQAAAI+9ZggCAAAABzI5LjA1MDIBCAAAAAUAAAABMQEAAAALLTE4OTA4OTAyNDIDAAAAAzE2MAIAAAAENDA3NAQAAAABMAcAAAAJNy8zMS8yMDI2CAAAAAkzLzMxLzIwMjYJAAAAATCYZVkKO+/eCKoy5jI7794ILENJUS5OQVNEQVFHTTpWSVRMLklRX0ZJWEVEX0FTU0VUX1RVUk5TLjIwMDAuAQAAAJHszw0CAAAABzQuMTk1MTIBCAAAAAUAAAABMQEAAAALLTE4OTEwMTQ1NjQDAAAAAzE2MAIAAAAENDA2NgQAAAABMAcAAAAJNy8zMS8yMDI2CAAAAAkzLzI5LzIwMjYJAAAAATCYZVkKO+/eCMen5jI7794IMENJUS5OQVNEQVFHTTpWSVRMLklRX0VCSVREQV8xWVJfQU5OX0dST1dUSC4xMDAwLgEAAACR7M8NAgAAAAczNC4yMzU3AQgAAAAFAAAAATEBAAAACy0xOTA0OTYzMzQxAwAAAAMxNjACAAAABDQxOTYEAAAAATAHAAAACTcvMzEvMjAyNggAAAAKMTIvMjgvMjAyNQkAAAABMJhlWQo7794IjuLmMjvv3ggoQ0lRLk5BU0RBUUdTOk1ETFouSVFfUkVUVVJOX0VRVUlUWS4yMDAwLgEAAABtSQsAAgAAAAcxMy4zMzk4AQgAAAAFAAAAATEBAAAACy0xODgwNDE1NDk2AwAAAAMxNjACAAAABDQxMjgEAAAAATAHAAAACTcvMzEvMjAyNggAAAAJNi8zMC8yMDI2CQAAAAEwmGVZCjvv3gj98OkyO+/eCCNDSVEuTkFT</t>
  </si>
  <si>
    <t>REFRR1M6TURMWi5JUV9OSV9NQVJHSU4uOTk4LgEAAABtSQsAAgAAAAcxMy43Njg4AQgAAAAFAAAAATEBAAAACy0xOTA3Njg1MDkxAwAAAAMxNjACAAAABDQwOTQEAAAAATAHAAAACTcvMzEvMjAyNggAAAAKMTIvMzEvMjAyMwkAAAABMJhlWQo7794IQj/qMjvv3gglQ0lRLk5BU0RBUUdTOk1ETFouSVFfUEVSSU9EREFURS4yMDAwLgEAAABtSQsABQAAAAozMC8wNi8yMDI2AJhlWQo7794IcI3qMjvv3ggrQ0lRLlNaU0U6MzAwNzYxLklRX0VQU18xWVJfQU5OX0dST1dUSC4yMDAwLgEAAADv78cTAgAAAAgtNjkuMDI4NAEIAAAABQAAAAExAQAAAAstMTg5NTc2NTU4MgMAAAACMzICAAAABDQyMDAEAAAAATAHAAAACTcvMzEvMjAyNggAAAAJMy8zMS8yMDI2CQAAAAEwmGVZCjvv3gjxM+QyO+/eCCRDSVEuU1pTRTozMDA3NjEuSVFfR1JPU1NfTUFSR0lOLjk5OS4BAAAA7+/HEwIAAAAHMTUuNjUxNgEIAAAABQAAAAExAQAAAAstMTg5NTc1MzEzMQMAAAACMzICAAAABDQwNzQEAAAAATAHAAAACTcvMzEvMjAyNggAAAAKMTIvMzEvMjAyNAkAAAABMJhlWQo7794IGILkMjvv3ggjQ0lRLk5ZU0U6R0lTLklRX1JFVFVSTl9BU1NFVFMuMjAwMC4BAAAAGzEEAAIAAAAGNS43MzQ4AQgAAAAFAAAAATEBAAAACy0xODgyNTQ5NDUwAwAAAAMxNjACAAAABDQxNzgEAAAAATAHAAAACTcvMzEvMjAyNggAAAAJNS8zMS8yMDI2</t>
  </si>
  <si>
    <t>CQAAAAEwmGVZCjvv3gj3fucyO+/eCB5DSVEuTllTRTpHSVMuSVFfTklfTUFSR0lOLjk5OS4BAAAAGzEEAAIAAAAHMTEuNzc4MwEIAAAABQAAAAExAQAAAAstMTg4MjU1MDUwMgMAAAADMTYwAgAAAAQ0MDk0BAAAAAEwBwAAAAk3LzMxLzIwMjYIAAAACTUvMjUvMjAyNQkAAAABMJhlWQo7794ICKbnMjvv3ggnQ0lRLk5BU0RBUUdTOktIQy5JUV9SRVRVUk5fQVNTRVRTLjIwMDAuAQAAAMQ+BAACAAAABjMuNDY3MwEIAAAABQAAAAExAQAAAAstMTg5MTM2MDczMgMAAAADMTYwAgAAAAQ0MTc4BAAAAAEwBwAAAAk3LzMxLzIwMjYIAAAACTMvMjgvMjAyNgkAAAABMJhlWQo7794ITvfkMjvv3ggsQ0lRLk5BU0RBUUdTOk1ETFouSVFfVE9UQUxfREVCVF9DQVBJVEFMLjUwMC4BAAAAbUkLAAIAAAAHNDUuMjQ4MwEIAAAABQAAAAExAQAAAAstMTg4MDQxNjA1NwMAAAADMTYwAgAAAAQ0MTg2BAAAAAEwBwAAAAk3LzMxLzIwMjYIAAAACTYvMzAvMjAyNgkAAAABMJhlWQo7794IPhjqMjvv3ggoQ0lRLk5BU0RBUUdTOk1ETFouSVFfRUJJVERBX01BUkdJTi4yMDAwLgEAAABtSQsAAgAAAAcxNS4zMjQ1AQgAAAAFAAAAATEBAAAACy0xODgwNDE1NDk2AwAAAAMxNjACAAAABDQwNDcEAAAAATAHAAAACTcvMzEvMjAyNggAAAAJNi8zMC8yMDI2CQAAAAEwmGVZCjvv3ghCP+oyO+/eCCVDSVEuTkFTREFRR1M6TURMWi5JUV9Q</t>
  </si>
  <si>
    <t>RVJJT0REQVRFLjEwMDAuAQAAAG1JCwAFAAAACjMxLzEyLzIwMjUAmGVZCjvv3ghwjeoyO+/eCCtDSVEuU1pTRTozMDA3NjEuSVFfRVBTXzFZUl9BTk5fR1JPV1RILjEwMDAuAQAAAO/vxxMCAAAABy02Mi45MzIBCAAAAAUAAAABMQEAAAALLTE4OTU3NTMxNDEDAAAAAjMyAgAAAAQ0MjAwBAAAAAEwBwAAAAk3LzMxLzIwMjYIAAAACjEyLzMxLzIwMjUJAAAAATCYZVkKO+/eCPEz5DI7794IJENJUS5TWlNFOjMwMDc2MS5JUV9HUk9TU19NQVJHSU4uOTk4LgEAAADv78cTAgAAAAY0LjAxNDMBCAAAAAUAAAABMQEAAAALLTE5NTAxMjQ0NjUDAAAAAjMyAgAAAAQ0MDc0BAAAAAEwBwAAAAk3LzMxLzIwMjYIAAAACjEyLzMxLzIwMjMJAAAAATCYZVkKO+/eCBiC5DI7794IJUNJUS5OQVNEQVE6Q0FMTS5JUV9FQklUREFfTUFSR0lOLjk5OS4BAAAAIHoFAAIAAAAHMzguNzYzNQEIAAAABQAAAAExAQAAAAstMTg4MTA2ODY3NQMAAAADMTYwAgAAAAQ0MDQ3BAAAAAEwBwAAAAk3LzMxLzIwMjYIAAAACTUvMzEvMjAyNQkAAAABMLKIhzA7794IA+rUMjvv3ggrQ0lRLk5BU0RBUTpDQUxNLklRX0VQU18xWVJfQU5OX0dST1dUSC4yMDAwLgEAAAAgegUAAgAAAAgtNzMuNDI2OQEIAAAABQAAAAExAQAAAAstMTg4MTA2ODI5NQMAAAADMTYwAgAAAAQ0MjAwBAAAAAEwBwAAAAk3LzMxLzIwMjYIAAAACTUvMzAvMjAyNgkAAAAB</t>
  </si>
  <si>
    <t>MLKIhzA7794I1xDVMjvv3ggnQ0lRLk5ZU0U6R0lTLklRX1RPVEFMX1JFVi4yMDAwLi4uLlVTRC5IAQAAABsxBAACAAAABzE4NDI0LjYBCAAAAAUAAAABMQEAAAALLTE4ODI1NDk0NTADAAAAAzE2MAIAAAACMjgEAAAAATAHAAAACTcvMzEvMjAyNggAAAAJNS8zMS8yMDI2CQAAAAEwmGVZCjvv3gjcMOcyO+/eCCJDSVEuTkFTREFRR1M6S0hDLklRX05JX01BUkdJTi45OTkuAQAAAMQ+BAACAAAABzEwLjYxNjcBCAAAAAUAAAABMQEAAAALLTE5MDY5NDEyMjIDAAAAAzE2MAIAAAAENDA5NAQAAAABMAcAAAAJNy8zMS8yMDI2CAAAAAoxMi8yOC8yMDI0CQAAAAEwmGVZCjvv3gg+R+UyO+/eCChDSVEuTllTRTpQT1NULklRX1RPVEFMX0RFQlRfRUJJVERBLjIwMDAuAQAAAI+9ZggCAAAACDQuODM0ODk2AQgAAAAFAAAAATEBAAAACy0xODkwODkwMjQyAwAAAAMxNjACAAAABDQxOTIEAAAAATAHAAAACTcvMzEvMjAyNggAAAAJMy8zMS8yMDI2CQAAAAEwmGVZCjvv3ghP0OUyO+/eCCNDSVEuTllTRTpQT1NULklRX0dST1NTX01BUkdJTi4xMDAwLgEAAACPvWYIAgAAAAcyOC42NzU3AQgAAAAFAAAAATEBAAAACy0xOTE0ODgyNDYxAwAAAAMxNjACAAAABDQwNzQEAAAAATAHAAAACTcvMzEvMjAyNggAAAAJOS8zMC8yMDI1CQAAAAEwmGVZCjvv3giqMuYyO+/eCCZDSVEuTkFTREFRR006VklUTC5JUV9BU1NFVF9UVVJO</t>
  </si>
  <si>
    <t>Uy4yMDAwLgEAAACR7M8NAgAAAAgxLjgwNDIwOQEIAAAABQAAAAExAQAAAAstMTg5MTAxNDU2NAMAAAADMTYwAgAAAAQ0MTc3BAAAAAEwBwAAAAk3LzMxLzIwMjYIAAAACTMvMjkvMjAyNgkAAAABMJhlWQo7794Ix6fmMjvv3gguQ0lRLk5BU0RBUUdNOlZJVEwuSVFfRUJJVERBXzNZUl9BTk5fQ0FHUi4yMDAwLgEAAACR7M8NAgAAAAc1MC41NTU3AQgAAAAFAAAAATEBAAAACy0xODkxMDE0NTY0AwAAAAMxNjACAAAABDQyMjIEAAAAATAHAAAACTcvMzEvMjAyNggAAAAJMy8yOS8yMDI2CQAAAAEwmGVZCjvv3giO4uYyO+/eCCNDSVEuTllTRTpHSVMuSVFfUkVUVVJOX0VRVUlUWS4yMDAwLgEAAAAbMQQAAgAAAActMS4wMjgyAQgAAAAFAAAAATEBAAAACy0xODgyNTQ5NDUwAwAAAAMxNjACAAAABDQxMjgEAAAAATAHAAAACTcvMzEvMjAyNggAAAAJNS8zMS8yMDI2CQAAAAEwmGVZCjvv3gj3fucyO+/eCB5DSVEuTllTRTpHSVMuSVFfTklfTUFSR0lOLjk5OC4BAAAAGzEEAAIAAAAHMTIuNTcyNwEIAAAABQAAAAExAQAAAAstMTg4MjU1MDQ5NQMAAAADMTYwAgAAAAQ0MDk0BAAAAAEwBwAAAAk3LzMxLzIwMjYIAAAACTUvMjYvMjAyNAkAAAABMJhlWQo7794ICKbnMjvv3gglQ0lRLk5BU0RBUTpDQUxNLklRX0VCSVREQV9NQVJHSU4uOTk4LgEAAAAgegUAAgAAAAcxNi4xMDU1AQgAAAAFAAAAATEBAAAACy0xODgx</t>
  </si>
  <si>
    <t>MDY4Njc2AwAAAAMxNjACAAAABDQwNDcEAAAAATAHAAAACTcvMzEvMjAyNggAAAAINi8xLzIwMjQJAAAAATCyiIcwO+/eCAPq1DI7794IK0NJUS5OQVNEQVE6Q0FMTS5JUV9FUFNfMVlSX0FOTl9HUk9XVEguMTAwMC4BAAAAIHoFAAIAAAAILTczLjQyNjkBCAAAAAUAAAABMQEAAAALLTE4ODEwNjg2NjgDAAAAAzE2MAIAAAAENDIwMAQAAAABMAcAAAAJNy8zMS8yMDI2CAAAAAk1LzMwLzIwMjYJAAAAATCyiIcwO+/eCNcQ1TI7794IMUNJUS5OQVNEQVFHUzpNRExaLklRX0RJTFVUX0VQU19FWENMLjIwMDAuLi4uVVNELkgBAAAAbUkLAAIAAAAIMi43Mjg3NTYBCAAAAAUAAAABMQEAAAALLTE4ODA0MTU0OTYDAAAAAzE2MAIAAAADMTQyBAAAAAEwBwAAAAk3LzMxLzIwMjYIAAAACTYvMzAvMjAyNgkAAAABMJhlWQo7794ILN3pMjvv3ggnQ0lRLk5ZU0U6R0lTLklRX1RPVEFMX1JFVi4xMDAwLi4uLlVTRC5IAQAAABsxBAACAAAABzE4NDI0LjYBCAAAAAUAAAABMQEAAAALLTE4ODI1NTA0OTkDAAAAAzE2MAIAAAACMjgEAAAAATAHAAAACTcvMzEvMjAyNggAAAAJNS8zMS8yMDI2CQAAAAEwmGVZCjvv3gjcMOcyO+/eCDhDSVEuTkFTREFROkNBTE0uSVFfTUlOT1JJVFlfSU5URVJFU1RfVE9UQUwuNTAwLi4uRi5VU0QuSAEAAAAgegUAAgAAAAM3LjgBCAAAAAUAAAABMQEAAAALLTE4ODEwNjgyOTcDAAAAAzE2MAIA</t>
  </si>
  <si>
    <t>AAAEMTMxMgQAAAABMAcAAAAJNy8zMS8yMDI2CAAAAAk1LzMwLzIwMjYJAAAAATCyiIcwO+/eCIly1DI7794IJ0NJUS5OQVNEQVFHUzpLSEMuSVFfUkVUVVJOX0VRVUlUWS4yMDAwLgEAAADEPgQAAgAAAAgtMTIuNTc1NQEIAAAABQAAAAExAQAAAAstMTg5MTM2MDczMgMAAAADMTYwAgAAAAQ0MTI4BAAAAAEwBwAAAAk3LzMxLzIwMjYIAAAACTMvMjgvMjAyNgkAAAABMJhlWQo7794ITvfkMjvv3ggiQ0lRLk5BU0RBUUdTOktIQy5JUV9OSV9NQVJHSU4uOTk4LgEAAADEPgQAAgAAAAcxMC43MTY5AQgAAAAFAAAAATEBAAAACy0xOTA2OTQxMjEwAwAAAAMxNjACAAAABDQwOTQEAAAAATAHAAAACTcvMzEvMjAyNggAAAAKMTIvMzAvMjAyMwkAAAABMJhlWQo7794IPkflMjvv3ggkQ0lRLk5BU0RBUUdTOktIQy5JUV9QRVJJT0REQVRFLjIwMDAuAQAAAMQ+BAAFAAAACjI4LzAzLzIwMjYAmGVZCjvv3giOleUyO+/eCClDSVEuTllTRTpQT1NULklRX0VQU18xWVJfQU5OX0dST1dUSC4yMDAwLgEAAACPvWYIAgAAAAU1LjA0NAEIAAAABQAAAAExAQAAAAstMTg5MDg5MDI0MgMAAAADMTYwAgAAAAQ0MjAwBAAAAAEwBwAAAAk3LzMxLzIwMjYIAAAACTMvMzEvMjAyNgkAAAABMJhlWQo7794IT9DlMjvv3ggiQ0lRLk5ZU0U6UE9TVC5JUV9HUk9TU19NQVJHSU4uOTk5LgEAAACPvWYIAgAAAAcyOS4wOTIzAQgAAAAFAAAA</t>
  </si>
  <si>
    <t>ATEBAAAACy0xOTE0ODgzMTg3AwAAAAMxNjACAAAABDQwNzQEAAAAATAHAAAACTcvMzEvMjAyNggAAAAJOS8zMC8yMDI0CQAAAAEwmGVZCjvv3giqMuYyO+/eCCpDSVEuTkFTREFRR006VklUTC5JUV9DQVNIX0NPTlZFUlNJT04uMjAwMC4BAAAAkezPDQIAAAAJMzguNTEwODM2AQgAAAAFAAAAATEBAAAACy0xODkxMDE0NTY0AwAAAAMxNjACAAAABDQxODQEAAAAATAHAAAACTcvMzEvMjAyNggAAAAJMy8yOS8yMDI2CQAAAAEwmGVZCjvv3gjHp+YyO+/eCC5DSVEuTkFTREFRR006VklUTC5JUV9FQklUREFfNVlSX0FOTl9DQUdSLjIwMDAuAQAAAJHszw0CAAAABzM5LjY2ODYBCAAAAAUAAAABMQEAAAALLTE4OTEwMTQ1NjQDAAAAAzE2MAIAAAAENDIzNQQAAAABMAcAAAAJNy8zMS8yMDI2CAAAAAkzLzI5LzIwMjYJAAAAATCYZVkKO+/eCI7i5jI7794IK0NJUS5OQVNEQVFHUzpNRExaLklRX1RPVEFMX0RFQlRfRVFVSVRZLjUwMC4BAAAAbUkLAAIAAAAHODIuNjQyNwEIAAAABQAAAAExAQAAAAstMTg4MDQxNjA1NwMAAAADMTYwAgAAAAQ0MDM0BAAAAAEwBwAAAAk3LzMxLzIwMjYIAAAACTYvMzAvMjAyNgkAAAABMJhlWQo7794IPhjqMjvv3ggoQ0lRLk5BU0RBUUdTOk1ETFouSVFfRUJJVERBX01BUkdJTi4xMDAwLgEAAABtSQsAAgAAAAcxMi45NDg1AQgAAAAFAAAAATEBAAAACy0xOTA3Njg1MDk5AwAAAAMx</t>
  </si>
  <si>
    <t>NjACAAAABDQwNDcEAAAAATAHAAAACTcvMzEvMjAyNggAAAAKMTIvMzEvMjAyNQkAAAABMJhlWQo7794IQj/qMjvv3ggpQ0lRLlNaU0U6MzAwNzYxLklRX0VQU18zWVJfQU5OX0NBR1IuMjAwMC4BAAAA7+/HEwIAAAAILTEwLjU4MzEBCAAAAAUAAAABMQEAAAALLTE4OTU3NjU1ODIDAAAAAjMyAgAAAAQ0MjI2BAAAAAEwBwAAAAk3LzMxLzIwMjYIAAAACTMvMzEvMjAyNgkAAAABMJhlWQo7794IE1vkMjvv3ggnQ0lRLk5ZU0U6R0lTLklRX1RPVEFMX0RFQlRfQ0FQSVRBTC41MDAuAQAAABsxBAACAAAABzY1LjM4MzQBCAAAAAUAAAABMQEAAAALLTE4ODI1NDk0NTIDAAAAAzE2MAIAAAAENDE4NgQAAAABMAcAAAAJNy8zMS8yMDI2CAAAAAk1LzMxLzIwMjYJAAAAATCYZVkKO+/eCPd+5zI7794II0NJUS5OWVNFOkdJUy5JUV9FQklUREFfTUFSR0lOLjIwMDAuAQAAABsxBAACAAAABzE4LjcyMjcBCAAAAAUAAAABMQEAAAALLTE4ODI1NDk0NTADAAAAAzE2MAIAAAAENDA0NwQAAAABMAcAAAAJNy8zMS8yMDI2CAAAAAk1LzMxLzIwMjYJAAAAATCYZVkKO+/eCB/N5zI7794IIENJUS5OWVNFOkdJUy5JUV9QRVJJT0REQVRFLjEwMDAuAQAAABsxBAAFAAAACjMxLzA1LzIwMjYAmGVZCjvv3ggo9OcyO+/eCClDSVEuU1pTRTozMDA3NjEuSVFfRVBTXzVZUl9BTk5fQ0FHUi4yMDAwLgEAAADv78cTAgAAAActOS41MjI4</t>
  </si>
  <si>
    <t>AQgAAAAFAAAAATEBAAAACy0xODk1NzY1NTgyAwAAAAIzMgIAAAAENDIzOQQAAAABMAcAAAAJNy8zMS8yMDI2CAAAAAkzLzMxLzIwMjYJAAAAATCYZVkKO+/eCBNb5DI7794IJkNJUS5OWVNFOkdJUy5JUV9UT1RBTF9ERUJUX0VRVUlUWS41MDAuAQAAABsxBAACAAAACDE4OC44Nzg5AQgAAAAFAAAAATEBAAAACy0xODgyNTQ5NDUyAwAAAAMxNjACAAAABDQwMzQEAAAAATAHAAAACTcvMzEvMjAyNggAAAAJNS8zMS8yMDI2CQAAAAEwmGVZCjvv3gj3fucyO+/eCCNDSVEuTllTRTpHSVMuSVFfRUJJVERBX01BUkdJTi4xMDAwLgEAAAAbMQQAAgAAAAcxOC43MjI3AQgAAAAFAAAAATEBAAAACy0xODgyNTUwNDk5AwAAAAMxNjACAAAABDQwNDcEAAAAATAHAAAACTcvMzEvMjAyNggAAAAJNS8zMS8yMDI2CQAAAAEwmGVZCjvv3ggfzecyO+/eCDFDSVEuU1pTRTozMDA3NjEuSVFfVE9UQUxfUkVWXzFZUl9BTk5fR1JPV1RILjEwMDAuAQAAAO/vxxMCAAAABjUuNjY3MQEIAAAABQAAAAExAQAAAAstMTg5NTc1MzE0MQMAAAACMzICAAAABDQxOTQEAAAAATAHAAAACTcvMzEvMjAyNggAAAAKMTIvMzEvMjAyNQkAAAABMJhlWQo7794IE1vkMjvv3ggoQ0lRLk5BU0RBUUdNOlZJVEwuSVFfRUJJVERBX01BUkdJTi4yMDAwLgEAAACR7M8NAgAAAAcxMC4xMzI5AQgAAAAFAAAAATEBAAAACy0xODkxMDE0NTY0AwAAAAMxNjAC</t>
  </si>
  <si>
    <t>AAAABDQwNDcEAAAAATAHAAAACTcvMzEvMjAyNggAAAAJMy8yOS8yMDI2CQAAAAEwmGVZCjvv3giO4uYyO+/eCCVDSVEuTkFTREFROkNBTE0uSVFfR1JPU1NfTUFSR0lOLjIwMDAuAQAAACB6BQACAAAABzIzLjA4MTUBCAAAAAUAAAABMQEAAAALLTE4ODEwNjgyOTUDAAAAAzE2MAIAAAAENDA3NAQAAAABMAcAAAAJNy8zMS8yMDI2CAAAAAk1LzMwLzIwMjYJAAAAATCyiIcwO+/eCAPq1DI7794IKUNJUS5OQVNEQVE6Q0FMTS5JUV9FUFNfM1lSX0FOTl9DQUdSLjIwMDAuAQAAACB6BQACAAAACC0yNC42ODY0AQgAAAAFAAAAATEBAAAACy0xODgxMDY4Mjk1AwAAAAMxNjACAAAABDQyMjYEAAAAATAHAAAACTcvMzEvMjAyNggAAAAJNS8zMC8yMDI2CQAAAAEwsoiHMDvv3gjXENUyO+/eCDFDSVEuTkFTREFRR1M6TURMWi5JUV9ESUxVVF9FUFNfRVhDTC4xMDAwLi4uLlVTRC5IAQAAAG1JCwACAAAABDEuODkBCAAAAAUAAAABMQEAAAALLTE5MDc2ODUwOTkDAAAAAzE2MAIAAAADMTQyBAAAAAEwBwAAAAk3LzMxLzIwMjYIAAAACjEyLzMxLzIwMjUJAAAAATCYZVkKO+/eCCzd6TI7794IJ0NJUS5TWlNFOjMwMDc2MS5JUV9FQklUREEuMjAwMC4uLi5VU0QuSAEAAADv78cTAgAAAAoyMzQuNDU3MTk5AQgAAAAFAAAAATEBAAAACy0xODk1NzY1NTgyAwAAAAMxNjACAAAABDQwNTEEAAAAATAHAAAACTcvMzEvMjAyNggA</t>
  </si>
  <si>
    <t>AAAJMy8zMS8yMDI2CQAAAAEwmGVZCjvv3ggA0uMyO+/eCDVDSVEuTllTRTpHSVMuSVFfTUlOT1JJVFlfSU5URVJFU1RfVE9UQUwuNTAwLi4uRi5VU0QuSAEAAAAbMQQAAgAAAAQxMi4yAQgAAAAFAAAAATEBAAAACy0xODgyNTQ5NDUyAwAAAAMxNjACAAAABDEzMTIEAAAAATAHAAAACTcvMzEvMjAyNggAAAAJNS8zMS8yMDI2CQAAAAEwmGVZCjvv3gjcMOcyO+/eCDFDSVEuTkFTREFRR006VklUTC5JUV9ESUxVVF9FUFNfRVhDTC4yMDAwLi4uLlVTRC5IAQAAAJHszw0CAAAABjEuMDQ5NgEIAAAABQAAAAExAQAAAAstMTg5MTAxNDU2NAMAAAADMTYwAgAAAAMxNDIEAAAAATAHAAAACTcvMzEvMjAyNggAAAAJMy8yOS8yMDI2CQAAAAEwmGVZCjvv3gi8gOYyO+/eCCxDSVEuTkFTREFROkNBTE0uSVFfUFJFRl9FUVVJVFkuNTAwLi4uRi5VU0QuSAEAAAAgegUAAwAAAAAAsoiHMDvv3giJctQyO+/eCCtDSVEuTkFTREFRR1M6S0hDLklRX1RPVEFMX0RFQlRfQ0FQSVRBTC41MDAuAQAAAMQ+BAACAAAABzMzLjQ0NzgBCAAAAAUAAAABMQEAAAALLTE4OTEzNjA4NDUDAAAAAzE2MAIAAAAENDE4NgQAAAABMAcAAAAJNy8zMS8yMDI2CAAAAAkzLzI4LzIwMjYJAAAAATCYZVkKO+/eCE735DI7794IJ0NJUS5OQVNEQVFHUzpLSEMuSVFfRUJJVERBX01BUkdJTi4yMDAwLgEAAADEPgQAAgAAAAcyMy4wNTcyAQgAAAAFAAAA</t>
  </si>
  <si>
    <t>ATEBAAAACy0xODkxMzYwNzMyAwAAAAMxNjACAAAABDQwNDcEAAAAATAHAAAACTcvMzEvMjAyNggAAAAJMy8yOC8yMDI2CQAAAAEwmGVZCjvv3gg+R+UyO+/eCCRDSVEuTkFTREFRR1M6S0hDLklRX1BFUklPRERBVEUuMTAwMC4BAAAAxD4EAAUAAAAKMjcvMTIvMjAyNQCYZVkKO+/eCI6V5TI7794IKUNJUS5OWVNFOlBPU1QuSVFfRVBTXzFZUl9BTk5fR1JPV1RILjEwMDAuAQAAAI+9ZggCAAAABy0yLjM3MjYBCAAAAAUAAAABMQEAAAALLTE5MTQ4ODI0NjEDAAAAAzE2MAIAAAAENDIwMAQAAAABMAcAAAAJNy8zMS8yMDI2CAAAAAk5LzMwLzIwMjUJAAAAATCYZVkKO+/eCE/Q5TI7794IIkNJUS5OWVNFOlBPU1QuSVFfR1JPU1NfTUFSR0lOLjk5OC4BAAAAj71mCAIAAAAGMjYuOTE2AQgAAAAFAAAAATEBAAAACy0xOTE0ODgyNzE4AwAAAAMxNjACAAAABDQwNzQEAAAAATAHAAAACTcvMzEvMjAyNggAAAAJOS8zMC8yMDIzCQAAAAEwmGVZCjvv3giqMuYyO+/eCCtDSVEuTkFTREFRR006VklUTC5JUV9EQVlTX1BBWUFCTEVfT1VULjIwMDAuAQAAAJHszw0CAAAACTMwLjEyNzkxNgEIAAAABQAAAAExAQAAAAstMTg5MTAxNDU2NAMAAAADMTYwAgAAAAQ0MTgzBAAAAAEwBwAAAAk3LzMxLzIwMjYIAAAACTMvMjkvMjAyNgkAAAABMJhlWQo7794Ix6fmMjvv3ggzQ0lRLk5BU0RBUUdNOlZJVEwuSVFfVE9UQUxfUkVW</t>
  </si>
  <si>
    <t>XzFZUl9BTk5fR1JPV1RILjIwMDAuAQAAAJHszw0CAAAABzI2LjQwMjEBCAAAAAUAAAABMQEAAAALLTE4OTEwMTQ1NjQDAAAAAzE2MAIAAAAENDE5NAQAAAABMAcAAAAJNy8zMS8yMDI2CAAAAAkzLzI5LzIwMjYJAAAAATCYZVkKO+/eCI7i5jI7794IK0NJUS5OQVNEQVFHUzpNRExaLklRX0VCSVREQV9DQVBFWF9JTlQuMjAwMC4BAAAAbUkLAAIAAAAIOS40MTc2NTcBCAAAAAUAAAABMQEAAAALLTE4ODA0MTU0OTYDAAAAAzE2MAIAAAAENDE5MQQAAAABMAcAAAAJNy8zMS8yMDI2CAAAAAk2LzMwLzIwMjYJAAAAATCYZVkKO+/eCD4Y6jI7794IJ0NJUS5OQVNEQVFHUzpNRExaLklRX0VCSVREQV9NQVJHSU4uOTk5LgEAAABtSQsAAgAAAAcyMS4yMzk4AQgAAAAFAAAAATEBAAAACy0xOTA3Njg1MDk0AwAAAAMxNjACAAAABDQwNDcEAAAAATAHAAAACTcvMzEvMjAyNggAAAAKMTIvMzEvMjAyNAkAAAABMJhlWQo7794IQj/qMjvv3ggoQ0lRLlNaU0U6MzAwNzYxLklRX0lOVkVOVE9SWV9UVVJOUy4yMDAwLgEAAADv78cTAgAAAAg1LjcwNzQ1NAEIAAAABQAAAAExAQAAAAstMTg5NTc2NTU4MgMAAAACMzICAAAABDQwODIEAAAAATAHAAAACTcvMzEvMjAyNggAAAAJMy8zMS8yMDI2CQAAAAEwmGVZCjvv3gi7DOQyO+/eCCFDSVEuU1pTRTozMDA3NjEuSVFfQVJfVFVSTlMuMjAwMC4BAAAA7+/HEwIAAAAKODkzLjYy</t>
  </si>
  <si>
    <t>ODU0NwEIAAAABQAAAAExAQAAAAstMTg5NTc2NTU4MgMAAAACMzICAAAABDQwMDEEAAAAATAHAAAACTcvMzEvMjAyNggAAAAJMy8zMS8yMDI2CQAAAAEwmGVZCjvv3gi7DOQyO+/eCCtDSVEuU1pTRTozMDA3NjEuSVFfREFZU19JTlZFTlRPUllfT1VULjIwMDAuAQAAAO/vxxMCAAAACTYzLjk1MTI4NQEIAAAABQAAAAExAQAAAAstMTg5NTc2NTU4MgMAAAACMzICAAAABDQwMzUEAAAAATAHAAAACTcvMzEvMjAyNggAAAAJMy8zMS8yMDI2CQAAAAEwmGVZCjvv3gi7DOQyO+/eCChDSVEuTllTRTpHSVMuSVFfRVBTXzFZUl9BTk5fR1JPV1RILjEwMDAuAQAAABsxBAADAAAAAk5NAQgAAAAFAAAAATEBAAAACy0xODgyNTUwNDk5AwAAAAMxNjACAAAABDQyMDAEAAAAATAHAAAACTcvMzEvMjAyNggAAAAJNS8zMS8yMDI2CQAAAAEwmGVZCjvv3ggIpucyO+/eCCdDSVEuTllTRTpQT1NULklRX0RBWVNfUEFZQUJMRV9PVVQuMjAwMC4BAAAAj71mCAIAAAAJMzQuNzQ4MzY1AQgAAAAFAAAAATEBAAAACy0xODkwODkwMjQyAwAAAAMxNjACAAAABDQxODMEAAAAATAHAAAACTcvMzEvMjAyNggAAAAJMy8zMS8yMDI2CQAAAAEwmGVZCjvv3ghP0OUyO+/eCCNDSVEuTkFTREFRR1M6TURMWi5JUV9BUl9UVVJOUy4yMDAwLgEAAABtSQsAAgAAAAkxMC41MjY2NjQBCAAAAAUAAAABMQEAAAALLTE4ODA0MTU0OTYDAAAAAzE2MAIA</t>
  </si>
  <si>
    <t>AAAENDAwMQQAAAABMAcAAAAJNy8zMS8yMDI2CAAAAAk2LzMwLzIwMjYJAAAAATCYZVkKO+/eCP3w6TI7794II0NJUS5TWlNFOjMwMDc2MS5JUV9RVUlDS19SQVRJTy41MDAuAQAAAO/vxxMCAAAACDAuMzI4MjQxAQgAAAAFAAAAATEBAAAACy0xODk1NzY2ODIyAwAAAAIzMgIAAAAENDEyMQQAAAABMAcAAAAJNy8zMS8yMDI2CAAAAAkzLzMxLzIwMjYJAAAAATCYZVkKO+/eCPEz5DI7794IL0NJUS5TWlNFOjMwMDc2MS5JUV9UT1RBTF9SRVZfNVlSX0FOTl9DQUdSLjIwMDAuAQAAAO/vxxMCAAAABzE0Ljc5NTcBCAAAAAUAAAABMQEAAAALLTE4OTU3NjU1ODIDAAAAAjMyAgAAAAQ0MjMzBAAAAAEwBwAAAAk3LzMxLzIwMjYIAAAACTMvMzEvMjAyNgkAAAABMJhlWQo7794IE1vkMjvv3gglQ0lRLk5BU0RBUTpDQUxNLklRX0dST1NTX01BUkdJTi4xMDAwLgEAAAAgegUAAgAAAAcyMy4wODE1AQgAAAAFAAAAATEBAAAACy0xODgxMDY4NjY4AwAAAAMxNjACAAAABDQwNzQEAAAAATAHAAAACTcvMzEvMjAyNggAAAAJNS8zMC8yMDI2CQAAAAEwsoiHMDvv3ggD6tQyO+/eCCZDSVEuTkFTREFROkNBTE0uSVFfUkVUVVJOX0VRVUlUWS4yMDAwLgEAAAAgegUAAgAAAAcxMi4yMTk2AQgAAAAFAAAAATEBAAAACy0xODgxMDY4Mjk1AwAAAAMxNjACAAAABDQxMjgEAAAAATAHAAAACTcvMzEvMjAyNggAAAAJNS8zMC8yMDI2</t>
  </si>
  <si>
    <t>CQAAAAEwsoiHMDvv3gjaN9UyO+/eCCdDSVEuU1pTRTozMDA3NjEuSVFfRUJJVERBLjEwMDAuLi4uVVNELkgBAAAA7+/HEwIAAAAKMjIyLjI5Mzc5NgEIAAAABQAAAAExAQAAAAstMTg5NTc1MzE0MQMAAAADMTYwAgAAAAQ0MDUxBAAAAAEwBwAAAAk3LzMxLzIwMjYIAAAACjEyLzMxLzIwMjUJAAAAATCYZVkKO+/eCADS4zI7794IKUNJUS5OWVNFOkdJUy5JUV9QUkVGX0VRVUlUWS41MDAuLi5GLlVTRC5IAQAAABsxBAADAAAAAACYZVkKO+/eCNww5zI7794IMUNJUS5OQVNEQVFHTTpWSVRMLklRX0RJTFVUX0VQU19FWENMLjEwMDAuLi4uVVNELkgBAAAAkezPDQIAAAAIMS40Mzk5OTkBCAAAAAUAAAABMQEAAAALLTE5MDQ5NjMzNDEDAAAAAzE2MAIAAAADMTQyBAAAAAEwBwAAAAk3LzMxLzIwMjYIAAAACjEyLzI4LzIwMjUJAAAAATCYZVkKO+/eCLyA5jI7794IK0NJUS5OQVNEQVE6Q0FMTS5JUV9UT1RBTF9ERUJULjUwMC4uLkYuVVNELkgBAAAAIHoFAAIAAAABMAEIAAAABQAAAAExAQAAAAstMTg4MTA2ODI5NwMAAAADMTYwAgAAAAQ0MTczBAAAAAEwBwAAAAk3LzMxLzIwMjYIAAAACTUvMzAvMjAyNgkAAAABMLKIhzA7794IiXLUMjvv3ggqQ0lRLk5BU0RBUUdTOktIQy5JUV9UT1RBTF9ERUJUX0VRVUlUWS41MDAuAQAAAMQ+BAACAAAABjUwLjI1OAEIAAAABQAAAAExAQAAAAstMTg5MTM2MDg0NQMAAAAD</t>
  </si>
  <si>
    <t>MTYwAgAAAAQ0MDM0BAAAAAEwBwAAAAk3LzMxLzIwMjYIAAAACTMvMjgvMjAyNgkAAAABMJhlWQo7794ITvfkMjvv3ggnQ0lRLk5BU0RBUUdTOktIQy5JUV9FQklUREFfTUFSR0lOLjEwMDAuAQAAAMQ+BAACAAAABzIyLjk2MTIBCAAAAAUAAAABMQEAAAALLTE5MDY5NDEyMjADAAAAAzE2MAIAAAAENDA0NwQAAAABMAcAAAAJNy8zMS8yMDI2CAAAAAoxMi8yNy8yMDI1CQAAAAEwmGVZCjvv3gg+R+UyO+/eCCdDSVEuTllTRTpQT1NULklRX0VQU18zWVJfQU5OX0NBR1IuMjAwMC4BAAAAj71mCAIAAAAHLTIuNTM4NgEIAAAABQAAAAExAQAAAAstMTg5MDg5MDI0MgMAAAADMTYwAgAAAAQ0MjI2BAAAAAEwBwAAAAk3LzMxLzIwMjYIAAAACTMvMzEvMjAyNgkAAAABMJhlWQo7794IWgvmMjvv3ggtQ0lRLk5BU0RBUUdNOlZJVEwuSVFfREFZU19JTlZFTlRPUllfT1VULjIwMDAuAQAAAJHszw0CAAAACDQ0LjY3MDA4AQgAAAAFAAAAATEBAAAACy0xODkxMDE0NTY0AwAAAAMxNjACAAAABDQwMzUEAAAAATAHAAAACTcvMzEvMjAyNggAAAAJMy8yOS8yMDI2CQAAAAEwmGVZCjvv3gjHp+YyO+/eCDNDSVEuTkFTREFRR006VklUTC5JUV9UT1RBTF9SRVZfMVlSX0FOTl9HUk9XVEguMTAwMC4BAAAAkezPDQIAAAAHMjUuMjU3MwEIAAAABQAAAAExAQAAAAstMTkwNDk2MzM0MQMAAAADMTYwAgAAAAQ0MTk0BAAAAAEwBwAA</t>
  </si>
  <si>
    <t>AAk3LzMxLzIwMjYIAAAACjEyLzI4LzIwMjUJAAAAATCYZVkKO+/eCI7i5jI7794IJUNJUS5OQVNEQVFHUzpNRExaLklRX0VCSVREQV9JTlQuMjAwMC4BAAAAbUkLAAIAAAAJMTEuNzExMzc1AQgAAAAFAAAAATEBAAAACy0xODgwNDE1NDk2AwAAAAMxNjACAAAABDQxOTAEAAAAATAHAAAACTcvMzEvMjAyNggAAAAJNi8zMC8yMDI2CQAAAAEwmGVZCjvv3gg+GOoyO+/eCCdDSVEuTkFTREFRR1M6TURMWi5JUV9FQklUREFfTUFSR0lOLjk5OC4BAAAAbUkLAAIAAAAHMTkuMTUyNQEIAAAABQAAAAExAQAAAAstMTkwNzY4NTA5MQMAAAADMTYwAgAAAAQ0MDQ3BAAAAAEwBwAAAAk3LzMxLzIwMjYIAAAACjEyLzMxLzIwMjMJAAAAATCYZVkKO+/eCEI/6jI7794ILkNJUS5TWlNFOjMwMDc2MS5JUV9FQklUREFfMVlSX0FOTl9HUk9XVEguMjAwMC4BAAAA7+/HEwIAAAAILTM2LjEwNjcBCAAAAAUAAAABMQEAAAALLTE4OTU3NjU1ODIDAAAAAjMyAgAAAAQ0MTk2BAAAAAEwBwAAAAk3LzMxLzIwMjYIAAAACTMvMzEvMjAyNgkAAAABMJhlWQo7794IE1vkMjvv3ggmQ0lRLk5ZU0U6R0lTLklRX0VCSVREQV9DQVBFWF9JTlQuMjAwMC4BAAAAGzEEAAIAAAAINS40MTgwMTIBCAAAAAUAAAABMQEAAAALLTE4ODI1NDk0NTADAAAAAzE2MAIAAAAENDE5MQQAAAABMAcAAAAJNy8zMS8yMDI2CAAAAAk1LzMxLzIwMjYJAAAAATCY</t>
  </si>
  <si>
    <t>ZVkKO+/eCPd+5zI7794IIkNJUS5OWVNFOkdJUy5JUV9FQklUREFfTUFSR0lOLjk5OS4BAAAAGzEEAAIAAAAHMjAuMDM1MwEIAAAABQAAAAExAQAAAAstMTg4MjU1MDUwMgMAAAADMTYwAgAAAAQ0MDQ3BAAAAAEwBwAAAAk3LzMxLzIwMjYIAAAACTUvMjUvMjAyNQkAAAABMJhlWQo7794IH83nMjvv3ggiQ0lRLk5ZU0U6R0lTLklRX0dST1NTX01BUkdJTi4xMDAwLgEAAAAbMQQAAgAAAAczMy43MzI2AQgAAAAFAAAAATEBAAAACy0xODgyNTUwNDk5AwAAAAMxNjACAAAABDQwNzQEAAAAATAHAAAACTcvMzEvMjAyNggAAAAJNS8zMS8yMDI2CQAAAAEwmGVZCjvv3ggfzecyO+/eCC1DSVEuTkFTREFRR1M6TURMWi5JUV9FUFNfMVlSX0FOTl9HUk9XVEguMTAwMC4BAAAAbUkLAAIAAAAILTQ0LjczNjkBCAAAAAUAAAABMQEAAAALLTE5MDc2ODUwOTkDAAAAAzE2MAIAAAAENDIwMAQAAAABMAcAAAAJNy8zMS8yMDI2CAAAAAoxMi8zMS8yMDI1CQAAAAEwmGVZCjvv3gg+GOoyO+/eCCZDSVEuTkFTREFRR1M6TURMWi5JUV9HUk9TU19NQVJHSU4uOTk4LgEAAABtSQsAAgAAAAczOC4yMTYzAQgAAAAFAAAAATEBAAAACy0xOTA3Njg1MDkxAwAAAAMxNjACAAAABDQwNzQEAAAAATAHAAAACTcvMzEvMjAyNggAAAAKMTIvMzEvMjAyMwkAAAABMJhlWQo7794IQj/qMjvv3ggpQ0lRLlNaU0U6MzAwNzYxLklRX0RBWVNfUEFZ</t>
  </si>
  <si>
    <t>QUJMRV9PVVQuMjAwMC4BAAAA7+/HEwIAAAAJMTcuNTE4OTA1AQgAAAAFAAAAATEBAAAACy0xODk1NzY1NTgyAwAAAAIzMgIAAAAENDE4MwQAAAABMAcAAAAJNy8zMS8yMDI2CAAAAAkzLzMxLzIwMjYJAAAAATCYZVkKO+/eCLsM5DI7794IMUNJUS5TWlNFOjMwMDc2MS5JUV9UT1RBTF9SRVZfMVlSX0FOTl9HUk9XVEguMjAwMC4BAAAA7+/HEwIAAAAGOC4xNDY1AQgAAAAFAAAAATEBAAAACy0xODk1NzY1NTgyAwAAAAIzMgIAAAAENDE5NAQAAAABMAcAAAAJNy8zMS8yMDI2CAAAAAkzLzMxLzIwMjYJAAAAATCYZVkKO+/eCBNb5DI7794IKENJUS5OWVNFOkdJUy5JUV9FUFNfMVlSX0FOTl9HUk9XVEguMjAwMC4BAAAAGzEEAAMAAAACTk0BCAAAAAUAAAABMQEAAAALLTE4ODI1NDk0NTADAAAAAzE2MAIAAAAENDIwMAQAAAABMAcAAAAJNy8zMS8yMDI2CAAAAAk1LzMxLzIwMjYJAAAAATCYZVkKO+/eCPd+5zI7794IIUNJUS5OWVNFOkdJUy5JUV9HUk9TU19NQVJHSU4uOTk5LgEAAAAbMQQAAgAAAAczNC42MDE3AQgAAAAFAAAAATEBAAAACy0xODgyNTUwNTAyAwAAAAMxNjACAAAABDQwNzQEAAAAATAHAAAACTcvMzEvMjAyNggAAAAJNS8yNS8yMDI1CQAAAAEwmGVZCjvv3ggfzecyO+/eCCxDSVEuTkFTREFRR006VklUTC5JUV9UT1RBTF9ERUJUX0NBUElUQUwuNTAwLgEAAACR7M8NAgAAAAYxNC4wODIBCAAA</t>
  </si>
  <si>
    <t>AAUAAAABMQEAAAALLTE4OTEwMTY0MDUDAAAAAzE2MAIAAAAENDE4NgQAAAABMAcAAAAJNy8zMS8yMDI2CAAAAAkzLzI5LzIwMjYJAAAAATCYZVkKO+/eCNzO5jI7794IJUNJUS5OWVNFOkdJUy5JUV9JTlZFTlRPUllfVFVSTlMuMjAwMC4BAAAAGzEEAAIAAAAINi4zNzc4ODIBCAAAAAUAAAABMQEAAAALLTE4ODI1NDk0NTADAAAAAzE2MAIAAAAENDA4MgQAAAABMAcAAAAJNy8zMS8yMDI2CAAAAAk1LzMxLzIwMjYJAAAAATCYZVkKO+/eCO5X5zI7794IJENJUS5OQVNEQVE6Q0FMTS5JUV9HUk9TU19NQVJHSU4uOTk5LgEAAAAgegUAAgAAAAc0My40Mjg3AQgAAAAFAAAAATEBAAAACy0xODgxMDY4Njc1AwAAAAMxNjACAAAABDQwNzQEAAAAATAHAAAACTcvMzEvMjAyNggAAAAJNS8zMS8yMDI1CQAAAAEwsoiHMDvv3ggD6tQyO+/eCCpDSVEuTkFTREFROkNBTE0uSVFfVE9UQUxfREVCVF9DQVBJVEFMLjUwMC4BAAAAIHoFAAMAAAAAALKIhzA7794I2jfVMjvv3ggoQ0lRLk5ZU0U6R0lTLklRX1RPVEFMX0RFQlQuNTAwLi4uRi5VU0QuSAEAAAAbMQQAAgAAAAcxMzk0MC40AQgAAAAFAAAAATEBAAAACy0xODgyNTQ5NDUyAwAAAAMxNjACAAAABDQxNzMEAAAAATAHAAAACTcvMzEvMjAyNggAAAAJNS8zMS8yMDI2CQAAAAEwmGVZCjvv3gjcMOcyO+/eCC9DSVEuTkFTREFROkNBTE0uSVFfQ0FTSF9TVF9JTlZFU1Qu</t>
  </si>
  <si>
    <t>NTAwLi4uRi5VU0QuSAEAAAAgegUAAgAAAAc5MjQuMDU3AQgAAAAFAAAAATEBAAAACy0xODgxMDY4Mjk3AwAAAAMxNjACAAAABDEwMDIEAAAAATAHAAAACTcvMzEvMjAyNggAAAAJNS8zMC8yMDI2CQAAAAEwsoiHMDvv3giJctQyO+/eCCpDSVEuTkFTREFRR1M6S0hDLklRX0VCSVREQV9DQVBFWF9JTlQuMjAwMC4BAAAAxD4EAAIAAAAINS43NTM2NjgBCAAAAAUAAAABMQEAAAALLTE4OTEzNjA3MzIDAAAAAzE2MAIAAAAENDE5MQQAAAABMAcAAAAJNy8zMS8yMDI2CAAAAAkzLzI4LzIwMjYJAAAAATCYZVkKO+/eCE735DI7794IJkNJUS5OQVNEQVFHUzpLSEMuSVFfRUJJVERBX01BUkdJTi45OTkuAQAAAMQ+BAACAAAABzI1LjAyMTIBCAAAAAUAAAABMQEAAAALLTE5MDY5NDEyMjIDAAAAAzE2MAIAAAAENDA0NwQAAAABMAcAAAAJNy8zMS8yMDI2CAAAAAoxMi8yOC8yMDI0CQAAAAEwmGVZCjvv3gg+R+UyO+/eCCZDSVEuTllTRTpQT1NULklRX0lOVkVOVE9SWV9UVVJOUy4yMDAwLgEAAACPvWYIAgAAAAg3LjM1NDE4OQEIAAAABQAAAAExAQAAAAstMTg5MDg5MDI0MgMAAAADMTYwAgAAAAQ0MDgyBAAAAAEwBwAAAAk3LzMxLzIwMjYIAAAACTMvMzEvMjAyNgkAAAABMJhlWQo7794IT9DlMjvv3ggnQ0lRLk5ZU0U6UE9TVC5JUV9FUFNfNVlSX0FOTl9DQUdSLjIwMDAuAQAAAI+9ZggCAAAABjguNzE0NgEIAAAA</t>
  </si>
  <si>
    <t>BQAAAAExAQAAAAstMTg5MDg5MDI0MgMAAAADMTYwAgAAAAQ0MjM5BAAAAAEwBwAAAAk3LzMxLzIwMjYIAAAACTMvMzEvMjAyNgkAAAABMJhlWQo7794IWgvmMjvv3ggpQ0lRLk5BU0RBUUdNOlZJVEwuSVFfREFZU19TQUxFU19PVVQuMjAwMC4BAAAAkezPDQIAAAAJMjMuOTY4NjcyAQgAAAAFAAAAATEBAAAACy0xODkxMDE0NTY0AwAAAAMxNjACAAAABDQwNDIEAAAAATAHAAAACTcvMzEvMjAyNggAAAAJMy8yOS8yMDI2CQAAAAEwmGVZCjvv3gjHp+YyO+/eCDFDSVEuTkFTREFRR006VklUTC5JUV9UT1RBTF9SRVZfM1lSX0FOTl9DQUdSLjIwMDAuAQAAAJHszw0CAAAABjI0LjczNwEIAAAABQAAAAExAQAAAAstMTg5MTAxNDU2NAMAAAADMTYwAgAAAAQ0MjIwBAAAAAEwBwAAAAk3LzMxLzIwMjYIAAAACTMvMjkvMjAyNgkAAAABMJhlWQo7794IjuLmMjvv3ggqQ0lRLk5BU0RBUUdTOk1ETFouSVFfTkVUX0RFQlRfRUJJVERBLjIwMDAuAQAAAG1JCwACAAAACDIuOTQ5MTE1AQgAAAAFAAAAATEBAAAACy0xODgwNDE1NDk2AwAAAAMxNjACAAAABDQxOTMEAAAAATAHAAAACTcvMzEvMjAyNggAAAAJNi8zMC8yMDI2CQAAAAEwmGVZCjvv3gg+GOoyO+/eCCdDSVEuTkFTREFRR1M6TURMWi5JUV9HUk9TU19NQVJHSU4uMjAwMC4BAAAAbUkLAAIAAAAHMzEuMTQ1NQEIAAAABQAAAAExAQAAAAstMTg4MDQxNTQ5NgMA</t>
  </si>
  <si>
    <t>AAADMTYwAgAAAAQ0MDc0BAAAAAEwBwAAAAk3LzMxLzIwMjYIAAAACTYvMzAvMjAyNgkAAAABMJhlWQo7794IQj/qMjvv3ggqQ0lRLlNaU0U6MzAwNzYxLklRX0ZJWEVEX0FTU0VUX1RVUk5TLjIwMDAuAQAAAO/vxxMCAAAACDIuMTczMjQ4AQgAAAAFAAAAATEBAAAACy0xODk1NzY1NTgyAwAAAAIzMgIAAAAENDA2NgQAAAABMAcAAAAJNy8zMS8yMDI2CAAAAAkzLzMxLzIwMjYJAAAAATCYZVkKO+/eCLsM5DI7794ILkNJUS5TWlNFOjMwMDc2MS5JUV9FQklUREFfMVlSX0FOTl9HUk9XVEguMTAwMC4BAAAA7+/HEwIAAAAILTM1LjA4NDcBCAAAAAUAAAABMQEAAAALLTE4OTU3NTMxNDEDAAAAAjMyAgAAAAQ0MTk2BAAAAAEwBwAAAAk3LzMxLzIwMjYIAAAACjEyLzMxLzIwMjUJAAAAATCYZVkKO+/eCBNb5DI7794IIENJUS5OWVNFOkdJUy5JUV9FQklUREFfSU5ULjIwMDAuAQAAABsxBAACAAAABzYuMzY1ODcBCAAAAAUAAAABMQEAAAALLTE4ODI1NDk0NTADAAAAAzE2MAIAAAAENDE5MAQAAAABMAcAAAAJNy8zMS8yMDI2CAAAAAk1LzMxLzIwMjYJAAAAATCYZVkKO+/eCPd+5zI7794IIkNJUS5OWVNFOkdJUy5JUV9FQklUREFfTUFSR0lOLjk5OC4BAAAAGzEEAAIAAAAHMjEuNzUxMwEIAAAABQAAAAExAQAAAAstMTg4MjU1MDQ5NQMAAAADMTYwAgAAAAQ0MDQ3BAAAAAEwBwAAAAk3LzMxLzIwMjYIAAAACTUv</t>
  </si>
  <si>
    <t>MjYvMjAyNAkAAAABMJhlWQo7794IH83nMjvv3ggtQ0lRLk5ZU0U6UE9TVC5JUV9ESUxVVF9FUFNfRVhDTC4yMDAwLi4uLlVTRC5IAQAAAI+9ZggCAAAACDUuOTMyMDg4AQgAAAAFAAAAATEBAAAACy0xODkwODkwMjQyAwAAAAMxNjACAAAAAzE0MgQAAAABMAcAAAAJNy8zMS8yMDI2CAAAAAkzLzMxLzIwMjYJAAAAATCYZVkKO+/eCI6V5TI7794IJ0NJUS5OQVNEQVE6Q0FMTS5JUV9FQklUREEuMTAwMC4uLi5VU0QuSAEAAAAgegUAAgAAAAc0NjcuNjk0AQgAAAAFAAAAATEBAAAACy0xODgxMDY4NjY4AwAAAAMxNjACAAAABDQwNTEEAAAAATAHAAAACTcvMzEvMjAyNggAAAAJNS8zMC8yMDI2CQAAAAEwsoiHMDvv3giJctQyO+/eCCRDSVEuTkFTREFRR1M6S0hDLklRX0VCSVREQV9JTlQuMjAwMC4BAAAAxD4EAAIAAAAINi41OTUzODcBCAAAAAUAAAABMQEAAAALLTE4OTEzNjA3MzIDAAAAAzE2MAIAAAAENDE5MAQAAAABMAcAAAAJNy8zMS8yMDI2CAAAAAkzLzI4LzIwMjYJAAAAATCYZVkKO+/eCE735DI7794IJkNJUS5OQVNEQVFHUzpLSEMuSVFfRUJJVERBX01BUkdJTi45OTguAQAAAMQ+BAACAAAABzIzLjI4MDcBCAAAAAUAAAABMQEAAAALLTE5MDY5NDEyMTADAAAAAzE2MAIAAAAENDA0NwQAAAABMAcAAAAJNy8zMS8yMDI2CAAAAAoxMi8zMC8yMDIzCQAAAAEwmGVZCjvv3gg+R+UyO+/eCB9DSVEuTllT</t>
  </si>
  <si>
    <t>RTpQT1NULklRX0FSX1RVUk5TLjIwMDAuAQAAAI+9ZggCAAAACTExLjg2NjI5MgEIAAAABQAAAAExAQAAAAstMTg5MDg5MDI0MgMAAAADMTYwAgAAAAQ0MDAxBAAAAAEwBwAAAAk3LzMxLzIwMjYIAAAACTMvMzEvMjAyNgkAAAABMJhlWQo7794IT9DlMjvv3gglQ0lRLk5BU0RBUUdNOlZJVEwuSVFfUVVJQ0tfUkFUSU8uNTAwLgEAAACR7M8NAgAAAAgwLjkwNDk2NQEIAAAABQAAAAExAQAAAAstMTg5MTAxNjQwNQMAAAADMTYwAgAAAAQ0MTIxBAAAAAEwBwAAAAk3LzMxLzIwMjYIAAAACTMvMjkvMjAyNgkAAAABMJhlWQo7794Ix6fmMjvv3ggxQ0lRLk5BU0RBUUdNOlZJVEwuSVFfVE9UQUxfUkVWXzVZUl9BTk5fQ0FHUi4yMDAwLgEAAACR7M8NAgAAAAcyOC4zNDQ1AQgAAAAFAAAAATEBAAAACy0xODkxMDE0NTY0AwAAAAMxNjACAAAABDQyMzMEAAAAATAHAAAACTcvMzEvMjAyNggAAAAJMy8yOS8yMDI2CQAAAAEwmGVZCjvv3giO4uYyO+/eCCxDSVEuTkFTREFRR1M6TURMWi5JUV9UT1RBTF9ERUJUX0VCSVREQS4yMDAwLgEAAABtSQsAAgAAAAgzLjE5Nzg4MwEIAAAABQAAAAExAQAAAAstMTg4MDQxNTQ5NgMAAAADMTYwAgAAAAQ0MTkyBAAAAAEwBwAAAAk3LzMxLzIwMjYIAAAACTYvMzAvMjAyNgkAAAABMJhlWQo7794IPhjqMjvv3ggsQ0lRLlNaU0U6MzAwNzYxLklRX0VCSVREQV81WVJfQU5OX0NBR1Iu</t>
  </si>
  <si>
    <t>MjAwMC4BAAAA7+/HEwIAAAAGOC40NDk0AQgAAAAFAAAAATEBAAAACy0xODk1NzY1NTgyAwAAAAIzMgIAAAAENDIzNQQAAAABMAcAAAAJNy8zMS8yMDI2CAAAAAkzLzMxLzIwMjYJAAAAATCYZVkKO+/eCBNb5DI7794IIUNJUS5OWVNFOkdJUy5JUV9HUk9TU19NQVJHSU4uOTk4LgEAAAAbMQQAAgAAAAczNC45OTgzAQgAAAAFAAAAATEBAAAACy0xODgyNTUwNDk1AwAAAAMxNjACAAAABDQwNzQEAAAAATAHAAAACTcvMzEvMjAyNggAAAAJNS8yNi8yMDI0CQAAAAEwmGVZCjvv3ggfzecyO+/eCCJDSVEuTkFTREFROkNBTE0uSVFfTklfTUFSR0lOLjEwMDAuAQAAACB6BQACAAAABzEwLjg3NjQBCAAAAAUAAAABMQEAAAALLTE4ODEwNjg2NjgDAAAAAzE2MAIAAAAENDA5NAQAAAABMAcAAAAJNy8zMS8yMDI2CAAAAAk1LzMwLzIwMjYJAAAAATCyiIcwO+/eCAPq1DI7794IKUNJUS5OQVNEQVE6Q0FMTS5JUV9UT1RBTF9ERUJUX0VRVUlUWS41MDAuAQAAACB6BQADAAAAAACyiIcwO+/eCNo31TI7794IKUNJUS5OQVNEQVFHUzpNRExaLklRX0VCSVREQS4yMDAwLi4uLlVTRC5IAQAAAG1JCwACAAAABDYwODABCAAAAAUAAAABMQEAAAALLTE4ODA0MTU0OTYDAAAAAzE2MAIAAAAENDA1MQQAAAABMAcAAAAJNy8zMS8yMDI2CAAAAAk2LzMwLzIwMjYJAAAAATCYZVkKO+/eCCzd6TI7794ILENJUS5OWVNFOkdJUy5JUV9D</t>
  </si>
  <si>
    <t>QVNIX1NUX0lOVkVTVC41MDAuLi5GLlVTRC5IAQAAABsxBAACAAAABTQ1My44AQgAAAAFAAAAATEBAAAACy0xODgyNTQ5NDUyAwAAAAMxNjACAAAABDEwMDIEAAAAATAHAAAACTcvMzEvMjAyNggAAAAJNS8zMS8yMDI2CQAAAAEwmGVZCjvv3gjcMOcyO+/eCCxDSVEuTllTRTpQT1NULklRX0VCSVREQV8xWVJfQU5OX0dST1dUSC4yMDAwLgEAAACPvWYIAgAAAAcxMy4zNDc1AQgAAAAFAAAAATEBAAAACy0xODkwODkwMjQyAwAAAAMxNjACAAAABDQxOTYEAAAAATAHAAAACTcvMzEvMjAyNggAAAAJMy8zMS8yMDI2CQAAAAEwmGVZCjvv3ghaC+YyO+/eCCdDSVEuTkFTREFRR1M6TURMWi5JUV9HUk9TU19NQVJHSU4uMTAwMC4BAAAAbUkLAAIAAAAHMjguMzc1MwEIAAAABQAAAAExAQAAAAstMTkwNzY4NTA5OQMAAAADMTYwAgAAAAQ0MDc0BAAAAAEwBwAAAAk3LzMxLzIwMjYIAAAACjEyLzMxLzIwMjUJAAAAATCYZVkKO+/eCEI/6jI7794IJENJUS5TWlNFOjMwMDc2MS5JUV9BU1NFVF9UVVJOUy4yMDAwLgEAAADv78cTAgAAAAgxLjIyODkxNwEIAAAABQAAAAExAQAAAAstMTg5NTc2NTU4MgMAAAACMzICAAAABDQxNzcEAAAAATAHAAAACTcvMzEvMjAyNggAAAAJMy8zMS8yMDI2CQAAAAEwmGVZCjvv3gi7DOQyO+/eCCxDSVEuU1pTRTozMDA3NjEuSVFfRUJJVERBXzNZUl9BTk5fQ0FHUi4yMDAwLgEAAADv78cT</t>
  </si>
  <si>
    <t>AgAAAAcxMC4zNzQzAQgAAAAFAAAAATEBAAAACy0xODk1NzY1NTgyAwAAAAIzMgIAAAAENDIyMgQAAAABMAcAAAAJNy8zMS8yMDI2CAAAAAkzLzMxLzIwMjYJAAAAATCYZVkKO+/eCBNb5DI7794IJUNJUS5OWVNFOkdJUy5JUV9ORVRfREVCVF9FQklUREEuMjAwMC4BAAAAGzEEAAIAAAAIMy43MTk0MTUBCAAAAAUAAAABMQEAAAALLTE4ODI1NDk0NTADAAAAAzE2MAIAAAAENDE5MwQAAAABMAcAAAAJNy8zMS8yMDI2CAAAAAk1LzMxLzIwMjYJAAAAATCYZVkKO+/eCPd+5zI7794IIkNJUS5OWVNFOkdJUy5JUV9HUk9TU19NQVJHSU4uMjAwMC4BAAAAGzEEAAIAAAAHMzMuNzMyNgEIAAAABQAAAAExAQAAAAstMTg4MjU0OTQ1MAMAAAADMTYwAgAAAAQ0MDc0BAAAAAEwBwAAAAk3LzMxLzIwMjYIAAAACTUvMzEvMjAyNgkAAAABMJhlWQo7794IH83nMjvv3ggkQ0lRLk5BU0RBUUdNOlZJVEwuSVFfTklfTUFSR0lOLjIwMDAuAQAAAJHszw0CAAAABjYuMTAxMgEIAAAABQAAAAExAQAAAAstMTg5MTAxNDU2NAMAAAADMTYwAgAAAAQ0MDk0BAAAAAEwBwAAAAk3LzMxLzIwMjYIAAAACTMvMjkvMjAyNgkAAAABMJhlWQo7794IjuLmMjvv3gglQ0lRLk5BU0RBUUdNOlZJVEwuSVFfUEVSSU9EREFURS4yMDAwLgEAAACR7M8NBQAAAAoyOS8wMy8yMDI2AJhlWQo7794I3DDnMjvv3ggoQ0lRLlNaU0U6MzAwNzYxLklRX0NB</t>
  </si>
  <si>
    <t>U0hfQ09OVkVSU0lPTi4yMDAwLgEAAADv78cTAgAAAAk0Ni44NDA4MTUBCAAAAAUAAAABMQEAAAALLTE4OTU3NjU1ODIDAAAAAjMyAgAAAAQ0MTg0BAAAAAEwBwAAAAk3LzMxLzIwMjYIAAAACTMvMzEvMjAyNgkAAAABMJhlWQo7794IuwzkMjvv3ggqQ0lRLk5BU0RBUUdTOk1ETFouSVFfSU5WRU5UT1JZX1RVUk5TLjIwMDAuAQAAAG1JCwACAAAACDUuODM5Njc1AQgAAAAFAAAAATEBAAAACy0xODgwNDE1NDk2AwAAAAMxNjACAAAABDQwODIEAAAAATAHAAAACTcvMzEvMjAyNggAAAAJNi8zMC8yMDI2CQAAAAEwmGVZCjvv3gj98OkyO+/eCCdDSVEuU1pTRTozMDA3NjEuSVFfREFZU19TQUxFU19PVVQuMjAwMC4BAAAA7+/HEwIAAAAIMC40MDg0MzUBCAAAAAUAAAABMQEAAAALLTE4OTU3NjU1ODIDAAAAAjMyAgAAAAQ0MDQyBAAAAAEwBwAAAAk3LzMxLzIwMjYIAAAACTMvMzEvMjAyNgkAAAABMJhlWQo7794IuwzkMjvv3ggmQ0lRLk5ZU0U6R0lTLklRX0VQU18zWVJfQU5OX0NBR1IuMjAwMC4BAAAAGzEEAAMAAAACTk0BCAAAAAUAAAABMQEAAAALLTE4ODI1NDk0NTADAAAAAzE2MAIAAAAENDIyNgQAAAABMAcAAAAJNy8zMS8yMDI2CAAAAAk1LzMxLzIwMjYJAAAAATCYZVkKO+/eCAim5zI7794IGkNJUS5OWVNFOkdJUy5JUV9QVEJWLjIwMDAuAQAAABsxBAADAAAAAk5NAQcAAAAFAAAAATEBAAAACy0xODgy</t>
  </si>
  <si>
    <t>NTQ5NDUwAwAAAAEwAgAAAAYxMDAwNjgEAAAAATAHAAAACTcvMzAvMjAyNggAAAAJNy8zMC8yMDI2mGVZCjvv3ggfzecyO+/eCB5DSVEuTllTRTpQT1NULklRX1BFX0VYQ0wuMjAwMC4BAAAAj71mCAIAAAAQMTUuNjcwNzA0ODE3NTk1NAEHAAAABQAAAAExAQAAAAstMTg5MDg5MDI0MgMAAAABMAIAAAAGMTAwMDY2BAAAAAEwBwAAAAk3LzMwLzIwMjYIAAAACTcvMzAvMjAyNphlWQo7794IqlnmMjvv3ggfQ0lRLk5BU0RBUUdTOk1ETFouSVFfUFRCVi4yMDAwLgEAAABtSQsAAwAAAAJOTQEHAAAABQAAAAExAQAAAAstMTg4MDQxNTQ5NgMAAAABMAIAAAAGMTAwMDY4BAAAAAEwBwAAAAk3LzMwLzIwMjYIAAAACTcvMzAvMjAyNphlWQo7794IRmbqMjvv3ggeQ0lRLk5BU0RBUUdTOk1ETFouSVFfUEJWLjIwMDAuAQAAAG1JCwACAAAAEDMuMDMyMjU3MDAzODc0MzUBBwAAAAUAAAABMQEAAAALLTE4ODA0MTU0OTYDAAAAATACAAAABjEwMDA2NwQAAAABMAcAAAAJNy8zMC8yMDI2CAAAAAk3LzMwLzIwMjaYZVkKO+/eCEZm6jI7794II0NJUS5OQVNEQVE6Q0FMTS5JUV9URVZfRUJJVERBLjIwMDAuAQAAACB6BQACAAAAEDYuNzk1Mjg5NjYxNTMwODEBBwAAAAUAAAABMQEAAAALLTE4ODEwNjgyOTUDAAAAATACAAAABjEwMDA2MwQAAAABMAcAAAAJNy8zMC8yMDI2CAAAAAk3LzMwLzIwMjb9TYcwO+/eCAPq1DI7794I</t>
  </si>
  <si>
    <t>HkNJUS5OQVNEQVFHUzpLSEMuSVFfUFRCVi4yMDAwLgEAAADEPgQAAwAAAAJOTQEHAAAABQAAAAExAQAAAAstMTg5MTM2MDczMgMAAAABMAIAAAAGMTAwMDY4BAAAAAEwBwAAAAk3LzMwLzIwMjYIAAAACTcvMzAvMjAyNphlWQo7794Idm7lMjvv3ggmQ0lRLk5BU0RBUTpDQUxNLklRX1RFVl9UT1RBTF9SRVYuMjAwMC4BAAAAIHoFAAIAAAAQMS4wODg0OTAwMDM2ODE3OAEHAAAABQAAAAExAQAAAAstMTg4MTA2ODI5NQMAAAABMAIAAAAGMTAwMDYxBAAAAAEwBwAAAAk3LzMwLzIwMjYIAAAACTcvMzAvMjAyNv1NhzA7794IksLUMjvv3ggmQ0lRLlNaU0U6MzAwNzYxLklRX1RFVl9UT1RBTF9SRVYuMjAwMC4BAAAA7+/HEwIAAAARMC45MjQ5ODMzMTMwNzg0NDEBBwAAAAUAAAABMQEAAAALLTE4OTU3NjU1ODIDAAAAATACAAAABjEwMDA2MQQAAAABMAcAAAAJNy8zMS8yMDI2CAAAAAk3LzMxLzIwMjaYZVkKO+/eCCWp5DI7794IHUNJUS5OQVNEQVFHUzpLSEMuSVFfUEJWLjIwMDAuAQAAAMQ+BAACAAAAETAuNzQ2Mjg5MTU2MzgxNzgxAQcAAAAFAAAAATEBAAAACy0xODkxMzYwNzMyAwAAAAEwAgAAAAYxMDAwNjcEAAAAATAHAAAACTcvMzAvMjAyNggAAAAJNy8zMC8yMDI2mGVZCjvv3gh2buUyO+/eCCFDSVEuTllTRTpQT1NULklRX1RFVl9FQklUREEuMjAwMC4BAAAAj71mCAIAAAAQNy4zMzcwODI4OTE4NzUx</t>
  </si>
  <si>
    <t>MgEHAAAABQAAAAExAQAAAAstMTg5MDg5MDI0MgMAAAABMAIAAAAGMTAwMDYzBAAAAAEwBwAAAAk3LzMwLzIwMjYIAAAACTcvMzAvMjAyNphlWQo7794IqlnmMjvv3gggQ0lRLk5BU0RBUTpDQUxNLklRX1BFX0VYQ0wuMjAwMC4BAAAAIHoFAAIAAAAQMTMuMTM0MjM4MzEwNzA4OQEHAAAABQAAAAExAQAAAAstMTg4MTA2ODI5NQMAAAABMAIAAAAGMTAwMDY2BAAAAAEwBwAAAAk3LzMwLzIwMjYIAAAACTcvMzAvMjAyNv1NhzA7794IksLUMjvv3ggiQ0lRLk5BU0RBUUdTOk1ETFouSVFfUEVfRVhDTC4yMDAwLgEAAABtSQsAAgAAABAyMy4xMTY3NjA4OTc2Mzk4AQcAAAAFAAAAATEBAAAACy0xODgwNDE1NDk2AwAAAAEwAgAAAAYxMDAwNjYEAAAAATAHAAAACTcvMzAvMjAyNggAAAAJNy8zMC8yMDI2mGVZCjvv3ghwjeoyO+/eCCRDSVEuTllTRTpQT1NULklRX1RFVl9UT1RBTF9SRVYuMjAwMC4BAAAAj71mCAIAAAAQMS4zNzEzMTc1MzU1NzQyOAEHAAAABQAAAAExAQAAAAstMTg5MDg5MDI0MgMAAAABMAIAAAAGMTAwMDYxBAAAAAEwBwAAAAk3LzMwLzIwMjYIAAAACTcvMzAvMjAyNphlWQo7794IqlnmMjvv3ggdQ0lRLk5ZU0U6R0lTLklRX1BFX0VYQ0wuMjAwMC4BAAAAGzEEAAMAAAACTk0BBwAAAAUAAAABMQEAAAALLTE4ODI1NDk0NTADAAAAATACAAAABjEwMDA2NgQAAAABMAcAAAAJNy8zMC8yMDI2CAAA</t>
  </si>
  <si>
    <t>AAk3LzMwLzIwMjaYZVkKO+/eCB/N5zI7794IIUNJUS5OQVNEQVFHUzpLSEMuSVFfUEVfRVhDTC4yMDAwLgEAAADEPgQAAwAAAAJOTQEHAAAABQAAAAExAQAAAAstMTg5MTM2MDczMgMAAAABMAIAAAAGMTAwMDY2BAAAAAEwBwAAAAk3LzMwLzIwMjYIAAAACTcvMzAvMjAyNphlWQo7794Idm7lMjvv3gglQ0lRLk5BU0RBUUdTOk1ETFouSVFfVEVWX0VCSVREQS4yMDAwLgEAAABtSQsAAgAAABAxNC40ODc1MTA3MzAxNTk0AQcAAAAFAAAAATEBAAAACy0xODgwNDE1NDk2AwAAAAEwAgAAAAYxMDAwNjMEAAAAATAHAAAACTcvMzAvMjAyNggAAAAJNy8zMC8yMDI2mGVZCjvv3ghwjeoyO+/eCCBDSVEuTllTRTpHSVMuSVFfVEVWX0VCSVREQS4yMDAwLgEAAAAbMQQAAgAAABA5LjI3OTE4MjkyMjE5MTg2AQcAAAAFAAAAATEBAAAACy0xODgyNTQ5NDUwAwAAAAEwAgAAAAYxMDAwNjMEAAAAATAHAAAACTcvMzAvMjAyNggAAAAJNy8zMC8yMDI2mGVZCjvv3ggo9OcyO+/eCBlDSVEuTllTRTpHSVMuSVFfUEJWLjIwMDAuAQAAABsxBAACAAAADzIuNjM3OTM0MTg4OTc0MwEHAAAABQAAAAExAQAAAAstMTg4MjU0OTQ1MAMAAAABMAIAAAAGMTAwMDY3BAAAAAEwBwAAAAk3LzMwLzIwMjYIAAAACTcvMzAvMjAyNphlWQo7794IH83nMjvv3ggdQ0lRLk5BU0RBUTpDQUxNLklRX1BUQlYuMjAwMC4BAAAAIHoFAAIAAAAQMS42</t>
  </si>
  <si>
    <t>NjEzMzM2MjkyNzUwOAEHAAAABQAAAAExAQAAAAstMTg4MTA2ODI5NQMAAAABMAIAAAAGMTAwMDY4BAAAAAEwBwAAAAk3LzMwLzIwMjYIAAAACTcvMzAvMjAyNv1NhzA7794IA+rUMjvv3ggkQ0lRLk5BU0RBUUdTOktIQy5JUV9URVZfRUJJVERBLjIwMDAuAQAAAMQ+BAACAAAAEDcuNzAwMDY1ODEyMjEyMzMBBwAAAAUAAAABMQEAAAALLTE4OTEzNjA3MzIDAAAAATACAAAABjEwMDA2MwQAAAABMAcAAAAJNy8zMC8yMDI2CAAAAAk3LzMwLzIwMjaYZVkKO+/eCHZu5TI7794IH0NJUS5OQVNEQVFHTTpWSVRMLklRX1BUQlYuMjAwMC4BAAAAkezPDQIAAAAQMS42ODIxODcxMTc1NjYzMgEHAAAABQAAAAExAQAAAAstMTg5MTAxNDU2NAMAAAABMAIAAAAGMTAwMDY4BAAAAAEwBwAAAAk3LzMwLzIwMjYIAAAACTcvMzAvMjAyNphlWQo7794IzAnnMjvv3ggoQ0lRLk5BU0RBUUdTOk1ETFouSVFfVEVWX1RPVEFMX1JFVi4yMDAwLgEAAABtSQsAAgAAAA8yLjU0MzMwMjEzNTc0MTkBBwAAAAUAAAABMQEAAAALLTE4ODA0MTU0OTYDAAAAATACAAAABjEwMDA2MQQAAAABMAcAAAAJNy8zMC8yMDI2CAAAAAk3LzMwLzIwMjaYZVkKO+/eCHCN6jI7794IHENJUS5OQVNEQVE6Q0FMTS5JUV9QQlYuMjAwMC4BAAAAIHoFAAIAAAAQMS41NTM5MzkyMTQ0OTQ3OQEHAAAABQAAAAExAQAAAAstMTg4MTA2ODI5NQMAAAABMAIAAAAG</t>
  </si>
  <si>
    <t>MTAwMDY3BAAAAAEwBwAAAAk3LzMwLzIwMjYIAAAACTcvMzAvMjAyNv1NhzA7794IA+rUMjvv3ggeQ0lRLk5BU0RBUUdNOlZJVEwuSVFfUEJWLjIwMDAuAQAAAJHszw0CAAAAEDEuNjYyNTc0Njg2MjgzNzIBBwAAAAUAAAABMQEAAAALLTE4OTEwMTQ1NjQDAAAAATACAAAABjEwMDA2NwQAAAABMAcAAAAJNy8zMC8yMDI2CAAAAAk3LzMwLzIwMjaYZVkKO+/eCMwJ5zI7794II0NJUS5OWVNFOkdJUy5JUV9URVZfVE9UQUxfUkVWLjIwMDAuAQAAABsxBAACAAAAEDEuNzg3NjM0OTk3OTAwNjMBBwAAAAUAAAABMQEAAAALLTE4ODI1NDk0NTADAAAAATACAAAABjEwMDA2MQQAAAABMAcAAAAJNy8zMC8yMDI2CAAAAAk3LzMwLzIwMjaYZVkKO+/eCCj05zI7794IJ0NJUS5OQVNEQVFHUzpLSEMuSVFfVEVWX1RPVEFMX1JFVi4yMDAwLgEAAADEPgQAAgAAABAxLjkzODcyODA1NDgzOTU0AQcAAAAFAAAAATEBAAAACy0xODkxMzYwNzMyAwAAAAEwAgAAAAYxMDAwNjEEAAAAATAHAAAACTcvMzAvMjAyNggAAAAJNy8zMC8yMDI2mGVZCjvv3gh2buUyO+/eCCJDSVEuTkFTREFRR006VklUTC5JUV9QRV9FWENMLjIwMDAuAQAAAJHszw0CAAAAEDExLjkxODgyNjIxOTUxMjIBBwAAAAUAAAABMQEAAAALLTE4OTEwMTQ1NjQDAAAAATACAAAABjEwMDA2NgQAAAABMAcAAAAJNy8zMC8yMDI2CAAAAAk3LzMwLzIwMjaYZVkKO+/e</t>
  </si>
  <si>
    <t>CMwJ5zI7794IHUNJUS5TWlNFOjMwMDc2MS5JUV9QVEJWLjIwMDAuAQAAAO/vxxMCAAAAEDEuNzQ4OTUwODEyOTM2NTUBBwAAAAUAAAABMQEAAAALLTE4OTU3NjU1ODIDAAAAATACAAAABjEwMDA2OAQAAAABMAcAAAAJNy8zMS8yMDI2CAAAAAk3LzMxLzIwMjaYZVkKO+/eCBiC5DI7794IHENJUS5TWlNFOjMwMDc2MS5JUV9QQlYuMjAwMC4BAAAA7+/HEwIAAAAQMS42ODE3Mjg1ODc3MDE2MgEHAAAABQAAAAExAQAAAAstMTg5NTc2NTU4MgMAAAABMAIAAAAGMTAwMDY3BAAAAAEwBwAAAAk3LzMxLzIwMjYIAAAACTcvMzEvMjAyNphlWQo7794IGILkMjvv3gg+Q0lRQVZHLk5BU0RBUTpDQUxNLklRX1RFVl9UT1RBTF9SRVYuMjAwMC4zMC8wNS8yMDE1LjI4LzA1LzIwMTYBAAAAIHoFAAIAAAAQMS4yNTQzMTkwMjczMzY1NgCYZVkKO+/eCFvI6jI7794II0NJUS5TWlNFOjMwMDc2MS5JUV9URVZfRUJJVERBLjIwMDAuAQAAAO/vxxMCAAAAEDEwLjg5OTMyOTE4ODg5MzQBBwAAAAUAAAABMQEAAAALLTE4OTU3NjU1ODIDAAAAATACAAAABjEwMDA2MwQAAAABMAcAAAAJNy8zMS8yMDI2CAAAAAk3LzMxLzIwMjaYZVkKO+/eCCWp5DI7794IG0NJUS5OWVNFOlBPU1QuSVFfUFRCVi4yMDAwLgEAAACPvWYIAwAAAAJOTQEHAAAABQAAAAExAQAAAAstMTg5MDg5MDI0MgMAAAABMAIAAAAGMTAwMDY4BAAAAAEwBwAAAAk3</t>
  </si>
  <si>
    <t>LzMwLzIwMjYIAAAACTcvMzAvMjAyNphlWQo7794IqjLmMjvv3gglQ0lRLk5BU0RBUUdNOlZJVEwuSVFfVEVWX0VCSVREQS4yMDAwLgEAAACR7M8NAgAAABAxLjM3MDkwMTA5NjM4ODc5AQcAAAAFAAAAATEBAAAACy0xODkxMDE0NTY0AwAAAAEwAgAAAAYxMDAwNjMEAAAAATAHAAAACTcvMzAvMjAyNggAAAAJNy8zMC8yMDI2mGVZCjvv3gjMCecyO+/eCDVDSVFBVkcuTkFTREFROkNBTE0uSVFfUFRCVi4yMDAwLjMwLzA1LzIwMTUuMjgvMDUvMjAxNgEAAAAgegUAAgAAABAzLjM2NjM3MzYxMzc5Nzk3AJhlWQo7794IcI3qMjvv3gg5Q0lRQVZHLk5BU0RBUTpDQUxNLklRX1RFVl9FQklULjIwMDAuMzAvMDUvMjAxNS4yOC8wNS8yMDE2AQAAACB6BQACAAAAEDYuNDM0MDYyOTg5ODI0NjUAmGVZCjvv3ghbyOoyO+/eCDtDSVFBVkcuTkFTREFROkNBTE0uSVFfVEVWX0VCSVREQS4yMDAwLjMwLzA1LzIwMTUuMjgvMDUvMjAxNgEAAAAgegUAAgAAABA1LjY3MjA0NDc0NTkyMjM1AJhlWQo7794IW8jqMjvv3ggaQ0lRLk5ZU0U6UE9TVC5JUV9QQlYuMjAwMC4BAAAAj71mCAIAAAAQMS4zMTg5NzA1NTM2OTg2MgEHAAAABQAAAAExAQAAAAstMTg5MDg5MDI0MgMAAAABMAIAAAAGMTAwMDY3BAAAAAEwBwAAAAk3LzMwLzIwMjYIAAAACTcvMzAvMjAyNphlWQo7794IqjLmMjvv3ggoQ0lRLk5BU0RBUUdNOlZJVEwuSVFf</t>
  </si>
  <si>
    <t>VEVWX1RPVEFMX1JFVi4yMDAwLgEAAACR7M8NAgAAABAwLjY4NjkzNDMzMjIyNDIyAQcAAAAFAAAAATEBAAAACy0xODkxMDE0NTY0AwAAAAEwAgAAAAYxMDAwNjEEAAAAATAHAAAACTcvMzAvMjAyNggAAAAJNy8zMC8yMDI2mGVZCjvv3gjcMOcyO+/eCDRDSVFBVkcuTkFTREFROkNBTE0uSVFfUEJWLjIwMDAuMzAvMDUvMjAxNS4yOC8wNS8yMDE2AQAAACB6BQACAAAAEDMuMjEwNTgzNzA3ODk4MTMAmGVZCjvv3ghwjeoyO+/eCDhDSVFBVkcuTkFTREFROkNBTE0uSVFfUEVfRVhDTC4yMDAwLjMwLzA1LzIwMTUuMjgvMDUvMjAxNgEAAAAgegUAAgAAAA8xMC43NzMxNDgyOTcwNTMApIxZCjvv3ghwjeoyO+/eCCBDSVEuU1pTRTozMDA3NjEuSVFfUEVfRVhDTC4yMDAwLgEAAADv78cTAgAAABAzMC45NDA1NjM5MzkyMzUxAQcAAAAFAAAAATEBAAAACy0xODk1NzY1NTgyAwAAAAEwAgAAAAYxMDAwNjYEAAAAATAHAAAACTcvMzEvMjAyNggAAAAJNy8zMS8yMDI2pIxZCjvv3ggYguQyO+/eCDtDSVFBVkcuTkFTREFROkNBTE0uSVFfVEVWX0VCSVREQS4yMDAwLjI4LzA1LzIwMTYuMDMvMDYvMjAxNwEAAAAgegUAAgAAABAxNS4yNTQ5NzY4OTY1ODU2AKSMWQo7794IcI3qMjvv3gg+Q0lRQVZHLk5BU0RBUTpDQUxNLklRX1RFVl9UT1RBTF9SRVYuMjAwMC4yOC8wNS8yMDE2LjAzLzA2LzIwMTcBAAAAIHoFAAIAAAAQ</t>
  </si>
  <si>
    <t>MS4xODczNTg1NjcwMjc0MQCkjFkKO+/eCHCN6jI7794INUNJUUFWRy5OQVNEQVE6Q0FMTS5JUV9QVEJWLjIwMDAuMjgvMDUvMjAxNi4wMy8wNi8yMDE3AQAAACB6BQACAAAAEDIuMzUwOTMxODA1OTA1MTkApIxZCjvv3ghwjeoyO+/eCDRDSVFBVkcuTkFTREFROkNBTE0uSVFfUEJWLjIwMDAuMjgvMDUvMjAxNi4wMy8wNi8yMDE3AQAAACB6BQACAAAAEDIuMjI1OTI2MTU2MTAyOTYApIxZCjvv3ghwjeoyO+/eCDhDSVFBVkcuTkFTREFROkNBTE0uSVFfUEVfRVhDTC4yMDAwLjI4LzA1LzIwMTYuMDMvMDYvMjAxNwEAAAAgegUAAgAAABA3MC4yMTQ4NzA4ODk5MzM0AKSMWQo7794IcI3qMjvv3gg5Q0lRQVZHLk5BU0RBUTpDQUxNLklRX1RFVl9FQklULjIwMDAuMjgvMDUvMjAxNi4wMy8wNi8yMDE3AQAAACB6BQACAAAAEDUuMzkzOTU3NTIxMjIwNDEApIxZCjvv3ghwjeoyO+/eCDRDSVFBVkcuTkFTREFROkNBTE0uSVFfUEJWLjIwMDAuMDMvMDYvMjAxNy4wMi8wNi8yMDE4AQAAACB6BQACAAAAEDIuNDU2MTgxNDM4NjI4MTIApIxZCjvv3gg6hNk0O+/eCDlDSVFBVkcuTkFTREFROkNBTE0uSVFfVEVWX0VCSVQuMjAwMC4wMy8wNi8yMDE3LjAyLzA2LzIwMTgBAAAAIHoFAAIAAAAQMzUuNDc3NzU3MTc4NTI3OACkjFkKO+/eCDqE2TQ7794IPkNJUUFWRy5OQVNEQVE6Q0FMTS5JUV9URVZfVE9UQUxfUkVWLjIw</t>
  </si>
  <si>
    <t>MDAuMDMvMDYvMjAxNy4wMi8wNi8yMDE4AQAAACB6BQACAAAAEDEuNjM1NDM1NTUwNjEwMDkApIxZCjvv3gg6hNk0O+/eCDVDSVFBVkcuTkFTREFROkNBTE0uSVFfUFRCVi4yMDAwLjAzLzA2LzIwMTcuMDIvMDYvMjAxOAEAAAAgegUAAgAAABAyLjY1ODI4MjU5ODI5ODc5AKSMWQo7794IXE/ZNDvv3gg4Q0lRQVZHLk5BU0RBUTpDQUxNLklRX1BFX0VYQ0wuMjAwMC4wMy8wNi8yMDE3LjAyLzA2LzIwMTgBAAAAIHoFAAIAAAAQNzguMjk4MzUzNTk5ODQzMwCkjFkKO+/eCDqE2TQ7794IO0NJUUFWRy5OQVNEQVE6Q0FMTS5JUV9URVZfRUJJVERBLjIwMDAuMDMvMDYvMjAxNy4wMi8wNi8yMDE4AQAAACB6BQACAAAAEDQ1LjkzNzg0Mzk0NTc4MDYApIxZCjvv3gg6hNk0O+/eCDRDSVFBVkcuTkFTREFROkNBTE0uSVFfUEJWLjIwMDAuMDIvMDYvMjAxOC4wMS8wNi8yMDE5AQAAACB6BQACAAAAEDIuMzAyODg1OTg5MTA1NDIApIxZCjvv3gg6hNk0O+/eCDVDSVFBVkcuTkFTREFROkNBTE0uSVFfUFRCVi4yMDAwLjAyLzA2LzIwMTguMDEvMDYvMjAxOQEAAAAgegUAAgAAABAyLjQ1OTk3ODI1MDM5NDgyAKSMWQo7794IOoTZNDvv3gg4Q0lRQVZHLk5BU0RBUTpDQUxNLklRX1BFX0VYQ0wuMjAwMC4wMi8wNi8yMDE4LjAxLzA2LzIwMTkBAAAAIHoFAAIAAAAQMjMuMDM5ODU3NjIzOTAzNwCkjFkKO+/eCDqE2TQ7794I</t>
  </si>
  <si>
    <t>OUNJUUFWRy5OQVNEQVE6Q0FMTS5JUV9URVZfRUJJVC4yMDAwLjAyLzA2LzIwMTguMDEvMDYvMjAxOQEAAAAgegUAAgAAABAxMi45MDE4NTMxMDkwNTQ5AKSMWQo7794IOoTZNDvv3gg7Q0lRQVZHLk5BU0RBUTpDQUxNLklRX1RFVl9FQklUREEuMjAwMC4wMi8wNi8yMDE4LjAxLzA2LzIwMTkBAAAAIHoFAAIAAAAQOC44MzQ0NTU4MDA1ODI5MQCkjFkKO+/eCCO/2TQ7794IPkNJUUFWRy5OQVNEQVE6Q0FMTS5JUV9URVZfVE9UQUxfUkVWLjIwMDAuMDIvMDYvMjAxOC4wMS8wNi8yMDE5AQAAACB6BQACAAAAEDEuMjU3NjUxODE3OTA4OTYApIxZCjvv3ggjv9k0O+/eCDhDSVFBVkcuTkFTREFROkNBTE0uSVFfUEVfRVhDTC4yMDAwLjAxLzA2LzIwMTkuMzAvMDUvMjAyMAEAAAAgegUAAgAAABAyNy41OTM1OTMzNjE5MzExAKSMWQo7794II7/ZNDvv3gg1Q0lRQVZHLk5BU0RBUTpDQUxNLklRX1BUQlYuMjAwMC4wMS8wNi8yMDE5LjMwLzA1LzIwMjABAAAAIHoFAAIAAAAQMi4yMDQ5NDc5NDg1Mzk3NwCkjFkKO+/eCCO/2TQ7794IO0NJUUFWRy5OQVNEQVE6Q0FMTS5JUV9URVZfRUJJVERBLjIwMDAuMDEvMDYvMjAxOS4zMC8wNS8yMDIwAQAAACB6BQACAAAAEDI5Ljg1OTkzMTc2MDEwNDMApIxZCjvv3giA5tk0O+/eCDRDSVFBVkcuTkFTREFROkNBTE0uSVFfUEJWLjIwMDAuMDEvMDYvMjAxOS4zMC8wNS8yMDIw</t>
  </si>
  <si>
    <t>AQAAACB6BQACAAAAEDIuMDY4Mzk4MTQ3ODQ3ODEApIxZCjvv3ggjv9k0O+/eCDlDSVFBVkcuTkFTREFROkNBTE0uSVFfVEVWX0VCSVQuMjAwMC4wMS8wNi8yMDE5LjMwLzA1LzIwMjABAAAAIHoFAAIAAAAQMjMuMDYzNzE5NDYzNjU5MQCkjFkKO+/eCIDm2TQ7794IPkNJUUFWRy5OQVNEQVE6Q0FMTS5JUV9URVZfVE9UQUxfUkVWLjIwMDAuMDEvMDYvMjAxOS4zMC8wNS8yMDIwAQAAACB6BQACAAAAEDEuMzczMjk2NTU4MDg0NzIApIxZCjvv3giA5tk0O+/eCDVDSVFBVkcuTkFTREFROkNBTE0uSVFfUFRCVi4yMDAwLjMwLzA1LzIwMjAuMjkvMDUvMjAyMQEAAAAgegUAAgAAABAyLjA4MDYxMzA3MTU0MzQxAKSMWQo7794IgObZNDvv3gg7Q0lRQVZHLk5BU0RBUTpDQUxNLklRX1RFVl9FQklUREEuMjAwMC4zMC8wNS8yMDIwLjI5LzA1LzIwMjEBAAAAIHoFAAIAAAAQMTYuODE2NjYxODM2NDQyMgCkjFkKO+/eCDEF2jQ7794INENJUUFWRy5OQVNEQVE6Q0FMTS5JUV9QQlYuMjAwMC4zMC8wNS8yMDIwLjI5LzA1LzIwMjEBAAAAIHoFAAIAAAAPMS45NTg4NzY5MDM0MDE1AKSMWQo7794IgObZNDvv3gg+Q0lRQVZHLk5BU0RBUTpDQUxNLklRX1RFVl9UT1RBTF9SRVYuMjAwMC4zMC8wNS8yMDIwLjI5LzA1LzIwMjEBAAAAIHoFAAIAAAAQMS4yODg5MzAwMTQwNDM1NgCkjFkKO+/eCFcZ2jQ7794IOUNJUUFWRy5O</t>
  </si>
  <si>
    <t>QVNEQVE6Q0FMTS5JUV9URVZfRUJJVC4yMDAwLjMwLzA1LzIwMjAuMjkvMDUvMjAyMQEAAAAgegUAAgAAABA4NC4xNTc3Mzg1NjcxNDg4AKSMWQo7794IMQXaNDvv3gg4Q0lRQVZHLk5BU0RBUTpDQUxNLklRX1BFX0VYQ0wuMjAwMC4zMC8wNS8yMDIwLjI5LzA1LzIwMjEBAAAAIHoFAAIAAAAQNTAuOTg3MTYwNDE2MzE2NQCkjFkKO+/eCDEF2jQ7794INUNJUUFWRy5OQVNEQVE6Q0FMTS5JUV9QVEJWLjIwMDAuMjkvMDUvMjAyMS4yOC8wNS8yMDIyAQAAACB6BQACAAAAEDIuMDg4ODc3ODI5NDU4ODIApIxZCjvv3ghXGdo0O+/eCDtDSVFBVkcuTkFTREFROkNBTE0uSVFfVEVWX0VCSVREQS4yMDAwLjI5LzA1LzIwMjEuMjgvMDUvMjAyMgEAAAAgegUAAgAAABA2MS44MzE5MzI1OTc0ODQxAKSMWQo7794IVxnaNDvv3gg+Q0lRQVZHLk5BU0RBUTpDQUxNLklRX1RFVl9UT1RBTF9SRVYuMjAwMC4yOS8wNS8yMDIxLjI4LzA1LzIwMjIBAAAAIHoFAAIAAAAQMS4zMDE4Njc2OTY3NzM3NACkjFkKO+/eCFcZ2jQ7794IOENJUUFWRy5OQVNEQVE6Q0FMTS5JUV9QRV9FWENMLjIwMDAuMjkvMDUvMjAyMS4yOC8wNS8yMDIyAQAAACB6BQACAAAAEDkxLjY3NzA2OTUzNDA3NDUApIxZCjvv3ghXGdo0O+/eCDRDSVFBVkcuTkFTREFROkNBTE0uSVFfUEJWLjIwMDAuMjkvMDUvMjAyMS4yOC8wNS8yMDIyAQAAACB6BQACAAAA</t>
  </si>
  <si>
    <t>EDEuOTYxODMwMjU3NjM1NDUApIxZCjvv3ghXGdo0O+/eCDlDSVFBVkcuTkFTREFROkNBTE0uSVFfVEVWX0VCSVQuMjAwMC4yOS8wNS8yMDIxLjI4LzA1LzIwMjIBAAAAIHoFAAIAAAAQMjMuODEyNTM5MjA0ODc0MgCkjFkKO+/eCFcZ2jQ7794INUNJUUFWRy5OQVNEQVE6Q0FMTS5JUV9QVEJWLjIwMDAuMjgvMDUvMjAyMi4wMy8wNi8yMDIzAQAAACB6BQACAAAAEDIuMjg4Mzc4NTg0OTA4MjUApIxZCjvv3ggnTdo0O+/eCDtDSVFBVkcuTkFTREFROkNBTE0uSVFfVEVWX0VCSVREQS4yMDAwLjI4LzA1LzIwMjIuMDMvMDYvMjAyMwEAAAAgegUAAgAAABAxMC4yNTU3NzMwNzQyNTUyAKSMWQo7794I1GDaNDvv3gg0Q0lRQVZHLk5BU0RBUTpDQUxNLklRX1BCVi4yMDAwLjI4LzA1LzIwMjIuMDMvMDYvMjAyMwEAAAAgegUAAgAAABAyLjE3MTUyODE0MjA3MjE4AKSMWQo7794IJ03aNDvv3gg5Q0lRQVZHLk5BU0RBUTpDQUxNLklRX1RFVl9FQklULjIwMDAuMjgvMDUvMjAyMi4wMy8wNi8yMDIzAQAAACB6BQACAAAAEDcuNTk3MTMyNTUyMDcyNzgApIxZCjvv3ggnTdo0O+/eCDhDSVFBVkcuTkFTREFROkNBTE0uSVFfUEVfRVhDTC4yMDAwLjI4LzA1LzIwMjIuMDMvMDYvMjAyMwEAAAAgegUAAgAAABAyNS41NTgzMDk4ODc1NzU3AKSMWQo7794IJ03aNDvv3gg+Q0lRQVZHLk5BU0RBUTpDQUxNLklRX1RFVl9UT1RB</t>
  </si>
  <si>
    <t>TF9SRVYuMjAwMC4yOC8wNS8yMDIyLjAzLzA2LzIwMjMBAAAAIHoFAAIAAAAQMS4xMDg2MjAzOTIyNjQzNwCkjFkKO+/eCNRg2jQ7794INUNJUUFWRy5OQVNEQVE6Q0FMTS5JUV9QVEJWLjIwMDAuMDMvMDYvMjAyMy4wMS8wNi8yMDI0AQAAACB6BQACAAAAEDEuNjI4NDg2ODM3MDAxNDUApIxZCjvv3gjUYNo0O+/eCDtDSVFBVkcuTkFTREFROkNBTE0uSVFfVEVWX0VCSVREQS4yMDAwLjAzLzA2LzIwMjMuMDEvMDYvMjAyNAEAAAAgegUAAgAAAA8yLjgyMzA3OTQ0MjY1NDkApIxZCjvv3gghiNo0O+/eCDhDSVFBVkcuTkFTREFROkNBTE0uSVFfUEVfRVhDTC4yMDAwLjAzLzA2LzIwMjMuMDEvMDYvMjAyNAEAAAAgegUAAgAAABA1LjI2ODAyNDY1NzcwNDM2AKSMWQo7794IIYjaNDvv3gg0Q0lRQVZHLk5BU0RBUTpDQUxNLklRX1BCVi4yMDAwLjAzLzA2LzIwMjMuMDEvMDYvMjAyNAEAAAAgegUAAgAAABAxLjU2NzMxMjIxNDQzODEyAKSMWQo7794I1GDaNDvv3gg5Q0lRQVZHLk5BU0RBUTpDQUxNLklRX1RFVl9FQklULjIwMDAuMDMvMDYvMjAyMy4wMS8wNi8yMDI0AQAAACB6BQACAAAAEDMuMjg1NTA0MDQ1NDcxNjcApIxZCjvv3gghiNo0O+/eCD5DSVFBVkcuTkFTREFROkNBTE0uSVFfVEVWX1RPVEFMX1JFVi4yMDAwLjAzLzA2LzIwMjMuMDEvMDYvMjAyNAEAAAAgegUAAgAAABEwLjY5Mjk3MTYyOTI5Mzg0</t>
  </si>
  <si>
    <t>OACkjFkKO+/eCCGI2jQ7794INUNJUUFWRy5OQVNEQVE6Q0FMTS5JUV9QVEJWLjIwMDAuMDEvMDYvMjAyNC4zMS8wNS8yMDI1AQAAACB6BQACAAAAEDIuMjE5OTAzMzYzNzk3MTEApIxZCjvv3gghiNo0O+/eCDRDSVFBVkcuTkFTREFROkNBTE0uSVFfUEJWLjIwMDAuMDEvMDYvMjAyNC4zMS8wNS8yMDI1AQAAACB6BQACAAAADzIuMTQ5MjkyNjQ0MzI0NACkjFkKO+/eCCGI2jQ7794IOUNJUUFWRy5OQVNEQVE6Q0FMTS5JUV9URVZfRUJJVC4yMDAwLjAxLzA2LzIwMjQuMzEvMDUvMjAyNQEAAAAgegUAAgAAABA2LjQzNjY3NTkzMTc3OTEzAKSMWQo7794IIYjaNDvv3gg7Q0lRQVZHLk5BU0RBUTpDQUxNLklRX1RFVl9FQklUREEuMjAwMC4wMS8wNi8yMDI0LjMxLzA1LzIwMjUBAAAAIHoFAAIAAAAQNS40NDE0NTU2MjE3MTU1NACkjFkKO+/eCCGI2jQ7794IOENJUUFWRy5OQVNEQVE6Q0FMTS5JUV9QRV9FWENMLjIwMDAuMDEvMDYvMjAyNC4zMS8wNS8yMDI1AQAAACB6BQACAAAAEDkuNDQ3NjU2MTY1NjY1ODMApIxZCjvv3gghiNo0O+/eCD5DSVFBVkcuTkFTREFROkNBTE0uSVFfVEVWX1RPVEFMX1JFVi4yMDAwLjAxLzA2LzIwMjQuMzEvMDUvMjAyNQEAAAAgegUAAgAAABAxLjIwOTM0NjA4MjgwODg5AKSMWQo7794IisHaNDvv3ggqQ0lRLk5BU0RBUUdTOktIQy5JUV9FUFNfRVNULjEwMDAyLi4uLlVTRC5I</t>
  </si>
  <si>
    <t>AQAAAMQ+BAACAAAABzIuMDk4NTYBDgAAAAUAAAACMTEBAAAACTMwNTc1NTY4MwIAAAAKMTAwNDI2NzUxOQMAAAAGMTAwMTczBAAAAAEyBgAAAAEwBwAAAAMxNjAIAAAAATAJAAAAATEKAAAAATALAAAACzE0ODc4NDIwODMxDAAAAAE3DQAAAAg4LzEvMjAyNhAAAAAJNy8zMS8yMDI2pIxZCjvv3ghO9+QyO+/eCC1DSVEuTkFTREFROkNBTE0uSVFfUkVWRU5VRV9FU1QuMTAwMDIuLi4uVVNELkgBAAAAIHoFAAIAAAAIMjYwMi45MjUBDgAAAAUAAAACMTEBAAAAATACAAAACTcwNDE1Mzc3MgMAAAAGMTAwMTgwBAAAAAEyBgAAAAEwBwAAAAMxNjAIAAAAATAJAAAAATEKAAAAATALAAAACzE0ODg2Nzk2MjkzDAAAAAE3DQAAAAg4LzEvMjAyNhAAAAAJNy8zMS8yMDI2soiHMDvv3giJctQyO+/eCC9DSVEuTkFTREFRR1M6TURMWi5JUV9SRVZFTlVFX0VTVC4xMDAwMi4uLi5VU0QuSAEAAABtSQsAAgAAAAs0MTI4NC41NjUxOAEOAAAABQAAAAIxMQEAAAABMAIAAAAKMTAwMTQ0NDk1MAMAAAAGMTAwMTgwBAAAAAEyBgAAAAEwBwAAAAMxNjAIAAAAATAJAAAAATEKAAAAATALAAAACzE0ODkxOTE2Mjg4DAAAAAE3DQAAAAg4LzEvMjAyNhAAAAAJNy8zMS8yMDI2pIxZCjvv3ggZtukyO+/eCCpDSVEuTkFTREFRR1M6S0hDLklRX0VQU19FU1QuMTAwMDEuLi4uVVNELkgBAAAAxD4EAAIAAAAHMi4wNTk3OAEOAAAABQAAAAIx</t>
  </si>
  <si>
    <t>MQEAAAAJMzA1NzU1NjgzAgAAAAoxMDAzOTcxOTQ4AwAAAAYxMDAxNzMEAAAAATIGAAAAATAHAAAAAzE2MAgAAAABMAkAAAABMQoAAAABMAsAAAALMTQ4Nzg0MjA3MjgMAAAAATcNAAAACDgvMS8yMDI2EAAAAAk3LzMxLzIwMjakjFkKO+/eCD/Q5DI7794IKkNJUS5OWVNFOlBPU1QuSVFfRUJJVERBX0VTVC4xMDAwMi4uLi5VU0QuSAEAAACPvWYIAgAAAAkxNTY5Ljk4MzMBDgAAAAUAAAACMTEBAAAAATACAAAABzM5MDg2MTADAAAABjEwMDE4NwQAAAABMgYAAAABMAcAAAADMTYwCAAAAAEwCQAAAAExCgAAAAEwCwAAAAsxNDg4MjU5MTU0MgwAAAABNw0AAAAIOC8xLzIwMjYQAAAACTcvMzEvMjAyNqSMWQo7794IjpXlMjvv3ggtQ0lRLk5BU0RBUTpDQUxNLklRX1JFVkVOVUVfRVNULjEwMDAxLi4uLlVTRC5IAQAAACB6BQACAAAACTI0ODcuMTEzOAEOAAAABQAAAAIxMQEAAAABMAIAAAAJNzA0MTUzNzcxAwAAAAYxMDAxODAEAAAAATIGAAAAATAHAAAAAzE2MAgAAAABMAkAAAABMQoAAAABMAsAAAALMTQ4ODY3OTYxOTMMAAAAATcNAAAACDgvMS8yMDI2EAAAAAk3LzMxLzIwMjayiIcwO+/eCIly1DI7794IL0NJUS5OQVNEQVFHUzpNRExaLklRX1JFVkVOVUVfRVNULjEwMDAxLi4uLlVTRC5IAQAAAG1JCwACAAAACzQwMTA4Ljg2ODkzAQ4AAAAFAAAAAjExAQAAAAEwAgAAAAoxMDAxNDQ0OTQ5AwAAAAYxMDAx</t>
  </si>
  <si>
    <t>ODAEAAAAATIGAAAAATAHAAAAAzE2MAgAAAABMAkAAAABMQoAAAABMAsAAAALMTQ4OTE5MjM1MjQMAAAAATcNAAAACDgvMS8yMDI2EAAAAAk3LzMxLzIwMjakjFkKO+/eCBm26TI7794IKkNJUS5OWVNFOlBPU1QuSVFfRUJJVERBX0VTVC4xMDAwMS4uLi5VU0QuSAEAAACPvWYIAgAAAAcxNTQ3LjMxAQ4AAAAFAAAAAjExAQAAAAEwAgAAAAcyNjI4Nzg2AwAAAAYxMDAxODcEAAAAATIGAAAAATAHAAAAAzE2MAgAAAABMAkAAAABMQoAAAABMAsAAAALMTQ4ODI1OTE1MTAMAAAAATcNAAAACDgvMS8yMDI2EAAAAAk3LzMxLzIwMjakjFkKO+/eCI6V5TI7794IL0NJUS5OQVNEQVFHTTpWSVRMLklRX1JFVkVOVUVfRVNULjEwMDAyLi4uLlVTRC5IAQAAAJHszw0CAAAACDg0OC41ODIxAQ4AAAAFAAAAAjExAQAAAAEwAgAAAAoxMDA0NzY5MDY1AwAAAAYxMDAxODAEAAAAATIGAAAAATAHAAAAAzE2MAgAAAABMAkAAAABMQoAAAABMAsAAAALMTQ4NzY0MDU3NzUMAAAAATcNAAAACDgvMS8yMDI2EAAAAAk3LzMxLzIwMjakjFkKO+/eCLyA5jI7794IL0NJUS5OQVNEQVFHTTpWSVRMLklRX1JFVkVOVUVfRVNULjEwMDAxLi4uLlVTRC5IAQAAAJHszw0CAAAACTc3NS4zMTA3OAEOAAAABQAAAAIxMQEAAAABMAIAAAAKMTAwNDc2OTA2NAMAAAAGMTAwMTgwBAAAAAEyBgAAAAEwBwAAAAMxNjAIAAAAATAJAAAAATEKAAAAATAL</t>
  </si>
  <si>
    <t>AAAACzE0ODc2NDA1Nzk5DAAAAAE3DQAAAAg4LzEvMjAyNhAAAAAJNy8zMS8yMDI2pIxZCjvv3gi8gOYyO+/eCC1DSVEuTkFTREFRR1M6S0hDLklRX0VCSVREQV9FU1QuMTAwMDIuLi4uVVNELkgBAAAAxD4EAAIAAAAKNTA1MC41Nzc1MgEOAAAABQAAAAIxMQEAAAABMAIAAAAKMTAwNDI2NzUxOQMAAAAGMTAwMTg3BAAAAAEyBgAAAAEwBwAAAAMxNjAIAAAAATAJAAAAATEKAAAAATALAAAACzE0ODc3OTIwMzgwDAAAAAE3DQAAAAg4LzEvMjAyNhAAAAAJNy8zMS8yMDI2pIxZCjvv3gg/0OQyO+/eCC1DSVEuTkFTREFRR1M6S0hDLklRX0VCSVREQV9FU1QuMTAwMDEuLi4uVVNELkgBAAAAxD4EAAIAAAAKNDk4MS42Mjc0NgEOAAAABQAAAAIxMQEAAAABMAIAAAAKMTAwMzk3MTk0OAMAAAAGMTAwMTg3BAAAAAEyBgAAAAEwBwAAAAMxNjAIAAAAATAJAAAAATEKAAAAATALAAAACzE0ODc4NDIyMjAwDAAAAAE3DQAAAAg4LzEvMjAyNhAAAAAJNy8zMS8yMDI2pIxZCjvv3gg/0OQyO+/eCCtDSVEuTllTRTpQT1NULklRX1JFVkVOVUVfRVNULjEwMDAyLi4uLlVTRC5IAQAAAI+9ZggCAAAACTgyNTQuMDE1NQEOAAAABQAAAAIxMQEAAAABMAIAAAAHMzkwODYxMAMAAAAGMTAwMTgwBAAAAAEyBgAAAAEwBwAAAAMxNjAIAAAAATAJAAAAATEKAAAAATALAAAACzE0ODgyNTkxNTM4DAAAAAE3DQAAAAg4LzEvMjAyNhAAAAAJ</t>
  </si>
  <si>
    <t>Ny8zMS8yMDI2pIxZCjvv3giOleUyO+/eCCZDSVEuTllTRTpHSVMuSVFfRVBTX0VTVC4xMDAwMi4uLi5VU0QuSAEAAAAbMQQAAgAAAAYzLjE1MzYBDgAAAAUAAAACMTEBAAAABzI2MTQ2NjYCAAAABzEzMjYzMjADAAAABjEwMDE3MwQAAAABMgYAAAABMAcAAAADMTYwCAAAAAEwCQAAAAExCgAAAAEwCwAAAAsxNDg3NjQ4NzY4OAwAAAABNw0AAAAIOC8xLzIwMjYQAAAACTcvMzEvMjAyNqSMWQo7794I7lfnMjvv3ggrQ0lRLk5ZU0U6UE9TVC5JUV9SRVZFTlVFX0VTVC4xMDAwMS4uLi5VU0QuSAEAAACPvWYIAgAAAAk4MjEzLjcyMTcBDgAAAAUAAAACMTEBAAAAATACAAAABzI2Mjg3ODYDAAAABjEwMDE4MAQAAAABMgYAAAABMAcAAAADMTYwCAAAAAEwCQAAAAExCgAAAAEwCwAAAAsxNDg4MjU5MTUwNgwAAAABNw0AAAAIOC8xLzIwMjYQAAAACTcvMzEvMjAyNqSMWQo7794IjpXlMjvv3ggsQ0lRLk5BU0RBUTpDQUxNLklRX0VCSVREQV9FU1QuMTAwMDIuLi4uVVNELkgBAAAAIHoFAAIAAAAIMjU5LjYwMjUBDgAAAAUAAAACMTEBAAAAATACAAAACTcwNDE1Mzc3MgMAAAAGMTAwMTg3BAAAAAEyBgAAAAEwBwAAAAMxNjAIAAAAATAJAAAAATEKAAAAATALAAAACzE0ODg2Nzk2Mjk3DAAAAAE3DQAAAAg4LzEvMjAyNhAAAAAJNy8zMS8yMDI2soiHMDvv3gjBm9QyO+/eCCZDSVEuTllTRTpHSVMuSVFfRVBTX0VTVC4x</t>
  </si>
  <si>
    <t>MDAwMS4uLi5VU0QuSAEAAAAbMQQAAgAAAAUzLjI5MQEOAAAABQAAAAIxMQEAAAAHMjYxNDY2NgIAAAAHMzg3MDA0NwMAAAAGMTAwMTczBAAAAAEyBgAAAAEwBwAAAAMxNjAIAAAAATAJAAAAATEKAAAAATALAAAACzE0ODc2NDg3NjkzDAAAAAE3DQAAAAg4LzEvMjAyNhAAAAAJNy8zMS8yMDI2pIxZCjvv3gjuV+cyO+/eCCxDSVEuTkFTREFROkNBTE0uSVFfRUJJVERBX0VTVC4xMDAwMS4uLi5VU0QuSAEAAAAgegUAAgAAAAc5Ny4zOTU1AQ4AAAAFAAAAAjExAQAAAAEwAgAAAAk3MDQxNTM3NzEDAAAABjEwMDE4NwQAAAABMgYAAAABMAcAAAADMTYwCAAAAAEwCQAAAAExCgAAAAEwCwAAAAsxNDg4Njc5NjE5NwwAAAABNw0AAAAIOC8xLzIwMjYQAAAACTcvMzEvMjAyNrKIhzA7794IwZvUMjvv3gguQ0lRLk5BU0RBUUdTOktIQy5JUV9SRVZFTlVFX0VTVC4xMDAwMi4uLi5VU0QuSAEAAADEPgQAAgAAAAsyNDU1Ny4wNDgwMQEOAAAABQAAAAIxMQEAAAABMAIAAAAKMTAwNDI2NzUxOQMAAAAGMTAwMTgwBAAAAAEyBgAAAAEwBwAAAAMxNjAIAAAAATAJAAAAATEKAAAAATALAAAACzE0ODc3OTIwNjI2DAAAAAE3DQAAAAg4LzEvMjAyNhAAAAAJNy8zMS8yMDI2pIxZCjvv3gg/0OQyO+/eCC5DSVEuTkFTREFRR1M6S0hDLklRX1JFVkVOVUVfRVNULjEwMDAxLi4uLlVTRC5IAQAAAMQ+BAACAAAACzI0NDUyLjcxNTIy</t>
  </si>
  <si>
    <t>AQ4AAAAFAAAAAjExAQAAAAEwAgAAAAoxMDAzOTcxOTQ4AwAAAAYxMDAxODAEAAAAATIGAAAAATAHAAAAAzE2MAgAAAABMAkAAAABMQoAAAABMAsAAAALMTQ4Nzc5MjEzNzkMAAAAATcNAAAACDgvMS8yMDI2EAAAAAk3LzMxLzIwMjakjFkKO+/eCD/Q5DI7794IKUNJUS5OQVNEQVE6Q0FMTS5JUV9FUFNfRVNULjEwMDAyLi4uLlVTRC5IAQAAACB6BQACAAAABTMuMTQ1AQ4AAAAFAAAAAjExAQAAAAcyNTk3MDc4AgAAAAk3MDQxNTM3NzIDAAAABjEwMDI3OAQAAAABMgYAAAABMAcAAAADMTYwCAAAAAEwCQAAAAExCgAAAAEwCwAAAAsxNDg4Njc5NjMyOQwAAAABNw0AAAAIOC8xLzIwMjYQAAAACTcvMzEvMjAyNrKIhzA7794IwZvUMjvv3ggpQ0lRLk5ZU0U6R0lTLklRX0VCSVREQV9FU1QuMTAwMDIuLi4uVVNELkgBAAAAGzEEAAIAAAAIMzE0MC45OTUBDgAAAAUAAAACMTEBAAAAATACAAAABzEzMjYzMjADAAAABjEwMDE4NwQAAAABMgYAAAABMAcAAAADMTYwCAAAAAEwCQAAAAExCgAAAAEwCwAAAAsxNDg3NjQ4NzY0NwwAAAABNw0AAAAIOC8xLzIwMjYQAAAACTcvMzEvMjAyNqSMWQo7794I7lfnMjvv3ggpQ0lRLk5BU0RBUTpDQUxNLklRX0VQU19FU1QuMTAwMDEuLi4uVVNELkgBAAAAIHoFAAIAAAAGMC40NDc1AQ4AAAAFAAAAAjExAQAAAAcyNTk3MDc4AgAAAAk3MDQxNTM3NzEDAAAABjEwMDI3OAQAAAAB</t>
  </si>
  <si>
    <t>MgYAAAABMAcAAAADMTYwCAAAAAEwCQAAAAExCgAAAAEwCwAAAAsxNDg4Njc5NjIyOQwAAAABNw0AAAAIOC8xLzIwMjYQAAAACTcvMzEvMjAyNrKIhzA7794IwZvUMjvv3ggpQ0lRLk5ZU0U6R0lTLklRX0VCSVREQV9FU1QuMTAwMDEuLi4uVVNELkgBAAAAGzEEAAIAAAAJMzE5NS4xNjU2AQ4AAAAFAAAAAjExAQAAAAEwAgAAAAczODcwMDQ3AwAAAAYxMDAxODcEAAAAATIGAAAAATAHAAAAAzE2MAgAAAABMAkAAAABMQoAAAABMAsAAAALMTQ4NzY0ODc2NjkMAAAAATcNAAAACDgvMS8yMDI2EAAAAAk3LzMxLzIwMjakjFkKO+/eCO5X5zI7794IKUNJUS5TWlNFOjMwMDc2MS5JUV9FUFNfRVNULjEwMDAyLi4uLlVTRC5IAQAAAO/vxxMCAAAAEDAuMzA0OTYzODc3MDkzODEBDgAAAAUAAAACMTEBAAAACTU1Nzg1NTUyOAIAAAAKMTAwNDc2Mzg2NAMAAAAGMTAwMjc4BAAAAAIyNwYAAAABMAcAAAADMTYwCAAAAAEwCQAAAAExCgAAAAEwCwAAAAsxNDgxMzY5NzIzOQwAAAABNw0AAAAIOC8xLzIwMjYQAAAACTcvMzEvMjAyNqSMWQo7794IuwzkMjvv3ggpQ0lRLlNaU0U6MzAwNzYxLklRX0VQU19FU1QuMTAwMDEuLi4uVVNELkgBAAAA7+/HEwIAAAAQMC4xNTM4MjgzODg0NzY4NAEOAAAABQAAAAIxMQEAAAAJNTU3ODU1NTI4AgAAAAoxMDA0NzYzODYzAwAAAAYxMDAyNzgEAAAAAjI3BgAAAAEwBwAAAAMxNjAIAAAA</t>
  </si>
  <si>
    <t>ATAJAAAAATEKAAAAATALAAAACzE0ODEzNjk3MjIxDAAAAAE3DQAAAAg4LzEvMjAyNhAAAAAJNy8zMS8yMDI2pIxZCjvv3gi7DOQyO+/eCCpDSVEuTllTRTpHSVMuSVFfUkVWRU5VRV9FU1QuMTAwMDIuLi4uVVNELkgBAAAAGzEEAAIAAAAKMTc3OTguNTg4MwEOAAAABQAAAAIxMQEAAAABMAIAAAAHMTMyNjMyMAMAAAAGMTAwMTgwBAAAAAEyBgAAAAEwBwAAAAMxNjAIAAAAATAJAAAAATEKAAAAATALAAAACzE0ODc2NDg3NjQzDAAAAAE3DQAAAAg4LzEvMjAyNhAAAAAJNy8zMS8yMDI2pIxZCjvv3gjuV+cyO+/eCCtDSVEuTkFTREFRR1M6TURMWi5JUV9FUFNfRVNULjEwMDAyLi4uLlVTRC5IAQAAAG1JCwACAAAABzMuMzU5MDcBDgAAAAUAAAACMTEBAAAABzI2MjQzMzYCAAAACjEwMDE0NDQ5NTADAAAABjEwMDE3MwQAAAABMgYAAAABMAcAAAADMTYwCAAAAAEwCQAAAAExCgAAAAEwCwAAAAsxNDg5MTkxNjAyNAwAAAABNw0AAAAIOC8xLzIwMjYQAAAACTcvMzEvMjAyNqSMWQo7794I/fDpMjvv3ggqQ0lRLk5ZU0U6R0lTLklRX1JFVkVOVUVfRVNULjEwMDAxLi4uLlVTRC5IAQAAABsxBAACAAAACjE4MTUxLjE4OTQBDgAAAAUAAAACMTEBAAAAATACAAAABzM4NzAwNDcDAAAABjEwMDE4MAQAAAABMgYAAAABMAcAAAADMTYwCAAAAAEwCQAAAAExCgAAAAEwCwAAAAsxNDg3NjQ4NzY2NAwAAAABNw0AAAAIOC8x</t>
  </si>
  <si>
    <t>LzIwMjYQAAAACTcvMzEvMjAyNqSMWQo7794I3DDnMjvv3ggrQ0lRLk5BU0RBUUdTOk1ETFouSVFfRVBTX0VTVC4xMDAwMS4uLi5VU0QuSAEAAABtSQsAAgAAAAczLjA0NTY2AQ4AAAAFAAAAAjExAQAAAAcyNjI0MzM2AgAAAAoxMDAxNDQ0OTQ5AwAAAAYxMDAxNzMEAAAAATIGAAAAATAHAAAAAzE2MAgAAAABMAkAAAABMQoAAAABMAsAAAALMTQ4OTE5MTYwMDYMAAAAATcNAAAACDgvMS8yMDI2EAAAAAk3LzMxLzIwMjakjFkKO+/eCCzd6TI7794ILENJUS5TWlNFOjMwMDc2MS5JUV9FQklUREFfRVNULjEwMDAyLi4uLlVTRC5IAQAAAO/vxxMCAAAAEDQzOS40Mzg1MzQ5MTg0OTQBDgAAAAUAAAACMTEBAAAAATACAAAACjEwMDQ3NjM4NjQDAAAABjEwMDE4NwQAAAACMjcGAAAAATAHAAAAAzE2MAgAAAABMAkAAAABMQoAAAABMAsAAAALMTQ4MTM2OTcxNDMMAAAAATcNAAAACDgvMS8yMDI2EAAAAAk3LzMxLzIwMjakjFkKO+/eCLsM5DI7794IK0NJUS5OQVNEQVFHTTpWSVRMLklRX0VQU19FU1QuMTAwMDIuLi4uVVNELkgBAAAAkezPDQIAAAAHMC40NDQyOQEOAAAABQAAAAIxMQEAAAAJNjc2NzYxNzI1AgAAAAoxMDA0NzY5MDY1AwAAAAYxMDAxNzMEAAAAATIGAAAAATAHAAAAAzE2MAgAAAABMAkAAAABMQoAAAABMAsAAAALMTQ4NzY0MDYzMTgMAAAAATcNAAAACDgvMS8yMDI2EAAAAAk3LzMxLzIwMjakjFkK</t>
  </si>
  <si>
    <t>O+/eCMen5jI7794ILENJUS5TWlNFOjMwMDc2MS5JUV9FQklUREFfRVNULjEwMDAxLi4uLlVTRC5IAQAAAO/vxxMCAAAAEDI4MC4zNzE4OTgwOTI1NzUBDgAAAAUAAAACMTEBAAAAATACAAAACjEwMDQ3NjM4NjMDAAAABjEwMDE4NwQAAAACMjcGAAAAATAHAAAAAzE2MAgAAAABMAkAAAABMQoAAAABMAsAAAALMTQ4MTM2OTcxNDkMAAAAATcNAAAACDgvMS8yMDI2EAAAAAk3LzMxLzIwMjakjFkKO+/eCLsM5DI7794IK0NJUS5OQVNEQVFHTTpWSVRMLklRX0VQU19FU1QuMTAwMDEuLi4uVVNELkgBAAAAkezPDQIAAAAILTAuNDIyODYBDgAAAAUAAAACMTEBAAAACTY3Njc2MTcyNQIAAAAKMTAwNDc2OTA2NAMAAAAGMTAwMTczBAAAAAEyBgAAAAEwBwAAAAMxNjAIAAAAATAJAAAAATEKAAAAATALAAAACzE0ODc2NDA2NDYyDAAAAAE3DQAAAAg4LzEvMjAyNhAAAAAJNy8zMS8yMDI2pIxZCjvv3gjHp+YyO+/eCC5DSVEuTkFTREFRR1M6TURMWi5JUV9FQklUREFfRVNULjEwMDAyLi4uLlVTRC5IAQAAAG1JCwACAAAACjcyNTUuNzg3NzYBDgAAAAUAAAACMTEBAAAAATACAAAACjEwMDE0NDQ5NTADAAAABjEwMDE4NwQAAAABMgYAAAABMAcAAAADMTYwCAAAAAEwCQAAAAExCgAAAAEwCwAAAAsxNDg5MTkxNTQ5NQwAAAABNw0AAAAIOC8xLzIwMjYQAAAACTcvMzEvMjAyNqSMWQo7794ILN3pMjvv3ggnQ0lRLk5ZU0U6</t>
  </si>
  <si>
    <t>UE9TVC5JUV9FUFNfRVNULjEwMDAyLi4uLlVTRC5IAQAAAI+9ZggCAAAABjguNzQ5NAEOAAAABQAAAAIxMQEAAAAJMTU0MTQ4OTg3AgAAAAczOTA4NjEwAwAAAAYxMDAxNzMEAAAAATIGAAAAATAHAAAAAzE2MAgAAAABMAkAAAABMQoAAAABMAsAAAALMTQ4ODI1OTE1ODQMAAAAATcNAAAACDgvMS8yMDI2EAAAAAk3LzMxLzIwMjakjFkKO+/eCE/Q5TI7794ILkNJUS5OQVNEQVFHUzpNRExaLklRX0VCSVREQV9FU1QuMTAwMDEuLi4uVVNELkgBAAAAbUkLAAIAAAAKNjcyOC42MzEyNAEOAAAABQAAAAIxMQEAAAABMAIAAAAKMTAwMTQ0NDk0OQMAAAAGMTAwMTg3BAAAAAEyBgAAAAEwBwAAAAMxNjAIAAAAATAJAAAAATEKAAAAATALAAAACzE0ODkxOTE1NDg5DAAAAAE3DQAAAAg4LzEvMjAyNhAAAAAJNy8zMS8yMDI2pIxZCjvv3ggs3ekyO+/eCC1DSVEuU1pTRTozMDA3NjEuSVFfUkVWRU5VRV9FU1QuMTAwMDIuLi4uVVNELkgBAAAA7+/HEwIAAAAQMzQyNS41NzM4MjEwMjAwNQEOAAAABQAAAAIxMQEAAAABMAIAAAAKMTAwNDc2Mzg2NAMAAAAGMTAwMTgwBAAAAAIyNwYAAAABMAcAAAADMTYwCAAAAAEwCQAAAAExCgAAAAEwCwAAAAsxNDgxMzY5NzE1NQwAAAABNw0AAAAIOC8xLzIwMjYQAAAACTcvMzEvMjAyNqSMWQo7794IANLjMjvv3ggnQ0lRLk5ZU0U6UE9TVC5JUV9FUFNfRVNULjEwMDAxLi4uLlVTRC5I</t>
  </si>
  <si>
    <t>AQAAAI+9ZggCAAAABjcuNTkyMgEOAAAABQAAAAIxMQEAAAAJMTU0MTQ4OTg3AgAAAAcyNjI4Nzg2AwAAAAYxMDAxNzMEAAAAATIGAAAAATAHAAAAAzE2MAgAAAABMAkAAAABMQoAAAABMAsAAAALMTQ4ODI1OTE1ODAMAAAAATcNAAAACDgvMS8yMDI2EAAAAAk3LzMxLzIwMjakjFkKO+/eCE/Q5TI7794ILkNJUS5OQVNEQVFHTTpWSVRMLklRX0VCSVREQV9FU1QuMTAwMDIuLi4uVVNELkgBAAAAkezPDQIAAAAINDUuNjY1NTYBDgAAAAUAAAACMTEBAAAAATACAAAACjEwMDQ3NjkwNjUDAAAABjEwMDE4NwQAAAABMgYAAAABMAcAAAADMTYwCAAAAAEwCQAAAAExCgAAAAEwCwAAAAsxNDg3NjQwNTU2NQwAAAABNw0AAAAIOC8xLzIwMjYQAAAACTcvMzEvMjAyNqSMWQo7794IvIDmMjvv3gguQ0lRLk5BU0RBUUdNOlZJVEwuSVFfRUJJVERBX0VTVC4xMDAwMS4uLi5VU0QuSAEAAACR7M8NAgAAAAczLjQyMzExAQ4AAAAFAAAAAjExAQAAAAEwAgAAAAoxMDA0NzY5MDY0AwAAAAYxMDAxODcEAAAAATIGAAAAATAHAAAAAzE2MAgAAAABMAkAAAABMQoAAAABMAsAAAALMTQ4NzY0MDU3MDMMAAAAATcNAAAACDgvMS8yMDI2EAAAAAk3LzMxLzIwMjakjFkKO+/eCLyA5jI7794ILUNJUS5TWlNFOjMwMDc2MS5JUV9SRVZFTlVFX0VTVC4xMDAwMS4uLi5VU0QuSAEAAADv78cTAgAAABAzMDI5LjI1OTU2ODAzMDY3AQ4AAAAF</t>
  </si>
  <si>
    <t>AAAAAjExAQAAAAEwAgAAAAoxMDA0NzYzODYzAwAAAAYxMDAxODAEAAAAAjI3BgAAAAEwBwAAAAMxNjAIAAAAATAJAAAAATEKAAAAATALAAAACzE0ODEzNjk3MTczDAAAAAE3DQAAAAg4LzEvMjAyNhAAAAAJNy8zMS8yMDI2pIxZCjvv3ggA0uMyO+/eCC9DSVEuTkFTREFRR006VklUTC5JUV9URVZfRUJJVERBLjIwMDAuMjgvMTIvMjAyNQEAAACR7M8NAgAAABAzLjY5MTYzNTE5MzM5MjM3AQcAAAAFAAAAATEBAAAACy0xOTE4NjAxOTA2AwAAAAEwAgAAAAYxMDAwNjMEAAAAATAHAAAACjEyLzI2LzIwMjUIAAAACjEyLzI2LzIwMjU2bvUKO+/eCFvI6jI7794ILENJUS5OQVNEQVFHTTpWSVRMLklRX1BFX0VYQ0wuMjAwMC4yOC8xMi8yMDI1AQAAAJHszw0CAAAAEDI0LjAwNzg4NzExNjc3NjEBBwAAAAUAAAABMQEAAAALLTE5MTg2MDE5MDYDAAAAATACAAAABjEwMDA2NgQAAAABMAcAAAAKMTIvMjYvMjAyNQgAAAAKMTIvMjYvMjAyNTZu9Qo7794IW8jqMjvv3ggyQ0lRLk5BU0RBUUdNOlZJVEwuSVFfVEVWX1RPVEFMX1JFVi4yMDAwLjI4LzEyLzIwMjUBAAAAkezPDQIAAAAQMS44NzA5OTE4MDg0NjIzNwEHAAAABQAAAAExAQAAAAstMTkxODYwMTkwNgMAAAABMAIAAAAGMTAwMDYxBAAAAAEwBwAAAAoxMi8yNi8yMDI1CAAAAAoxMi8yNi8yMDI1Nm71Cjvv3gi37+oyO+/eCBRDSVEuLklRX1FVSUNLX0NPTVAu</t>
  </si>
  <si>
    <t>MQUAAAAAAAAACAAAABQoSW52YWxpZCBJZGVudGlmaWVyKf1NhzA7794ICRk4Mjvv3ggfQ0lRLk5BU0RBUTpDQUxNLklRX0NPTVBBTllfTkFNRQEAAAAgegUAAwAAABVDYWwtTWFpbmUgRm9vZHMsIEluYy4A/U2HMDvv3giSwtQyO+/eCCdDSVEuTkFTREFROkNBTE0uSVFfTEFTVFNBTEVQUklDRS4uVVNELkgBAAAAIHoFAAIAAAAHODcuNTUwMwD9TYcwO+/eCIly1DI7794IIkNJUS5OQVNEQVE6Q0FMTS5JUV9ZRUFSSElHSC4uVVNELkgBAAAAIHoFAAIAAAAGMTE3LjQ1AP1NhzA7794IiXLUMjvv3gghQ0lRLk5BU0RBUTpDQUxNLklRX1lFQVJMT1cuLlVTRC5IAQAAACB6BQACAAAABTcxLjkyAP1NhzA7794IiXLUMjvv3gglQ0lRLk5BU0RBUTpDQUxNLklRX1NIQVJFU09VVFNUQU5ESU5HLgEAAAAgegUAAgAAAAg0Ni45MTcwOAD9TYcwO+/eCJLC1DI7794IH0NJUS5OQVNEQVE6Q0FMTS5JUV9RVUlDS19DT01QLjEBAAAAIHoFAAMAAAANTmFzZGFxR006VklUTAD9TYcwO+/eCMGb1DI7794IH0NJUS5OQVNEQVE6Q0FMTS5JUV9RVUlDS19DT01QLjIBAAAAIHoFAAMAAAAJTllTRTpQT1NUAP1NhzA7794IwZvUMjvv3ggfQ0lRLk5BU0RBUTpDQUxNLklRX1FVSUNLX0NPTVAuMwEAAAAgegUAAwAAAAxOYXNkYXFHUzpLSEMA/U2HMDvv3gjBm9QyO+/eCB9DSVEuTkFTREFROkNBTE0uSVFfUVVJQ0tfQ09NUC40AQAA</t>
  </si>
  <si>
    <t>ACB6BQADAAAAC1NaU0U6MzAwNzYxAP1NhzA7794IwZvUMjvv3ggfQ0lRLk5BU0RBUTpDQUxNLklRX1FVSUNLX0NPTVAuNQEAAAAgegUAAwAAAA1OYXNkYXFHUzpNRExaAP1NhzA7794IksLUMjvv3ggfQ0lRLk5BU0RBUTpDQUxNLklRX1FVSUNLX0NPTVAuNgEAAAAgegUAAwAAAAlTRUhLOjI0MTkA/U2HMDvv3giSwtQyO+/eCB9DSVEuTkFTREFROkNBTE0uSVFfUVVJQ0tfQ09NUC43AQAAACB6BQADAAAAB05ZU0U6TFcA/U2HMDvv3giSwtQyO+/eCB9DSVEuTkFTREFROkNBTE0uSVFfUVVJQ0tfQ09NUC44AQAAACB6BQADAAAACE5ZU0U6R0lTAP1NhzA7794IksLUMjvv3ggbQ0lRLk5ZU0U6TFcuSVFfQ09NUEFOWV9OQU1FAQAAAJZ3UBYDAAAAGkxhbWIgV2VzdG9uIEhvbGRpbmdzLCBJbmMuAKNuig87794Ii8voMjvv3ggdQ0lRLlNFSEs6MjQxOS5JUV9DT01QQU5ZX05BTUUBAAAAaVzxbAMAAAAgRGVrb24gRm9vZCBhbmQgQWdyaWN1bHR1cmUgR3JvdXAAo26KDzvv3ggZtukyO+/eCCFDSVEuTkFTREFRR1M6TURMWi5JUV9DT01QQU5ZX05BTUUBAAAAbUkLAAMAAAAcTW9uZGVsZXogSW50ZXJuYXRpb25hbCwgSW5jLgCjbooPO+/eCHCN6jI7794IIUNJUS5OWVNFOkxXLklRX1NIQVJFU09VVFNUQU5ESU5HLgEAAACWd1AWAgAAAAoxMzcuNDgxMDExAKNuig87794Ii8voMjvv3gglQ0lRLlNFSEs6MjQxOS5J</t>
  </si>
  <si>
    <t>UV9MQVNUU0FMRVBSSUNFLi5VU0QuSAEAAABpXPFsAgAAAAs2LjQ3ODI2OTc0NgCjbooPO+/eCIvL6DI7794IIENJUS5TRUhLOjI0MTkuSVFfWUVBUkhJR0guLlVTRC5IAQAAAGlc8WwCAAAADTEyLjMwNjE2MjAxNzUAo26KDzvv3giLy+gyO+/eCB9DSVEuU0VISzoyNDE5LklRX1lFQVJMT1cuLlVTRC5IAQAAAGlc8WwCAAAADDQuODE1MzQzODExMgCjbooPO+/eCIvL6DI7794II0NJUS5TRUhLOjI0MTkuSVFfU0hBUkVTT1VUU1RBTkRJTkcuAQAAAGlc8WwCAAAACjM4NS4zNTY5MzYAo26KDzvv3ggKj+kyO+/eCClDSVEuTkFTREFRR1M6TURMWi5JUV9MQVNUU0FMRVBSSUNFLi5VU0QuSAEAAABtSQsAAgAAAAc2MS45OTUyAKNuig87794IGbbpMjvv3ggkQ0lRLk5BU0RBUUdTOk1ETFouSVFfWUVBUkhJR0guLlVTRC5IAQAAAG1JCwACAAAABTY2LjY1AKNuig87794IGbbpMjvv3ggjQ0lRLk5BU0RBUUdTOk1ETFouSVFfWUVBUkxPVy4uVVNELkgBAAAAbUkLAAIAAAAHNTEuMjAwOACjbooPO+/eCBm26TI7794IJ0NJUS5OQVNEQVFHUzpNRExaLklRX1NIQVJFU09VVFNUQU5ESU5HLgEAAABtSQsAAgAAAAsxMjc2LjMwODA1NwCjbooPO+/eCHCN6jI7794IGUNJUS5OWVNFOkxXLklRX1BUQlYuMjAwMC4BAAAAlndQFgIAAAAQMTcuOTIyNDI0NTE3NDc1MQEHAAAABQAAAAExAQAAAAstMTg4MDcwMjE0MAMAAAAB</t>
  </si>
  <si>
    <t>MAIAAAAGMTAwMDY4BAAAAAEwBwAAAAk3LzMwLzIwMjYIAAAACTcvMzAvMjAyNqNuig87794IgKToMjvv3ggYQ0lRLk5ZU0U6TFcuSVFfUEJWLjIwMDAuAQAAAJZ3UBYCAAAAEDQuMDMzNTAyNzAyNzg1NzYBBwAAAAUAAAABMQEAAAALLTE4ODA3MDIxNDADAAAAATACAAAABjEwMDA2NwQAAAABMAcAAAAJNy8zMC8yMDI2CAAAAAk3LzMwLzIwMjajbooPO+/eCICk6DI7794IHENJUS5OWVNFOkxXLklRX1BFX0VYQ0wuMjAwMC4BAAAAlndQFgIAAAAQMjUuNzQ1MTkyMzA3NjkyMwEHAAAABQAAAAExAQAAAAstMTg4MDcwMjE0MAMAAAABMAIAAAAGMTAwMDY2BAAAAAEwBwAAAAk3LzMwLzIwMjYIAAAACTcvMzAvMjAyNqNuig87794IgKToMjvv3ggfQ0lRLk5ZU0U6TFcuSVFfVEVWX0VCSVREQS4yMDAwLgEAAACWd1AWAgAAABAxMC4xMDE2Mzg3MDgyNTUzAQcAAAAFAAAAATEBAAAACy0xODgwNzAyMTQwAwAAAAEwAgAAAAYxMDAwNjMEAAAAATAHAAAACTcvMzAvMjAyNggAAAAJNy8zMC8yMDI2o26KDzvv3giLy+gyO+/eCCJDSVEuTllTRTpMVy5JUV9URVZfVE9UQUxfUkVWLjIwMDAuAQAAAJZ3UBYCAAAAEDEuNzEzNjI1ODM5NTc5MjcBBwAAAAUAAAABMQEAAAALLTE4ODA3MDIxNDADAAAAATACAAAABjEwMDA2MQQAAAABMAcAAAAJNy8zMC8yMDI2CAAAAAk3LzMwLzIwMjajbooPO+/eCIvL6DI7794IG0NJUS5T</t>
  </si>
  <si>
    <t>RUhLOjI0MTkuSVFfUFRCVi4yMDAwLgEAAABpXPFsAgAAABAyLjA2NTY1MzYwOTQxMTg0AQcAAAAFAAAAATEBAAAACy0xODk5ODY1MjE5AwAAAAEwAgAAAAYxMDAwNjgEAAAAATAHAAAACTcvMzEvMjAyNggAAAAJNy8zMS8yMDI2o26KDzvv3ggKj+kyO+/eCBpDSVEuU0VISzoyNDE5LklRX1BCVi4yMDAwLgEAAABpXPFsAgAAABAxLjk5NjQyNjg2MTQ5OTk2AQcAAAAFAAAAATEBAAAACy0xODk5ODY1MjE5AwAAAAEwAgAAAAYxMDAwNjcEAAAAATAHAAAACTcvMzEvMjAyNggAAAAJNy8zMS8yMDI2o26KDzvv3ggKj+kyO+/eCB5DSVEuU0VISzoyNDE5LklRX1BFX0VYQ0wuMjAwMC4BAAAAaVzxbAIAAAAQMTIuMzgyMDIyOTUyMTk2NwEHAAAABQAAAAExAQAAAAstMTg5OTg2NTIxOQMAAAABMAIAAAAGMTAwMDY2BAAAAAEwBwAAAAk3LzMxLzIwMjYIAAAACTcvMzEvMjAyNqNuig87794ICo/pMjvv3gghQ0lRLlNFSEs6MjQxOS5JUV9URVZfRUJJVERBLjIwMDAuAQAAAGlc8WwCAAAAEDYuNzYyMDk4MjI1MzUyNzMBBwAAAAUAAAABMQEAAAALLTE4OTk4NjUyMTkDAAAAATACAAAABjEwMDA2MwQAAAABMAcAAAAJNy8zMS8yMDI2CAAAAAk3LzMxLzIwMjajbooPO+/eCAqP6TI7794IJENJUS5TRUhLOjI0MTkuSVFfVEVWX1RPVEFMX1JFVi4yMDAwLgEAAABpXPFsAgAAABEwLjgzMTYzNDYwODkxMDg1NwEHAAAABQAA</t>
  </si>
  <si>
    <t>AAExAQAAAAstMTg5OTg2NTIxOQMAAAABMAIAAAAGMTAwMDYxBAAAAAEwBwAAAAk3LzMxLzIwMjYIAAAACTcvMzEvMjAyNqNuig87794ICo/pMjvv3gghQ0lRLk5ZU0U6TFcuSVFfUEVfRVhDTF9GV0QuMTAwMDIuAQAAAJZ3UBYCAAAAEDE2LjM5NTcwMTI5NTEyMjYBDQAAAAUAAAABOQEAAAAJNDA3NzIxNDY0AgAAAAc0Mjc2MzgxAwAAAAYxMDAzMDkEAAAAATIGAAAAATAHAAAAAzE2MAgAAAABMAkAAAABMQoAAAABMAsAAAALMTQ4ODQ0NDIzNjMMAAAAATcNAAAACDgvMS8yMDI2o26KDzvv3giApOgyO+/eCCFDSVEuTllTRTpMVy5JUV9QRV9FWENMX0ZXRC4xMDAwMS4BAAAAlndQFgIAAAAQMTguMTM4NDAwNTY5MDQ3OQENAAAABQAAAAE5AQAAAAk0MDc3MjE0NjQCAAAABzQyNzYzNzcDAAAABjEwMDMwOQQAAAABMgYAAAABMAcAAAADMTYwCAAAAAEwCQAAAAExCgAAAAEwCwAAAAsxNDg4NDQ0MjQ4NAwAAAABNw0AAAAIOC8xLzIwMjajbooPO+/eCICk6DI7794IJENJUS5OWVNFOkxXLklRX1RFVl9FQklUREFfRldELjEwMDAyLgEAAACWd1AWAgAAABA5LjMxNTE3OTE1MTI1MzA1AQ0AAAAFAAAAATkBAAAACTQwNzcyMTQ2NAIAAAAHNDI3NjM4MQMAAAAGMTAwMzA4BAAAAAEyBgAAAAEwBwAAAAMxNjAIAAAAATAJAAAAATEKAAAAATALAAAACzE0ODg0NDQyNDI1DAAAAAE3DQAAAAg4LzEvMjAyNqNuig87794I</t>
  </si>
  <si>
    <t>i8voMjvv3ggkQ0lRLk5ZU0U6TFcuSVFfVEVWX0VCSVREQV9GV0QuMTAwMDEuAQAAAJZ3UBYCAAAAEDEwLjE1MzA0MDIyODEzMzcBDQAAAAUAAAABOQEAAAAJNDA3NzIxNDY0AgAAAAc0Mjc2Mzc3AwAAAAYxMDAzMDgEAAAAATIGAAAAATAHAAAAAzE2MAgAAAABMAkAAAABMQoAAAABMAsAAAALMTQ4ODQ0NDI1MjcMAAAAATcNAAAACDgvMS8yMDI2o26KDzvv3giLy+gyO+/eCCNDSVEuU0VISzoyNDE5LklRX1BFX0VYQ0xfRldELjEwMDAyLgEAAABpXPFsAgAAAA8zLjE4MTM2NDY3MTI3MDUBDQAAAAUAAAABOQEAAAAKMTg1ODU0MzQ1OQIAAAAKMTAwNjIxMDczNgMAAAAGMTAwMzA5BAAAAAEzBgAAAAEwBwAAAAIzMggAAAABMAkAAAABMQoAAAABMAsAAAALMTQ4NzM2NTAwMDcMAAAAATcNAAAACDgvMS8yMDI2o26KDzvv3ggKj+kyO+/eCCNDSVEuU0VISzoyNDE5LklRX1BFX0VYQ0xfRldELjEwMDAxLgEAAABpXPFsAgAAABAxNy45Njk1MzcwMTcxNDUyAQ0AAAAFAAAAATkBAAAACjE4NTg1NDM0NTkCAAAACjEwMDU4OTA3ODgDAAAABjEwMDMwOQQAAAABMwYAAAABMAcAAAACMzIIAAAAATAJAAAAATEKAAAAATALAAAACzE0ODczNjUwMDI1DAAAAAE3DQAAAAg4LzEvMjAyNqNuig87794ICo/pMjvv3ggmQ0lRLlNFSEs6MjQxOS5JUV9URVZfRUJJVERBX0ZXRC4xMDAwMi4BAAAAaVzxbAIAAAAQMi42NTI2NTg0</t>
  </si>
  <si>
    <t>NjAxNTE5NAENAAAABQAAAAE5AQAAAAoxODU4NTQzNDU5AgAAAAoxMDA2MjEwNzM2AwAAAAYxMDAzMDgEAAAAATMGAAAAATAHAAAAAjMyCAAAAAEwCQAAAAExCgAAAAEwCwAAAAsxNDg3MzY0OTk0NwwAAAABNw0AAAAIOC8xLzIwMjajbooPO+/eCAqP6TI7794IJkNJUS5TRUhLOjI0MTkuSVFfVEVWX0VCSVREQV9GV0QuMTAwMDEuAQAAAGlc8WwCAAAAEDguMTI2NjEyOTMzOTg3NzQBDQAAAAUAAAABOQEAAAAKMTg1ODU0MzQ1OQIAAAAKMTAwNTg5MDc4OAMAAAAGMTAwMzA4BAAAAAEzBgAAAAEwBwAAAAIzMggAAAABMAkAAAABMQoAAAABMAsAAAALMTQ4NzM2NDk5NTMMAAAAATcNAAAACDgvMS8yMDI2o26KDzvv3ggKj+kyO+/eCCRDSVEuTllTRTpMVy5JUV9JTlZFTlRPUllfVFVSTlMuMjAwMC4BAAAAlndQFgIAAAAINS4wNjAyOTkBCAAAAAUAAAABMQEAAAALLTE4ODA3MDIxNDADAAAAAzE2MAIAAAAENDA4MgQAAAABMAcAAAAJNy8zMS8yMDI2CAAAAAk1LzMxLzIwMjYJAAAAATCjbooPO+/eCD4b6DI7794IHUNJUS5OWVNFOkxXLklRX0FSX1RVUk5TLjIwMDAuAQAAAJZ3UBYCAAAACDguNDczNTA1AQgAAAAFAAAAATEBAAAACy0xODgwNzAyMTQwAwAAAAMxNjACAAAABDQwMDEEAAAAATAHAAAACTcvMzEvMjAyNggAAAAJNS8zMS8yMDI2CQAAAAEwo26KDzvv3gg+G+gyO+/eCCZDSVEuTllTRTpMVy5JUV9G</t>
  </si>
  <si>
    <t>SVhFRF9BU1NFVF9UVVJOUy4yMDAwLgEAAACWd1AWAgAAAAcxLjczOTQ2AQgAAAAFAAAAATEBAAAACy0xODgwNzAyMTQwAwAAAAMxNjACAAAABDQwNjYEAAAAATAHAAAACTcvMzEvMjAyNggAAAAJNS8zMS8yMDI2CQAAAAEwo26KDzvv3gg+G+gyO+/eCCBDSVEuTllTRTpMVy5JUV9BU1NFVF9UVVJOUy4yMDAwLgEAAACWd1AWAgAAAAgwLjg5NTIwNQEIAAAABQAAAAExAQAAAAstMTg4MDcwMjE0MAMAAAADMTYwAgAAAAQ0MTc3BAAAAAEwBwAAAAk3LzMxLzIwMjYIAAAACTUvMzEvMjAyNgkAAAABMKNuig87794IPhvoMjvv3ggkQ0lRLk5ZU0U6TFcuSVFfQ0FTSF9DT05WRVJTSU9OLjIwMDAuAQAAAJZ3UBYCAAAACTczLjA0OTE1OAEIAAAABQAAAAExAQAAAAstMTg4MDcwMjE0MAMAAAADMTYwAgAAAAQ0MTg0BAAAAAEwBwAAAAk3LzMxLzIwMjYIAAAACTUvMzEvMjAyNgkAAAABMKNuig87794IPhvoMjvv3gglQ0lRLk5ZU0U6TFcuSVFfREFZU19QQVlBQkxFX09VVC4yMDAwLgEAAACWd1AWAgAAAAk0NC4wNDk1NzIBCAAAAAUAAAABMQEAAAALLTE4ODA3MDIxNDADAAAAAzE2MAIAAAAENDE4MwQAAAABMAcAAAAJNy8zMS8yMDI2CAAAAAk1LzMxLzIwMjYJAAAAATCjbooPO+/eCD4b6DI7794IJ0NJUS5OWVNFOkxXLklRX0RBWVNfSU5WRU5UT1JZX09VVC4yMDAwLgEAAACWd1AWAgAAAAk3My4zMTU1MzYBCAAA</t>
  </si>
  <si>
    <t>AAUAAAABMQEAAAALLTE4ODA3MDIxNDADAAAAAzE2MAIAAAAENDAzNQQAAAABMAcAAAAJNy8zMS8yMDI2CAAAAAk1LzMxLzIwMjYJAAAAATCjbooPO+/eCD4b6DI7794II0NJUS5OWVNFOkxXLklRX0RBWVNfU0FMRVNfT1VULjIwMDAuAQAAAJZ3UBYCAAAACTQzLjc4MzE5NAEIAAAABQAAAAExAQAAAAstMTg4MDcwMjE0MAMAAAADMTYwAgAAAAQ0MDQyBAAAAAEwBwAAAAk3LzMxLzIwMjYIAAAACTUvMzEvMjAyNgkAAAABMKNuig87794IPhvoMjvv3ggfQ0lRLk5ZU0U6TFcuSVFfUVVJQ0tfUkFUSU8uNTAwLgEAAACWd1AWAgAAAAgwLjU5ODU4NwEIAAAABQAAAAExAQAAAAstMTg4MDcwMjExOQMAAAADMTYwAgAAAAQ0MTIxBAAAAAEwBwAAAAk3LzMxLzIwMjYIAAAACTUvMzEvMjAyNgkAAAABMKNuig87794IPhvoMjvv3gghQ0lRLk5ZU0U6TFcuSVFfQ1VSUkVOVF9SQVRJTy41MDAuAQAAAJZ3UBYCAAAACDEuNDIzMTAxAQgAAAAFAAAAATEBAAAACy0xODgwNzAyMTE5AwAAAAMxNjACAAAABDQwMzAEAAAAATAHAAAACTcvMzEvMjAyNggAAAAJNS8zMS8yMDI2CQAAAAEwo26KDzvv3gg+G+gyO+/eCCxDSVEuTllTRTpMVy5JUV9SRVRVUk5fSU5WRVNURURfQ0FQSVRBTC4yMDAwLgEAAACWd1AWAgAAAAYxLjM5MTkAo26KDzvv3ggDVugyO+/eCCJDSVEuTllTRTpMVy5JUV9SRVRVUk5fQVNTRVRTLjIwMDAuAQAA</t>
  </si>
  <si>
    <t>AJZ3UBYCAAAABjYuMDMwNQEIAAAABQAAAAExAQAAAAstMTg4MDcwMjE0MAMAAAADMTYwAgAAAAQ0MTc4BAAAAAEwBwAAAAk3LzMxLzIwMjYIAAAACTUvMzEvMjAyNgkAAAABMKNuig87794IA1boMjvv3ggiQ0lRLk5ZU0U6TFcuSVFfUkVUVVJOX0VRVUlUWS4yMDAwLgEAAACWd1AWAgAAAAcxNi4yODAyAQgAAAAFAAAAATEBAAAACy0xODgwNzAyMTQwAwAAAAMxNjACAAAABDQxMjgEAAAAATAHAAAACTcvMzEvMjAyNggAAAAJNS8zMS8yMDI2CQAAAAEwo26KDzvv3ggDVugyO+/eCCZDSVEuTllTRTpMVy5JUV9UT1RBTF9ERUJUX0NBUElUQUwuNTAwLgEAAACWd1AWAgAAAAc2OC44Njg5AQgAAAAFAAAAATEBAAAACy0xODgwNzAyMTE5AwAAAAMxNjACAAAABDQxODYEAAAAATAHAAAACTcvMzEvMjAyNggAAAAJNS8zMS8yMDI2CQAAAAEwo26KDzvv3ggDVugyO+/eCCVDSVEuTllTRTpMVy5JUV9UT1RBTF9ERUJUX0VRVUlUWS41MDAuAQAAAJZ3UBYCAAAABzIyMS4yMjMBCAAAAAUAAAABMQEAAAALLTE4ODA3MDIxMTkDAAAAAzE2MAIAAAAENDAzNAQAAAABMAcAAAAJNy8zMS8yMDI2CAAAAAk1LzMxLzIwMjYJAAAAATCjbooPO+/eCANW6DI7794IJUNJUS5OWVNFOkxXLklRX0VCSVREQV9DQVBFWF9JTlQuMjAwMC4BAAAAlndQFgIAAAAIMy45NDE4MjgBCAAAAAUAAAABMQEAAAALLTE4ODA3MDIxNDADAAAAAzE2</t>
  </si>
  <si>
    <t>MAIAAAAENDE5MQQAAAABMAcAAAAJNy8zMS8yMDI2CAAAAAk1LzMxLzIwMjYJAAAAATCjbooPO+/eCANW6DI7794IH0NJUS5OWVNFOkxXLklRX0VCSVREQV9JTlQuMjAwMC4BAAAAlndQFgIAAAAINi4xNzI4NTMBCAAAAAUAAAABMQEAAAALLTE4ODA3MDIxNDADAAAAAzE2MAIAAAAENDE5MAQAAAABMAcAAAAJNy8zMS8yMDI2CAAAAAk1LzMxLzIwMjYJAAAAATCjbooPO+/eCANW6DI7794IJENJUS5OWVNFOkxXLklRX05FVF9ERUJUX0VCSVREQS4yMDAwLgEAAACWd1AWAgAAAAgzLjU2MjEwNwEIAAAABQAAAAExAQAAAAstMTg4MDcwMjE0MAMAAAADMTYwAgAAAAQ0MTkzBAAAAAEwBwAAAAk3LzMxLzIwMjYIAAAACTUvMzEvMjAyNgkAAAABMKNuig87794IA1boMjvv3ggmQ0lRLk5ZU0U6TFcuSVFfVE9UQUxfREVCVF9FQklUREEuMjAwMC4BAAAAlndQFgIAAAAIMy42MjMzMTcBCAAAAAUAAAABMQEAAAALLTE4ODA3MDIxNDADAAAAAzE2MAIAAAAENDE5MgQAAAABMAcAAAAJNy8zMS8yMDI2CAAAAAk1LzMxLzIwMjYJAAAAATCjbooPO+/eCANW6DI7794IJ0NJUS5OWVNFOkxXLklRX0VQU18xWVJfQU5OX0dST1dUSC4yMDAwLgEAAACWd1AWAgAAAAUtMTYuOAEIAAAABQAAAAExAQAAAAstMTg4MDcwMjE0MAMAAAADMTYwAgAAAAQ0MjAwBAAAAAEwBwAAAAk3LzMxLzIwMjYIAAAACTUvMzEvMjAyNgkAAAABMKNu</t>
  </si>
  <si>
    <t>ig87794IA1boMjvv3ggnQ0lRLk5ZU0U6TFcuSVFfRVBTXzFZUl9BTk5fR1JPV1RILjEwMDAuAQAAAJZ3UBYCAAAABS0xNi44AQgAAAAFAAAAATEBAAAACy0xODgwNzA0OTkzAwAAAAMxNjACAAAABDQyMDAEAAAAATAHAAAACTcvMzEvMjAyNggAAAAJNS8zMS8yMDI2CQAAAAEwo26KDzvv3ggDVugyO+/eCCVDSVEuTllTRTpMVy5JUV9FUFNfM1lSX0FOTl9DQUdSLjIwMDAuAQAAAJZ3UBYCAAAACC0zMy4xMTAzAQgAAAAFAAAAATEBAAAACy0xODgwNzAyMTQwAwAAAAMxNjACAAAABDQyMjYEAAAAATAHAAAACTcvMzEvMjAyNggAAAAJNS8zMS8yMDI2CQAAAAEwo26KDzvv3ggDVugyO+/eCCVDSVEuTllTRTpMVy5JUV9FUFNfNVlSX0FOTl9DQUdSLjIwMDAuAQAAAJZ3UBYCAAAABi0wLjc1MgEIAAAABQAAAAExAQAAAAstMTg4MDcwMjE0MAMAAAADMTYwAgAAAAQ0MjM5BAAAAAEwBwAAAAk3LzMxLzIwMjYIAAAACTUvMzEvMjAyNgkAAAABMKNuig87794IA1boMjvv3ggqQ0lRLk5ZU0U6TFcuSVFfRUJJVERBXzFZUl9BTk5fR1JPV1RILjIwMDAuAQAAAJZ3UBYCAAAACC0xMC4yNzc5AQgAAAAFAAAAATEBAAAACy0xODgwNzAyMTQwAwAAAAMxNjACAAAABDQxOTYEAAAAATAHAAAACTcvMzEvMjAyNggAAAAJNS8zMS8yMDI2CQAAAAEwo26KDzvv3ggDVugyO+/eCCpDSVEuTllTRTpMVy5JUV9FQklUREFfMVlSX0FO</t>
  </si>
  <si>
    <t>Tl9HUk9XVEguMTAwMC4BAAAAlndQFgIAAAAILTEwLjI3NzkBCAAAAAUAAAABMQEAAAALLTE4ODA3MDQ5OTMDAAAAAzE2MAIAAAAENDE5NgQAAAABMAcAAAAJNy8zMS8yMDI2CAAAAAk1LzMxLzIwMjYJAAAAATCjbooPO+/eCANW6DI7794IKENJUS5OWVNFOkxXLklRX0VCSVREQV8zWVJfQU5OX0NBR1IuMjAwMC4BAAAAlndQFgIAAAAGMC43MTAyAQgAAAAFAAAAATEBAAAACy0xODgwNzAyMTQwAwAAAAMxNjACAAAABDQyMjIEAAAAATAHAAAACTcvMzEvMjAyNggAAAAJNS8zMS8yMDI2CQAAAAEwo26KDzvv3ghDfegyO+/eCChDSVEuTllTRTpMVy5JUV9FQklUREFfNVlSX0FOTl9DQUdSLjIwMDAuAQAAAJZ3UBYCAAAABjExLjAwNQEIAAAABQAAAAExAQAAAAstMTg4MDcwMjE0MAMAAAADMTYwAgAAAAQ0MjM1BAAAAAEwBwAAAAk3LzMxLzIwMjYIAAAACTUvMzEvMjAyNgkAAAABMKNuig87794IQ33oMjvv3ggtQ0lRLk5ZU0U6TFcuSVFfVE9UQUxfUkVWXzFZUl9BTk5fR1JPV1RILjIwMDAuAQAAAJZ3UBYCAAAABjIuNDk1NgEIAAAABQAAAAExAQAAAAstMTg4MDcwMjE0MAMAAAADMTYwAgAAAAQ0MTk0BAAAAAEwBwAAAAk3LzMxLzIwMjYIAAAACTUvMzEvMjAyNgkAAAABMKNuig87794IQ33oMjvv3ggtQ0lRLk5ZU0U6TFcuSVFfVE9UQUxfUkVWXzFZUl9BTk5fR1JPV1RILjEwMDAuAQAAAJZ3UBYCAAAABjIu</t>
  </si>
  <si>
    <t>NDk1NgEIAAAABQAAAAExAQAAAAstMTg4MDcwNDk5MwMAAAADMTYwAgAAAAQ0MTk0BAAAAAEwBwAAAAk3LzMxLzIwMjYIAAAACTUvMzEvMjAyNgkAAAABMKNuig87794IQ33oMjvv3ggrQ0lRLk5ZU0U6TFcuSVFfVE9UQUxfUkVWXzNZUl9BTk5fQ0FHUi4yMDAwLgEAAACWd1AWAgAAAAY3LjMxMjQBCAAAAAUAAAABMQEAAAALLTE4ODA3MDIxNDADAAAAAzE2MAIAAAAENDIyMAQAAAABMAcAAAAJNy8zMS8yMDI2CAAAAAk1LzMxLzIwMjYJAAAAATCjbooPO+/eCEN96DI7794IK0NJUS5OWVNFOkxXLklRX1RPVEFMX1JFVl81WVJfQU5OX0NBR1IuMjAwMC4BAAAAlndQFgIAAAAHMTIuNDkwNQEIAAAABQAAAAExAQAAAAstMTg4MDcwMjE0MAMAAAADMTYwAgAAAAQ0MjMzBAAAAAEwBwAAAAk3LzMxLzIwMjYIAAAACTUvMzEvMjAyNgkAAAABMKNuig87794IQ33oMjvv3ggeQ0lRLk5ZU0U6TFcuSVFfTklfTUFSR0lOLjIwMDAuAQAAAJZ3UBYCAAAABjQuMzg1NwEIAAAABQAAAAExAQAAAAstMTg4MDcwMjE0MAMAAAADMTYwAgAAAAQ0MDk0BAAAAAEwBwAAAAk3LzMxLzIwMjYIAAAACTUvMzEvMjAyNgkAAAABMKNuig87794IQ33oMjvv3ggeQ0lRLk5ZU0U6TFcuSVFfTklfTUFSR0lOLjEwMDAuAQAAAJZ3UBYCAAAABjQuMzg1NwEIAAAABQAAAAExAQAAAAstMTg4MDcwNDk5MwMAAAADMTYwAgAAAAQ0MDk0BAAAAAEw</t>
  </si>
  <si>
    <t>BwAAAAk3LzMxLzIwMjYIAAAACTUvMzEvMjAyNgkAAAABMKNuig87794IQ33oMjvv3ggdQ0lRLk5ZU0U6TFcuSVFfTklfTUFSR0lOLjk5OS4BAAAAlndQFgIAAAAGNS41MzY4AQgAAAAFAAAAATEBAAAACy0xODgwNzA0OTIxAwAAAAMxNjACAAAABDQwOTQEAAAAATAHAAAACTcvMzEvMjAyNggAAAAJNS8yNS8yMDI1CQAAAAEwo26KDzvv3ghDfegyO+/eCB1DSVEuTllTRTpMVy5JUV9OSV9NQVJHSU4uOTk4LgEAAACWd1AWAgAAAAcxMS4yMTc0AQgAAAAFAAAAATEBAAAACy0xODgwNzA0OTk0AwAAAAMxNjACAAAABDQwOTQEAAAAATAHAAAACTcvMzEvMjAyNggAAAAJNS8yNi8yMDI0CQAAAAEwo26KDzvv3giApOgyO+/eCCJDSVEuTllTRTpMVy5JUV9FQklUREFfTUFSR0lOLjIwMDAuAQAAAJZ3UBYCAAAABzE2LjcwMDYBCAAAAAUAAAABMQEAAAALLTE4ODA3MDIxNDADAAAAAzE2MAIAAAAENDA0NwQAAAABMAcAAAAJNy8zMS8yMDI2CAAAAAk1LzMxLzIwMjYJAAAAATCjbooPO+/eCICk6DI7794IIkNJUS5OWVNFOkxXLklRX0VCSVREQV9NQVJHSU4uMTAwMC4BAAAAlndQFgIAAAAHMTYuNzAwNgEIAAAABQAAAAExAQAAAAstMTg4MDcwNDk5MwMAAAADMTYwAgAAAAQ0MDQ3BAAAAAEwBwAAAAk3LzMxLzIwMjYIAAAACTUvMzEvMjAyNgkAAAABMKNuig87794IgKToMjvv3gghQ0lRLk5ZU0U6TFcuSVFfRUJJVERB</t>
  </si>
  <si>
    <t>X01BUkdJTi45OTkuAQAAAJZ3UBYCAAAABzE5LjA3ODMBCAAAAAUAAAABMQEAAAALLTE4ODA3MDQ5MjEDAAAAAzE2MAIAAAAENDA0NwQAAAABMAcAAAAJNy8zMS8yMDI2CAAAAAk1LzI1LzIwMjUJAAAAATCjbooPO+/eCICk6DI7794IIUNJUS5OWVNFOkxXLklRX0VCSVREQV9NQVJHSU4uOTk4LgEAAACWd1AWAgAAAAcyMS41ODc2AQgAAAAFAAAAATEBAAAACy0xODgwNzA0OTk0AwAAAAMxNjACAAAABDQwNDcEAAAAATAHAAAACTcvMzEvMjAyNggAAAAJNS8yNi8yMDI0CQAAAAEwo26KDzvv3giApOgyO+/eCCFDSVEuTllTRTpMVy5JUV9HUk9TU19NQVJHSU4uMjAwMC4BAAAAlndQFgIAAAAHMjAuNjc4MQEIAAAABQAAAAExAQAAAAstMTg4MDcwMjE0MAMAAAADMTYwAgAAAAQ0MDc0BAAAAAEwBwAAAAk3LzMxLzIwMjYIAAAACTUvMzEvMjAyNgkAAAABMKNuig87794IgKToMjvv3gghQ0lRLk5ZU0U6TFcuSVFfR1JPU1NfTUFSR0lOLjEwMDAuAQAAAJZ3UBYCAAAABzIwLjY3ODEBCAAAAAUAAAABMQEAAAALLTE4ODA3MDQ5OTMDAAAAAzE2MAIAAAAENDA3NAQAAAABMAcAAAAJNy8zMS8yMDI2CAAAAAk1LzMxLzIwMjYJAAAAATCjbooPO+/eCICk6DI7794IIENJUS5OWVNFOkxXLklRX0dST1NTX01BUkdJTi45OTkuAQAAAJZ3UBYCAAAABzIyLjg0NjUBCAAAAAUAAAABMQEAAAALLTE4ODA3MDQ5MjEDAAAAAzE2</t>
  </si>
  <si>
    <t>MAIAAAAENDA3NAQAAAABMAcAAAAJNy8zMS8yMDI2CAAAAAk1LzI1LzIwMjUJAAAAATCjbooPO+/eCICk6DI7794IIENJUS5OWVNFOkxXLklRX0dST1NTX01BUkdJTi45OTguAQAAAJZ3UBYCAAAABzI3LjMxNjEBCAAAAAUAAAABMQEAAAALLTE4ODA3MDQ5OTQDAAAAAzE2MAIAAAAENDA3NAQAAAABMAcAAAAJNy8zMS8yMDI2CAAAAAk1LzI2LzIwMjQJAAAAATCjbooPO+/eCICk6DI7794IH0NJUS5OWVNFOkxXLklRX1BFUklPRERBVEUuMjAwMC4BAAAAlndQFgUAAAAKMzEvMDUvMjAyNgCjbooPO+/eCIvL6DI7794IH0NJUS5OWVNFOkxXLklRX1BFUklPRERBVEUuMTAwMC4BAAAAlndQFgUAAAAKMzEvMDUvMjAyNgCjbooPO+/eCIvL6DI7794ILUNJUS5TRUhLOjI0MTkuSVFfQ0FTSF9TVF9JTlZFU1QuNTAwLi4uRi5VU0QuSAEAAABpXPFsAgAAAAo2NzcuNzcwNTc3AQgAAAAFAAAAATEBAAAACy0xODk5ODY1MjIxAwAAAAMxNjACAAAABDEwMDIEAAAAATAHAAAACTcvMzEvMjAyNggAAAAKMTIvMzEvMjAyNQkAAAABMKNuig87794Ii8voMjvv3ggpQ0lRLlNFSEs6MjQxOS5JUV9UT1RBTF9ERUJULjUwMC4uLkYuVVNELkgBAAAAaVzxbAIAAAAKOTA1Ljg2NTgyNgEIAAAABQAAAAExAQAAAAstMTg5OTg2NTIyMQMAAAADMTYwAgAAAAQ0MTczBAAAAAEwBwAAAAk3LzMxLzIwMjYIAAAACjEyLzMxLzIwMjUJAAAA</t>
  </si>
  <si>
    <t>ATCjbooPO+/eCJvy6DI7794IKkNJUS5TRUhLOjI0MTkuSVFfUFJFRl9FUVVJVFkuNTAwLi4uRi5VU0QuSAEAAABpXPFsAwAAAAAAo26KDzvv3gib8ugyO+/eCDZDSVEuU0VISzoyNDE5LklRX01JTk9SSVRZX0lOVEVSRVNUX1RPVEFMLjUwMC4uLkYuVVNELkgBAAAAaVzxbAIAAAAJMTAuNDEzODYxAQgAAAAFAAAAATEBAAAACy0xODk5ODY1MjIxAwAAAAMxNjACAAAABDEzMTIEAAAAATAHAAAACTcvMzEvMjAyNggAAAAKMTIvMzEvMjAyNQkAAAABMKNuig87794Im/LoMjvv3ggoQ0lRLlNFSEs6MjQxOS5JUV9UT1RBTF9SRVYuMTAwMC4uLi5VU0QuSAEAAABpXPFsAgAAAAszMzExLjA4MDg0OQEIAAAABQAAAAExAQAAAAstMTg5OTg2Njg5NgMAAAADMTYwAgAAAAIyOAQAAAABMAcAAAAJNy8zMS8yMDI2CAAAAAoxMi8zMS8yMDI1CQAAAAEwo26KDzvv3gib8ugyO+/eCChDSVEuU0VISzoyNDE5LklRX1RPVEFMX1JFVi4yMDAwLi4uLlVTRC5IAQAAAGlc8WwCAAAACzMzMTEuMDgwODQ5AQgAAAAFAAAAATEBAAAACy0xODk5ODY1MjE5AwAAAAMxNjACAAAAAjI4BAAAAAEwBwAAAAk3LzMxLzIwMjYIAAAACjEyLzMxLzIwMjUJAAAAATCjbooPO+/eCJvy6DI7794IJUNJUS5TRUhLOjI0MTkuSVFfRUJJVERBLjEwMDAuLi4uVVNELkgBAAAAaVzxbAIAAAAJMzcyLjA4NDYxAQgAAAAFAAAAATEBAAAACy0xODk5ODY2</t>
  </si>
  <si>
    <t>ODk2AwAAAAMxNjACAAAABDQwNTEEAAAAATAHAAAACTcvMzEvMjAyNggAAAAKMTIvMzEvMjAyNQkAAAABMKNuig87794Im/LoMjvv3gglQ0lRLlNFSEs6MjQxOS5JUV9FQklUREEuMjAwMC4uLi5VU0QuSAEAAABpXPFsAgAAAAkzNzIuMDg0NjEBCAAAAAUAAAABMQEAAAALLTE4OTk4NjUyMTkDAAAAAzE2MAIAAAAENDA1MQQAAAABMAcAAAAJNy8zMS8yMDI2CAAAAAoxMi8zMS8yMDI1CQAAAAEwo26KDzvv3gib8ugyO+/eCC1DSVEuU0VISzoyNDE5LklRX0RJTFVUX0VQU19FWENMLjEwMDAuLi4uVVNELkgBAAAAaVzxbAIAAAAIMC41MjcxMDkBCAAAAAUAAAABMQEAAAALLTE4OTk4NjY4OTYDAAAAAzE2MAIAAAADMTQyBAAAAAEwBwAAAAk3LzMxLzIwMjYIAAAACjEyLzMxLzIwMjUJAAAAATCjbooPO+/eCJvy6DI7794ILUNJUS5TRUhLOjI0MTkuSVFfRElMVVRfRVBTX0VYQ0wuMjAwMC4uLi5VU0QuSAEAAABpXPFsAgAAAAgwLjUyNzEwOQEIAAAABQAAAAExAQAAAAstMTg5OTg2NTIxOQMAAAADMTYwAgAAAAMxNDIEAAAAATAHAAAACTcvMzEvMjAyNggAAAAKMTIvMzEvMjAyNQkAAAABMKNuig87794Im/LoMjvv3ggmQ0lRLlNFSEs6MjQxOS5JUV9JTlZFTlRPUllfVFVSTlMuMjAwMC4BAAAAaVzxbAIAAAAIMy40NDIyNDUBCAAAAAUAAAABMQEAAAALLTE4OTk4NjUyMTkDAAAAAjMyAgAAAAQ0MDgyBAAAAAEw</t>
  </si>
  <si>
    <t>BwAAAAk3LzMxLzIwMjYIAAAACjEyLzMxLzIwMjUJAAAAATCjbooPO+/eCK4Z6TI7794IH0NJUS5TRUhLOjI0MTkuSVFfQVJfVFVSTlMuMjAwMC4BAAAAaVzxbAIAAAAKODM1LjQ2NDc5MgEIAAAABQAAAAExAQAAAAstMTg5OTg2NTIxOQMAAAACMzICAAAABDQwMDEEAAAAATAHAAAACTcvMzEvMjAyNggAAAAKMTIvMzEvMjAyNQkAAAABMKNuig87794IrhnpMjvv3ggoQ0lRLlNFSEs6MjQxOS5JUV9GSVhFRF9BU1NFVF9UVVJOUy4yMDAwLgEAAABpXPFsAgAAAAgyLjA4OTY3NAEIAAAABQAAAAExAQAAAAstMTg5OTg2NTIxOQMAAAACMzICAAAABDQwNjYEAAAAATAHAAAACTcvMzEvMjAyNggAAAAKMTIvMzEvMjAyNQkAAAABMKNuig87794IrhnpMjvv3ggiQ0lRLlNFSEs6MjQxOS5JUV9BU1NFVF9UVVJOUy4yMDAwLgEAAABpXPFsAgAAAAcxLjAwODU5AQgAAAAFAAAAATEBAAAACy0xODk5ODY1MjE5AwAAAAIzMgIAAAAENDE3NwQAAAABMAcAAAAJNy8zMS8yMDI2CAAAAAoxMi8zMS8yMDI1CQAAAAEwo26KDzvv3giuGekyO+/eCCZDSVEuU0VISzoyNDE5LklRX0NBU0hfQ09OVkVSU0lPTi4yMDAwLgEAAABpXPFsAgAAAAk2Ny4yOTY4NzUBCAAAAAUAAAABMQEAAAALLTE4OTk4NjUyMTkDAAAAAjMyAgAAAAQ0MTg0BAAAAAEwBwAAAAk3LzMxLzIwMjYIAAAACjEyLzMxLzIwMjUJAAAAATCjbooPO+/eCK4Z6TI7</t>
  </si>
  <si>
    <t>794IJ0NJUS5TRUhLOjI0MTkuSVFfREFZU19QQVlBQkxFX09VVC4yMDAwLgEAAABpXPFsAgAAAAkzOS4xNzUwODUBCAAAAAUAAAABMQEAAAALLTE4OTk4NjUyMTkDAAAAAjMyAgAAAAQ0MTgzBAAAAAEwBwAAAAk3LzMxLzIwMjYIAAAACjEyLzMxLzIwMjUJAAAAATCjbooPO+/eCK4Z6TI7794IKUNJUS5TRUhLOjI0MTkuSVFfREFZU19JTlZFTlRPUllfT1VULjIwMDAuAQAAAGlc8WwCAAAACTEwNi4wMzU0MgEIAAAABQAAAAExAQAAAAstMTg5OTg2NTIxOQMAAAACMzICAAAABDQwMzUEAAAAATAHAAAACTcvMzEvMjAyNggAAAAKMTIvMzEvMjAyNQkAAAABMKNuig87794IrhnpMjvv3gglQ0lRLlNFSEs6MjQxOS5JUV9EQVlTX1NBTEVTX09VVC4yMDAwLgEAAABpXPFsAgAAAAcwLjQzNjU0AQgAAAAFAAAAATEBAAAACy0xODk5ODY1MjE5AwAAAAIzMgIAAAAENDA0MgQAAAABMAcAAAAJNy8zMS8yMDI2CAAAAAoxMi8zMS8yMDI1CQAAAAEwo26KDzvv3giuGekyO+/eCCFDSVEuU0VISzoyNDE5LklRX1FVSUNLX1JBVElPLjUwMC4BAAAAaVzxbAIAAAAIMC41OTIwNjkBCAAAAAUAAAABMQEAAAALLTE4OTk4NjUyMjEDAAAAAjMyAgAAAAQ0MTIxBAAAAAEwBwAAAAk3LzMxLzIwMjYIAAAACjEyLzMxLzIwMjUJAAAAATCjbooPO+/eCK4Z6TI7794II0NJUS5TRUhLOjI0MTkuSVFfQ1VSUkVOVF9SQVRJTy41MDAuAQAA</t>
  </si>
  <si>
    <t>AGlc8WwCAAAABzEuMzgwNzcBCAAAAAUAAAABMQEAAAALLTE4OTk4NjUyMjEDAAAAAjMyAgAAAAQ0MDMwBAAAAAEwBwAAAAk3LzMxLzIwMjYIAAAACjEyLzMxLzIwMjUJAAAAATCjbooPO+/eCK4Z6TI7794ILkNJUS5TRUhLOjI0MTkuSVFfUkVUVVJOX0lOVkVTVEVEX0NBUElUQUwuMjAwMC4BAAAAaVzxbAIAAAAGNi40MjU4AKNuig87794IrhnpMjvv3ggkQ0lRLlNFSEs6MjQxOS5JUV9SRVRVUk5fQVNTRVRTLjIwMDAuAQAAAGlc8WwCAAAABjQuMTQzNgEIAAAABQAAAAExAQAAAAstMTg5OTg2NTIxOQMAAAACMzICAAAABDQxNzgEAAAAATAHAAAACTcvMzEvMjAyNggAAAAKMTIvMzEvMjAyNQkAAAABMKNuig87794IrhnpMjvv3ggkQ0lRLlNFSEs6MjQxOS5JUV9SRVRVUk5fRVFVSVRZLjIwMDAuAQAAAGlc8WwCAAAABzE2Ljc5NzkBCAAAAAUAAAABMQEAAAALLTE4OTk4NjUyMTkDAAAAAjMyAgAAAAQ0MTI4BAAAAAEwBwAAAAk3LzMxLzIwMjYIAAAACjEyLzMxLzIwMjUJAAAAATCjbooPO+/eCO1A6TI7794IKENJUS5TRUhLOjI0MTkuSVFfVE9UQUxfREVCVF9DQVBJVEFMLjUwMC4BAAAAaVzxbAIAAAAHNDEuNTEwNAEIAAAABQAAAAExAQAAAAstMTg5OTg2NTIyMQMAAAACMzICAAAABDQxODYEAAAAATAHAAAACTcvMzEvMjAyNggAAAAKMTIvMzEvMjAyNQkAAAABMKNuig87794I7UDpMjvv3ggnQ0lRLlNF</t>
  </si>
  <si>
    <t>SEs6MjQxOS5JUV9UT1RBTF9ERUJUX0VRVUlUWS41MDAuAQAAAGlc8WwCAAAABzcwLjk3MDYBCAAAAAUAAAABMQEAAAALLTE4OTk4NjUyMjEDAAAAAjMyAgAAAAQ0MDM0BAAAAAEwBwAAAAk3LzMxLzIwMjYIAAAACjEyLzMxLzIwMjUJAAAAATCjbooPO+/eCO1A6TI7794IJ0NJUS5TRUhLOjI0MTkuSVFfRUJJVERBX0NBUEVYX0lOVC4yMDAwLgEAAABpXPFsAgAAAAgzLjk0Mzg4NAEIAAAABQAAAAExAQAAAAstMTg5OTg2NTIxOQMAAAACMzICAAAABDQxOTEEAAAAATAHAAAACTcvMzEvMjAyNggAAAAKMTIvMzEvMjAyNQkAAAABMKNuig87794I7UDpMjvv3gghQ0lRLlNFSEs6MjQxOS5JUV9FQklUREFfSU5ULjIwMDAuAQAAAGlc8WwCAAAACTEwLjI1NDA5MQEIAAAABQAAAAExAQAAAAstMTg5OTg2NTIxOQMAAAACMzICAAAABDQxOTAEAAAAATAHAAAACTcvMzEvMjAyNggAAAAKMTIvMzEvMjAyNQkAAAABMKNuig87794I7UDpMjvv3ggmQ0lRLlNFSEs6MjQxOS5JUV9ORVRfREVCVF9FQklUREEuMjAwMC4BAAAAaVzxbAIAAAAIMC41NjAxMzgBCAAAAAUAAAABMQEAAAALLTE4OTk4NjUyMTkDAAAAAjMyAgAAAAQ0MTkzBAAAAAEwBwAAAAk3LzMxLzIwMjYIAAAACjEyLzMxLzIwMjUJAAAAATCjbooPO+/eCO1A6TI7794IKENJUS5TRUhLOjI0MTkuSVFfVE9UQUxfREVCVF9FQklUREEuMjAwMC4BAAAAaVzxbAIA</t>
  </si>
  <si>
    <t>AAAIMi4yMjQ1NTQBCAAAAAUAAAABMQEAAAALLTE4OTk4NjUyMTkDAAAAAjMyAgAAAAQ0MTkyBAAAAAEwBwAAAAk3LzMxLzIwMjYIAAAACjEyLzMxLzIwMjUJAAAAATCjbooPO+/eCO1A6TI7794IKUNJUS5TRUhLOjI0MTkuSVFfRVBTXzFZUl9BTk5fR1JPV1RILjIwMDAuAQAAAGlc8WwCAAAACC01NC42Mjc5AQgAAAAFAAAAATEBAAAACy0xODk5ODY1MjE5AwAAAAIzMgIAAAAENDIwMAQAAAABMAcAAAAJNy8zMS8yMDI2CAAAAAoxMi8zMS8yMDI1CQAAAAEwo26KDzvv3gjtQOkyO+/eCClDSVEuU0VISzoyNDE5LklRX0VQU18xWVJfQU5OX0dST1dUSC4xMDAwLgEAAABpXPFsAgAAAAgtNTQuNjI3OQEIAAAABQAAAAExAQAAAAstMTg5OTg2Njg5NgMAAAACMzICAAAABDQyMDAEAAAAATAHAAAACTcvMzEvMjAyNggAAAAKMTIvMzEvMjAyNQkAAAABMKNuig87794I7UDpMjvv3ggnQ0lRLlNFSEs6MjQxOS5JUV9FUFNfM1lSX0FOTl9DQUdSLjIwMDAuAQAAAGlc8WwCAAAABzEwLjM1OTIBCAAAAAUAAAABMQEAAAALLTE4OTk4NjUyMTkDAAAAAjMyAgAAAAQ0MjI2BAAAAAEwBwAAAAk3LzMxLzIwMjYIAAAACjEyLzMxLzIwMjUJAAAAATCjbooPO+/eCO1A6TI7794IJ0NJUS5TRUhLOjI0MTkuSVFfRVBTXzVZUl9BTk5fQ0FHUi4yMDAwLgEAAABpXPFsAgAAAAgtMTcuNjg1OAEIAAAABQAAAAExAQAAAAstMTg5OTg2</t>
  </si>
  <si>
    <t>NTIxOQMAAAACMzICAAAABDQyMzkEAAAAATAHAAAACTcvMzEvMjAyNggAAAAKMTIvMzEvMjAyNQkAAAABMKNuig87794I7UDpMjvv3ggsQ0lRLlNFSEs6MjQxOS5JUV9FQklUREFfMVlSX0FOTl9HUk9XVEguMjAwMC4BAAAAaVzxbAIAAAAILTQ0LjgyMDIBCAAAAAUAAAABMQEAAAALLTE4OTk4NjUyMTkDAAAAAjMyAgAAAAQ0MTk2BAAAAAEwBwAAAAk3LzMxLzIwMjYIAAAACjEyLzMxLzIwMjUJAAAAATCjbooPO+/eCO1A6TI7794ILENJUS5TRUhLOjI0MTkuSVFfRUJJVERBXzFZUl9BTk5fR1JPV1RILjEwMDAuAQAAAGlc8WwCAAAACC00NC44MjAyAQgAAAAFAAAAATEBAAAACy0xODk5ODY2ODk2AwAAAAIzMgIAAAAENDE5NgQAAAABMAcAAAAJNy8zMS8yMDI2CAAAAAoxMi8zMS8yMDI1CQAAAAEwo26KDzvv3gjtQOkyO+/eCCpDSVEuU0VISzoyNDE5LklRX0VCSVREQV8zWVJfQU5OX0NBR1IuMjAwMC4BAAAAaVzxbAIAAAAHMjIuNDIwNAEIAAAABQAAAAExAQAAAAstMTg5OTg2NTIxOQMAAAACMzICAAAABDQyMjIEAAAAATAHAAAACTcvMzEvMjAyNggAAAAKMTIvMzEvMjAyNQkAAAABMKNuig87794I+WfpMjvv3ggqQ0lRLlNFSEs6MjQxOS5JUV9FQklUREFfNVlSX0FOTl9DQUdSLjIwMDAuAQAAAGlc8WwCAAAABjAuMDI5MwEIAAAABQAAAAExAQAAAAstMTg5OTg2NTIxOQMAAAACMzICAAAABDQyMzUEAAAA</t>
  </si>
  <si>
    <t>ATAHAAAACTcvMzEvMjAyNggAAAAKMTIvMzEvMjAyNQkAAAABMKNuig87794I+WfpMjvv3ggvQ0lRLlNFSEs6MjQxOS5JUV9UT1RBTF9SRVZfMVlSX0FOTl9HUk9XVEguMjAwMC4BAAAAaVzxbAIAAAAGMy4wOTM4AQgAAAAFAAAAATEBAAAACy0xODk5ODY1MjE5AwAAAAIzMgIAAAAENDE5NAQAAAABMAcAAAAJNy8zMS8yMDI2CAAAAAoxMi8zMS8yMDI1CQAAAAEwo26KDzvv3gj5Z+kyO+/eCC9DSVEuU0VISzoyNDE5LklRX1RPVEFMX1JFVl8xWVJfQU5OX0dST1dUSC4xMDAwLgEAAABpXPFsAgAAAAYzLjA5MzgBCAAAAAUAAAABMQEAAAALLTE4OTk4NjY4OTYDAAAAAjMyAgAAAAQ0MTk0BAAAAAEwBwAAAAk3LzMxLzIwMjYIAAAACjEyLzMxLzIwMjUJAAAAATCjbooPO+/eCPln6TI7794ILUNJUS5TRUhLOjI0MTkuSVFfVE9UQUxfUkVWXzNZUl9BTk5fQ0FHUi4yMDAwLgEAAABpXPFsAgAAAAcxNS40ODM0AQgAAAAFAAAAATEBAAAACy0xODk5ODY1MjE5AwAAAAIzMgIAAAAENDIyMAQAAAABMAcAAAAJNy8zMS8yMDI2CAAAAAoxMi8zMS8yMDI1CQAAAAEwo26KDzvv3gj5Z+kyO+/eCC1DSVEuU0VISzoyNDE5LklRX1RPVEFMX1JFVl81WVJfQU5OX0NBR1IuMjAwMC4BAAAAaVzxbAIAAAAGMjMuMjQzAQgAAAAFAAAAATEBAAAACy0xODk5ODY1MjE5AwAAAAIzMgIAAAAENDIzMwQAAAABMAcAAAAJNy8zMS8yMDI2</t>
  </si>
  <si>
    <t>CAAAAAoxMi8zMS8yMDI1CQAAAAEwo26KDzvv3gj5Z+kyO+/eCCBDSVEuU0VISzoyNDE5LklRX05JX01BUkdJTi4yMDAwLgEAAABpXPFsAgAAAAY2LjE4ODcBCAAAAAUAAAABMQEAAAALLTE4OTk4NjUyMTkDAAAAAjMyAgAAAAQ0MDk0BAAAAAEwBwAAAAk3LzMxLzIwMjYIAAAACjEyLzMxLzIwMjUJAAAAATCjbooPO+/eCPln6TI7794IIENJUS5TRUhLOjI0MTkuSVFfTklfTUFSR0lOLjEwMDAuAQAAAGlc8WwCAAAABjYuMTg4NwEIAAAABQAAAAExAQAAAAstMTg5OTg2Njg5NgMAAAACMzICAAAABDQwOTQEAAAAATAHAAAACTcvMzEvMjAyNggAAAAKMTIvMzEvMjAyNQkAAAABMKNuig87794I+WfpMjvv3ggfQ0lRLlNFSEs6MjQxOS5JUV9OSV9NQVJHSU4uOTk5LgEAAABpXPFsAgAAAAcxNC4wNjY0AQgAAAAFAAAAATEBAAAACy0xODk5ODY2OTAyAwAAAAIzMgIAAAAENDA5NAQAAAABMAcAAAAJNy8zMS8yMDI2CAAAAAoxMi8zMS8yMDI0CQAAAAEwo26KDzvv3gj5Z+kyO+/eCB9DSVEuU0VISzoyNDE5LklRX05JX01BUkdJTi45OTguAQAAAGlc8WwCAAAACC0xMC45ODc4AQgAAAAFAAAAATEBAAAACy0xOTUyNzU1NDk2AwAAAAIzMgIAAAAENDA5NAQAAAABMAcAAAAJNy8zMS8yMDI2CAAAAAoxMi8zMS8yMDIzCQAAAAEwo26KDzvv3gj5Z+kyO+/eCCRDSVEuU0VISzoyNDE5LklRX0VCSVREQV9NQVJHSU4uMjAw</t>
  </si>
  <si>
    <t>MC4BAAAAaVzxbAIAAAAHMTEuMjM3NQEIAAAABQAAAAExAQAAAAstMTg5OTg2NTIxOQMAAAACMzICAAAABDQwNDcEAAAAATAHAAAACTcvMzEvMjAyNggAAAAKMTIvMzEvMjAyNQkAAAABMKNuig87794I+WfpMjvv3ggkQ0lRLlNFSEs6MjQxOS5JUV9FQklUREFfTUFSR0lOLjEwMDAuAQAAAGlc8WwCAAAABzExLjIzNzUBCAAAAAUAAAABMQEAAAALLTE4OTk4NjY4OTYDAAAAAjMyAgAAAAQ0MDQ3BAAAAAEwBwAAAAk3LzMxLzIwMjYIAAAACjEyLzMxLzIwMjUJAAAAATCjbooPO+/eCPln6TI7794II0NJUS5TRUhLOjI0MTkuSVFfRUJJVERBX01BUkdJTi45OTkuAQAAAGlc8WwCAAAABzIwLjk5NTQBCAAAAAUAAAABMQEAAAALLTE4OTk4NjY5MDIDAAAAAjMyAgAAAAQ0MDQ3BAAAAAEwBwAAAAk3LzMxLzIwMjYIAAAACjEyLzMxLzIwMjQJAAAAATCjbooPO+/eCPln6TI7794II0NJUS5TRUhLOjI0MTkuSVFfRUJJVERBX01BUkdJTi45OTguAQAAAGlc8WwCAAAABy0yLjY1MjkBCAAAAAUAAAABMQEAAAALLTE5NTI3NTU0OTYDAAAAAjMyAgAAAAQ0MDQ3BAAAAAEwBwAAAAk3LzMxLzIwMjYIAAAACjEyLzMxLzIwMjMJAAAAATCjbooPO+/eCPln6TI7794II0NJUS5TRUhLOjI0MTkuSVFfR1JPU1NfTUFSR0lOLjIwMDAuAQAAAGlc8WwCAAAABzEzLjU5NTUBCAAAAAUAAAABMQEAAAALLTE4OTk4NjUyMTkDAAAAAjMy</t>
  </si>
  <si>
    <t>AgAAAAQ0MDc0BAAAAAEwBwAAAAk3LzMxLzIwMjYIAAAACjEyLzMxLzIwMjUJAAAAATCjbooPO+/eCPln6TI7794II0NJUS5TRUhLOjI0MTkuSVFfR1JPU1NfTUFSR0lOLjEwMDAuAQAAAGlc8WwCAAAABzEzLjU5NTUBCAAAAAUAAAABMQEAAAALLTE4OTk4NjY4OTYDAAAAAjMyAgAAAAQ0MDc0BAAAAAEwBwAAAAk3LzMxLzIwMjYIAAAACjEyLzMxLzIwMjUJAAAAATCjbooPO+/eCAqP6TI7794IIkNJUS5TRUhLOjI0MTkuSVFfR1JPU1NfTUFSR0lOLjk5OS4BAAAAaVzxbAIAAAAHMjMuMDEyNgEIAAAABQAAAAExAQAAAAstMTg5OTg2NjkwMgMAAAACMzICAAAABDQwNzQEAAAAATAHAAAACTcvMzEvMjAyNggAAAAKMTIvMzEvMjAyNAkAAAABMKNuig87794ICo/pMjvv3ggiQ0lRLlNFSEs6MjQxOS5JUV9HUk9TU19NQVJHSU4uOTk4LgEAAABpXPFsAgAAAAYwLjc3MDMBCAAAAAUAAAABMQEAAAALLTE5NTI3NTU0OTYDAAAAAjMyAgAAAAQ0MDc0BAAAAAEwBwAAAAk3LzMxLzIwMjYIAAAACjEyLzMxLzIwMjMJAAAAATCjbooPO+/eCAqP6TI7794IIUNJUS5TRUhLOjI0MTkuSVFfUEVSSU9EREFURS4yMDAwLgEAAABpXPFsBQAAAAozMS8xMi8yMDI1AKNuig87794IGbbpMjvv3gghQ0lRLlNFSEs6MjQxOS5JUV9QRVJJT0REQVRFLjEwMDAuAQAAAGlc8WwFAAAACjMxLzEyLzIwMjUAo26KDzvv3ggZtukyO+/eCCtD</t>
  </si>
  <si>
    <t>SVEuU0VISzoyNDE5LklRX1JFVkVOVUVfRVNULjEwMDAxLi4uLlVTRC5IAQAAAGlc8WwCAAAAEDM3NzAuOTIyNDQzNzE3MjYBDgAAAAUAAAACMTEBAAAAATACAAAACjEwMDU4OTA3ODgDAAAABjEwMDE4MAQAAAABMwYAAAABMAcAAAADMTYwCAAAAAEwCQAAAAExCgAAAAEwCwAAAAsxNDg3MzY0OTk3NwwAAAABNw0AAAAIOC8xLzIwMjYQAAAACTcvMzEvMjAyNqNuig87794Im/LoMjvv3ggrQ0lRLlNFSEs6MjQxOS5JUV9SRVZFTlVFX0VTVC4xMDAwMi4uLi5VU0QuSAEAAABpXPFsAgAAABA1MjcwLjQ0NzQxNDg4MDgzAQ4AAAAFAAAAAjExAQAAAAEwAgAAAAoxMDA2MjEwNzM2AwAAAAYxMDAxODAEAAAAATMGAAAAATAHAAAAAzE2MAgAAAABMAkAAAABMQoAAAABMAsAAAALMTQ4NzM2NDk5NjUMAAAAATcNAAAACDgvMS8yMDI2EAAAAAk3LzMxLzIwMjajbooPO+/eCJvy6DI7794IKkNJUS5TRUhLOjI0MTkuSVFfRUJJVERBX0VTVC4xMDAwMS4uLi5VU0QuSAEAAABpXPFsAgAAABAzMzYuMzI1Mzk0NzgzNTcxAQ4AAAAFAAAAAjExAQAAAAEwAgAAAAoxMDA1ODkwNzg4AwAAAAYxMDAxODcEAAAAATMGAAAAATAHAAAAAzE2MAgAAAABMAkAAAABMQoAAAABMAsAAAALMTQ4NzM2NDk5NTMMAAAAATcNAAAACDgvMS8yMDI2EAAAAAk3LzMxLzIwMjajbooPO+/eCJvy6DI7794IKkNJUS5TRUhLOjI0MTkuSVFfRUJJVERB</t>
  </si>
  <si>
    <t>X0VTVC4xMDAwMi4uLi5VU0QuSAEAAABpXPFsAgAAABAxMDMwLjM1NzQxMTAwMjc1AQ4AAAAFAAAAAjExAQAAAAEwAgAAAAoxMDA2MjEwNzM2AwAAAAYxMDAxODcEAAAAATMGAAAAATAHAAAAAzE2MAgAAAABMAkAAAABMQoAAAABMAsAAAALMTQ4NzM2NDk5NDcMAAAAATcNAAAACDgvMS8yMDI2EAAAAAk3LzMxLzIwMjajbooPO+/eCJvy6DI7794IJ0NJUS5TRUhLOjI0MTkuSVFfRVBTX0VTVC4xMDAwMS4uLi5VU0QuSAEAAABpXPFsAgAAAA8wLjM2MDUxNDAwNDMyOTYBDgAAAAUAAAACMTEBAAAACjE4NTg1NDM0NTkCAAAACjEwMDU4OTA3ODgDAAAABjEwMDE3MwQAAAABMwYAAAABMAcAAAADMTYwCAAAAAEwCQAAAAExCgAAAAEwCwAAAAsxNDg3MzY1MDAyNQwAAAABNw0AAAAIOC8xLzIwMjYQAAAACTcvMzEvMjAyNqNuig87794IrhnpMjvv3ggnQ0lRLlNFSEs6MjQxOS5JUV9FUFNfRVNULjEwMDAyLi4uLlVTRC5IAQAAAGlc8WwCAAAAEDIuMDM2MzE3ODc0Njg1MTYBDgAAAAUAAAACMTEBAAAACjE4NTg1NDM0NTkCAAAACjEwMDYyMTA3MzYDAAAABjEwMDE3MwQAAAABMwYAAAABMAcAAAADMTYwCAAAAAEwCQAAAAExCgAAAAEwCwAAAAsxNDg3MzY1MDAwNwwAAAABNw0AAAAIOC8xLzIwMjYQAAAACTcvMzEvMjAyNqNuig87794IrhnpMjvv3ggfQ0lRLlNaU0U6MzAwNzYxLklRX0NPTVBBTllfTkFNRQEAAADv</t>
  </si>
  <si>
    <t>78cTAwAAACJKaWFuZ3N1IExpaHVhIEZvb2RzIEdyb3VwIENvLiwgTHRkAP6HsA87794IJankMjvv3gggQ0lRLk5BU0RBUUdTOktIQy5JUV9DT01QQU5ZX05BTUUBAAAAxD4EAAMAAAAXVGhlIEtyYWZ0IEhlaW56IENvbXBhbnkA/oewDzvv3giOleUyO+/eCB1DSVEuTllTRTpQT1NULklRX0NPTVBBTllfTkFNRQEAAACPvWYIAwAAABNQb3N0IEhvbGRpbmdzLCBJbmMuAP6HsA87794IqlnmMjvv3gghQ0lRLk5BU0RBUUdNOlZJVEwuSVFfQ09NUEFOWV9OQU1FAQAAAJHszw0DAAAAEVZpdGFsIEZhcm1zLCBJbmMuAP6HsA87794I3DDnMjvv3ggcQ0lRLk5ZU0U6R0lTLklRX0NPTVBBTllfTkFNRQEAAAAbMQQAAwAAABNHZW5lcmFsIE1pbGxzLCBJbmMuABevsA87794IKPTnMjvv3ggnQ0lRLlNaU0U6MzAwNzYxLklRX0xBU1RTQUxFUFJJQ0UuLlVTRC5IAQAAAO/vxxMCAAAADTIuODIzMTc3NTg4MTEAF6+wDzvv3ggA0uMyO+/eCCJDSVEuU1pTRTozMDA3NjEuSVFfWUVBUkhJR0guLlVTRC5IAQAAAO/vxxMCAAAADDMuNzYwMjg4OTc0MgAXr7APO+/eCADS4zI7794IIUNJUS5TWlNFOjMwMDc2MS5JUV9ZRUFSTE9XLi5VU0QuSAEAAADv78cTAgAAAA0yLjI5NjE0NDk2MDIzABevsA87794IANLjMjvv3gglQ0lRLlNaU0U6MzAwNzYxLklRX1NIQVJFU09VVFNUQU5ESU5HLgEAAADv78cTAgAAAAo4NDYuMzM3MzIx</t>
  </si>
  <si>
    <t>ABevsA87794IJankMjvv3ggoQ0lRLk5BU0RBUUdTOktIQy5JUV9MQVNUU0FMRVBSSUNFLi5VU0QuSAEAAADEPgQAAgAAAAYyNS45NjUAF6+wDzvv3gglqeQyO+/eCCNDSVEuTkFTREFRR1M6S0hDLklRX1lFQVJISUdILi5VU0QuSAEAAADEPgQAAgAAAAQyOC4xABevsA87794IJankMjvv3ggiQ0lRLk5BU0RBUUdTOktIQy5JUV9ZRUFSTE9XLi5VU0QuSAEAAADEPgQAAgAAAAYyMS4wMzUAF6+wDzvv3gglqeQyO+/eCCZDSVEuTkFTREFRR1M6S0hDLklRX1NIQVJFU09VVFNUQU5ESU5HLgEAAADEPgQAAgAAAAsxMTg1Ljc3NzYzOAAXr7APO+/eCI6V5TI7794IIENJUS5OWVNFOlBPU1QuSVFfWUVBUkhJR0guLlVTRC5IAQAAAI+9ZggCAAAABjExNy4yOAAXr7APO+/eCI6V5TI7794IH0NJUS5OWVNFOlBPU1QuSVFfWUVBUkxPVy4uVVNELkgBAAAAj71mCAIAAAAFODMuODkAF6+wDzvv3giOleUyO+/eCCVDSVEuTllTRTpQT1NULklRX0xBU1RTQUxFUFJJQ0UuLlVTRC5IAQAAAI+9ZggCAAAABjkxLjU1NQAXr7APO+/eCI6V5TI7794II0NJUS5OWVNFOlBPU1QuSVFfU0hBUkVTT1VUU1RBTkRJTkcuAQAAAI+9ZggCAAAACTQ1LjMyMjU4NgAXr7APO+/eCKpZ5jI7794IKUNJUS5OQVNEQVFHTTpWSVRMLklRX0xBU1RTQUxFUFJJQ0UuLlVTRC5IAQAAAJHszw0CAAAABTEyLjc1ABevsA87794IqlnmMjvv3ggjQ0lR</t>
  </si>
  <si>
    <t>Lk5BU0RBUUdNOlZJVEwuSVFfWUVBUkxPVy4uVVNELkgBAAAAkezPDQIAAAAENy45NQAXr7APO+/eCKpZ5jI7794IJENJUS5OQVNEQVFHTTpWSVRMLklRX1lFQVJISUdILi5VU0QuSAEAAACR7M8NAgAAAAY1My4xMjUAF6+wDzvv3giqWeYyO+/eCCdDSVEuTkFTREFRR006VklUTC5JUV9TSEFSRVNPVVRTVEFORElORy4BAAAAkezPDQIAAAAJNDIuODQ4NDU0ABevsA87794I3DDnMjvv3ggkQ0lRLk5ZU0U6R0lTLklRX0xBU1RTQUxFUFJJQ0UuLlVTRC5IAQAAABsxBAACAAAABTM1Ljg1ABevsA87794I3DDnMjvv3ggfQ0lRLk5ZU0U6R0lTLklRX1lFQVJISUdILi5VU0QuSAEAAAAbMQQAAgAAAAU1MS4zMwAXr7APO+/eCNww5zI7794IHkNJUS5OWVNFOkdJUy5JUV9ZRUFSTE9XLi5VU0QuSAEAAAAbMQQAAgAAAAUzMS43NQAXr7APO+/eCNww5zI7794IIkNJUS5OWVNFOkdJUy5JUV9TSEFSRVNPVVRTVEFORElORy4BAAAAGzEEAAIAAAAKNTMzLjcwODM5NgAXr7APO+/eCCj05zI7794II0NJUS5OWVNFOkxXLklRX0xBU1RTQUxFUFJJQ0UuLlVTRC5IAQAAAJZ3UBYCAAAABTUyLjM2ABevsA87794IKPTnMjvv3ggeQ0lRLk5ZU0U6TFcuSVFfWUVBUkhJR0guLlVTRC5IAQAAAJZ3UBYCAAAABTY3LjA3ABevsA87794IKPTnMjvv3ggdQ0lRLk5ZU0U6TFcuSVFfWUVBUkxPVy4uVVNELkgBAAAAlndQFgIAAAAFMzcu</t>
  </si>
  <si>
    <t>NjIAF6+wDzvv3ggo9OcyO+/eCClDSVEuTllTRTpMVy5JUV9SRVZFTlVFX0VTVC4xMDAwMS4uLi5VU0QuSAEAAACWd1AWAgAAAAg2NjA2LjkyNQEOAAAABQAAAAIxMQEAAAABMAIAAAAHNDI3NjM3NwMAAAAGMTAwMTgwBAAAAAEyBgAAAAEwBwAAAAMxNjAIAAAAATAJAAAAATEKAAAAATALAAAACzE0ODg0NDQyNDc1DAAAAAE3DQAAAAg4LzEvMjAyNhAAAAAJNy8zMS8yMDI2F6+wDzvv3gg+G+gyO+/eCClDSVEuTllTRTpMVy5JUV9SRVZFTlVFX0VTVC4xMDAwMi4uLi5VU0QuSAEAAACWd1AWAgAAAAk2NTc0LjcyMjgBDgAAAAUAAAACMTEBAAAAATACAAAABzQyNzYzODEDAAAABjEwMDE4MAQAAAABMgYAAAABMAcAAAADMTYwCAAAAAEwCQAAAAExCgAAAAEwCwAAAAsxNDg4NDQ0MjQyMQwAAAABNw0AAAAIOC8xLzIwMjYQAAAACTcvMzEvMjAyNhevsA87794IPhvoMjvv3ggoQ0lRLk5ZU0U6TFcuSVFfRUJJVERBX0VTVC4xMDAwMS4uLi5VU0QuSAEAAACWd1AWAgAAAAkxMTE2LjAyMTIBDgAAAAUAAAACMTEBAAAAATACAAAABzQyNzYzNzcDAAAABjEwMDE4NwQAAAABMgYAAAABMAcAAAADMTYwCAAAAAEwCQAAAAExCgAAAAEwCwAAAAsxNDg4NDQ0MjUyNwwAAAABNw0AAAAIOC8xLzIwMjYQAAAACTcvMzEvMjAyNhevsA87794IPhvoMjvv3ggoQ0lRLk5ZU0U6TFcuSVFfRUJJVERBX0VTVC4xMDAwMi4uLi5VU0Qu</t>
  </si>
  <si>
    <t>SAEAAACWd1AWAgAAAAkxMjE2LjQwMjYBDgAAAAUAAAACMTEBAAAAATACAAAABzQyNzYzODEDAAAABjEwMDE4NwQAAAABMgYAAAABMAcAAAADMTYwCAAAAAEwCQAAAAExCgAAAAEwCwAAAAsxNDg4NDQ0MjQyNQwAAAABNw0AAAAIOC8xLzIwMjYQAAAACTcvMzEvMjAyNhevsA87794IPhvoMjvv3gglQ0lRLk5ZU0U6TFcuSVFfRVBTX0VTVC4xMDAwMS4uLi5VU0QuSAEAAACWd1AWAgAAAAYyLjk1MjMBDgAAAAUAAAACMTEBAAAACTQwNzcyMTQ2NAIAAAAHNDI3NjM3NwMAAAAGMTAwMTczBAAAAAEyBgAAAAEwBwAAAAMxNjAIAAAAATAJAAAAATEKAAAAATALAAAACzE0ODg0NDQyNDg0DAAAAAE3DQAAAAg4LzEvMjAyNhAAAAAJNy8zMS8yMDI2F6+wDzvv3gg+G+gyO+/eCCVDSVEuTllTRTpMVy5JUV9FUFNfRVNULjEwMDAyLi4uLlVTRC5IAQAAAJZ3UBYCAAAABjMuMjY2MQEOAAAABQAAAAIxMQEAAAAJNDA3NzIxNDY0AgAAAAc0Mjc2MzgxAwAAAAYxMDAxNzMEAAAAATIGAAAAATAHAAAAAzE2MAgAAAABMAkAAAABMQoAAAABMAsAAAALMTQ4ODQ0NDIzNjMMAAAAATcNAAAACDgvMS8yMDI2EAAAAAk3LzMxLzIwMjYXr7APO+/eCD4b6DI7794IK0NJUS5OWVNFOkxXLklRX0NBU0hfU1RfSU5WRVNULjUwMC4uLkYuVVNELkgBAAAAlndQFgIAAAAENjguMgEIAAAABQAAAAExAQAAAAstMTg4MDcwMjExOQMAAAADMTYw</t>
  </si>
  <si>
    <t>AgAAAAQxMDAyBAAAAAEwBwAAAAk3LzMxLzIwMjYIAAAACTUvMzEvMjAyNgkAAAABMD8ksQ87794IKPTnMjvv3ggnQ0lRLk5ZU0U6TFcuSVFfVE9UQUxfREVCVC41MDAuLi5GLlVTRC5IAQAAAJZ3UBYCAAAABjQwMzcuMQEIAAAABQAAAAExAQAAAAstMTg4MDcwMjExOQMAAAADMTYwAgAAAAQ0MTczBAAAAAEwBwAAAAk3LzMxLzIwMjYIAAAACTUvMzEvMjAyNgkAAAABMD8ksQ87794IKPTnMjvv3ggoQ0lRLk5ZU0U6TFcuSVFfUFJFRl9FUVVJVFkuNTAwLi4uRi5VU0QuSAEAAACWd1AWAwAAAAAAPySxDzvv3ggo9OcyO+/eCDRDSVEuTllTRTpMVy5JUV9NSU5PUklUWV9JTlRFUkVTVF9UT1RBTC41MDAuLi5GLlVTRC5IAQAAAJZ3UBYDAAAAAAA/JLEPO+/eCCj05zI7794IJkNJUS5OWVNFOkxXLklRX1RPVEFMX1JFVi4xMDAwLi4uLlVTRC5IAQAAAJZ3UBYCAAAABjY2MTIuMwEIAAAABQAAAAExAQAAAAstMTg4MDcwNDk5MwMAAAADMTYwAgAAAAIyOAQAAAABMAcAAAAJNy8zMS8yMDI2CAAAAAk1LzMxLzIwMjYJAAAAATA/JLEPO+/eCD4b6DI7794IJkNJUS5OWVNFOkxXLklRX1RPVEFMX1JFVi4yMDAwLi4uLlVTRC5IAQAAAJZ3UBYCAAAABjY2MTIuMwEIAAAABQAAAAExAQAAAAstMTg4MDcwMjE0MAMAAAADMTYwAgAAAAIyOAQAAAABMAcAAAAJNy8zMS8yMDI2CAAAAAk1LzMxLzIwMjYJAAAAATA/JLEPO+/e</t>
  </si>
  <si>
    <t>CD4b6DI7794II0NJUS5OWVNFOkxXLklRX0VCSVREQS4xMDAwLi4uLlVTRC5IAQAAAJZ3UBYCAAAABjExMDQuMwEIAAAABQAAAAExAQAAAAstMTg4MDcwNDk5MwMAAAADMTYwAgAAAAQ0MDUxBAAAAAEwBwAAAAk3LzMxLzIwMjYIAAAACTUvMzEvMjAyNgkAAAABMD8ksQ87794IPhvoMjvv3ggjQ0lRLk5ZU0U6TFcuSVFfRUJJVERBLjIwMDAuLi4uVVNELkgBAAAAlndQFgIAAAAGMTEwNC4zAQgAAAAFAAAAATEBAAAACy0xODgwNzAyMTQwAwAAAAMxNjACAAAABDQwNTEEAAAAATAHAAAACTcvMzEvMjAyNggAAAAJNS8zMS8yMDI2CQAAAAEwPySxDzvv3gg+G+gyO+/eCCtDSVEuTllTRTpMVy5JUV9ESUxVVF9FUFNfRVhDTC4xMDAwLi4uLlVTRC5IAQAAAJZ3UBYCAAAABDIuMDgBCAAAAAUAAAABMQEAAAALLTE4ODA3MDQ5OTMDAAAAAzE2MAIAAAADMTQyBAAAAAEwBwAAAAk3LzMxLzIwMjYIAAAACTUvMzEvMjAyNgkAAAABMD8ksQ87794IPhvoMjvv3ggrQ0lRLk5ZU0U6TFcuSVFfRElMVVRfRVBTX0VYQ0wuMjAwMC4uLi5VU0QuSAEAAACWd1AWAgAAAAQyLjA4AQgAAAAFAAAAATEBAAAACy0xODgwNzAyMTQwAwAAAAMxNjACAAAAAzE0MgQAAAABMAcAAAAJNy8zMS8yMDI2CAAAAAk1LzMxLzIwMjYJAAAAATA/JLEPO+/eCD4b6DI7794IGkNJUS4uSVFfR1JPU1NfTUFSR0lOLjIwMDAuBQAAAAAAAAAIAAAAFChJ</t>
  </si>
  <si>
    <t>bnZhbGlkIElkZW50aWZpZXIpN0i5EDvv3gj86oUyO+/eCBpDSVEuLklRX0VCSVREQV9NQVJHSU4uOTk4LgUAAAAAAAAACAAAABQoSW52YWxpZCBJZGVudGlmaWVyKTdIuRA7794I/OqFMjvv3ggaQ0lRLi5JUV9FQklUREFfTUFSR0lOLjk5OS4FAAAAAAAAAAgAAAAUKEludmFsaWQgSWRlbnRpZmllcik3SLkQO+/eCPzqhTI7794IG0NJUS4uSVFfRUJJVERBX01BUkdJTi4xMDAwLgUAAAAAAAAACAAAABQoSW52YWxpZCBJZGVudGlmaWVyKTdIuRA7794I/OqFMjvv3ggbQ0lRLi5JUV9FQklUREFfTUFSR0lOLjIwMDAuBQAAAAAAAAAIAAAAFChJbnZhbGlkIElkZW50aWZpZXIpN0i5EDvv3gj86oUyO+/eCBZDSVEuLklRX05JX01BUkdJTi45OTguBQAAAAAAAAAIAAAAFChJbnZhbGlkIElkZW50aWZpZXIpN0i5EDvv3gj86oUyO+/eCBZDSVEuLklRX05JX01BUkdJTi45OTkuBQAAAAAAAAAIAAAAFChJbnZhbGlkIElkZW50aWZpZXIpN0i5EDvv3gj86oUyO+/eCBdDSVEuLklRX05JX01BUkdJTi4xMDAwLgUAAAAAAAAACAAAABQoSW52YWxpZCBJZGVudGlmaWVyKTdIuRA7794I/OqFMjvv3ggXQ0lRLi5JUV9OSV9NQVJHSU4uMjAwMC4FAAAAAAAAAAgAAAAUKEludmFsaWQgSWRlbnRpZmllcik3SLkQO+/eCPzqhTI7794IJENJUS4uSVFfVE9UQUxfUkVWXzVZUl9BTk5fQ0FHUi4yMDAwLgUAAAAAAAAACAAAABQo</t>
  </si>
  <si>
    <t>SW52YWxpZCBJZGVudGlmaWVyKUt+uRA7794I/OqFMjvv3ggkQ0lRLi5JUV9UT1RBTF9SRVZfM1lSX0FOTl9DQUdSLjIwMDAuBQAAAAAAAAAIAAAAFChJbnZhbGlkIElkZW50aWZpZXIpS365EDvv3gj86oUyO+/eCCZDSVEuLklRX1RPVEFMX1JFVl8xWVJfQU5OX0dST1dUSC4xMDAwLgUAAAAAAAAACAAAABQoSW52YWxpZCBJZGVudGlmaWVyKTdIuRA7794I/OqFMjvv3ggmQ0lRLi5JUV9UT1RBTF9SRVZfMVlSX0FOTl9HUk9XVEguMjAwMC4FAAAAAAAAAAgAAAAUKEludmFsaWQgSWRlbnRpZmllcilMpbkQO+/eCAsShjI7794IIUNJUS4uSVFfRUJJVERBXzVZUl9BTk5fQ0FHUi4yMDAwLgUAAAAAAAAACAAAABQoSW52YWxpZCBJZGVudGlmaWVyKTdIuRA7794ICxKGMjvv3gghQ0lRLi5JUV9FQklUREFfM1lSX0FOTl9DQUdSLjIwMDAuBQAAAAAAAAAIAAAAFChJbnZhbGlkIElkZW50aWZpZXIpS365EDvv3ggLEoYyO+/eCCNDSVEuLklRX0VCSVREQV8xWVJfQU5OX0dST1dUSC4xMDAwLgUAAAAAAAAACAAAABQoSW52YWxpZCBJZGVudGlmaWVyKTdIuRA7794ICxKGMjvv3ggjQ0lRLi5JUV9FQklUREFfMVlSX0FOTl9HUk9XVEguMjAwMC4FAAAAAAAAAAgAAAAUKEludmFsaWQgSWRlbnRpZmllcilLfrkQO+/eCAsShjI7794IHkNJUS4uSVFfRVBTXzVZUl9BTk5fQ0FHUi4yMDAwLgUAAAAAAAAACAAAABQoSW52</t>
  </si>
  <si>
    <t>YWxpZCBJZGVudGlmaWVyKUt+uRA7794ICxKGMjvv3ggeQ0lRLi5JUV9FUFNfM1lSX0FOTl9DQUdSLjIwMDAuBQAAAAAAAAAIAAAAFChJbnZhbGlkIElkZW50aWZpZXIpS365EDvv3ggLEoYyO+/eCCBDSVEuLklRX0VQU18xWVJfQU5OX0dST1dUSC4xMDAwLgUAAAAAAAAACAAAABQoSW52YWxpZCBJZGVudGlmaWVyKTdIuRA7794ICxKGMjvv3gggQ0lRLi5JUV9FUFNfMVlSX0FOTl9HUk9XVEguMjAwMC4FAAAAAAAAAAgAAAAUKEludmFsaWQgSWRlbnRpZmllcik3SLkQO+/eCAsShjI7794IH0NJUS4uSVFfVE9UQUxfREVCVF9FQklUREEuMjAwMC4FAAAAAAAAAAgAAAAUKEludmFsaWQgSWRlbnRpZmllcik3SLkQO+/eCAsShjI7794IHUNJUS4uSVFfTkVUX0RFQlRfRUJJVERBLjIwMDAuBQAAAAAAAAAIAAAAFChJbnZhbGlkIElkZW50aWZpZXIpN0i5EDvv3ggLEoYyO+/eCBhDSVEuLklRX0VCSVREQV9JTlQuMjAwMC4FAAAAAAAAAAgAAAAUKEludmFsaWQgSWRlbnRpZmllcilLfrkQO+/eCAsShjI7794IHkNJUS4uSVFfRUJJVERBX0NBUEVYX0lOVC4yMDAwLgUAAAAAAAAACAAAABQoSW52YWxpZCBJZGVudGlmaWVyKTdIuRA7794IFTmGMjvv3ggeQ0lRLi5JUV9UT1RBTF9ERUJUX0VRVUlUWS41MDAuBQAAAAAAAAAIAAAAFChJbnZhbGlkIElkZW50aWZpZXIpN0i5EDvv3ggVOYYyO+/eCB9DSVEuLklRX1RP</t>
  </si>
  <si>
    <t>VEFMX0RFQlRfQ0FQSVRBTC41MDAuBQAAAAAAAAAIAAAAFChJbnZhbGlkIElkZW50aWZpZXIpN0i5EDvv3ggVOYYyO+/eCBtDSVEuLklRX1JFVFVSTl9FUVVJVFkuMjAwMC4FAAAAAAAAAAgAAAAUKEludmFsaWQgSWRlbnRpZmllcik3SLkQO+/eCBU5hjI7794IG0NJUS4uSVFfUkVUVVJOX0FTU0VUUy4yMDAwLgUAAAAAAAAACAAAABQoSW52YWxpZCBJZGVudGlmaWVyKTdIuRA7794IFTmGMjvv3gglQ0lRLi5JUV9SRVRVUk5fSU5WRVNURURfQ0FQSVRBTC4yMDAwLgUAAAAAAAAACAAAABQoSW52YWxpZCBJZGVudGlmaWVyKTdIuRA7794IFTmGMjvv3ggaQ0lRLi5JUV9DVVJSRU5UX1JBVElPLjUwMC4FAAAAAAAAAAgAAAAUKEludmFsaWQgSWRlbnRpZmllcik3SLkQO+/eCBU5hjI7794IGENJUS4uSVFfUVVJQ0tfUkFUSU8uNTAwLgUAAAAAAAAACAAAABQoSW52YWxpZCBJZGVudGlmaWVyKTdIuRA7794IFTmGMjvv3ggcQ0lRLi5JUV9EQVlTX1NBTEVTX09VVC4yMDAwLgUAAAAAAAAACAAAABQoSW52YWxpZCBJZGVudGlmaWVyKUt+uRA7794IFTmGMjvv3gggQ0lRLi5JUV9EQVlTX0lOVkVOVE9SWV9PVVQuMjAwMC4FAAAAAAAAAAgAAAAUKEludmFsaWQgSWRlbnRpZmllcik3SLkQO+/eCBU5hjI7794IHkNJUS4uSVFfREFZU19QQVlBQkxFX09VVC4yMDAwLgUAAAAAAAAACAAAABQoSW52YWxpZCBJZGVudGlm</t>
  </si>
  <si>
    <t>aWVyKTdIuRA7794IFTmGMjvv3ggdQ0lRLi5JUV9DQVNIX0NPTlZFUlNJT04uMjAwMC4FAAAAAAAAAAgAAAAUKEludmFsaWQgSWRlbnRpZmllcik3SLkQO+/eCBU5hjI7794IGUNJUS4uSVFfQVNTRVRfVFVSTlMuMjAwMC4FAAAAAAAAAAgAAAAUKEludmFsaWQgSWRlbnRpZmllcik3SLkQO+/eCBU5hjI7794IH0NJUS4uSVFfRklYRURfQVNTRVRfVFVSTlMuMjAwMC4FAAAAAAAAAAgAAAAUKEludmFsaWQgSWRlbnRpZmllcik3SLkQO+/eCBU5hjI7794IFkNJUS4uSVFfQVJfVFVSTlMuMjAwMC4FAAAAAAAAAAgAAAAUKEludmFsaWQgSWRlbnRpZmllcilLfrkQO+/eCBU5hjI7794IHUNJUS4uSVFfSU5WRU5UT1JZX1RVUk5TLjIwMDAuBQAAAAAAAAAIAAAAFChJbnZhbGlkIElkZW50aWZpZXIpN0i5EDvv3ggYYIYyO+/eCB9DSVFBVkcuLklRX1RFVl9UT1RBTF9SRVYuMjAwMC4uBQAAAAAAAAAIAAAAFChJbnZhbGlkIElkZW50aWZpZXIpr4f2Dzvv3gjRiYYyO+/eCBxDSVFBVkcuLklRX1RFVl9FQklUREEuMjAwMC4uBQAAAAAAAAAIAAAAFChJbnZhbGlkIElkZW50aWZpZXIpr4f2Dzvv3ggWsYYyO+/eCBpDSVFBVkcuLklRX1RFVl9FQklULjIwMDAuLgUAAAAAAAAACAAAABQoSW52YWxpZCBJZGVudGlmaWVyKa+H9g87794IY9iGMjvv3ggZQ0lRQVZHLi5JUV9QRV9FWENMLjIwMDAuLgUAAAAAAAAACAAAABQo</t>
  </si>
  <si>
    <t>SW52YWxpZCBJZGVudGlmaWVyKa+H9g87794Icf+GMjvv3ggVQ0lRQVZHLi5JUV9QQlYuMjAwMC4uBQAAAAAAAAAIAAAAFChJbnZhbGlkIElkZW50aWZpZXIpr4f2Dzvv3giIJocyO+/eCBZDSVFBVkcuLklRX1BUQlYuMjAwMC4uBQAAAAAAAAAIAAAAFChJbnZhbGlkIElkZW50aWZpZXIpr4f2Dzvv3gikTYcyO+/eCB5DSVEuLklRX0VQU19FU1QuMTAwMDIuLi4uVVNELkgFAAAAAAAAAAgAAAAUKEludmFsaWQgSWRlbnRpZmllcimvh/YPO+/eCCrziDI7794IHkNJUS4uSVFfRVBTX0VTVC4xMDAwMS4uLi5VU0QuSAUAAAAAAAAACAAAABQoSW52YWxpZCBJZGVudGlmaWVyKa+H9g87794IKvOIMjvv3ggkQ0lRLi5JUV9ESUxVVF9FUFNfRVhDTC4yMDAwLi4uLlVTRC5IBQAAAAAAAAAIAAAAFChJbnZhbGlkIElkZW50aWZpZXIpr4f2Dzvv3ggq84gyO+/eCCRDSVEuLklRX0RJTFVUX0VQU19FWENMLjEwMDAuLi4uVVNELkgFAAAAAAAAAAgAAAAUKEludmFsaWQgSWRlbnRpZmllcimvh/YPO+/eCCrziDI7794IIUNJUS4uSVFfRUJJVERBX0VTVC4xMDAwMi4uLi5VU0QuSAUAAAAAAAAACAAAABQoSW52YWxpZCBJZGVudGlmaWVyKa+H9g87794IKvOIMjvv3gghQ0lRLi5JUV9FQklUREFfRVNULjEwMDAxLi4uLlVTRC5IBQAAAAAAAAAIAAAAFChJbnZhbGlkIElkZW50aWZpZXIpr4f2Dzvv3ggq84gyO+/eCBxDSVEu</t>
  </si>
  <si>
    <t>LklRX0VCSVREQS4yMDAwLi4uLlVTRC5IBQAAAAAAAAAIAAAAFChJbnZhbGlkIElkZW50aWZpZXIpr4f2Dzvv3ggq84gyO+/eCBxDSVEuLklRX0VCSVREQS4xMDAwLi4uLlVTRC5IBQAAAAAAAAAIAAAAFChJbnZhbGlkIElkZW50aWZpZXIpr4f2Dzvv3ggq84gyO+/eCCJDSVEuLklRX1JFVkVOVUVfRVNULjEwMDAyLi4uLlVTRC5IBQAAAAAAAAAIAAAAFChJbnZhbGlkIElkZW50aWZpZXIpr4f2Dzvv3ggq84gyO+/eCCJDSVEuLklRX1JFVkVOVUVfRVNULjEwMDAxLi4uLlVTRC5IBQAAAAAAAAAIAAAAFChJbnZhbGlkIElkZW50aWZpZXIpr4f2Dzvv3ggq84gyO+/eCB9DSVEuLklRX1RPVEFMX1JFVi4yMDAwLi4uLlVTRC5IBQAAAAAAAAAIAAAAFChJbnZhbGlkIElkZW50aWZpZXIpr4f2Dzvv3ggq84gyO+/eCB9DSVEuLklRX1RPVEFMX1JFVi4xMDAwLi4uLlVTRC5IBQAAAAAAAAAIAAAAFChJbnZhbGlkIElkZW50aWZpZXIpr4f2Dzvv3ggq84gyO+/eCC1DSVEuLklRX01JTk9SSVRZX0lOVEVSRVNUX1RPVEFMLjUwMC4uLkYuVVNELkgFAAAAAAAAAAgAAAAUKEludmFsaWQgSWRlbnRpZmllcimvh/YPO+/eCCrziDI7794IIUNJUS4uSVFfUFJFRl9FUVVJVFkuNTAwLi4uRi5VU0QuSAUAAAAAAAAACAAAABQoSW52YWxpZCBJZGVudGlmaWVyKa+H9g87794IKvOIMjvv3gggQ0lRLi5JUV9UT1RBTF9ERUJULjUw</t>
  </si>
  <si>
    <t>MC4uLkYuVVNELkgFAAAAAAAAAAgAAAAUKEludmFsaWQgSWRlbnRpZmllcimvh/YPO+/eCCrziDI7794IJENJUS4uSVFfQ0FTSF9TVF9JTlZFU1QuNTAwLi4uRi5VU0QuSAUAAAAAAAAACAAAABQoSW52YWxpZCBJZGVudGlmaWVyKa+H9g87794IZxqJMjvv3ggWQ0lRLi5JUV9ZRUFSTE9XLi5VU0QuSAUAAAAAAAAACAAAABQoSW52YWxpZCBJZGVudGlmaWVyKa+H9g87794IZxqJMjvv3ggXQ0lRLi5JUV9ZRUFSSElHSC4uVVNELkgFAAAAAAAAAAgAAAAUKEludmFsaWQgSWRlbnRpZmllcimvh/YPO+/eCGcaiTI7794IHENJUS4uSVFfTEFTVFNBTEVQUklDRS4uVVNELkgFAAAAAAAAAAgAAAAUKEludmFsaWQgSWRlbnRpZmllcimvh/YPO+/eCGcaiTI7794IGENJUS4uSVFfVE9UQUxfUkVWLi4uLi4uSAUAAAAAAAAACAAAABQoSW52YWxpZCBJZGVudGlmaWVyKdFGQhA7794INRN+Mjvv3ggUQ0lRLi5JUV9QRVJJT0REQVRFLi4FAAAAAAAAAAgAAAAUKEludmFsaWQgSWRlbnRpZmllcilGd0IQO+/eCEIRfzI7794IJ0NJUS4uSVFfT1RIRVJfTk9OX09QRVJfRVhQX1NVUFBMLi4uLi4uSAUAAAAAAAAACAAAABQoSW52YWxpZCBJZGVudGlmaWVyKUZ3QhA7794IEhh7Mjvv3ggaQ0lRLi5JUV9JTlNfRElWX0VYUC4uLi4uLkgFAAAAAAAAAAgAAAAUKEludmFsaWQgSWRlbnRpZmllcim2nUwQO+/eCNydfTI7794IF0NJ</t>
  </si>
  <si>
    <t>US4uSVFfT1BFUl9JTkMuLi4uLi5IBQAAAAAAAAAIAAAAFChJbnZhbGlkIElkZW50aWZpZXIpRndCEDvv3ghayHsyO+/eCBpDSVEuLklRX0ZJTl9ESVZfRVhQLi4uLi4uSAUAAAAAAAAACAAAABQoSW52YWxpZCBJZGVudGlmaWVyKdROTBA7794IFMV9Mjvv3ggcQ0lRLi5JUV9NRVJHRVJfU1VQUExFLi4uLi4uSAUAAAAAAAAACAAAABQoSW52YWxpZCBJZGVudGlmaWVyKRg4axA7794IR61qMjvv3ggjQ0lRLi5JUV9ESVNUUklCVVRBQkxFX0NBU0hfUEFZT1VULi4FAAAAAAAAAAgAAAAUKEludmFsaWQgSWRlbnRpZmllcikdX2sQO+/eCEMGbzI7794IFkNJUS4uSVFfTklfTk9STS4uLi4uLkgFAAAAAAAAAAgAAAAUKEludmFsaWQgSWRlbnRpZmllcinzEGsQO+/eCFWzcDI7794IFkNJUS4uSVFfTklfU0ZBUy4uLi4uLkgFAAAAAAAAAAgAAAAUKEludmFsaWQgSWRlbnRpZmllcikdX2sQO+/eCO1NcjI7794IH0NJUS4uSVFfRUJJVERBUl9FWENMX1NCQy4uLi4uLkgFAAAAAAAAAAgAAAAUKEludmFsaWQgSWRlbnRpZmllcikdX2sQO+/eCLZgczI7794IHENJUS4uSVFfRUJJVF9FWENMX1NCQy4uLi4uLkgFAAAAAAAAAAgAAAAUKEludmFsaWQgSWRlbnRpZmllcim2nUwQO+/eCAxfdDI7794IHkNJUS4uSVFfRUJJVERBX0VYQ0xfU0JDLi4uLi4uSAUAAAAAAAAACAAAABQoSW52YWxpZCBJZGVudGlmaWVyKeV1TBA7</t>
  </si>
  <si>
    <t>794IsUl1Mjvv3gggQ0lRLi5JUV9TUEVDSUFMX0RJVl9TSEFSRS4uLi4uLkgFAAAAAAAAAAgAAAAUKEludmFsaWQgSWRlbnRpZmllcim2nUwQO+/eCPNFdjI7794ILUNJUS4uSVFfRElTVFJJQlVUQUJMRV9DQVNIX1NIQVJFU19CQVNJQy4yMDAwLgUAAAAAAAAACAAAABQoSW52YWxpZCBJZGVudGlmaWVyKeV1TBA7794INuJ2Mjvv3ggWQ0lRLi5JUV9ESUxVVF9XRUlHSFQuLgUAAAAAAAAACAAAABQoSW52YWxpZCBJZGVudGlmaWVyKR1faxA7794IhJJ3Mjvv3ggdQ0lRLi5JUV9CQVNJQ19FUFNfRVhDTC4uLi4uLkgFAAAAAAAAAAgAAAAUKEludmFsaWQgSWRlbnRpZmllcim2nUwQO+/eCLAHeDI7794IHUNJUS4uSVFfUFJFRl9ESVZfT1RIRVIuLi4uLi5IBQAAAAAAAAAIAAAAFChJbnZhbGlkIElkZW50aWZpZXIptp1MEDvv3gjhfHgyO+/eCBlDSVEuLklRX05JX0NPTVBBTlkuLi4uLi5IBQAAAAAAAAAIAAAAFChJbnZhbGlkIElkZW50aWZpZXIp1E5MEDvv3gii8ngyO+/eCBZDSVEuLklRX0lOQ19UQVguLi4uLi5IBQAAAAAAAAAIAAAAFChJbnZhbGlkIElkZW50aWZpZXIptp1MEDvv3gjoe3kyO+/eCBlDSVEuLklRX0lOU19TRVRUTEUuLi4uLi5IBQAAAAAAAAAIAAAAFChJbnZhbGlkIElkZW50aWZpZXIptp1MEDvv3ggW8XkyO+/eCBpDSVEuLklRX0dBSU5fQVNTRVRTLi4uLi4uSAUAAAAAAAAACAAAABQo</t>
  </si>
  <si>
    <t>SW52YWxpZCBJZGVudGlmaWVyKR1faxA7794INz96Mjvv3ggaQ0lRLi5JUV9SRVNUUlVDVFVSRS4uLi4uLkgFAAAAAAAAAAgAAAAUKEludmFsaWQgSWRlbnRpZmllcilGd0IQO+/eCFy1ejI7794IH0NJUS4uSVFfTkVUX0lOVEVSRVNUX0VYUC4uLi4uLkgFAAAAAAAAAAgAAAAUKEludmFsaWQgSWRlbnRpZmllcim2nUwQO+/eCCJmezI7794IH0NJUS4uSVFfVE9UQUxfT1RIRVJfT1BFUi4uLi4uLkgFAAAAAAAAAAgAAAAUKEludmFsaWQgSWRlbnRpZmllcim2nUwQO+/eCEUDfDI7794IHUNJUS4uSVFfR1dfSU5UQU5fQU1PUlQuLi4uLi5IBQAAAAAAAAAIAAAAFChJbnZhbGlkIElkZW50aWZpZXIptp1MEDvv3giCUXwyO+/eCBVDSVEuLklRX1JEX0VYUC4uLi4uLkgFAAAAAAAAAAgAAAAUKEludmFsaWQgSWRlbnRpZmllcinUTkwQO+/eCKKffDI7794IE0NJUS4uSVFfQ09HUy4uLi4uLkgFAAAAAAAAAAgAAAAUKEludmFsaWQgSWRlbnRpZmllcim2nUwQO+/eCCjsfTI7794IGkNJUS4uSVFfSU5UX0lOVl9JTkMuLi4uLi5IBQAAAAAAAAAIAAAAFChJbnZhbGlkIElkZW50aWZpZXIp1E5MEDvv3ghSYX4yO+/eCBJDSVEuLklRX1JFVi4uLi4uLkgFAAAAAAAAAAgAAAAUKEludmFsaWQgSWRlbnRpZmllcinUTkwQO+/eCJX9fjI7794IHkNJUS4uSVFfRVhUUkFfQUNDX0lURU1TLi4uLi4uSAUAAAAAAAAACAAAABQo</t>
  </si>
  <si>
    <t>SW52YWxpZCBJZGVudGlmaWVyKRg4axA7794ImgZ5Mjvv3ggiQ0lRLi5JUV9JTlRFUkVTVF9JTlZFU1RfSU5DLi4uLi4uSAUAAAAAAAAACAAAABQoSW52YWxpZCBJZGVudGlmaWVyKUZ3QhA7794IImZ7Mjvv3ggoQ0lRLi5JUV9OT05SRUNVUlJJTkdfSU5DT01FX1RBWEVTLi4uLi4uSAUAAAAAAAAACAAAABQoSW52YWxpZCBJZGVudGlmaWVyKR1faxA7794IYdpwMjvv3ggmQ0lRLi5JUV9FQklUREFSX0VRX0lOQ19FWENMX1NCQy4uLi4uLkgFAAAAAAAAAAgAAAAUKEludmFsaWQgSWRlbnRpZmllcikYOGsQO+/eCMqHczI7794IGkNJUS4uSVFfSU5TX0RJVl9SRVYuLi4uLi5IBQAAAAAAAAAIAAAAFChJbnZhbGlkIElkZW50aWZpZXIptp1MEDvv3gh0r34yO+/eCBxDSVEuLklRX0VYUExPUkVfRFJJTEwuLi4uLi5IBQAAAAAAAAAIAAAAFChJbnZhbGlkIElkZW50aWZpZXIptp1MEDvv3gi9FH0yO+/eCB5DSVEuLklRX0ZJTl9ESVZfSU5UX0VYUC4uLi4uLkgFAAAAAAAAAAgAAAAUKEludmFsaWQgSWRlbnRpZmllcilGd0IQO+/eCIZ2fTI7794IIENJUS4uSVFfR1dfSU5UQU5fQU1PUlQuOTkwLi4uLi5IBQAAAAAAAAAIAAAAFChJbnZhbGlkIElkZW50aWZpZXIp8FkSEDvv3giCUXwyO+/eCBpDSVEuLklRX0dBSU5fSU5WRVNULi4uLi4uSAUAAAAAAAAACAAAABQoSW52YWxpZCBJZGVudGlmaWVyKR1faxA7794I</t>
  </si>
  <si>
    <t>DXp6Mjvv3ggbQ0lRLi5JUV9JTlRFUkVTVF9FWFAuLi4uLi5IBQAAAAAAAAAIAAAAFChJbnZhbGlkIElkZW50aWZpZXIp1E5MEDvv3ghayHsyO+/eCB5DSVEuLklRX0ZJTl9ESVZfUkVWLjIwMDAuLi4uLkgFAAAAAAAAAAgAAAAUKEludmFsaWQgSWRlbnRpZmllcinwWRIQO+/eCHSvfjI7794IGkNJUS4uSVFfRklOX0RJVl9SRVYuLi4uLi5IBQAAAAAAAAAIAAAAFChJbnZhbGlkIElkZW50aWZpZXIp1E5MEDvv3giC1n4yO+/eCB5DSVEuLklRX0dBSU5fSU5WRVNUX1JFVi4uLi4uLkgFAAAAAAAAAAgAAAAUKEludmFsaWQgSWRlbnRpZmllcim2nUwQO+/eCFJhfjI7794IJENJUS4uSVFfSU1QVVRfT1BFUl9MRUFTRV9ERVBSLi4uLi4uSAUAAAAAAAAACAAAABQoSW52YWxpZCBJZGVudGlmaWVyKebZkRA7794IdSJrMjvv3gglQ0lRLi5JUV9BTk5VX0RJU1RSSUJVVElPTl9VTklULi4uLi4uSAUAAAAAAAAACAAAABQoSW52YWxpZCBJZGVudGlmaWVyKRvETBA7794IZy1vMjvv3ggjQ0lRLi5JUV9ERUZFUlJFRF9UQVhFU19UT1RBTC4uLi4uLkgFAAAAAAAAAAgAAAAUKEludmFsaWQgSWRlbnRpZmllcim2nUwQO+/eCG8BcTI7794IKENJUS4uSVFfRUFSTklOR19QQVJFTlRfRVhDTF9FWFRSQS4uLi4uLkgFAAAAAAAAAAgAAAAUKEludmFsaWQgSWRlbnRpZmllcim2nUwQO+/eCAR1cjI7794II0NJUS4uSVFfRUJJ</t>
  </si>
  <si>
    <t>VF9FUV9JTkNfRVhDTF9TQkMuLi4uLi5IBQAAAAAAAAAIAAAAFChJbnZhbGlkIElkZW50aWZpZXIpHV9rEDvv3ghshnQyO+/eCCdDSVEuLklRX0lNUFVUX09QRVJfTEVBU0VfSU5UX0VYUC4uLi4uLkgFAAAAAAAAAAgAAAAUKEludmFsaWQgSWRlbnRpZmllcinzEGsQO+/eCCU2azI7794IJUNJUS4uSVFfREVGRVJSRURfRk9SRUlHTl9UQVhFUy4uLi4uLkgFAAAAAAAAAAgAAAAUKEludmFsaWQgSWRlbnRpZmllcikdX2sQO+/eCG8BcTI7794IMUNJUS4uSVFfUFJPVl9CQURfREVCVFNfUEFUSUVOVF9TRVJWSUNFX1JFVi4uLi4uLkgFAAAAAAAAAAgAAAAUKEludmFsaWQgSWRlbnRpZmllcikdX2sQO+/eCAqccjI7794IH0NJUS4uSVFfRUJJVF9FWENMX1NCQy45OTAuLi4uLkgFAAAAAAAAAAgAAAAUKEludmFsaWQgSWRlbnRpZmllcinwWRIQO+/eCGyGdDI7794IJUNJUS4uSVFfRUJJVERBX0VRX0lOQ19FWENMX1NCQy4uLi4uLkgFAAAAAAAAAAgAAAAUKEludmFsaWQgSWRlbnRpZmllcikdX2sQO+/eCM5wdTI7794IJ0NJUS4uSVFfRElTVFJJQlVUQUJMRV9DQVNIX1NIQVJFLi4uLi4uSAUAAAAAAAAACAAAABQoSW52YWxpZCBJZGVudGlmaWVyKRg4axA7794IAG12Mjvv3ggpQ0lRLi5JUV9ESVNUUklCVVRBQkxFX0NBU0hfU0hBUkVTX0JBU0lDLi4FAAAAAAAAAAgAAAAUKEludmFsaWQgSWRlbnRpZmllcikd</t>
  </si>
  <si>
    <t>X2sQO+/eCEIJdzI7794IHUNJUS4uSVFfRElMVVRfRVBTX0VYQ0wuLi4uLi5IBQAAAAAAAAAIAAAAFChJbnZhbGlkIElkZW50aWZpZXIpHV9rEDvv3giEkncyO+/eCCBDSVEuLklRX1BSRUZfRElWX09USEVSLjk5MC4uLi4uSAUAAAAAAAAACAAAABQoSW52YWxpZCBJZGVudGlmaWVyKfBZEhA7794I4Xx4Mjvv3ggWQ0lRLi5JUV9FQlQuMjAwMC4uLi4uSAUAAAAAAAAACAAAABQoSW52YWxpZCBJZGVudGlmaWVyKfBZEhA7794I6Ht5Mjvv3ggcQ0lRLi5JUV9DVVJSRU5DWV9HQUlOLi4uLi4uSAUAAAAAAAAACAAAABQoSW52YWxpZCBJZGVudGlmaWVyKbadTBA7794IFj97Mjvv3ggcQ0lRLi5JUV9JTVBBSVJfT0lMLjk5MC4uLi4uSAUAAAAAAAAACAAAABQoSW52YWxpZCBJZGVudGlmaWVyKfBZEhA7794Idip8Mjvv3ggcQ0lRLi5JUV9QUkVfT1BFTl9DT1NULi4uLi4uSAUAAAAAAAAACAAAABQoSW52YWxpZCBJZGVudGlmaWVyKUZ3QhA7794IsMZ8Mjvv3ggZQ0lRLi5JUV9ESUxVVF9XRUlHSFQuOTkwLgUAAAAAAAAACAAAABQoSW52YWxpZCBJZGVudGlmaWVyKfBZEhA7794IhJJ3Mjvv3ggpQ0lRLi5JUV9ERVBSRUNJQVRJT05fUkVOVEFMX0FTU0VUUy4uLi4uLkgFAAAAAAAAAAgAAAAUKEludmFsaWQgSWRlbnRpZmllcinm2ZEQO+/eCOurazI7794IK0NJUS4uSVFfRElTVFJJQlVUQUJMRV9DQVNIX1NIQVJF</t>
  </si>
  <si>
    <t>U19ESUxVVEVELi4FAAAAAAAAAAgAAAAUKEludmFsaWQgSWRlbnRpZmllcikdX2sQO+/eCDbidjI7794IM0NJUS4uSVFfRElTVFJJQlVUQUJMRV9DQVNIX1BFUl9TSEFSRV9ESUxVVEVELi4uLi4uSAUAAAAAAAAACAAAABQoSW52YWxpZCBJZGVudGlmaWVyKbadTBA7794ITTB3Mjvv3ggdQ0lRLi5JUV9CQVNJQ19FUFNfSU5DTC4uLi4uLkgFAAAAAAAAAAgAAAAUKEludmFsaWQgSWRlbnRpZmllcikdX2sQO+/eCL8ueDI7794IH0NJUS4uSVFfQ1VSUkVOQ1lfR0FJTi45OTAuLi4uLkgFAAAAAAAAAAgAAAAUKEludmFsaWQgSWRlbnRpZmllcinwWRIQO+/eCBIYezI7794IGENJUS4uSVFfU0dBX1NVUFBMLi4uLi4uSAUAAAAAAAAACAAAABQoSW52YWxpZCBJZGVudGlmaWVyKdROTBA7794IyTt9Mjvv3ggiQ0lRLi5JUV9PVEhFUl9VTlVTVUFMX1NVUFBMLi4uLi4uSAUAAAAAAAAACAAAABQoSW52YWxpZCBJZGVudGlmaWVyKbadTBA7794I9qJ5Mjvv3ggbQ0lRLi5JUV9PUEVSX0lOQy4yMDAwLi4uLi5IBQAAAAAAAAAIAAAAFChJbnZhbGlkIElkZW50aWZpZXIp8FkSEDvv3gj9oHsyO+/eCBlDSVEuLklRX0lNUEFJUl9PSUwuLi4uLi5IBQAAAAAAAAAIAAAAFChJbnZhbGlkIElkZW50aWZpZXIptp1MEDvv3gh2KnwyO+/eCB5DSVEuLklRX0dBSU5fQVNTRVRTX1JFVi4uLi4uLkgFAAAAAAAAAAgAAAAUKEludmFs</t>
  </si>
  <si>
    <t>aWQgSWRlbnRpZmllcilGd0IQO+/eCGeIfjI7794ILUNJUS4uSVFfREVQUkVDSUFUSU9OX1JFTlRBTF9BU1NFVFMuMjAwMC4uLi4uSAUAAAAAAAAACAAAABQoSW52YWxpZCBJZGVudGlmaWVyKfBZEhA7794I66trMjvv3gg1Q0lRLi5JUV9QUk9WX0JBRF9ERUJUU19QQVRJRU5UX1NFUlZJQ0VfUkVWLjIwMDAuLi4uLkgFAAAAAAAAAAgAAAAUKEludmFsaWQgSWRlbnRpZmllcinmgBIQO+/eCAR1cjI7794IHUNJUS4uSVFfRUJJVERBUl9FUV9JTkMuLi4uLi5IBQAAAAAAAAAIAAAAFChJbnZhbGlkIElkZW50aWZpZXIpHV9rEDvv3gjarnMyO+/eCBxDSVEuLklRX0VCSVREQV9FUV9JTkMuLi4uLi5IBQAAAAAAAAAIAAAAFChJbnZhbGlkIElkZW50aWZpZXIp5XVMEDvv3gjZl3UyO+/eCB5DSVEuLklRX1RPVEFMX1JFVl9TSEFSRS4uLi4uLkgFAAAAAAAAAAgAAAAUKEludmFsaWQgSWRlbnRpZmllcikdX2sQO+/eCP+TdjI7794IEUNJUS4uSVFfRE8uLi4uLi5IBQAAAAAAAAAIAAAAFChJbnZhbGlkIElkZW50aWZpZXIpHV9rEDvv3gjILXkyO+/eCBJDSVEuLklRX0VCVC4uLi4uLkgFAAAAAAAAAAgAAAAUKEludmFsaWQgSWRlbnRpZmllcikYOGsQO+/eCOh7eTI7794IHUNJUS4uSVFfTUlOSU1VTV9SRU5UQUwuLi4uLi5IBQAAAAAAAAAIAAAAFChJbnZhbGlkIElkZW50aWZpZXIp8xBrEDvv3ghYIWwyO+/eCC5D</t>
  </si>
  <si>
    <t>SVEuLklRX0RJU1RSSUJVVEFCTEVfQ0FTSF9TVEFOREFSRElaRUQuLi4uLi5IBQAAAAAAAAAIAAAAFChJbnZhbGlkIElkZW50aWZpZXIpHV9rEDvv3giPom8yO+/eCCZDSVEuLklRX0RFRkVSUkVEX0RPTUVTVElDX1RBWEVTLi4uLi4uSAUAAAAAAAAACAAAABQoSW52YWxpZCBJZGVudGlmaWVyKRg4axA7794IfShxMjvv3gglQ0lRLi5JUV9BU19SRVBPUlRFRF9FQklUREEuMjAwMC4uLi4uSAUAAAAAAAAACAAAABQoSW52YWxpZCBJZGVudGlmaWVyKeaAEhA7794ICpxyMjvv3gggQ0lRLi5JUV9FQklUREFSX0VRX0lOQy45OTAuLi4uLkgFAAAAAAAAAAgAAAAUKEludmFsaWQgSWRlbnRpZmllcinmgBIQO+/eCMqHczI7794IGkNJUS4uSVFfRUJJVF9FUV9JTkMuLi4uLi5IBQAAAAAAAAAIAAAAFChJbnZhbGlkIElkZW50aWZpZXIpGDhrEDvv3ghvrXQyO+/eCCBDSVEuLklRX0VCSVREQV9FUV9JTkMuMjAwMC4uLi4uSAUAAAAAAAAACAAAABQoSW52YWxpZCBJZGVudGlmaWVyKeaAEhA7794IznB1Mjvv3gggQ0lRLi5JUV9ESUxVVF9FUFNfRVhDTC45OTAuLi4uLkgFAAAAAAAAAAgAAAAUKEludmFsaWQgSWRlbnRpZmllcinmgBIQO+/eCISSdzI7794IEUNJUS4uSVFfTkkuLi4uLi5IBQAAAAAAAAAIAAAAFChJbnZhbGlkIElkZW50aWZpZXIpHV9rEDvv3gj5o3gyO+/eCCFDSVEuLklRX0VYVFJBX0FDQ19JVEVN</t>
  </si>
  <si>
    <t>Uy45OTAuLi4uLkgFAAAAAAAAAAgAAAAUKEludmFsaWQgSWRlbnRpZmllcinmgBIQO+/eCJoGeTI7794IG0NJUS4uSVFfRUJUX0VYQ0wuMjAwMC4uLi4uSAUAAAAAAAAACAAAABQoSW52YWxpZCBJZGVudGlmaWVyKeaAEhA7794IXLV6Mjvv3ggdQ0lRLi5JUV9JTlRfSU5WX0lOQy45OTAuLi4uLkgFAAAAAAAAAAgAAAAUKEludmFsaWQgSWRlbnRpZmllcinmgBIQO+/eCEM6fjI7794IF0NJUS4uSVFfREFfU1VQUEwuLi4uLi5IBQAAAAAAAAAIAAAAFChJbnZhbGlkIElkZW50aWZpZXIpRndCEDvv3giTeHwyO+/eCBlDSVEuLklRX0VBUk5JTkdfQ08uLi4uLi5IBQAAAAAAAAAIAAAAFChJbnZhbGlkIElkZW50aWZpZXIpHV9rEDvv3gjcVHkyO+/eCBxDSVEuLklRX0lNUEFJUk1FTlRfR1cuLi4uLi5IBQAAAAAAAAAIAAAAFChJbnZhbGlkIElkZW50aWZpZXIp1E5MEDvv3ggNenoyO+/eCCNDSVEuLklRX05FVF9JTlRFUkVTVF9FWFAuMjAwMC4uLi4uSAUAAAAAAAAACAAAABQoSW52YWxpZCBJZGVudGlmaWVyKeaAEhA7794IFj97Mjvv3ggdQ0lRLi5JUV9QUk9WX0JBRF9ERUJUUy4uLi4uLkgFAAAAAAAAAAgAAAAUKEludmFsaWQgSWRlbnRpZmllcim2nUwQO+/eCLbtfDI7794IJUNJUS4uSVFfRElTVFJJQlVUQUJMRV9DQVNILjIwMDAuLi4uLkgFAAAAAAAAAAgAAAAUKEludmFsaWQgSWRlbnRpZmllcinmgBIQ</t>
  </si>
  <si>
    <t>O+/eCIB7bzI7794IGkNJUS4uSVFfRFJfUkFUSU9fUFJJTUFSWS4uBQAAAAAAAAAIAAAAFChJbnZhbGlkIElkZW50aWZpZXIp5XVMEDvv3gjKu3YyO+/eCBNDSVEuLklRX0lQUkQuLi4uLi5IBQAAAAAAAAAIAAAAFChJbnZhbGlkIElkZW50aWZpZXIpHV9rEDvv3ggjGHoyO+/eCB1DSVEuLklRX1JFU1RSVUNUVVJFLjk5MC4uLi4uSAUAAAAAAAAACAAAABQoSW52YWxpZCBJZGVudGlmaWVyKeaAEhA7794IXLV6Mjvv3ggdQ0lRLi5JUV9PVEhFUl9PUEVSLjIwMDAuLi4uLkgFAAAAAAAAAAgAAAAUKEludmFsaWQgSWRlbnRpZmllcinmgBIQO+/eCEUDfDI7794IHENJUS4uSVFfVE9UQUxfUkVWLjIwMDAuLi4uLkgFAAAAAAAAAAgAAAAUKEludmFsaWQgSWRlbnRpZmllcik3SLkQO+/eCNychTI7794IHUNJUS4uSVFfSU5TX0RJVl9SRVYuOTkwLi4uLi5IBQAAAAAAAAAIAAAAFChJbnZhbGlkIElkZW50aWZpZXIp5oASEDvv3gh0r34yO+/eCB5DSVEuLklRX0RSX1JBVElPX1BSSU1BUlkuMjAwMC4FAAAAAAAAAAgAAAAUKEludmFsaWQgSWRlbnRpZmllcinmgBIQO+/eCP+TdjI7794IHUNJUS4uSVFfRElMVVRfRVBTX0lOQ0wuLi4uLi5IBQAAAAAAAAAIAAAAFChJbnZhbGlkIElkZW50aWZpZXIptp1MEDvv3giRuXcyO+/eCBdDSVEuLklRX0VCVF9FWENMLi4uLi4uSAUAAAAAAAAACAAAABQoSW52YWxpZCBJZGVu</t>
  </si>
  <si>
    <t>dGlmaWVyKbadTBA7794IpfB6Mjvv3ggZQ0lRLi5JUV9JTkNfRVFVSVRZLi4uLi4uSAUAAAAAAAAACAAAABQoSW52YWxpZCBJZGVudGlmaWVyKdFGQhA7794IImZ7Mjvv3ggaQ0lRLi5JUV9TVE9DS19CQVNFRC4uLi4uLkgFAAAAAAAAAAgAAAAUKEludmFsaWQgSWRlbnRpZmllcinUTkwQO+/eCLDGfDI7794IJENJUS4uSVFfVE9UQUxfUkVWX0FTX1JFUE9SVEVELi4uLi4uSAUAAAAAAAAACAAAABQoSW52YWxpZCBJZGVudGlmaWVyKR1faxA7794IQ+tyMjvv3ggVQ0lRLi5JUV9FQklUREEuLi4uLi5IBQAAAAAAAAAIAAAAFChJbnZhbGlkIElkZW50aWZpZXIpHV9rEDvv3ggF5nUyO+/eCB1DSVEuLklRX0RJTFVUX0VQU19OT1JNLi4uLi4uSAUAAAAAAAAACAAAABQoSW52YWxpZCBJZGVudGlmaWVyKR1faxA7794ITTB3Mjvv3ggfQ0lRLi5JUV9OSV9BVkFJTF9FWENMLjk5MC4uLi4uSAUAAAAAAAAACAAAABQoSW52YWxpZCBJZGVudGlmaWVyKeaAEhA7794Ivy54Mjvv3ggdQ0lRLi5JUV9FQVJOSU5HX0NPLjIwMDAuLi4uLkgFAAAAAAAAAAgAAAAUKEludmFsaWQgSWRlbnRpZmllcinmgBIQO+/eCMgteTI7794IHkNJUS4uSVFfQVNTRVRfV1JJVEVET1dOLi4uLi4uSAUAAAAAAAAACAAAABQoSW52YWxpZCBJZGVudGlmaWVyKR1faxA7794IIxh6Mjvv3ggYQ0lRLi5JUV9SRF9FWFBfRk4uLi4uLi5IBQAAAAAA</t>
  </si>
  <si>
    <t>AAAIAAAAFChJbnZhbGlkIElkZW50aWZpZXIpHV9rEDvv3ggfvmwyO+/eCCRDSVEuLklRX0RJU1RSSUJVVEFCTEVfQ0FTSC45OTAuLi4uLkgFAAAAAAAAAAgAAAAUKEludmFsaWQgSWRlbnRpZmllcinmgBIQO+/eCI+ibzI7794IIUNJUS4uSVFfQ1VSUl9GT1JFSUdOX1RBWEVTLi4uLi4uSAUAAAAAAAAACAAAABQoSW52YWxpZCBJZGVudGlmaWVyKR1faxA7794IxopxMjvv3gghQ0lRLi5JUV9BU19SRVBPUlRFRF9FQklUREEuLi4uLi5IBQAAAAAAAAAIAAAAFChJbnZhbGlkIElkZW50aWZpZXIp5XVMEDvv3gjlr3IyO+/eCBZDSVEuLklRX0VCSVREQVIuLi4uLi5IBQAAAAAAAAAIAAAAFChJbnZhbGlkIElkZW50aWZpZXIpHV9rEDvv3gjarnMyO+/eCBNDSVEuLklRX0VCSVQuLi4uLi5IBQAAAAAAAAAIAAAAFChJbnZhbGlkIElkZW50aWZpZXIpHV9rEDvv3giD1HQyO+/eCB9DSVEuLklRX0VCSVREQV9FUV9JTkMuOTkwLi4uLi5IBQAAAAAAAAAIAAAAFChJbnZhbGlkIElkZW50aWZpZXIp5oASEDvv3gjZl3UyO+/eCBxDSVEuLklRX05JX0FWQUlMX0VYQ0wuLi4uLi5IBQAAAAAAAAAIAAAAFChJbnZhbGlkIElkZW50aWZpZXIptp1MEDvv3gjQVXgyO+/eCB1DSVEuLklRX0dBSU5fSU5WRVNULjk5MC4uLi4uSAUAAAAAAAAACAAAABQoSW52YWxpZCBJZGVudGlmaWVyKeaAEhA7794INz96Mjvv3ggfQ0lRLi5J</t>
  </si>
  <si>
    <t>UV9JTlRFUkVTVF9FWFAuMjAwMC4uLi4uSAUAAAAAAAAACAAAABQoSW52YWxpZCBJZGVudGlmaWVyKeaAEhA7794I/aB7Mjvv3ggiQ0lRLi5JUV9UT1RBTF9PVEhFUl9PUEVSLjk5MC4uLi4uSAUAAAAAAAAACAAAABQoSW52YWxpZCBJZGVudGlmaWVyKeaAEhA7794IRQN8Mjvv3ggWQ0lRLi5JUV9DT0dTLjk5MC4uLi4uSAUAAAAAAAAACAAAABQoSW52YWxpZCBJZGVudGlmaWVyKeaAEhA7794IKOx9Mjvv3ggdQ0lRLi5JUV9FQklUQV9FWENMX1NCQy4uLi4uLkgFAAAAAAAAAAgAAAAUKEludmFsaWQgSWRlbnRpZmllcim2nUwQO+/eCPv8czI7794IIUNJUS4uSVFfR0FJTl9JTlZFU1RfUkVWLjk5MC4uLi4uSAUAAAAAAAAACAAAABQoSW52YWxpZCBJZGVudGlmaWVyKeaAEhA7794IUmF+Mjvv3gghQ0lRLi5JUV9ESVNUUklCVVRBQkxFX0NBU0guLi4uLi5IBQAAAAAAAAAIAAAAFChJbnZhbGlkIElkZW50aWZpZXIp8xBrEDvv3giPom8yO+/eCDBDSVEuLklRX0VCSVREQV9FUV9JTkNfRVhDTF9PUEVSX0xFQVNFX0FESi4uLi4uLkgFAAAAAAAAAAgAAAAUKEludmFsaWQgSWRlbnRpZmllcikdX2sQO+/eCI37dDI7794INENJUS4uSVFfRUJJVERBX0VRX0lOQ19FWENMX09QRVJfTEVBU0VfQURKLjIwMDAuLi4uLkgFAAAAAAAAAAgAAAAUKEludmFsaWQgSWRlbnRpZmllcinmgBIQO+/eCIPUdDI7794IHENJUS4u</t>
  </si>
  <si>
    <t>SVFfRElWX1NIQVJFLjIwMDAuLi4uLkgFAAAAAAAAAAgAAAAUKEludmFsaWQgSWRlbnRpZmllcinmgBIQO+/eCP+TdjI7794II0NJUS4uSVFfTUlOT1JJVFlfSU5URVJFU1RfSVMuLi4uLi5IBQAAAAAAAAAIAAAAFChJbnZhbGlkIElkZW50aWZpZXIpHV9rEDvv3ggBy3gyO+/eCBRDSVEuLklRX0RPLjk5MC4uLi4uSAUAAAAAAAAACAAAABQoSW52YWxpZCBJZGVudGlmaWVyKeaAEhA7794IyC15Mjvv3ggcQ0lRLi5JUV9PVEhFUl9PUEVSLjk5MC4uLi4uSAUAAAAAAAAACAAAABQoSW52YWxpZCBJZGVudGlmaWVyKeaAEhA7794IRQN8Mjvv3ggaQ0lRLi5JUV9EQV9TVVBQTC45OTAuLi4uLkgFAAAAAAAAAAgAAAAUKEludmFsaWQgSWRlbnRpZmllcinmgBIQO+/eCJN4fDI7794IHkNJUS4uSVFfRklOX0RJVl9FWFAuMjAwMC4uLi4uSAUAAAAAAAAACAAAABQoSW52YWxpZCBJZGVudGlmaWVyKeaAEhA7794I3J19Mjvv3ggUQ0lRLi5JUV9DT01QQU5ZX05BTUUFAAAAAAAAAAgAAAAUKEludmFsaWQgSWRlbnRpZmllcilLfrkQO+/eCMZOhTI7794IFkNJUS4uSVFfQkFTSUNfV0VJR0hULi4FAAAAAAAAAAgAAAAUKEludmFsaWQgSWRlbnRpZmllcikYOGsQO+/eCKDgdzI7794IG0NJUS4uSVFfTEVHQUxfU0VUVExFLi4uLi4uSAUAAAAAAAAACAAAABQoSW52YWxpZCBJZGVudGlmaWVyKR1faxA7794IBcp5Mjvv3ggc</t>
  </si>
  <si>
    <t>Q0lRLi5JUV9NQVJLRVRJTkcuMjAwMC4uLi4uSAUAAAAAAAAACAAAABQoSW52YWxpZCBJZGVudGlmaWVyKeaAEhA7794IFBdtMjvv3ggiQ0lRLi5JUV9OT05DQVNIX1BFTlNJT05fRVhQLi4uLi4uSAUAAAAAAAAACAAAABQoSW52YWxpZCBJZGVudGlmaWVyKfMQaxA7794IMgNwMjvv3ggZQ0lRLi5JUV9FQklUREFSLjk5MC4uLi4uSAUAAAAAAAAACAAAABQoSW52YWxpZCBJZGVudGlmaWVyKeaAEhA7794I89VzMjvv3gghQ0lRLi5JUV9UT1RBTF9SRVZfU0hBUkUuOTkwLi4uLi5IBQAAAAAAAAAIAAAAFChJbnZhbGlkIElkZW50aWZpZXIp5oASEDvv3gj/k3YyO+/eCCBDSVEuLklRX05JX0FWQUlMX0lOQ0wuMjAwMC4uLi4uSAUAAAAAAAAACAAAABQoSW52YWxpZCBJZGVudGlmaWVyKeaAEhA7794Ivy54Mjvv3ggWQ0lRLi5JUV9JUFJELjk5MC4uLi4uSAUAAAAAAAAACAAAABQoSW52YWxpZCBJZGVudGlmaWVyKeaAEhA7794IIxh6Mjvv3ggdQ0lRLi5JUV9JTkNfRVFVSVRZLjIwMDAuLi4uLkgFAAAAAAAAAAgAAAAUKEludmFsaWQgSWRlbnRpZmllcinmgBIQO+/eCBY/ezI7794IGUNJUS4uSVFfT1RIRVJfT1BFUi4uLi4uLkgFAAAAAAAAAAgAAAAUKEludmFsaWQgSWRlbnRpZmllcinUTkwQO+/eCEUDfDI7794IHENJUS4uSVFfU0dBX1NVUFBMLjIwMDAuLi4uLkgFAAAAAAAAAAgAAAAUKEludmFsaWQgSWRl</t>
  </si>
  <si>
    <t>bnRpZmllcinmgBIQO+/eCL0UfTI7794IGENJUS4uSVFfRUJJVERBLjk5MC4uLi4uSAUAAAAAAAAACAAAABQoSW52YWxpZCBJZGVudGlmaWVyKeaAEhA7794IBeZ1Mjvv3ggfQ0lRLi5JUV9JTVBBSVJNRU5UX0dXLjk5MC4uLi4uSAUAAAAAAAAACAAAABQoSW52YWxpZCBJZGVudGlmaWVyKeaAEhA7794IDXp6Mjvv3ggdQ0lRLi5JUV9JTlNfRElWX0VYUC45OTAuLi4uLkgFAAAAAAAAAAgAAAAUKEludmFsaWQgSWRlbnRpZmllcinmgBIQO+/eCNydfTI7794IHkNJUS4uSVFfT1RIRVJfUkVWX1NVUFBMLi4uLi4uSAUAAAAAAAAACAAAABQoSW52YWxpZCBJZGVudGlmaWVyKbadTBA7794INRN+Mjvv3ggeQ0lRLi5JUV9TQUxFU19NQVJLRVRJTkcuLi4uLi5IBQAAAAAAAAAIAAAAFChJbnZhbGlkIElkZW50aWZpZXIp8xBrEDvv3ggUF20yO+/eCCNDSVEuLklRX0lOVF9FWFBfSU5DTF9DQVAuMjAwMC4uLi4uSAUAAAAAAAAACAAAABQoSW52YWxpZCBJZGVudGlmaWVyKeaAEhA7794IMgNwMjvv3ggiQ0lRLi5JUV9DVVJSX0RPTUVTVElDX1RBWEVTLi4uLi4uSAUAAAAAAAAACAAAABQoSW52YWxpZCBJZGVudGlmaWVyKR1faxA7794IsLFxMjvv3ggRQ0lRLi5JUV9HQUFQX0lTLi4FAAAAAAAAAAgAAAAUKEludmFsaWQgSWRlbnRpZmllcinm2ZEQO+/eCDrdbTI7794IJUNJUS4uSVFfTk9OQ0FTSF9QRU5TSU9OX0VY</t>
  </si>
  <si>
    <t>UC45OTAuLi4uLkgFAAAAAAAAAAgAAAAUKEludmFsaWQgSWRlbnRpZmllcinmgBIQO+/eCDIDcDI7794IFENJUS4uSVFfU0FNRV9TVE9SRS4uBQAAAAAAAAAIAAAAFChJbnZhbGlkIElkZW50aWZpZXIpGDhrEDvv3ghD63IyO+/eCCBDSVEuLklRX0VCSVRBX0VYQ0xfU0JDLjk5MC4uLi4uSAUAAAAAAAAACAAAABQoSW52YWxpZCBJZGVudGlmaWVyKeaAEhA7794I89VzMjvv3ggfQ0lRLi5JUV9JTlRfRVhQX0lOQ0xfQ0FQLi4uLi4uSAUAAAAAAAAACAAAABQoSW52YWxpZCBJZGVudGlmaWVyKR1faxA7794IMgNwMjvv3ggmQ0lRLi5JUV9FWENJU0VfVEFYRVNfSU5DTF9TQUxFUy4uLi4uLkgFAAAAAAAAAAgAAAAUKEludmFsaWQgSWRlbnRpZmllcikYOGsQO+/eCLzYcTI7794IGUNJUS4uSVFfUEVSSU9ETEVOR1RIX0lTLi4FAAAAAAAAAAgAAAAUKEludmFsaWQgSWRlbnRpZmllcikYOGsQO+/eCAXmdTI7794IG0NJUS4uSVFfVE9UQUxfUkVWLjk5MC4uLi4uSAUAAAAAAAAACAAAABQoSW52YWxpZCBJZGVudGlmaWVyKeaAEhA7794INRN+Mjvv3ggRQ0lRLi5JUV9HUC4uLi4uLkgFAAAAAAAAAAgAAAAUKEludmFsaWQgSWRlbnRpZmllcilGd0IQO+/eCMk7fTI7794IFUNJUS4uSVFfTUVSR0VSLi4uLi4uSAUAAAAAAAAACAAAABQoSW52YWxpZCBJZGVudGlmaWVyKbadTBA7794IXLV6Mjvv3ggiQ0lRLi5JUV9G</t>
  </si>
  <si>
    <t>SU5fRElWX0lOVF9FWFAuMjAwMC4uLi4uSAUAAAAAAAAACAAAABQoSW52YWxpZCBJZGVudGlmaWVyKeaAEhA7794IyTt9Mjvv3ggWQ0lRLi5JUV9SRVYuMjAwMC4uLi4uSAUAAAAAAAAACAAAABQoSW52YWxpZCBJZGVudGlmaWVyKeaAEhA7794IgtZ+Mjvv3ggWQ0lRLi5JUV9DQUxDX1RZUEVfSVMuLgUAAAAAAAAACAAAABQoSW52YWxpZCBJZGVudGlmaWVyKbadTBA7794IOt1tMjvv3ggwQ0lRLi5JUV9JTlRFUkVTVF9FWFBfTEVBU0VfTElBQklMSVRZX0RFQlQuLi4uLi5IBQAAAAAAAAAIAAAAFChJbnZhbGlkIElkZW50aWZpZXIp8xBrEDvv3gg5KnAyO+/eCCZDSVEuLklRX0VYQ0lTRV9UQVhFU19FWENMX1NBTEVTLi4uLi4uSAUAAAAAAAAACAAAABQoSW52YWxpZCBJZGVudGlmaWVyKR1faxA7794Iy/9xMjvv3ggkQ0lRLi5JUV9FQklUQV9FUV9JTkNfRVhDTF9TQkMuLi4uLi5IBQAAAAAAAAAIAAAAFChJbnZhbGlkIElkZW50aWZpZXIpHV9rEDvv3gj7/HMyO+/eCBdDSVEuLklRX0VQU19OT1JNLi4uLi4uSAUAAAAAAAAACAAAABQoSW52YWxpZCBJZGVudGlmaWVyKbadTBA7794IJmt3Mjvv3ggaQ0lRLi5JUV9JTlRfRVhQX0xURC4uLi4uLkgFAAAAAAAAAAgAAAAUKEludmFsaWQgSWRlbnRpZmllcikdX2sQO+/eCEpRcDI7794IJENJUS4uSVFfRkVFU19PVEhFUl9JTkNPTUUuMjAwMC4uLi4uSAUAAAAA</t>
  </si>
  <si>
    <t>AAAACAAAABQoSW52YWxpZCBJZGVudGlmaWVyKeaAEhA7794IQ+tyMjvv3ggfQ0lRLi5JUV9FQklUQV9FUV9JTkMuMjAwMC4uLi4uSAUAAAAAAAAACAAAABQoSW52YWxpZCBJZGVudGlmaWVyKeaAEhA7794IBiR0Mjvv3ggzQ0lRLi5JUV9FQklUREFfRVFfSU5DX0VYQ0xfT1BFUl9MRUFTRV9BREouOTkwLi4uLi5IBQAAAAAAAAAIAAAAFChJbnZhbGlkIElkZW50aWZpZXIp5oASEDvv3giD1HQyO+/eCBxDSVEuLklRX1BFUklPRExFTkdUSF9JUy45OTAuBQAAAAAAAAAIAAAAFChJbnZhbGlkIElkZW50aWZpZXIp5oASEDvv3ggF5nUyO+/eCBhDSVEuLklRX0RJVl9TSEFSRS4uLi4uLkgFAAAAAAAAAAgAAAAUKEludmFsaWQgSWRlbnRpZmllcikdX2sQO+/eCMq7djI7794IG0NJUS4uSVFfRVBTX05PUk0uMjAwMC4uLi4uSAUAAAAAAAAACAAAABQoSW52YWxpZCBJZGVudGlmaWVyKeaAEhA7794ITTB3Mjvv3ggcQ0lRLi5JUV9OSV9BVkFJTF9JTkNMLi4uLi4uSAUAAAAAAAAACAAAABQoSW52YWxpZCBJZGVudGlmaWVyKR1faxA7794I0FV4Mjvv3ggcQ0lRLi5JUV9FQVJOSU5HX0NPLjk5MC4uLi4uSAUAAAAAAAAACAAAABQoSW52YWxpZCBJZGVudGlmaWVyKeaAEhA7794IyC15Mjvv3ggeQ0lRLi5JUV9HQUlOX0FTU0VUUy4yMDAwLi4uLi5IBQAAAAAAAAAIAAAAFChJbnZhbGlkIElkZW50aWZpZXIp5oASEDvv</t>
  </si>
  <si>
    <t>3ggjGHoyO+/eCCFDSVEuLklRX1BST1ZfQkFEX0RFQlRTLjIwMDAuLi4uLkgFAAAAAAAAAAgAAAAUKEludmFsaWQgSWRlbnRpZmllcinmgBIQO+/eCLbtfDI7794IGENJUS4uSVFfUEVSSU9EREFURS4xMDAwLgUAAAAAAAAACAAAABQoSW52YWxpZCBJZGVudGlmaWVyKTdIuRA7794Ixk6FMjvv3ggYQ0lRLi5JUV9QRVJJT0REQVRFLjIwMDAuBQAAAAAAAAAIAAAAFChJbnZhbGlkIElkZW50aWZpZXIpN0i5EDvv3gjGToUyO+/eCBlDSVEuLklRX0xBU1RTQUxFUFJJQ0UuLi5IBQAAAAAAAAAIAAAAFChJbnZhbGlkIElkZW50aWZpZXIpN0i5EDvv3gjGToUyO+/eCBNDSVEuLklRX1lFQVJMT1cuLi5IBQAAAAAAAAAIAAAAFChJbnZhbGlkIElkZW50aWZpZXIpN0i5EDvv3ggUdoUyO+/eCBRDSVEuLklRX1lFQVJISUdILi4uSAUAAAAAAAAACAAAABQoSW52YWxpZCBJZGVudGlmaWVyKTdIuRA7794IFHaFMjvv3ggaQ0lRLi5JUV9TSEFSRVNPVVRTVEFORElORy4FAAAAAAAAAAgAAAAUKEludmFsaWQgSWRlbnRpZmllcik3SLkQO+/eCBR2hTI7794IIUNJUS4uSVFfQ0FTSF9TVF9JTlZFU1QuNTAwLi4uRi4uSAUAAAAAAAAACAAAABQoSW52YWxpZCBJZGVudGlmaWVyKTdIuRA7794IFHaFMjvv3ggdQ0lRLi5JUV9UT1RBTF9ERUJULjUwMC4uLkYuLkgFAAAAAAAAAAgAAAAUKEludmFsaWQgSWRlbnRpZmllcik3SLkQ</t>
  </si>
  <si>
    <t>O+/eCBR2hTI7794IHkNJUS4uSVFfUFJFRl9FUVVJVFkuNTAwLi4uRi4uSAUAAAAAAAAACAAAABQoSW52YWxpZCBJZGVudGlmaWVyKTdIuRA7794IFHaFMjvv3ggqQ0lRLi5JUV9NSU5PUklUWV9JTlRFUkVTVF9UT1RBTC41MDAuLi5GLi5IBQAAAAAAAAAIAAAAFChJbnZhbGlkIElkZW50aWZpZXIpN0i5EDvv3ggUdoUyO+/eCBxDSVEuLklRX1RPVEFMX1JFVi4xMDAwLi4uLi5IBQAAAAAAAAAIAAAAFChJbnZhbGlkIElkZW50aWZpZXIpN0i5EDvv3gjcnIUyO+/eCB9DSVEuLklRX1JFVkVOVUVfRVNULjEwMDAxLi4uLi5IBQAAAAAAAAAIAAAAFChJbnZhbGlkIElkZW50aWZpZXIpN0i5EDvv3gjcnIUyO+/eCB9DSVEuLklRX1JFVkVOVUVfRVNULjEwMDAyLi4uLi5IBQAAAAAAAAAIAAAAFChJbnZhbGlkIElkZW50aWZpZXIpN0i5EDvv3gjcnIUyO+/eCBlDSVEuLklRX0VCSVREQS4xMDAwLi4uLi5IBQAAAAAAAAAIAAAAFChJbnZhbGlkIElkZW50aWZpZXIpN0i5EDvv3gjcnIUyO+/eCBlDSVEuLklRX0VCSVREQS4yMDAwLi4uLi5IBQAAAAAAAAAIAAAAFChJbnZhbGlkIElkZW50aWZpZXIpN0i5EDvv3gjcnIUyO+/eCB5DSVEuLklRX0VCSVREQV9FU1QuMTAwMDEuLi4uLkgFAAAAAAAAAAgAAAAUKEludmFsaWQgSWRlbnRpZmllcik3SLkQO+/eCNychTI7794IHkNJUS4uSVFfRUJJVERBX0VTVC4xMDAwMi4u</t>
  </si>
  <si>
    <t>Li4uSAUAAAAAAAAACAAAABQoSW52YWxpZCBJZGVudGlmaWVyKTdIuRA7794I3JyFMjvv3gghQ0lRLi5JUV9ESUxVVF9FUFNfRVhDTC4xMDAwLi4uLi5IBQAAAAAAAAAIAAAAFChJbnZhbGlkIElkZW50aWZpZXIpN0i5EDvv3gjcnIUyO+/eCCFDSVEuLklRX0RJTFVUX0VQU19FWENMLjIwMDAuLi4uLkgFAAAAAAAAAAgAAAAUKEludmFsaWQgSWRlbnRpZmllcik3SLkQO+/eCNychTI7794IG0NJUS4uSVFfRVBTX0VTVC4xMDAwMS4uLi4uSAUAAAAAAAAACAAAABQoSW52YWxpZCBJZGVudGlmaWVyKTdIuRA7794I3JyFMjvv3ggbQ0lRLi5JUV9FUFNfRVNULjEwMDAyLi4uLi5IBQAAAAAAAAAIAAAAFChJbnZhbGlkIElkZW50aWZpZXIpN0i5EDvv3gjcnIUyO+/eCBtDSVEuLklRX1RFVl9UT1RBTF9SRVYuMjAwMC4FAAAAAAAAAAgAAAAUKEludmFsaWQgSWRlbnRpZmllcik3SLkQO+/eCPDDhTI7794IGENJUS4uSVFfVEVWX0VCSVREQS4yMDAwLgUAAAAAAAAACAAAABQoSW52YWxpZCBJZGVudGlmaWVyKTdIuRA7794I8MOFMjvv3ggdQ0lRLi5JUV9URVZfRUJJVERBX0ZXRC4xMDAwMS4FAAAAAAAAAAgAAAAUKEludmFsaWQgSWRlbnRpZmllcik3SLkQO+/eCPDDhTI7794IHUNJUS4uSVFfVEVWX0VCSVREQV9GV0QuMTAwMDIuBQAAAAAAAAAIAAAAFChJbnZhbGlkIElkZW50aWZpZXIpN0i5EDvv3gjww4UyO+/e</t>
  </si>
  <si>
    <t>CBVDSVEuLklRX1BFX0VYQ0wuMjAwMC4FAAAAAAAAAAgAAAAUKEludmFsaWQgSWRlbnRpZmllcik3SLkQO+/eCPDDhTI7794IGkNJUS4uSVFfUEVfRVhDTF9GV0QuMTAwMDEuBQAAAAAAAAAIAAAAFChJbnZhbGlkIElkZW50aWZpZXIpN0i5EDvv3gjww4UyO+/eCBpDSVEuLklRX1BFX0VYQ0xfRldELjEwMDAyLgUAAAAAAAAACAAAABQoSW52YWxpZCBJZGVudGlmaWVyKTdIuRA7794I8MOFMjvv3ggRQ0lRLi5JUV9QQlYuMjAwMC4FAAAAAAAAAAgAAAAUKEludmFsaWQgSWRlbnRpZmllcik3SLkQO+/eCPDDhTI7794IEkNJUS4uSVFfUFRCVi4yMDAwLgUAAAAAAAAACAAAABQoSW52YWxpZCBJZGVudGlmaWVyKTdIuRA7794I8MOFMjvv3ggZQ0lRLi5JUV9HUk9TU19NQVJHSU4uOTk4LgUAAAAAAAAACAAAABQoSW52YWxpZCBJZGVudGlmaWVyKTdIuRA7794I/OqFMjvv3ggZQ0lRLi5JUV9HUk9TU19NQVJHSU4uOTk5LgUAAAAAAAAACAAAABQoSW52YWxpZCBJZGVudGlmaWVyKTdIuRA7794I/OqFMjvv3ggaQ0lRLi5JUV9HUk9TU19NQVJHSU4uMTAwMC4FAAAAAAAAAAgAAAAUKEludmFsaWQgSWRlbnRpZmllcik3SLkQO+/eCPzqhTI7794IIENJUS4uSVFfSU5TX1NFVFRMRV9TVVBQTEUuLi4uLi5IBQAAAAAAAAAIAAAAFChJbnZhbGlkIElkZW50aWZpZXIp5tmREDvv3ggC6mkyO+/eCCVDSVEuLklRX0FTU0VU</t>
  </si>
  <si>
    <t>X1dSSVRFRE9XTl9TVVBQTEUuLi4uLi5IBQAAAAAAAAAIAAAAFChJbnZhbGlkIElkZW50aWZpZXIp5tmREDvv3gg7hmoyO+/eCCZDSVEuLklRX0VYUExPUkVfRFJJTExfRVhQX1RPVEFMLi4uLi4uSAUAAAAAAAAACAAAABQoSW52YWxpZCBJZGVudGlmaWVyKfMQaxA7794IG3FrMjvv3ggdQ0lRLi5JUV9ORVRfUkVOVEFMX0VYUC4uLi4uLkgFAAAAAAAAAAgAAAAUKEludmFsaWQgSWRlbnRpZmllcikdX2sQO+/eCBxcbDI7794IGkNJUS4uSVFfQ0FMQ19UWVBFX0lTLjIwMDAuBQAAAAAAAAAIAAAAFChJbnZhbGlkIElkZW50aWZpZXIpYh9CEDvv3gjYtW0yO+/eCBlDSVEuLklRX0ZJTElOR19DVVJSRU5DWS4uBQAAAAAAAAAIAAAAFChJbnZhbGlkIElkZW50aWZpZXIpTKW5EDvv3gjEaW4yO+/eCB1DSVEuLklRX0NPTU1PTl9ESVYuMjAwMC4uLi4uSAUAAAAAAAAACAAAABQoSW52YWxpZCBJZGVudGlmaWVyKWIfQhA7794IKbhuMjvv3ggrQ0lRLi5JUV9FQVJOSU5HX1BBUkVOVF9FWENMX0VYVFJBLjk5MC4uLi4uSAUAAAAAAAAACAAAABQoSW52YWxpZCBJZGVudGlmaWVyKWIfQhA7794IBHVyMjvv3ggbQ0lRLi5JUV9FQklUREFfQ0FQRVguLi4uLi5IBQAAAAAAAAAIAAAAFChJbnZhbGlkIElkZW50aWZpZXIpHV9rEDvv3ginOXMyO+/eCBRDSVEuLklRX0VCSVRBLi4uLi4uSAUAAAAAAAAACAAAABQoSW52YWxp</t>
  </si>
  <si>
    <t>ZCBJZGVudGlmaWVyKR1faxA7794IBiR0Mjvv3ggWQ0lRLi5JUV9FQklULjk5MC4uLi4uSAUAAAAAAAAACAAAABQoSW52YWxpZCBJZGVudGlmaWVyKWIfQhA7794Ig9R0Mjvv3ggkQ0lRLi5JUV9FQklUREFfTEVBU0VfQURKVVNURUQuLi4uLi5IBQAAAAAAAAAIAAAAFChJbnZhbGlkIElkZW50aWZpZXIpHV9rEDvv3gihInUyO+/eCChDSVEuLklRX0VCSVREQV9FUV9JTkNfRVhDTF9TQkMuOTkwLi4uLi5IBQAAAAAAAAAIAAAAFChJbnZhbGlkIElkZW50aWZpZXIpYh9CEDvv3gjOcHUyO+/eCB9DSVEuLklRX0ZJTl9ESVZfTE9BTlNfTFQuLi4uLi5IBQAAAAAAAAAIAAAAFChJbnZhbGlkIElkZW50aWZpZXIpTKW5EDvv3ghOjFYyO+/eCBdDSVEuLklRX0NGX1NIQVJFLi4uLi4uSAUAAAAAAAAACAAAABQoSW52YWxpZCBJZGVudGlmaWVyKcNWoRA7794IJIRbMjvv3ggrQ0lRLi5JUV9EQV9TVVBQTF9DRl9FWENMX09QRVJfTEVBU0VTLi4uLi4uSAUAAAAAAAAACAAAABQoSW52YWxpZCBJZGVudGlmaWVyKZ8qkhA7794I7kFeMjvv3ggdQ0lRLi5JUV9TUEVDSUFMX0RJVl9DRi4uLi4uLkgFAAAAAAAAAAgAAAAUKEludmFsaWQgSWRlbnRpZmllcikYOGsQO+/eCHu1XzI7794IHUNJUS4uSVFfTFRfREVCVF9SRVBBSUQuLi4uLi5IBQAAAAAAAAAIAAAAFChJbnZhbGlkIElkZW50aWZpZXIpnyqSEDvv3ghgDGEyO+/e</t>
  </si>
  <si>
    <t>CB5DSVEuLklRX0lOVkVTVF9MT0FOU19DRi4uLi4uLkgFAAAAAAAAAAgAAAAUKEludmFsaWQgSWRlbnRpZmllcilbA5IQO+/eCLYKYjI7794IGkNJUS4uSVFfU0FMRV9QUEVfQ0YuLi4uLi5IBQAAAAAAAAAIAAAAFChJbnZhbGlkIElkZW50aWZpZXIpnyqSEDvv3giP1GIyO+/eCBhDSVEuLklRX0NIQU5HRV9BUC4uLi4uLkgFAAAAAAAAAAgAAAAUKEludmFsaWQgSWRlbnRpZmllcimfKpIQO+/eCIrfYzI7794IIENJUS4uSVFfUFJPVl9CQURfREVCVFNfQ0YuLi4uLi5IBQAAAAAAAAAIAAAAFChJbnZhbGlkIElkZW50aWZpZXIpnyqSEDvv3gi6omQyO+/eCCFDSVEuLklRX0FTU0VUX1dSSVRFRE9XTl9DRi4uLi4uLkgFAAAAAAAAAAgAAAAUKEludmFsaWQgSWRlbnRpZmllcinm2ZEQO+/eCF2OZTI7794IGUNJUS4uSVFfT0lMX0lNUEFJUi4uLi4uLkgFAAAAAAAAAAgAAAAUKEludmFsaWQgSWRlbnRpZmllcilbA5IQO+/eCMR4ZjI7794IIUNJUS4uSVFfU1RPQ0tfT1BUSU9OU19DT01QLi4uLi4uSAUAAAAAAAAACAAAABQoSW52YWxpZCBJZGVudGlmaWVyKebZkRA7794I5T1nMjvv3ggmQ0lRLi5JUV9SRVNUUl9TVE9DS19DT01QX1BSRVRBWC4uLi4uLkgFAAAAAAAAAAgAAAAUKEludmFsaWQgSWRlbnRpZmllcikbxEwQO+/eCCXaZzI7794IHkNJUS4uSVFfU1RPQ0tfQkFTRURfU0dBLi4uLi4uSAUAAAAAAAAA</t>
  </si>
  <si>
    <t>CAAAABQoSW52YWxpZCBJZGVudGlmaWVyKVsDkhA7794I9qBoMjvv3ggjQ0lRLi5JUV9ORUdBVElWRV9HV19BTU9SVF9BVC4uLi4uLkgFAAAAAAAAAAgAAAAUKEludmFsaWQgSWRlbnRpZmllcilbA5IQO+/eCDQ9aTI7794IJkNJUS4uSVFfR0FJTl9CQVJHQUlOX0FDUV9TVVBQTEUuLi4uLi5IBQAAAAAAAAAIAAAAFChJbnZhbGlkIElkZW50aWZpZXIp8xBrEDvv3ggEEWoyO+/eCCNDSVEuLklRX0lNUEFJUk1FTlRfR1dfU1VQUExFLi4uLi4uSAUAAAAAAAAACAAAABQoSW52YWxpZCBJZGVudGlmaWVyKR1faxA7794IO4ZqMjvv3ggSQ0lRLi5JUV9ESUMuLi4uLi5IBQAAAAAAAAAIAAAAFChJbnZhbGlkIElkZW50aWZpZXIpHV9rEDvv3ggxkW4yO+/eCBlDSVEuLklRX0NPTU1PTl9ESVYuLi4uLi5IBQAAAAAAAAAIAAAAFChJbnZhbGlkIElkZW50aWZpZXIpG8RMEDvv3gg9324yO+/eCCNDSVEuLklRX0NBUElUQUxJWkVEX0lOVEVSRVNULi4uLi4uSAUAAAAAAAAACAAAABQoSW52YWxpZCBJZGVudGlmaWVyKfMQaxA7794IXHhwMjvv3ggaQ0lRLi5JUV9OSV9TRkFTLjIwMDAuLi4uLkgFAAAAAAAAAAgAAAAUKEludmFsaWQgSWRlbnRpZmllciliH0IQO+/eCOAmcjI7794IKUNJUS4uSVFfRUJJVERBUl9FUV9JTkNfRVhDTF9TQkMuOTkwLi4uLi5IBQAAAAAAAAAIAAAAFChJbnZhbGlkIElkZW50aWZpZXIpYh9C</t>
  </si>
  <si>
    <t>EDvv3gjKh3MyO+/eCBhDSVEuLklRX0VCSVRBLjIwMDAuLi4uLkgFAAAAAAAAAAgAAAAUKEludmFsaWQgSWRlbnRpZmllciliH0IQO+/eCAYkdDI7794II0NJUS4uSVFfU1BFQ0lBTF9ESVZfU0hBUkUuOTkwLi4uLi5IBQAAAAAAAAAIAAAAFChJbnZhbGlkIElkZW50aWZpZXIpYh9CEDvv3gjzRXYyO+/eCCtDSVEuLklRX09USEVSX05PTl9PUEVSX0VYUF9TVVBQTC4yMDAwLi4uLi5IBQAAAAAAAAAIAAAAFChJbnZhbGlkIElkZW50aWZpZXIpYh9CEDvv3gil8HoyO+/eCB5DSVEuLklRX0lOVEVSRVNUX0VYUC45OTAuLi4uLkgFAAAAAAAAAAgAAAAUKEludmFsaWQgSWRlbnRpZmllciliH0IQO+/eCP2gezI7794IF0NJUS4uSVFfRklMSU5HREFURV9JUy4uBQAAAAAAAAAIAAAAFChJbnZhbGlkIElkZW50aWZpZXIpHV9rEDvv3gjoHnYyO+/eCDZDSVEuLklRX0RJU1RSSUJVVEFCTEVfQ0FTSF9QRVJfU0hBUkVfRElMVVRFRC45OTAuLi4uLkgFAAAAAAAAAAgAAAAUKEludmFsaWQgSWRlbnRpZmllciliH0IQO+/eCE0wdzI7794IFENJUS4uSVFfTkkuOTkwLi4uLi5IBQAAAAAAAAAIAAAAFChJbnZhbGlkIElkZW50aWZpZXIpYh9CEDvv3gj5o3gyO+/eCCJDSVEuLklRX0VYVFJBX0FDQ19JVEVNUy4yMDAwLi4uLi5IBQAAAAAAAAAIAAAAFChJbnZhbGlkIElkZW50aWZpZXIpYh9CEDvv3ggBy3gyO+/eCBpDSVEu</t>
  </si>
  <si>
    <t>LklRX0VCVF9FWENMLjk5MC4uLi4uSAUAAAAAAAAACAAAABQoSW52YWxpZCBJZGVudGlmaWVyKWIfQhA7794IpfB6Mjvv3ggeQ0lRLi5JUV9TVE9DS19CQVNFRC4yMDAwLi4uLi5IBQAAAAAAAAAIAAAAFChJbnZhbGlkIElkZW50aWZpZXIpYh9CEDvv3giin3wyO+/eCB5DSVEuLklRX0lOVF9JTlZfSU5DLjIwMDAuLi4uLkgFAAAAAAAAAAgAAAAUKEludmFsaWQgSWRlbnRpZmllciliH0IQO+/eCEM6fjI7794IJENJUS4uSVFfSU5WRVNUTUVOVF9JTkNPTUUuMjAwMC4uLi4uSAUAAAAAAAAACAAAABQoSW52YWxpZCBJZGVudGlmaWVyKWIfQhA7794Iy/9xMjvv3ggoQ0lRLi5JUV9FQklUQV9FUV9JTkNfRVhDTF9TQkMuMjAwMC4uLi4uSAUAAAAAAAAACAAAABQoSW52YWxpZCBJZGVudGlmaWVyKWIfQhA7794I89VzMjvv3ggnQ0lRLi5JUV9FQklUREFfTEVBU0VfQURKVVNURUQuOTkwLi4uLi5IBQAAAAAAAAAIAAAAFChJbnZhbGlkIElkZW50aWZpZXIpYh9CEDvv3gihInUyO+/eCBtDSVEuLklRX0ZJTElOR0RBVEVfSVMuMjAwMC4FAAAAAAAAAAgAAAAUKEludmFsaWQgSWRlbnRpZmllciliH0IQO+/eCAXmdTI7794IHENJUS4uSVFfVU5MRVZFUkVEX0ZDRi4uLi4uLkgFAAAAAAAAAAgAAAAUKEludmFsaWQgSWRlbnRpZmllcinCfaEQO+/eCDOrWzI7794IIENJUS4uSVFfVE9UQUxfRElWX1BBSURfQ0YuLi4u</t>
  </si>
  <si>
    <t>Li5IBQAAAAAAAAAIAAAAFChJbnZhbGlkIElkZW50aWZpZXIpnyqSEDvv3gh23F8yO+/eCCJDSVEuLklRX0lOVkVTVF9MT0FOU19DRi4yMDAwLi4uLi5IBQAAAAAAAAAIAAAAFChJbnZhbGlkIElkZW50aWZpZXIpYh9CEDvv3gis42EyO+/eCBRDSVEuLklRX0NBUEVYLi4uLi4uSAUAAAAAAAAACAAAABQoSW52YWxpZCBJZGVudGlmaWVyKZ8qkhA7794InvtiMjvv3ggdQ0lRLi5JUV9HQUlOX0lOVkVTVF9DRi4uLi4uLkgFAAAAAAAAAAgAAAAUKEludmFsaWQgSWRlbnRpZmllcimfKpIQO+/eCHK1ZTI7794IJENJUS4uSVFfR1dfSU5UQU5fQU1PUlRfQ0YuMjAwMC4uLi4uSAUAAAAAAAAACAAAABQoSW52YWxpZCBJZGVudGlmaWVyKWIfQhA7794ImlFmMjvv3gggQ0lRLi5JUV9ORUdBVElWRV9HV19BTU9SVC4uLi4uLkgFAAAAAAAAAAgAAAAUKEludmFsaWQgSWRlbnRpZmllcinm2ZEQO+/eCERkaTI7794IKkNJUS4uSVFfR0FJTl9CQVJHQUlOX0FDUV9TVVBQTEUuMjAwMC4uLi4uSAUAAAAAAAAACAAAABQoSW52YWxpZCBJZGVudGlmaWVyKWIfQhA7794IAuppMjvv3ggoQ0lRLi5JUV9JTVBVVF9PUEVSX0xFQVNFX0RFUFIuMjAwMC4uLi4uSAUAAAAAAAAACAAAABQoSW52YWxpZCBJZGVudGlmaWVyKWIfQhA7794IZftqMjvv3ggoQ0lRLi5JUV9ERUZFUlJFRF9GT1JFSUdOX1RBWEVTLjk5MC4uLi4uSAUAAAAA</t>
  </si>
  <si>
    <t>AAAACAAAABQoSW52YWxpZCBJZGVudGlmaWVyKWIfQhA7794IfShxMjvv3gghQ0lRLi5JUV9JTlRFUkVTVF9JTkNPTUUuOTkwLi4uLi5IBQAAAAAAAAAIAAAAFChJbnZhbGlkIElkZW50aWZpZXIpYh9CEDvv3gjgJnIyO+/eCB5DSVEuLklRX0VCSVRBX0VRX0lOQy45OTAuLi4uLkgFAAAAAAAAAAgAAAAUKEludmFsaWQgSWRlbnRpZmllciliH0IQO+/eCAYkdDI7794IFUNJUS4uSVFfUkVWLjk5MC4uLi4uSAUAAAAAAAAACAAAABQoSW52YWxpZCBJZGVudGlmaWVyKWIfQhA7794IgtZ+Mjvv3ggeQ0lRLi5JUV9JTlRFUkVTVF9JTkNPTUUuLi4uLi5IBQAAAAAAAAAIAAAAFChJbnZhbGlkIElkZW50aWZpZXIpHV9rEDvv3gjgJnIyO+/eCBFDSVEuLklRX0dXLi4uLi4uSAUAAAAAAAAACAAAABQoSW52YWxpZCBJZGVudGlmaWVyKUyluRA7794IZdpWMjvv3ggWQ0lRLi5JUV9ERVBfUlVBLi4uLi4uSAUAAAAAAAAACAAAABQoSW52YWxpZCBJZGVudGlmaWVyKcJ9oRA7794ILGleMjvv3gglQ0lRLi5JUV9UQVhfQkVORUZJVF9PUFRJT05TLjk5MC4uLi4uSAUAAAAAAAAACAAAABQoSW52YWxpZCBJZGVudGlmaWVyKWIfQhA7794IuqJkMjvv3gggQ0lRLi5JUV9HV19JTlRBTl9BTU9SVF9DRi4uLi4uLkgFAAAAAAAAAAgAAAAUKEludmFsaWQgSWRlbnRpZmllcinm2ZEQO+/eCMR4ZjI7794IHUNJUS4uSVFfU1RPQ0tf</t>
  </si>
  <si>
    <t>QkFTRURfR0EuLi4uLi5IBQAAAAAAAAAIAAAAFChJbnZhbGlkIElkZW50aWZpZXIpWwOSEDvv3ggLyGgyO+/eCB9DSVEuLklRX0dBSU5fQkFSR0FJTl9BQ1EuLi4uLi5IBQAAAAAAAAAIAAAAFChJbnZhbGlkIElkZW50aWZpZXIp5tmREDvv3ggVOGoyO+/eCCZDSVEuLklRX1NBTEFSSUVTX09USEVSX0JFTkVGSVRTLi4uLi4uSAUAAAAAAAAACAAAABQoSW52YWxpZCBJZGVudGlmaWVyKebZkRA7794IZftqMjvv3gggQ0lRLi5JUV9DT05USU5HRU5UX1JFTlRBTC4uLi4uLkgFAAAAAAAAAAgAAAAUKEludmFsaWQgSWRlbnRpZmllcinm2ZEQO+/eCFghbDI7794IHUNJUS4uSVFfU1RfREVCVF9SRVBBSUQuLi4uLi5IBQAAAAAAAAAIAAAAFChJbnZhbGlkIElkZW50aWZpZXIpw1ahEDvv3ggrR2EyO+/eCBxDSVEuLklRX0NBU0hfT1BFUi4yMDAwLi4uLi5IBQAAAAAAAAAIAAAAFChJbnZhbGlkIElkZW50aWZpZXIp0UZCEDvv3giP1GIyO+/eCB1DSVEuLklRX1NUT0NLX0JBU0VEX0NGLi4uLi4uSAUAAAAAAAAACAAAABQoSW52YWxpZCBJZGVudGlmaWVyKebZkRA7794I5PBkMjvv3ggaQ0lRLi5JUV9EQV9TVVBQTF9DRi4uLi4uLkgFAAAAAAAAAAgAAAAUKEludmFsaWQgSWRlbnRpZmllcilbA5IQO+/eCNSfZjI7794IIUNJUS4uSVFfU1RPQ0tfQkFTRURfR0EuMjAwMC4uLi4uSAUAAAAAAAAACAAAABQoSW52YWxp</t>
  </si>
  <si>
    <t>ZCBJZGVudGlmaWVyKdFGQhA7794IC8hoMjvv3ggpQ0lRLi5JUV9HQUlOX0JBUkdBSU5fQUNRX1NVUFBMRS45OTAuLi4uLkgFAAAAAAAAAAgAAAAUKEludmFsaWQgSWRlbnRpZmllcinRRkIQO+/eCAQRajI7794IJENJUS4uSVFfQ09OVElOR0VOVF9SRU5UQUwuMjAwMC4uLi4uSAUAAAAAAAAACAAAABQoSW52YWxpZCBJZGVudGlmaWVyKdFGQhA7794IavprMjvv3gggQ0lRLi5JUV9ORVRfUkVOVEFMX0VYUF9GTi4uLi4uLkgFAAAAAAAAAAgAAAAUKEludmFsaWQgSWRlbnRpZmllcinm2ZEQO+/eCF+DbDI7794IGUNJUS4uSVFfQ0FMQ19UWVBFX0lTLjk5MC4FAAAAAAAAAAgAAAAUKEludmFsaWQgSWRlbnRpZmllcinRRkIQO+/eCDrdbTI7794IFkNJUS4uSVFfUEFZT1VUX1JBVElPLi4FAAAAAAAAAAgAAAAUKEludmFsaWQgSWRlbnRpZmllcikYOGsQO+/eCDGRbjI7794ILENJUS4uSVFfTk9OUkVDVVJSSU5HX0lOQ09NRV9UQVhFUy4yMDAwLi4uLi5IBQAAAAAAAAAIAAAAFChJbnZhbGlkIElkZW50aWZpZXIp0UZCEDvv3ghVs3AyO+/eCClDSVEuLklRX0VYQ0lTRV9UQVhFU19FWENMX1NBTEVTLjk5MC4uLi4uSAUAAAAAAAAACAAAABQoSW52YWxpZCBJZGVudGlmaWVyKdFGQhA7794Iy/9xMjvv3gggQ0lRLi5JUV9DQVNIX1RBWEVTX0lOVkVTVC4uLi4uLkgFAAAAAAAAAAgAAAAUKEludmFsaWQgSWRlbnRp</t>
  </si>
  <si>
    <t>ZmllcinQpKEQO+/eCIp+XDI7794IIUNJUS4uSVFfSU5WRVNUX1NFQ1VSSVRZX0NGLi4uLi4uSAUAAAAAAAAACAAAABQoSW52YWxpZCBJZGVudGlmaWVyKRg4axA7794IWjhiMjvv3ggXQ0lRLi5JUV9DQVBFWC45OTAuLi4uLkgFAAAAAAAAAAgAAAAUKEludmFsaWQgSWRlbnRpZmllcinRRkIQO+/eCI/UYjI7794IH0NJUS4uSVFfQ0hBTkdFX0lOVkVOVE9SWS4uLi4uLkgFAAAAAAAAAAgAAAAUKEludmFsaWQgSWRlbnRpZmllcinm2ZEQO+/eCG8GZDI7794IIENJUS4uSVFfU1RPQ0tfQkFTRURfVE9UQUwuLi4uLi5IBQAAAAAAAAAIAAAAFChJbnZhbGlkIElkZW50aWZpZXIpWwOSEDvv3ghOKGgyO+/eCCNDSVEuLklRX1RPVEFMX1VOVVNVQUxfU1VQUExFLi4uLi4uSAUAAAAAAAAACAAAABQoSW52YWxpZCBJZGVudGlmaWVyKVsDkhA7794IUotpMjvv3gggQ0lRLi5JUV9NSU5JTVVNX1JFTlRBTC45OTAuLi4uLkgFAAAAAAAAAAgAAAAUKEludmFsaWQgSWRlbnRpZmllcinRRkIQO+/eCGr6azI7794IGENJUS4uSVFfTUFSS0VUSU5HLi4uLi4uSAUAAAAAAAAACAAAABQoSW52YWxpZCBJZGVudGlmaWVyKebZkRA7794IKz5tMjvv3gguQ0lRLi5JUV9ESVNUUklCVVRBQkxFX0NBU0hfU0hBUkVTX0RJTFVURUQuOTkwLgUAAAAAAAAACAAAABQoSW52YWxpZCBJZGVudGlmaWVyKUZ3QhA7794INuJ2Mjvv3ggcQ0lR</t>
  </si>
  <si>
    <t>Li5JUV9EQV9FQklUREEuMjAwMC4uLi4uSAUAAAAAAAAACAAAABQoSW52YWxpZCBJZGVudGlmaWVyKdFGQhA7794Ij6JvMjvv3ggkQ0lRLi5JUV9DVVJSX0ZPUkVJR05fVEFYRVMuOTkwLi4uLi5IBQAAAAAAAAAIAAAAFChJbnZhbGlkIElkZW50aWZpZXIp0UZCEDvv3gjGinEyO+/eCB5DSVEuLklRX0VCSVREQV9DQVBFWC45OTAuLi4uLkgFAAAAAAAAAAgAAAAUKEludmFsaWQgSWRlbnRpZmllcinRRkIQO+/eCKc5czI7794IGkNJUS4uSVFfRUJJVERBUi4yMDAwLi4uLi5IBQAAAAAAAAAIAAAAFChJbnZhbGlkIElkZW50aWZpZXIp0UZCEDvv3gjKh3MyO+/eCB1DSVEuLklRX0RSX1JBVElPX1BSSU1BUlkuOTkwLgUAAAAAAAAACAAAABQoSW52YWxpZCBJZGVudGlmaWVyKdFGQhA7794I/5N2Mjvv3ggaQ0lRLi5JUV9CQVNJQ19XRUlHSFQuMjAwMC4FAAAAAAAAAAgAAAAUKEludmFsaWQgSWRlbnRpZmllcinRRkIQO+/eCJG5dzI7794IIUNJUS4uSVFfQkFTSUNfRVBTX0lOQ0wuMjAwMC4uLi4uSAUAAAAAAAAACAAAABQoSW52YWxpZCBJZGVudGlmaWVyKdFGQhA7794IsAd4Mjvv3ggZQ0lRLi5JUV9JTkNfVEFYLjk5MC4uLi4uSAUAAAAAAAAACAAAABQoSW52YWxpZCBJZGVudGlmaWVyKdFGQhA7794I6Ht5Mjvv3ggfQ0lRLi5JUV9MRUdBTF9TRVRUTEUuMjAwMC4uLi4uSAUAAAAAAAAACAAAABQoSW52YWxp</t>
  </si>
  <si>
    <t>ZCBJZGVudGlmaWVyKdFGQhA7794I9qJ5Mjvv3gglQ0lRLi5JUV9GSU5fRElWX0FTU0VUU19DVVJSRU5ULi4uLi4uSAUAAAAAAAAACAAAABQoSW52YWxpZCBJZGVudGlmaWVyKdCkoRA7794IDSdYMjvv3ggZQ0lRLi5JUV9ERVBfUlVBLjk5MC4uLi4uSAUAAAAAAAAACAAAABQoSW52YWxpZCBJZGVudGlmaWVyKdFGQhA7794I7kFeMjvv3gghQ0lRLi5JUV9DT01NT05fUFJFRl9ESVZfQ0YuLi4uLi5IBQAAAAAAAAAIAAAAFChJbnZhbGlkIElkZW50aWZpZXIpw1ahEDvv3gisA2AyO+/eCCFDSVEuLklRX1NUX0RFQlRfUkVQQUlELjIwMDAuLi4uLkgFAAAAAAAAAAgAAAAUKEludmFsaWQgSWRlbnRpZmllcinRRkIQO+/eCGAMYTI7794IJENJUS4uSVFfSU5WRVNUX1NFQ1VSSVRZX0NGLjk5MC4uLi4uSAUAAAAAAAAACAAAABQoSW52YWxpZCBJZGVudGlmaWVyKdFGQhA7794IWjhiMjvv3ggYQ0lRLi5JUV9DQVNIX09QRVIuLi4uLi5IBQAAAAAAAAAIAAAAFChJbnZhbGlkIElkZW50aWZpZXIpHV9rEDvv3gie+2IyO+/eCB1DSVEuLklRX0dBSU5fQVNTRVRTX0NGLi4uLi4uSAUAAAAAAAAACAAAABQoSW52YWxpZCBJZGVudGlmaWVyKVsDkhA7794IeNxlMjvv3ggoQ0lRLi5JUV9GSU5fRElWX0xPQU5TX0NVUlJFTlQuMjAwMC4uLi4uSAUAAAAAAAAACAAAABQoSW52YWxpZCBJZGVudGlmaWVyKdFGQhA7794IDSdY</t>
  </si>
  <si>
    <t>Mjvv3ggiQ0lRLi5JUV9DQVNIX1RBWEVTX09QRVIuMjAwMC4uLi4uSAUAAAAAAAAACAAAABQoSW52YWxpZCBJZGVudGlmaWVyKdFGQhA7794INldcMjvv3ggoQ0lRLi5JUV9HV19JTlRBTl9BTU9SVF9QQVJUSUFMX0NGLi4uLi4uSAUAAAAAAAAACAAAABQoSW52YWxpZCBJZGVudGlmaWVyKcNWoRA7794IILdeMjvv3ggcQ0lRLi5JUV9DT01NT05fRElWX0NGLi4uLi4uSAUAAAAAAAAACAAAABQoSW52YWxpZCBJZGVudGlmaWVyKRg4axA7794IvCpgMjvv3ggYQ0lRLi5JUV9DSEFOR0VfQVIuLi4uLi5IBQAAAAAAAAAIAAAAFChJbnZhbGlkIElkZW50aWZpZXIpnyqSEDvv3ghvBmQyO+/eCCBDSVEuLklRX0dBSU5fSU5WRVNUX0NGLjk5MC4uLi4uSAUAAAAAAAAACAAAABQoSW52YWxpZCBJZGVudGlmaWVyKdFGQhA7794IcrVlMjvv3gglQ0lRLi5JUV9TVE9DS19PUFRJT05TX0NPTVBfVEFYLi4uLi4uSAUAAAAAAAAACAAAABQoSW52YWxpZCBJZGVudGlmaWVyKVsDkhA7794I92RnMjvv3ggjQ0lRLi5JUV9TVE9DS19CQVNFRF9UT1RBTC45OTAuLi4uLkgFAAAAAAAAAAgAAAAUKEludmFsaWQgSWRlbnRpZmllcinRRkIQO+/eCDUBaDI7794IHUNJUS4uSVFfU1RPQ0tfQkFTRURfU00uLi4uLi5IBQAAAAAAAAAIAAAAFChJbnZhbGlkIElkZW50aWZpZXIp8xBrEDvv3ggV72gyO+/eCCZDSVEuLklRX1RPVEFMX1VO</t>
  </si>
  <si>
    <t>VVNVQUxfU1VQUExFLjk5MC4uLi4uSAUAAAAAAAAACAAAABQoSW52YWxpZCBJZGVudGlmaWVyKdFGQhA7794IUotpMjvv3ggnQ0lRLi5JUV9GSU5fRElWX0xPQU5TX0NVUlJFTlQuOTkwLi4uLi5IBQAAAAAAAAAIAAAAFChJbnZhbGlkIElkZW50aWZpZXIp0UZCEDvv3ggqTlgyO+/eCCNDSVEuLklRX0NBU0hfVEFYRVNfSU5WRVNULjk5MC4uLi4uSAUAAAAAAAAACAAAABQoSW52YWxpZCBJZGVudGlmaWVyKdFGQhA7794INldcMjvv3ggiQ0lRLi5JUV9EQV9TVVBQTF9QQVJUSUFMX0NGLi4uLi4uSAUAAAAAAAAACAAAABQoSW52YWxpZCBJZGVudGlmaWVyKcJ9oRA7794IILdeMjvv3gggQ0lRLi5JUV9UT1RBTF9ERUJUX0lTU1VFRC4uLi4uLkgFAAAAAAAAAAgAAAAUKEludmFsaWQgSWRlbnRpZmllcikYOGsQO+/eCHJuYTI7794IHENJUS4uSVFfU0FMRV9JTlRBTl9DRi4uLi4uLkgFAAAAAAAAAAgAAAAUKEludmFsaWQgSWRlbnRpZmllcimfKpIQO+/eCFo4YjI7794IIUNJUS4uSVFfU1RPQ0tfQkFTRURfQ0YuMjAwMC4uLi4uSAUAAAAAAAAACAAAABQoSW52YWxpZCBJZGVudGlmaWVyKdFGQhA7794IC8pkMjvv3ggjQ0lRLi5JUV9NSU5PUklUWV9JTlRFUkVTVF9DRi4uLi4uLkgFAAAAAAAAAAgAAAAUKEludmFsaWQgSWRlbnRpZmllcimfKpIQO+/eCKADZjI7794IFENJUS4uSVFfTklfQ0YuLi4uLi5IBQAA</t>
  </si>
  <si>
    <t>AAAAAAAIAAAAFChJbnZhbGlkIElkZW50aWZpZXIp5tmREDvv3gjUyGYyO+/eCB1DSVEuLklRX1NUT0NLX0JBU0VEX0FULi4uLi4uSAUAAAAAAAAACAAAABQoSW52YWxpZCBJZGVudGlmaWVyKebZkRA7794I3lJoMjvv3ggnQ0lRLi5JUV9ESVNUUklCVVRBQkxFX0NBU0hfUEFZT1VULjIwMDAuBQAAAAAAAAAIAAAAFChJbnZhbGlkIElkZW50aWZpZXIp0UZCEDvv3gg9324yO+/eCBhDSVEuLklRX0RBX0VCSVREQS4uLi4uLkgFAAAAAAAAAAgAAAAUKEludmFsaWQgSWRlbnRpZmllcikdX2sQO+/eCJ3JbzI7794IF0NJUS4uSVFfRElMVVRfTkkuLi4uLi5IBQAAAAAAAAAIAAAAFChJbnZhbGlkIElkZW50aWZpZXIpHV9rEDvv3ggRjHAyO+/eCCdDSVEuLklRX0RFRkVSUkVEX1RBWEVTX1RPVEFMLjIwMDAuLi4uLkgFAAAAAAAAAAgAAAAUKEludmFsaWQgSWRlbnRpZmllcinRRkIQO+/eCGHacDI7794IGUNJUS4uSVFfQ1VSUl9UQVhFUy4uLi4uLkgFAAAAAAAAAAgAAAAUKEludmFsaWQgSWRlbnRpZmllcikdX2sQO+/eCEhjcTI7794IKkNJUS4uSVFfRVhDSVNFX1RBWEVTX0lOQ0xfU0FMRVMuMjAwMC4uLi4uSAUAAAAAAAAACAAAABQoSW52YWxpZCBJZGVudGlmaWVyKdFGQhA7794IsLFxMjvv3gggQ0lRLi5JUV9JTlZFU1RNRU5UX0lOQ09NRS4uLi4uLkgFAAAAAAAAAAgAAAAUKEludmFsaWQgSWRlbnRpZmll</t>
  </si>
  <si>
    <t>cikdX2sQO+/eCMv/cTI7794IGUNJUS4uSVFfTklfU0ZBUy45OTAuLi4uLkgFAAAAAAAAAAgAAAAUKEludmFsaWQgSWRlbnRpZmllcinRRkIQO+/eCO1NcjI7794IF0NJUS4uSVFfU0FNRV9TVE9SRS45OTAuBQAAAAAAAAAIAAAAFChJbnZhbGlkIElkZW50aWZpZXIp0UZCEDvv3ghD63IyO+/eCCFDSVEuLklRX0VCSVREQV9FWENMX1NCQy45OTAuLi4uLkgFAAAAAAAAAAgAAAAUKEludmFsaWQgSWRlbnRpZmllcinRRkIQO+/eCLFJdTI7794IIENJUS4uSVFfRElMVVRfRVBTX05PUk0uOTkwLi4uLi5IBQAAAAAAAAAIAAAAFChJbnZhbGlkIElkZW50aWZpZXIp0UZCEDvv3ghNMHcyO+/eCBVDSVEuLklRX0dQLjIwMDAuLi4uLkgFAAAAAAAAAAgAAAAUKEludmFsaWQgSWRlbnRpZmllcinRRkIQO+/eCMk7fTI7794IGENJUS4uSVFfSU5WRU5UT1JZLi4uLi4uSAUAAAAAAAAACAAAABQoSW52YWxpZCBJZGVudGlmaWVyKcJ9oRA7794IKXVYMjvv3ggmQ0lRLi5JUV9TQUxFX1JFQUxfRVNUQVRFX0NGLjIwMDAuLi4uLkgFAAAAAAAAAAgAAAAUKEludmFsaWQgSWRlbnRpZmllcinRRkIQO+/eCFo4YjI7794IKENJUS4uSVFfU1RPQ0tfT1BUSU9OU19DT01QX1BSRVRBWC4uLi4uLkgFAAAAAAAAAAgAAAAUKEludmFsaWQgSWRlbnRpZmllcilbA5IQO+/eCAaMZzI7794IHENJUS4uSVFfQUlSQ1JBRlRfUkVOVC4uLi4u</t>
  </si>
  <si>
    <t>LkgFAAAAAAAAAAgAAAAUKEludmFsaWQgSWRlbnRpZmllcinzEGsQO+/eCDLTazI7794IHENJUS4uSVFfUkRfRVhQX0ZOLjIwMDAuLi4uLkgFAAAAAAAAAAgAAAAUKEludmFsaWQgSWRlbnRpZmllcinRRkIQO+/eCF+DbDI7794IG0NJUS4uSVFfTUFSS0VUSU5HLjk5MC4uLi4uSAUAAAAAAAAACAAAABQoSW52YWxpZCBJZGVudGlmaWVyKdFGQhA7794IKz5tMjvv3ggYQ0lRLi5JUV9SRVNUQVRFTUVOVF9JUy4uBQAAAAAAAAAIAAAAFChJbnZhbGlkIElkZW50aWZpZXIpHV9rEDvv3ghTBG4yO+/eCDRDSVEuLklRX0lOVEVSRVNUX0VYUF9MRUFTRV9MSUFCSUxJVFlfREVCVC4yMDAwLi4uLi5IBQAAAAAAAAAIAAAAFChJbnZhbGlkIElkZW50aWZpZXIp0UZCEDvv3gg5KnAyO+/eCB1DSVEuLklRX0NVUlJfVEFYRVMuMjAwMC4uLi4uSAUAAAAAAAAACAAAABQoSW52YWxpZCBJZGVudGlmaWVyKdFGQhA7794IfShxMjvv3gglQ0lRLi5JUV9DVVJSX0RPTUVTVElDX1RBWEVTLjk5MC4uLi4uSAUAAAAAAAAACAAAABQoSW52YWxpZCBJZGVudGlmaWVyKdFGQhA7794IsLFxMjvv3ggmQ0lRLi5JUV9MRUFTRV9BREpVU1RNRU5UX0VCSVREQS4uLi4uLkgFAAAAAAAAAAgAAAAUKEludmFsaWQgSWRlbnRpZmllcinldUwQO+/eCI37dDI7794IGkNJUS4uSVFfRklMSU5HREFURV9JUy45OTAuBQAAAAAAAAAIAAAAFChJbnZh</t>
  </si>
  <si>
    <t>bGlkIElkZW50aWZpZXIp0UZCEDvv3gjoHnYyO+/eCCxDSVEuLklRX0RJU1RSSUJVVEFCTEVfQ0FTSF9TSEFSRVNfQkFTSUMuOTkwLgUAAAAAAAAACAAAABQoSW52YWxpZCBJZGVudGlmaWVyKdFGQhA7794IQgl3Mjvv3gggQ0lRLi5JUV9DVVJSRU5DWV9HQUlOLjIwMDAuLi4uLkgFAAAAAAAAAAgAAAAUKEludmFsaWQgSWRlbnRpZmllcinRRkIQO+/eCBIYezI7794IGkNJUS4uSVFfT1BFUl9JTkMuOTkwLi4uLi5IBQAAAAAAAAAIAAAAFChJbnZhbGlkIElkZW50aWZpZXIp0UZCEDvv3ghayHsyO+/eCBlDSVEuLklRX1JEX0VYUC4yMDAwLi4uLi5IBQAAAAAAAAAIAAAAFChJbnZhbGlkIElkZW50aWZpZXIp0UZCEDvv3giTeHwyO+/eCBtDSVEuLklRX1NHQV9TVVBQTC45OTAuLi4uLkgFAAAAAAAAAAgAAAAUKEludmFsaWQgSWRlbnRpZmllcinRRkIQO+/eCMk7fTI7794IIkNJUS4uSVFfR0FJTl9JTlZFU1RfUkVWLjIwMDAuLi4uLkgFAAAAAAAAAAgAAAAUKEludmFsaWQgSWRlbnRpZmllcinRRkIQO+/eCEM6fjI7794IF0NJUS4uSVFfUEVSSU9EREFURS45OTAuBQAAAAAAAAAIAAAAFChJbnZhbGlkIElkZW50aWZpZXIp0UZCEDvv3giV/X4yO+/eCCBDSVEuLklRX05JX0FWQUlMX0VYQ0wuMjAwMC4uLi4uSAUAAAAAAAAACAAAABQoSW52YWxpZCBJZGVudGlmaWVyKdFGQhA7794Ivy54Mjvv3gghQ0lRLi5J</t>
  </si>
  <si>
    <t>UV9QUkVGX0RJVl9PVEhFUi4yMDAwLi4uLi5IBQAAAAAAAAAIAAAAFChJbnZhbGlkIElkZW50aWZpZXIp0UZCEDvv3gjQVXgyO+/eCB1DSVEuLklRX0lOU19TRVRUTEUuMjAwMC4uLi4uSAUAAAAAAAAACAAAABQoSW52YWxpZCBJZGVudGlmaWVyKdFGQhA7794IBcp5Mjvv3ggqQ0lRLi5JUV9PVEhFUl9OT05fT1BFUl9FWFBfU1VQUEwuOTkwLi4uLi5IBQAAAAAAAAAIAAAAFChJbnZhbGlkIElkZW50aWZpZXIp0UZCEDvv3ggSGHsyO+/eCB5DSVEuLklRX0lOU19ESVZfRVhQLjIwMDAuLi4uLkgFAAAAAAAAAAgAAAAUKEludmFsaWQgSWRlbnRpZmllcinRRkIQO+/eCNydfTI7794IHkNJUS4uSVFfQ0FTSF9UQVhFU19PUEVSLi4uLi4uSAUAAAAAAAAACAAAABQoSW52YWxpZCBJZGVudGlmaWVyKdCkoRA7794Iin5cMjvv3ggbQ0lRLi5JUV9QUkVGX1JFUC4yMDAwLi4uLi5IBQAAAAAAAAAIAAAAFChJbnZhbGlkIElkZW50aWZpZXIp0UZCEDvv3gi8KmAyO+/eCB1DSVEuLklRX0xUX0RFQlRfSVNTVUVELi4uLi4uSAUAAAAAAAAACAAAABQoSW52YWxpZCBJZGVudGlmaWVyKebZkRA7794IoJVhMjvv3ggfQ0lRLi5JUV9TQUxFX0lOVEFOX0NGLjk5MC4uLi4uSAUAAAAAAAAACAAAABQoSW52YWxpZCBJZGVudGlmaWVyKdFGQhA7794IWjhiMjvv3ggrQ0lRLi5JUV9DSEFOR0VfT1RIRVJfTkVUX09QRVJfQVNTRVRT</t>
  </si>
  <si>
    <t>Li4uLi4uSAUAAAAAAAAACAAAABQoSW52YWxpZCBJZGVudGlmaWVyKVsDkhA7794IsiJjMjvv3ggkQ0lRLi5JUV9DSEFOR0VfVFJBRElOR19BU1NFVFMuLi4uLi5IBQAAAAAAAAAIAAAAFChJbnZhbGlkIElkZW50aWZpZXIp5tmREDvv3giXLWQyO+/eCBhDSVEuLklRX05JX0NGLjIwMDAuLi4uLkgFAAAAAAAAAAgAAAAUKEludmFsaWQgSWRlbnRpZmllcinRRkIQO+/eCNSfZjI7794II0NJUS4uSVFfT1RIRVJfVU5VU1VBTF9TVVBQTEUuLi4uLi5IBQAAAAAAAAAIAAAAFChJbnZhbGlkIElkZW50aWZpZXIpHV9rEDvv3ghismkyO+/eCCJDSVEuLklRX0dBSU5fQkFSR0FJTl9BQ1EuOTkwLi4uLi5IBQAAAAAAAAAIAAAAFChJbnZhbGlkIElkZW50aWZpZXIp0UZCEDvv3ggVOGoyO+/eCCxDSVEuLklRX0RFUFJFQ0lBVElPTl9SRU5UQUxfQVNTRVRTLjk5MC4uLi4uSAUAAAAAAAAACAAAABQoSW52YWxpZCBJZGVudGlmaWVyKdFGQhA7794I66trMjvv3ggjQ0lRLi5JUV9ORVRfUkVOVEFMX0VYUF9GTi45OTAuLi4uLkgFAAAAAAAAAAgAAAAUKEludmFsaWQgSWRlbnRpZmllcinRRkIQO+/eCF+DbDI7794IGkNJUS4uSVFfQURWRVJUSVNJTkcuLi4uLi5IBQAAAAAAAAAIAAAAFChJbnZhbGlkIElkZW50aWZpZXIp8xBrEDvv3ghHjG0yO+/eCBtDSVEuLklRX0RJTFVUX05JLjIwMDAuLi4uLkgFAAAAAAAAAAgAAAAU</t>
  </si>
  <si>
    <t>KEludmFsaWQgSWRlbnRpZmllcinRRkIQO+/eCBGMcDI7794IKUNJUS4uSVFfREVGRVJSRURfRE9NRVNUSUNfVEFYRVMuOTkwLi4uLi5IBQAAAAAAAAAIAAAAFChJbnZhbGlkIElkZW50aWZpZXIp0UZCEDvv3gh9KHEyO+/eCCRDSVEuLklRX0FTX1JFUE9SVEVEX0VCSVREQS45OTAuLi4uLkgFAAAAAAAAAAgAAAAUKEludmFsaWQgSWRlbnRpZmllcinRRkIQO+/eCOWvcjI7794IIkNJUS4uSVFfRUJJVERBUl9FWENMX1NCQy45OTAuLi4uLkgFAAAAAAAAAAgAAAAUKEludmFsaWQgSWRlbnRpZmllcinRRkIQO+/eCLZgczI7794IJ0NJUS4uSVFfRUJJVEFfRVFfSU5DX0VYQ0xfU0JDLjk5MC4uLi4uSAUAAAAAAAAACAAAABQoSW52YWxpZCBJZGVudGlmaWVyKdFGQhA7794I+/xzMjvv3ggdQ0lRLi5JUV9FQklUX0VRX0lOQy45OTAuLi4uLkgFAAAAAAAAAAgAAAAUKEludmFsaWQgSWRlbnRpZmllcinRRkIQO+/eCG+tdDI7794IGENJUS4uSVFfU1RfSU5WRVNULi4uLi4uSAUAAAAAAAAACAAAABQoSW52YWxpZCBJZGVudGlmaWVyKcJ9oRA7794Ia0xZMjvv3ggjQ0lRLi5JUV9DQVNIX0lOVEVSRVNUX0lOVkVTVC4uLi4uLkgFAAAAAAAAAAgAAAAUKEludmFsaWQgSWRlbnRpZmllcinCfaEQO+/eCJYHXTI7794IH0NJUS4uSVFfQ09NTU9OX0RJVl9DRi45OTAuLi4uLkgFAAAAAAAAAAgAAAAUKEludmFsaWQgSWRl</t>
  </si>
  <si>
    <t>bnRpZmllcinRRkIQO+/eCLwqYDI7794IHUNJUS4uSVFfQ0hBTkdFX0RFRl9UQVguLi4uLi5IBQAAAAAAAAAIAAAAFChJbnZhbGlkIElkZW50aWZpZXIpnyqSEDvv3ggAVmMyO+/eCBxDSVEuLklRX0lOQ19FUVVJVFlfQ0YuLi4uLi5IBQAAAAAAAAAIAAAAFChJbnZhbGlkIElkZW50aWZpZXIpnyqSEDvv3gjsF2UyO+/eCCBDSVEuLklRX1NUT0NLX0JBU0VEX09USEVSLi4uLi4uSAUAAAAAAAAACAAAABQoSW52YWxpZCBJZGVudGlmaWVyKebZkRA7794I6nloMjvv3ggdQ0lRLi5JUV9TVE9DS19CQVNFRF9SRC4uLi4uLkgFAAAAAAAAAAgAAAAUKEludmFsaWQgSWRlbnRpZmllcinm2ZEQO+/eCCMWaTI7794IIUNJUS4uSVFfUkVTVFJVQ1RVUkVfU1VQUExFLi4uLi4uSAUAAAAAAAAACAAAABQoSW52YWxpZCBJZGVudGlmaWVyKR1faxA7794IW9RqMjvv3ggjQ0lRLi5JUV9DT05USU5HRU5UX1JFTlRBTC45OTAuLi4uLkgFAAAAAAAAAAgAAAAUKEludmFsaWQgSWRlbnRpZmllcinRRkIQO+/eCFghbDI7794IHENJUS4uSVFfUkVTVEFURU1FTlRfSVMuMjAwMC4FAAAAAAAAAAgAAAAUKEludmFsaWQgSWRlbnRpZmllcinRRkIQO+/eCFMEbjI7794IJkNJUS4uSVFfRElTVFJJQlVUQUJMRV9DQVNIX1BBWU9VVC45OTAuBQAAAAAAAAAIAAAAFChJbnZhbGlkIElkZW50aWZpZXIp0UZCEDvv3ghDBm8yO+/eCCBDSVEu</t>
  </si>
  <si>
    <t>LklRX0ZFRVNfT1RIRVJfSU5DT01FLi4uLi4uSAUAAAAAAAAACAAAABQoSW52YWxpZCBJZGVudGlmaWVyKR1faxA7794IkhJzMjvv3gggQ0lRLi5JUV9CQVNJQ19FUFNfSU5DTC45OTAuLi4uLkgFAAAAAAAAAAgAAAAUKEludmFsaWQgSWRlbnRpZmllcinRRkIQO+/eCL8ueDI7794IH0NJUS4uSVFfTklfQVZBSUxfSU5DTC45OTAuLi4uLkgFAAAAAAAAAAgAAAAUKEludmFsaWQgSWRlbnRpZmllcinRRkIQO+/eCOF8eDI7794IJ0NJUS4uSVFfTUlOT1JJVFlfSU5URVJFU1RfSVMuMjAwMC4uLi4uSAUAAAAAAAAACAAAABQoSW52YWxpZCBJZGVudGlmaWVyKdFGQhA7794I+aN4Mjvv3ggVQ0lRLi5JUV9FQlQuOTkwLi4uLi5IBQAAAAAAAAAIAAAAFChJbnZhbGlkIElkZW50aWZpZXIp0UZCEDvv3gjoe3kyO+/eCB5DSVEuLklRX0xFR0FMX1NFVFRMRS45OTAuLi4uLkgFAAAAAAAAAAgAAAAUKEludmFsaWQgSWRlbnRpZmllcinRRkIQO+/eCAXKeTI7794IIkNJUS4uSVFfQVNTRVRfV1JJVEVET1dOLjIwMDAuLi4uLkgFAAAAAAAAAAgAAAAUKEludmFsaWQgSWRlbnRpZmllcinRRkIQO+/eCCMYejI7794IHUNJUS4uSVFfSU1QQUlSX09JTC4yMDAwLi4uLi5IBQAAAAAAAAAIAAAAFChJbnZhbGlkIElkZW50aWZpZXIp0UZCEDvv3ghFA3wyO+/eCCFDSVEuLklRX0ZJTl9ESVZfSU5UX0VYUC45OTAuLi4uLkgFAAAA</t>
  </si>
  <si>
    <t>AAAAAAgAAAAUKEludmFsaWQgSWRlbnRpZmllcinRRkIQO+/eCNydfTI7794IG0NJUS4uSVFfRElWX1NIQVJFLjk5MC4uLi4uSAUAAAAAAAAACAAAABQoSW52YWxpZCBJZGVudGlmaWVyKUZ3QhA7794Iyrt2Mjvv3ggZQ0lRLi5JUV9CQVNJQ19XRUlHSFQuOTkwLgUAAAAAAAAACAAAABQoSW52YWxpZCBJZGVudGlmaWVyKUZ3QhA7794IoOB3Mjvv3ggbQ0lRLi5JUV9TVF9JTlZFU1QuOTkwLi4uLi5IBQAAAAAAAAAIAAAAFChJbnZhbGlkIElkZW50aWZpZXIpRndCEDvv3ghrTFkyO+/eCCFDSVEuLklRX0NBU0hfSU5URVJFU1RfT1BFUi4uLi4uLkgFAAAAAAAAAAgAAAAUKEludmFsaWQgSWRlbnRpZmllcinQpKEQO+/eCJYHXTI7794IGUNJUS4uSVFfUEVSSU9ETEVOR1RIX0NGLi4FAAAAAAAAAAgAAAAUKEludmFsaWQgSWRlbnRpZmllcinDVqEQO+/eCPDxXjI7794IHUNJUS4uSVFfQ1JFRElUX0xPU1NfQ0YuLi4uLi5IBQAAAAAAAAAIAAAAFChJbnZhbGlkIElkZW50aWZpZXIp5tmREDvv3ghFQGUyO+/eCB9DSVEuLklRX1JFU1RSX1NUT0NLX0NPTVAuLi4uLi5IBQAAAAAAAAAIAAAAFChJbnZhbGlkIElkZW50aWZpZXIp5tmREDvv3ggVs2cyO+/eCCdDSVEuLklRX09USEVSX1VOVVNVQUxfU1VQUExFLjIwMDAuLi4uLkgFAAAAAAAAAAgAAAAUKEludmFsaWQgSWRlbnRpZmllcilGd0IQO+/eCFKLaTI7794I</t>
  </si>
  <si>
    <t>GkNJUS4uSVFfSVBSRF9TVVBQTEUuLi4uLi5IBQAAAAAAAAAIAAAAFChJbnZhbGlkIElkZW50aWZpZXIp8xBrEDvv3gghX2oyO+/eCB9DSVEuLklRX09USEVSX1JFTlRBTC4yMDAwLi4uLi5IBQAAAAAAAAAIAAAAFChJbnZhbGlkIElkZW50aWZpZXIpRndCEDvv3ggy02syO+/eCBlDSVEuLklRX0VGRkVDVF9UQVhfUkFURS4uBQAAAAAAAAAIAAAAFChJbnZhbGlkIElkZW50aWZpZXIpHV9rEDvv3ggpuG4yO+/eCCNDSVEuLklRX0lOVkVTVE1FTlRfSU5DT01FLjk5MC4uLi4uSAUAAAAAAAAACAAAABQoSW52YWxpZCBJZGVudGlmaWVyKUZ3QhA7794Iy/9xMjvv3ggZQ0lRLi5JUV9DQVNIX0VRVUlWLi4uLi4uSAUAAAAAAAAACAAAABQoSW52YWxpZCBJZGVudGlmaWVyKdCkoRA7794Ina5ZMjvv3ggRQ0lRLi5JUV9GWC4uLi4uLkgFAAAAAAAAAAgAAAAUKEludmFsaWQgSWRlbnRpZmllcimfKpIQO+/eCFxnXzI7794IF0NJUS4uSVFfUFJFRl9SRVAuLi4uLi5IBQAAAAAAAAAIAAAAFChJbnZhbGlkIElkZW50aWZpZXIpw1ahEDvv3ggEUmAyO+/eCCJDSVEuLklRX1NBTEVfUkVBTF9FU1RBVEVfQ0YuLi4uLi5IBQAAAAAAAAAIAAAAFChJbnZhbGlkIElkZW50aWZpZXIp5tmREDvv3ghmX2IyO+/eCChDSVEuLklRX0NIQU5HRV9UUkFESU5HX0FTU0VUUy4yMDAwLi4uLi5IBQAAAAAAAAAIAAAAFChJbnZhbGlkIElk</t>
  </si>
  <si>
    <t>ZW50aWZpZXIpRndCEDvv3giXLWQyO+/eCB9DSVEuLklRX1NUT0NLX0JBU0VEX0NPTVAuLi4uLi5IBQAAAAAAAAAIAAAAFChJbnZhbGlkIElkZW50aWZpZXIpWwOSEDvv3gjK72YyO+/eCBtDSVEuLklRX01BSU5UX1JFUEFJUi4uLi4uLkgFAAAAAAAAAAgAAAAUKEludmFsaWQgSWRlbnRpZmllcinm2ZEQO+/eCBtxazI7794IH0NJUS4uSVFfQUlSQ1JBRlRfUkVOVC45OTAuLi4uLkgFAAAAAAAAAAgAAAAUKEludmFsaWQgSWRlbnRpZmllcilGd0IQO+/eCDLTazI7794IJENJUS4uSVFfTkVUX1JFTlRBTF9FWFBfU1VQUExFLi4uLi4uSAUAAAAAAAAACAAAABQoSW52YWxpZCBJZGVudGlmaWVyKR1faxA7794IHFxsMjvv3ggdQ0lRLi5JUV9GSUxJTkdfQ1VSUkVOQ1kuMjAwMC4FAAAAAAAAAAgAAAAUKEludmFsaWQgSWRlbnRpZmllcilLfrkQO+/eCFMEbjI7794IHUNJUS4uSVFfRUZGRUNUX1RBWF9SQVRFLjIwMDAuBQAAAAAAAAAIAAAAFChJbnZhbGlkIElkZW50aWZpZXIpRndCEDvv3ggxkW4yO+/eCClDSVEuLklRX0RFRkVSUkVEX0ZPUkVJR05fVEFYRVMuMjAwMC4uLi4uSAUAAAAAAAAACAAAABQoSW52YWxpZCBJZGVudGlmaWVyKUZ3QhA7794IbwFxMjvv3ggbQ0lRLi5JUV9FQklUQV9FUV9JTkMuLi4uLi5IBQAAAAAAAAAIAAAAFChJbnZhbGlkIElkZW50aWZpZXIpGDhrEDvv3ggGJHQyO+/eCCFDSVEu</t>
  </si>
  <si>
    <t>LklRX0RJTFVUX0VQU19JTkNMLjIwMDAuLi4uLkgFAAAAAAAAAAgAAAAUKEludmFsaWQgSWRlbnRpZmllcilGd0IQO+/eCISSdzI7794IHUNJUS4uSVFfR0FJTl9BU1NFVFMuOTkwLi4uLi5IBQAAAAAAAAAIAAAAFChJbnZhbGlkIElkZW50aWZpZXIpRndCEDvv3gg3P3oyO+/eCBlDSVEuLklRX01FUkdFUi4yMDAwLi4uLi5IBQAAAAAAAAAIAAAAFChJbnZhbGlkIElkZW50aWZpZXIpRndCEDvv3ggNenoyO+/eCBxDSVEuLklRX0lOQ19FUVVJVFkuOTkwLi4uLi5IBQAAAAAAAAAIAAAAFChJbnZhbGlkIElkZW50aWZpZXIpRndCEDvv3ggiZnsyO+/eCB9DSVEuLklRX0VYUExPUkVfRFJJTEwuOTkwLi4uLi5IBQAAAAAAAAAIAAAAFChJbnZhbGlkIElkZW50aWZpZXIpRndCEDvv3gi9FH0yO+/eCBdDSVEuLklRX0NPR1MuMjAwMC4uLi4uSAUAAAAAAAAACAAAABQoSW52YWxpZCBJZGVudGlmaWVyKUZ3QhA7794IFMV9Mjvv3gghQ0lRLi5JUV9HQUlOX0FTU0VUU19SRVYuOTkwLi4uLi5IBQAAAAAAAAAIAAAAFChJbnZhbGlkIElkZW50aWZpZXIpRndCEDvv3ghniH4yO+/eCBpDSVEuLklRX0RJTFVUX05JLjk5MC4uLi4uSAUAAAAAAAAACAAAABQoSW52YWxpZCBJZGVudGlmaWVyKUZ3QhA7794IEYxwMjvv3ggmQ0lRLi5JUV9ERUZFUlJFRF9UQVhFU19UT1RBTC45OTAuLi4uLkgFAAAAAAAAAAgAAAAUKEludmFs</t>
  </si>
  <si>
    <t>aWQgSWRlbnRpZmllcilGd0IQO+/eCG8BcTI7794IHENJUS4uSVFfQ1VSUl9UQVhFUy45OTAuLi4uLkgFAAAAAAAAAAgAAAAUKEludmFsaWQgSWRlbnRpZmllcilGd0IQO+/eCEhjcTI7794IFkNJUS4uSVFfRElDLjIwMDAuLi4uLkgFAAAAAAAAAAgAAAAUKEludmFsaWQgSWRlbnRpZmllcilGd0IQO+/eCCM/bjI7794IHUNJUS4uSVFfSU5UX0VYUF9MVEQuOTkwLi4uLi5IBQAAAAAAAAAIAAAAFChJbnZhbGlkIElkZW50aWZpZXIpRndCEDvv3ghKUXAyO+/eCBpDSVEuLklRX0VQU19OT1JNLjk5MC4uLi4uSAUAAAAAAAAACAAAABQoSW52YWxpZCBJZGVudGlmaWVyKUZ3QhA7794IJmt3Mjvv3gggQ0lRLi5JUV9ESUxVVF9FUFNfSU5DTC45OTAuLi4uLkgFAAAAAAAAAAgAAAAUKEludmFsaWQgSWRlbnRpZmllcilGd0IQO+/eCJG5dzI7794IJkNJUS4uSVFfTUlOT1JJVFlfSU5URVJFU1RfSVMuOTkwLi4uLi5IBQAAAAAAAAAIAAAAFChJbnZhbGlkIElkZW50aWZpZXIpRndCEDvv3ggBy3gyO+/eCCFDSVEuLklRX0FTU0VUX1dSSVRFRE9XTi45OTAuLi4uLkgFAAAAAAAAAAgAAAAUKEludmFsaWQgSWRlbnRpZmllcilGd0IQO+/eCCMYejI7794IHUNJUS4uSVFfU1RPQ0tfQkFTRUQuOTkwLi4uLi5IBQAAAAAAAAAIAAAAFChJbnZhbGlkIElkZW50aWZpZXIpRndCEDvv3gi27XwyO+/eCCVDSVEuLklRX09USEVS</t>
  </si>
  <si>
    <t>X1VOVVNVQUxfU1VQUEwuOTkwLi4uLi5IBQAAAAAAAAAIAAAAFChJbnZhbGlkIElkZW50aWZpZXIpRndCEDvv3gj2onkyO+/eCBVDSVEuLklRX0RJQy45OTAuLi4uLkgFAAAAAAAAAAgAAAAUKEludmFsaWQgSWRlbnRpZmllcilGd0IQO+/eCDGRbjI7794II0NJUS4uSVFfRkVFU19PVEhFUl9JTkNPTUUuOTkwLi4uLi5IBQAAAAAAAAAIAAAAFChJbnZhbGlkIElkZW50aWZpZXIpRndCEDvv3giSEnMyO+/eCCFDSVEuLklRX1NUT0NLX0JBU0VEX1NNLjIwMDAuLi4uLkgFAAAAAAAAAAgAAAAUKEludmFsaWQgSWRlbnRpZmllcilGd0IQO+/eCAvIaDI7794IKUNJUS4uSVFfTEVBU0VfQURKVVNUTUVOVF9FQklUREEuOTkwLi4uLi5IBQAAAAAAAAAIAAAAFChJbnZhbGlkIElkZW50aWZpZXIpRndCEDvv3gihInUyO+/eCBpDSVEuLklRX0lOQ19UQVguMjAwMC4uLi4uSAUAAAAAAAAACAAAABQoSW52YWxpZCBJZGVudGlmaWVyKUZ3QhA7794I3FR5Mjvv3ggmQ0lRLi5JUV9JTlRFUkVTVF9JTlZFU1RfSU5DLjIwMDAuLi4uLkgFAAAAAAAAAAgAAAAUKEludmFsaWQgSWRlbnRpZmllcilGd0IQO+/eCCJmezI7794IHUNJUS4uSVFfRklOX0RJVl9FWFAuOTkwLi4uLi5IBQAAAAAAAAAIAAAAFChJbnZhbGlkIElkZW50aWZpZXIpRndCEDvv3ggUxX0yO+/eCBhDSVEuLklRX1JEX0VYUC45OTAuLi4uLkgFAAAAAAAAAAgA</t>
  </si>
  <si>
    <t>AAAUKEludmFsaWQgSWRlbnRpZmllcilGd0IQO+/eCKKffDI7794IIENJUS4uSVFfUFJPVl9CQURfREVCVFMuOTkwLi4uLi5IBQAAAAAAAAAIAAAAFChJbnZhbGlkIElkZW50aWZpZXIpRndCEDvv3gi27XwyO+/eCB5DSVEuLklRX0lOU19ESVZfUkVWLjIwMDAuLi4uLkgFAAAAAAAAAAgAAAAUKEludmFsaWQgSWRlbnRpZmllcilGd0IQO+/eCGeIfjI7794IGUNJUS4uSVFfTklfTk9STS45OTAuLi4uLkgFAAAAAAAAAAgAAAAUKEludmFsaWQgSWRlbnRpZmllcilGd0IQO+/eCFWzcDI7794IIENJUS4uSVFfRUJJVF9FWENMX1NCQy4yMDAwLi4uLi5IBQAAAAAAAAAIAAAAFChJbnZhbGlkIElkZW50aWZpZXIpRndCEDvv3ggGJHQyO+/eCBxDSVEuLklRX05JX0NPTVBBTlkuOTkwLi4uLi5IBQAAAAAAAAAIAAAAFChJbnZhbGlkIElkZW50aWZpZXIpRndCEDvv3ggBy3gyO+/eCCJDSVEuLklRX05FVF9JTlRFUkVTVF9FWFAuOTkwLi4uLi5IBQAAAAAAAAAIAAAAFChJbnZhbGlkIElkZW50aWZpZXIpRndCEDvv3ggiZnsyO+/eCCBDSVEuLklRX0VYUExPUkVfRFJJTEwuMjAwMC4uLi4uSAUAAAAAAAAACAAAABQoSW52YWxpZCBJZGVudGlmaWVyKUZ3QhA7794Itu18Mjvv3gghQ0lRLi5JUV9PVEhFUl9SRVZfU1VQUEwuOTkwLi4uLi5IBQAAAAAAAAAIAAAAFChJbnZhbGlkIElkZW50aWZpZXIpRndCEDvv3ghDOn4y</t>
  </si>
  <si>
    <t>O+/eCBVDSVEuLklRX05JLjIwMDAuLi4uLkgFAAAAAAAAAAgAAAAUKEludmFsaWQgSWRlbnRpZmllcilGd0IQO+/eCOF8eDI7794IHENJUS4uSVFfSU5TX1NFVFRMRS45OTAuLi4uLkgFAAAAAAAAAAgAAAAUKEludmFsaWQgSWRlbnRpZmllcilGd0IQO+/eCAXKeTI7794IIUNJUS4uSVFfR1dfSU5UQU5fQU1PUlQuMjAwMC4uLi4uSAUAAAAAAAAACAAAABQoSW52YWxpZCBJZGVudGlmaWVyKUZ3QhA7794Idip8Mjvv3ggYQ0lRLi5JUV9NRVJHRVIuOTkwLi4uLi5IBQAAAAAAAAAIAAAAFChJbnZhbGlkIElkZW50aWZpZXIpRndCEDvv3ghctXoyO+/eCCNDSVEuLklRX1RPVEFMX09USEVSX09QRVIuMjAwMC4uLi4uSAUAAAAAAAAACAAAABQoSW52YWxpZCBJZGVudGlmaWVyKUZ3QhA7794IZu97Mjvv3ggeQ0lRLi5JUV9HQUlOX0lOVkVTVC4yMDAwLi4uLi5IBQAAAAAAAAAIAAAAFChJbnZhbGlkIElkZW50aWZpZXIpRndCEDvv3gg3P3oyO+/eCB9DSVEuLklRX1BSRV9PUEVOX0NPU1QuOTkwLi4uLi5IBQAAAAAAAAAIAAAAFChJbnZhbGlkIElkZW50aWZpZXIpRndCEDvv3giin3wyO+/eCDdDSVEuLklRX0RJU1RSSUJVVEFCTEVfQ0FTSF9QRVJfU0hBUkVfRElMVVRFRC4yMDAwLi4uLi5IBQAAAAAAAAAIAAAAFChJbnZhbGlkIElkZW50aWZpZXIp1E5MEDvv3ghCCXcyO+/eCBpDSVEuLklRX0RJTFVUX1dFSUdI</t>
  </si>
  <si>
    <t>VC4yMDAwLgUAAAAAAAAACAAAABQoSW52YWxpZCBJZGVudGlmaWVyKdROTBA7794IJmt3Mjvv3ggVQ0lRLi5JUV9ETy4yMDAwLi4uLi5IBQAAAAAAAAAIAAAAFChJbnZhbGlkIElkZW50aWZpZXIp1E5MEDvv3giaBnkyO+/eCB5DSVEuLklRX1JFU1RSVUNUVVJFLjIwMDAuLi4uLkgFAAAAAAAAAAgAAAAUKEludmFsaWQgSWRlbnRpZmllcinUTkwQO+/eCFy1ejI7794IG0NJUS4uSVFfREFfU1VQUEwuMjAwMC4uLi4uSAUAAAAAAAAACAAAABQoSW52YWxpZCBJZGVudGlmaWVyKdROTBA7794IglF8Mjvv3ggiQ0lRLi5JUV9PVEhFUl9SRVZfU1VQUEwuMjAwMC4uLi4uSAUAAAAAAAAACAAAABQoSW52YWxpZCBJZGVudGlmaWVyKdROTBA7794INRN+Mjvv3ggiQ0lRLi5JUV9HQUlOX0FTU0VUU19SRVYuMjAwMC4uLi4uSAUAAAAAAAAACAAAABQoSW52YWxpZCBJZGVudGlmaWVyKdROTBA7794IZ4h+Mjvv3ggpQ0lRLi5JUV9FWENJU0VfVEFYRVNfSU5DTF9TQUxFUy45OTAuLi4uLkgFAAAAAAAAAAgAAAAUKEludmFsaWQgSWRlbnRpZmllcinUTkwQO+/eCLzYcTI7794IJUNJUS4uSVFfVE9UQUxfREVCVF9FWENMX0xFQVNFUy4uLi4uLkgFAAAAAAAAAAgAAAAUKEludmFsaWQgSWRlbnRpZmllcilMpbkQO+/eCLY3TjI7794IHkNJUS4uSVFfREVGX1RBWF9MSUFCX0xULi4uLi4uSAUAAAAAAAAACAAAABQoSW52YWxp</t>
  </si>
  <si>
    <t>ZCBJZGVudGlmaWVyKUyluRA7794IvkJTMjvv3ggRQ0lRLi5JUV9BUC4uLi4uLkgFAAAAAAAAAAgAAAAUKEludmFsaWQgSWRlbnRpZmllcilMpbkQO+/eCIeNVTI7794IG0NJUS4uSVFfVE9UQUxfQ0EuMjAwMC4uLi4uSAUAAAAAAAAACAAAABQoSW52YWxpZCBJZGVudGlmaWVyKdROTBA7794IXWNXMjvv3ggdQ0lRLi5JUV9TVF9OT1RFX1JFQ0VJVi4uLi4uLkgFAAAAAAAAAAgAAAAUKEludmFsaWQgSWRlbnRpZmllcinCfaEQO+/eCPbWWDI7794IGENJUS4uSVFfUkVTVEFURU1FTlRfQ0YuLgUAAAAAAAAACAAAABQoSW52YWxpZCBJZGVudGlmaWVyKcJ9oRA7794Iv/xZMjvv3ggnQ0lRLi5JUV9PUEVSQVRJTkdfTEVBU0VfUEFZTUVOVFMuLi4uLi5IBQAAAAAAAAAIAAAAFChJbnZhbGlkIElkZW50aWZpZXIpw1ahEDvv3ggb+1oyO+/eCC1DSVEuLklRX0NIQU5HRV9ORVRfV09SS0lOR19DQVBJVEFMLjIwMDAuLi4uLkgFAAAAAAAAAAgAAAAUKEludmFsaWQgSWRlbnRpZmllcinUTkwQO+/eCDOrWzI7794IJkNJUS4uSVFfQ0FTSF9JTlRFUkVTVF9GSU5BTi4yMDAwLi4uLi5IBQAAAAAAAAAIAAAAFChJbnZhbGlkIElkZW50aWZpZXIp1E5MEDvv3giApVwyO+/eCCNDSVEuLklRX0NBU0hfSU5URVJFU1RfTkVULjk5MC4uLi4uSAUAAAAAAAAACAAAABQoSW52YWxpZCBJZGVudGlmaWVyKdROTBA7794I6lVdMjvv</t>
  </si>
  <si>
    <t>3ggjQ0lRLi5JUV9ORUdBVElWRV9HV19BTU9SVF9DRi4uLi4uLkgFAAAAAAAAAAgAAAAUKEludmFsaWQgSWRlbnRpZmllcinCfaEQO+/eCNLzXTI7794ILENJUS4uSVFfREVQUkVDSUFUSU9OX1JFTlRBTF9BU1NFVFNfQ0YuLi4uLi5IBQAAAAAAAAAIAAAAFChJbnZhbGlkIElkZW50aWZpZXIpw1ahEDvv3ggsaV4yO+/eCBlDSVEuLklRX0NBU0hfRklOQU4uLi4uLi5IBQAAAAAAAAAIAAAAFChJbnZhbGlkIElkZW50aWZpZXIpw1ahEDvv3ghZjl8yO+/eCBpDSVEuLklRX1BSRUZfSVNTVUVELi4uLi4uSAUAAAAAAAAACAAAABQoSW52YWxpZCBJZGVudGlmaWVyKfMQaxA7794I5HhgMjvv3ggkQ0lRLi5JUV9UT1RBTF9ERUJUX1JFUEFJRC4yMDAwLi4uLi5IBQAAAAAAAAAIAAAAFChJbnZhbGlkIElkZW50aWZpZXIp1E5MEDvv3gj8s2AyO+/eCCBDSVEuLklRX1NUX0RFQlRfUkVQQUlELjk5MC4uLi4uSAUAAAAAAAAACAAAABQoSW52YWxpZCBJZGVudGlmaWVyKdROTBA7794IK0dhMjvv3ggdQ0lRLi5JUV9TVF9ERUJUX0lTU1VFRC4uLi4uLkgFAAAAAAAAAAgAAAAUKEludmFsaWQgSWRlbnRpZmllcimfKpIQO+/eCKCVYTI7794IHkNJUS4uSVFfU0FMRV9QUEVfQ0YuMjAwMC4uLi4uSAUAAAAAAAAACAAAABQoSW52YWxpZCBJZGVudGlmaWVyKdROTBA7794IfK1iMjvv3ggdQ0lRLi5JUV9DSEFOR0VfSU5DX1RB</t>
  </si>
  <si>
    <t>WC4uLi4uLkgFAAAAAAAAAAgAAAAUKEludmFsaWQgSWRlbnRpZmllcimfKpIQO+/eCBuRYzI7794IG0NJUS4uSVFfQ0hBTkdFX0FQLjk5MC4uLi4uSAUAAAAAAAAACAAAABQoSW52YWxpZCBJZGVudGlmaWVyKdROTBA7794Iit9jMjvv3ggdQ0lRLi5JUV9PVEhFUl9PUEVSX0FDVC4uLi4uLkgFAAAAAAAAAAgAAAAUKEludmFsaWQgSWRlbnRpZmllcinzEGsQO+/eCKZUZDI7794IF0NJUS4uSVFfTE9BTlNfQ0YuLi4uLi5IBQAAAAAAAAAIAAAAFChJbnZhbGlkIElkZW50aWZpZXIpnyqSEDvv3ghNZ2UyO+/eCCFDSVEuLklRX0dBSU5fQVNTRVRTX0NGLjIwMDAuLi4uLkgFAAAAAAAAAAgAAAAUKEludmFsaWQgSWRlbnRpZmllcinUTkwQO+/eCHK1ZTI7794IGkNJUS4uSVFfT1RIRVJfQU1PUlQuLi4uLi5IBQAAAAAAAAAIAAAAFChJbnZhbGlkIElkZW50aWZpZXIp5tmREDvv3giqKmYyO+/eCCpDSVEuLklRX1NUT0NLX0JBU0VEX0NPTVBfUFJFVEFYLjIwMDAuLi4uLkgFAAAAAAAAAAgAAAAUKEludmFsaWQgSWRlbnRpZmllcinUTkwQO+/eCNUWZzI7794IJ0NJUS4uSVFfUkVTVFJfU1RPQ0tfQ09NUF9UQVguMjAwMC4uLi4uSAUAAAAAAAAACAAAABQoSW52YWxpZCBJZGVudGlmaWVyKdROTBA7794IFbNnMjvv3gghQ0lRLi5JUV9TVE9DS19CQVNFRF9BVC4yMDAwLi4uLi5IBQAAAAAAAAAIAAAAFChJbnZhbGlk</t>
  </si>
  <si>
    <t>IElkZW50aWZpZXIp1E5MEDvv3gg1AWgyO+/eCCNDSVEuLklRX1NUT0NLX0JBU0VEX09USEVSLjk5MC4uLi4uSAUAAAAAAAAACAAAABQoSW52YWxpZCBJZGVudGlmaWVyKdROTBA7794I6nloMjvv3ggmQ0lRLi5JUV9ORUdBVElWRV9HV19BTU9SVF9BVC45OTAuLi4uLkgFAAAAAAAAAAgAAAAUKEludmFsaWQgSWRlbnRpZmllcinUTkwQO+/eCERkaTI7794IG0NJUS4uSVFfT1RIRVJfUkVOVEFMLi4uLi4uSAUAAAAAAAAACAAAABQoSW52YWxpZCBJZGVudGlmaWVyKebZkRA7794IavprMjvv3ggVQ0lRLi5JUV9HQV9FWFAuLi4uLi5IBQAAAAAAAAAIAAAAFChJbnZhbGlkIElkZW50aWZpZXIp5tmREDvv3gjG72wyO+/eCClDSVEuLklRX0FOTlVfRElTVFJJQlVUSU9OX1VOSVQuMjAwMC4uLi4uSAUAAAAAAAAACAAAABQoSW52YWxpZCBJZGVudGlmaWVyKeV1TBA7794IQwZvMjvv3ggnQ0lRLi5JUV9DQVBJVEFMSVpFRF9JTlRFUkVTVC4yMDAwLi4uLi5IBQAAAAAAAAAIAAAAFChJbnZhbGlkIElkZW50aWZpZXIp5XVMEDvv3ghKUXAyO+/eCBtDSVEuLklRX1RPVEFMX0xFQVNFUy4uLi4uLkgFAAAAAAAAAAgAAAAUKEludmFsaWQgSWRlbnRpZmllcilMpbkQO+/eCD2tTjI7794IIUNJUS4uSVFfREVGX1RBWF9MSUFCX0xULjk5MC4uLi4uSAUAAAAAAAAACAAAABQoSW52YWxpZCBJZGVudGlmaWVyKeV1TBA7794I</t>
  </si>
  <si>
    <t>rxtTMjvv3ggTQ0lRLi5JUV9HUFBFLi4uLi4uSAUAAAAAAAAACAAAABQoSW52YWxpZCBJZGVudGlmaWVyKcJ9oRA7794IXWNXMjvv3ggbQ0lRLi5JUV9PVEhFUl9SRUNFSVYuLi4uLi5IBQAAAAAAAAAIAAAAFChJbnZhbGlkIElkZW50aWZpZXIp0KShEDvv3ghL/lgyO+/eCBxDSVEuLklRX0RPX0ZJTkFOQ0VfQ0YuLi4uLi5IBQAAAAAAAAAIAAAAFChJbnZhbGlkIElkZW50aWZpZXIpwn2hEDvv3ggb+1oyO+/eCClDSVEuLklRX0NIQU5HRV9ORVRfV09SS0lOR19DQVBJVEFMLi4uLi4uSAUAAAAAAAAACAAAABQoSW52YWxpZCBJZGVudGlmaWVyKdCkoRA7794I8uVbMjvv3ggZQ0lRLi5JUV9DQVNIX1RBWEVTLi4uLi4uSAUAAAAAAAAACAAAABQoSW52YWxpZCBJZGVudGlmaWVyKcNWoRA7794IgKVcMjvv3gggQ0lRLi5JUV9DQVNIX0lOVEVSRVNUX05FVC4uLi4uLkgFAAAAAAAAAAgAAAAUKEludmFsaWQgSWRlbnRpZmllcinDVqEQO+/eCOpVXTI7794IJkNJUS4uSVFfTkVHQVRJVkVfR1dfQU1PUlRfQ0YuOTkwLi4uLi5IBQAAAAAAAAAIAAAAFChJbnZhbGlkIElkZW50aWZpZXIp5XVMEDvv3gjS810yO+/eCBlDSVEuLklRX0RFUFJFX1NVUFAuLi4uLi5IBQAAAAAAAAAIAAAAFChJbnZhbGlkIElkZW50aWZpZXIpwn2hEDvv3ggwkF4yO+/eCBlDSVEuLklRX05FVF9DSEFOR0UuLi4uLi5IBQAAAAAAAAAIAAAA</t>
  </si>
  <si>
    <t>FChJbnZhbGlkIElkZW50aWZpZXIpwn2hEDvv3ggxGV8yO+/eCCZDSVEuLklRX09USEVSX0ZJTkFOQ0VfQUNUX1NVUFBMLi4uLi4uSAUAAAAAAAAACAAAABQoSW52YWxpZCBJZGVudGlmaWVyKcNWoRA7794IWY5fMjvv3ggkQ0lRLi5JUV9DT01NT05fUFJFRl9ESVZfQ0YuOTkwLi4uLi5IBQAAAAAAAAAIAAAAFChJbnZhbGlkIElkZW50aWZpZXIp5XVMEDvv3gh23F8yO+/eCB9DSVEuLklRX0NPTU1PTl9JU1NVRUQuOTkwLi4uLi5IBQAAAAAAAAAIAAAAFChJbnZhbGlkIElkZW50aWZpZXIp5XVMEDvv3gj8s2AyO+/eCCBDSVEuLklRX1RPVEFMX09QRVJfTEVBU0VTLi4uLi4uSAUAAAAAAAAACAAAABQoSW52YWxpZCBJZGVudGlmaWVyKUt+uRA7794IddROMjvv3ggWQ0lRLi5JUV9QRU5TSU9OLi4uLi4uSAUAAAAAAAAACAAAABQoSW52YWxpZCBJZGVudGlmaWVyKUt+uRA7794IvkJTMjvv3ggeQ0lRLi5JUV9PVEhFUl9MVF9BU1NFVFMuLi4uLi5IBQAAAAAAAAAIAAAAFChJbnZhbGlkIElkZW50aWZpZXIpTKW5EDvv3giStFUyO+/eCBdDSVEuLklRX1RPVEFMX0NBLi4uLi4uSAUAAAAAAAAACAAAABQoSW52YWxpZCBJZGVudGlmaWVyKdCkoRA7794IqIpXMjvv3ggnQ0lRLi5JUV9DSEFOR0VfREVGX1RBWF9UT1RBTC4yMDAwLi4uLi5IBQAAAAAAAAAIAAAAFChJbnZhbGlkIElkZW50aWZpZXIp5XVMEDvv3gjy</t>
  </si>
  <si>
    <t>5VsyO+/eCBxDSVEuLklRX0NBU0hfSU5URVJFU1QuLi4uLi5IBQAAAAAAAAAIAAAAFChJbnZhbGlkIElkZW50aWZpZXIpwn2hEDvv3ggKfV0yO+/eCCVDSVEuLklRX0RBX0NGX0VYQ0xfT1BFUl9MRUFTRVMuLi4uLi5IBQAAAAAAAAAIAAAAFChJbnZhbGlkIElkZW50aWZpZXIpwn2hEDvv3gjLGl4yO+/eCCBDSVEuLklRX1RPVEFMX0RFQlRfUkVQQUlELi4uLi4uSAUAAAAAAAAACAAAABQoSW52YWxpZCBJZGVudGlmaWVyKcyqkRA7794ICeVgMjvv3gggQ0lRLi5JUV9DSEFOR0VfVU5FQVJOX1JFVi4uLi4uLkgFAAAAAAAAAAgAAAAUKEludmFsaWQgSWRlbnRpZmllcinm2ZEQO+/eCGe4YzI7794IIENJUS4uSVFfU1RPQ0tfQkFTRURfQ0YuOTkwLi4uLi5IBQAAAAAAAAAIAAAAFChJbnZhbGlkIElkZW50aWZpZXIp5XVMEDvv3gjk8GQyO+/eCCVDSVEuLklRX0FTU0VUX1dSSVRFRE9XTl9DRi4yMDAwLi4uLi5IBQAAAAAAAAAIAAAAFChJbnZhbGlkIElkZW50aWZpZXIp5XVMEDvv3ghNZ2UyO+/eCCZDSVEuLklRX1NUT0NLX0JBU0VEX0NPTVBfUFJFVEFYLi4uLi4uSAUAAAAAAAAACAAAABQoSW52YWxpZCBJZGVudGlmaWVyKebZkRA7794I1RZnMjvv3ggsQ0lRLi5JUV9TVE9DS19PUFRJT05TX0NPTVBfUFJFVEFYLjIwMDAuLi4uLkgFAAAAAAAAAAgAAAAUKEludmFsaWQgSWRlbnRpZmllcinldUwQO+/eCPdk</t>
  </si>
  <si>
    <t>ZzI7794II0NJUS4uSVFfUkVTVFJfU1RPQ0tfQ09NUF9UQVguLi4uLi5IBQAAAAAAAAAIAAAAFChJbnZhbGlkIElkZW50aWZpZXIp5tmREDvv3ggl2mcyO+/eCChDSVEuLklRX1NUT0NLX0JBU0VEX0VYUExPUkVfRFJJTEwuLi4uLi5IBQAAAAAAAAAIAAAAFChJbnZhbGlkIElkZW50aWZpZXIp5tmREDvv3gj2oGgyO+/eCB5DSVEuLklRX0lQUkRfU1VQUExFLjIwMDAuLi4uLkgFAAAAAAAAAAgAAAAUKEludmFsaWQgSWRlbnRpZmllcinldUwQO+/eCBU4ajI7794IJENJUS4uSVFfUkVTVFJVQ1RVUkVfU1VQUExFLjk5MC4uLi4uSAUAAAAAAAAACAAAABQoSW52YWxpZCBJZGVudGlmaWVyKeV1TBA7794IW9RqMjvv3ggrQ0lRLi5JUV9JTVBVVF9PUEVSX0xFQVNFX0lOVF9FWFAuMjAwMC4uLi4uSAUAAAAAAAAACAAAABQoSW52YWxpZCBJZGVudGlmaWVyKeV1TBA7794IdSJrMjvv3ggqQ0lRLi5JUV9FWFBMT1JFX0RSSUxMX0VYUF9UT1RBTC4yMDAwLi4uLi5IBQAAAAAAAAAIAAAAFChJbnZhbGlkIElkZW50aWZpZXIp5XVMEDvv3ggbcWsyO+/eCCFDSVEuLklRX01JTklNVU1fUkVOVEFMLjIwMDAuLi4uLkgFAAAAAAAAAAgAAAAUKEludmFsaWQgSWRlbnRpZmllcinldUwQO+/eCGr6azI7794IGkNJUS4uSVFfTklfTk9STS4yMDAwLi4uLi5IBQAAAAAAAAAIAAAAFChJbnZhbGlkIElkZW50aWZpZXIp5XVMEDvv</t>
  </si>
  <si>
    <t>3ggRjHAyO+/eCDRDSVEuLklRX1BST1ZfQkFEX0RFQlRTX1BBVElFTlRfU0VSVklDRV9SRVYuOTkwLi4uLi5IBQAAAAAAAAAIAAAAFChJbnZhbGlkIElkZW50aWZpZXIp5XVMEDvv3ggKnHIyO+/eCBdDSVEuLklRX0VCSVRBLjk5MC4uLi4uSAUAAAAAAAAACAAAABQoSW52YWxpZCBJZGVudGlmaWVyKeV1TBA7794IBiR0Mjvv3ggnQ0lRLi5JUV9GSU5BTkNFX0xFQVNFU19MT05HX1RFUk0uLi4uLi5IBQAAAAAAAAAIAAAAFChJbnZhbGlkIElkZW50aWZpZXIpTKW5EDvv3gizcE8yO+/eCCBDSVEuLklRX1VORUFSTl9SRVZfTFQuMjAwMC4uLi4uSAUAAAAAAAAACAAAABQoSW52YWxpZCBJZGVudGlmaWVyKeV1TBA7794IzWlTMjvv3ggdQ0lRLi5JUV9PVEhFUl9DQV9TVVBQTC4uLi4uLkgFAAAAAAAAAAgAAAAUKEludmFsaWQgSWRlbnRpZmllcinCfaEQO+/eCK2xVzI7794IEUNJUS4uSVFfQVIuLi4uLi5IBQAAAAAAAAAIAAAAFChJbnZhbGlkIElkZW50aWZpZXIp0KShEDvv3ghXJVkyO+/eCCxDSVEuLklRX0NIQU5HRV9ORVRfV09SS0lOR19DQVBJVEFMLjk5MC4uLi4uSAUAAAAAAAAACAAAABQoSW52YWxpZCBJZGVudGlmaWVyKeV1TBA7794I8uVbMjvv3ggiQ0lRLi5JUV9DQVNIX0lOVEVSRVNUX0ZJTkFOLi4uLi4uSAUAAAAAAAAACAAAABQoSW52YWxpZCBJZGVudGlmaWVyKdCkoRA7794IscxcMjvv3gga</t>
  </si>
  <si>
    <t>Q0lRLi5JUV9DQVNIX0lOVkVTVC4uLi4uLkgFAAAAAAAAAAgAAAAUKEludmFsaWQgSWRlbnRpZmllcimfKpIQO+/eCJ28YTI7794IJENJUS4uSVFfQ0hBTkdFX1VORUFSTl9SRVYuMjAwMC4uLi4uSAUAAAAAAAAACAAAABQoSW52YWxpZCBJZGVudGlmaWVyKeV1TBA7794IG5FjMjvv3ggiQ0lRLi5JUV9UQVhfQkVORUZJVF9PUFRJT05TLi4uLi4uSAUAAAAAAAAACAAAABQoSW52YWxpZCBJZGVudGlmaWVyKZ8qkhA7794IC8pkMjvv3ggaQ0lRLi5JUV9MT0FOU19DRi45OTAuLi4uLkgFAAAAAAAAAAgAAAAUKEludmFsaWQgSWRlbnRpZmllcinldUwQO+/eCE1nZTI7794IFENJUS4uSVFfREFfQ0YuLi4uLi5IBQAAAAAAAAAIAAAAFChJbnZhbGlkIElkZW50aWZpZXIpG8RMEDvv3giaUWYyO+/eCChDSVEuLklRX1NUT0NLX09QVElPTlNfQ09NUF9UQVguOTkwLi4uLi5IBQAAAAAAAAAIAAAAFChJbnZhbGlkIElkZW50aWZpZXIp5XVMEDvv3gj3ZGcyO+/eCB9DSVEuLklRX1NUT0NLX0JBU0VEX0NPR1MuLi4uLi5IBQAAAAAAAAAIAAAAFChJbnZhbGlkIElkZW50aWZpZXIpWwOSEDvv3gg0PWkyO+/eCCdDSVEuLklRX0lNUFVUX09QRVJfTEVBU0VfREVQUi45OTAuLi4uLkgFAAAAAAAAAAgAAAAUKEludmFsaWQgSWRlbnRpZmllcinldUwQO+/eCHUiazI7794IHkNJUS4uSVFfTUFJTlRfUkVQQUlSLjk5MC4uLi4u</t>
  </si>
  <si>
    <t>SAUAAAAAAAAACAAAABQoSW52YWxpZCBJZGVudGlmaWVyKeV1TBA7794IG3FrMjvv3gggQ0lRLi5JUV9BSVJDUkFGVF9SRU5ULjIwMDAuLi4uLkgFAAAAAAAAAAgAAAAUKEludmFsaWQgSWRlbnRpZmllcinldUwQO+/eCOurazI7794IHkNJUS4uSVFfT1RIRVJfUkVOVEFMLjk5MC4uLi4uSAUAAAAAAAAACAAAABQoSW52YWxpZCBJZGVudGlmaWVyKeV1TBA7794IavprMjvv3ggoQ0lRLi5JUV9ORVRfUkVOVEFMX0VYUF9TVVBQTEUuMjAwMC4uLi4uSAUAAAAAAAAACAAAABQoSW52YWxpZCBJZGVudGlmaWVyKeV1TBA7794IWCFsMjvv3ggeQ0lRLi5JUV9BRFZFUlRJU0lORy4yMDAwLi4uLi5IBQAAAAAAAAAIAAAAFChJbnZhbGlkIElkZW50aWZpZXIp5XVMEDvv3ggrPm0yO+/eCClDSVEuLklRX0ZJTkFOQ0VfTEVBU0VTX0NVUlJFTlQuMjAwMC4uLi4uSAUAAAAAAAAACAAAABQoSW52YWxpZCBJZGVudGlmaWVyKeV1TBA7794IqElPMjvv3ggiQ0lRLi5JUV9GSU5fRElWX0RFQlRfTFQuMjAwMC4uLi4uSAUAAAAAAAAACAAAABQoSW52YWxpZCBJZGVudGlmaWVyKeV1TBA7794I4ZBTMjvv3ggdQ0lRLi5JUV9ERUZfQ0hBUkdFU19MVC4uLi4uLkgFAAAAAAAAAAgAAAAUKEludmFsaWQgSWRlbnRpZmllcinQpKEQO+/eCPrvVTI7794IIkNJUS4uSVFfR0FJTl9CQVJHQUlOX0FDUV9DRi4uLi4uLkgFAAAAAAAAAAgA</t>
  </si>
  <si>
    <t>AAAUKEludmFsaWQgSWRlbnRpZmllcinQpKEQO+/eCMgjWjI7794IG0NJUS4uSVFfRE9fSU5WRVNUX0NGLi4uLi4uSAUAAAAAAAAACAAAABQoSW52YWxpZCBJZGVudGlmaWVyKcJ9oRA7794ILyJbMjvv3ggjQ0lRLi5JUV9DSEFOR0VfREVGX1RBWF9UT1RBTC4uLi4uLkgFAAAAAAAAAAgAAAAUKEludmFsaWQgSWRlbnRpZmllcinDVqEQO+/eCC8NXDI7794II0NJUS4uSVFfVE9UQUxfREVCVF9JU1NVRUQuOTkwLi4uLi5IBQAAAAAAAAAIAAAAFChJbnZhbGlkIElkZW50aWZpZXIp5XVMEDvv3ggrR2EyO+/eCCVDSVEuLklRX0lOVkVTVF9TRUNVUklUWV9DRi4yMDAwLi4uLi5IBQAAAAAAAAAIAAAAFChJbnZhbGlkIElkZW50aWZpZXIp5XVMEDvv3gi2CmIyO+/eCBhDSVEuLklRX0RJVkVTVF9DRi4uLi4uLkgFAAAAAAAAAAgAAAAUKEludmFsaWQgSWRlbnRpZmllcinzEGsQO+/eCG6GYjI7794IG0NJUS4uSVFfQ0FTSF9PUEVSLjk5MC4uLi4uSAUAAAAAAAAACAAAABQoSW52YWxpZCBJZGVudGlmaWVyKeV1TBA7794IsiJjMjvv3gggQ0lRLi5JUV9DSEFOR0VfSU5DX1RBWC45OTAuLi4uLkgFAAAAAAAAAAgAAAAUKEludmFsaWQgSWRlbnRpZmllcinldUwQO+/eCBuRYzI7794IJkNJUS4uSVFfVEFYX0JFTkVGSVRfT1BUSU9OUy4yMDAwLi4uLi5IBQAAAAAAAAAIAAAAFChJbnZhbGlkIElkZW50aWZpZXIp5XVM</t>
  </si>
  <si>
    <t>EDvv3gize2QyO+/eCBdDSVEuLklRX05JX0NGLjk5MC4uLi4uSAUAAAAAAAAACAAAABQoSW52YWxpZCBJZGVudGlmaWVyKeV1TBA7794I1MhmMjvv3ggkQ0lRLi5JUV9HUFBFX0VYQ0xfT1BFUl9MRUFTRVMuLi4uLi5IBQAAAAAAAAAIAAAAFChJbnZhbGlkIElkZW50aWZpZXIpTKW5EDvv3gjH+U8yO+/eCB5DSVEuLklRX0ZJTl9ESVZfREVCVF9MVC4uLi4uLkgFAAAAAAAAAAgAAAAUKEludmFsaWQgSWRlbnRpZmllcilMpbkQO+/eCPC3UzI7794IIENJUS4uSVFfREVGX1RBWF9BU1NFVFNfTFQuLi4uLi5IBQAAAAAAAAAIAAAAFChJbnZhbGlkIElkZW50aWZpZXIpTKW5EDvv3ggZF1YyO+/eCCFDSVEuLklRX1JFU1RSSUNURURfQ0FTSC45OTAuLi4uLkgFAAAAAAAAAAgAAAAUKEludmFsaWQgSWRlbnRpZmllcinldUwQO+/eCK2xVzI7794IIUNJUS4uSVFfQ0FTSF9TVF9JTlZFU1QuMjAwMC4uLi4uSAUAAAAAAAAACAAAABQoSW52YWxpZCBJZGVudGlmaWVyKeV1TBA7794IS/5YMjvv3ggaQ0lRLi5JUV9NQUlOVF9DQVBFWC4uLi4uLkgFAAAAAAAAAAgAAAAUKEludmFsaWQgSWRlbnRpZmllcinQpKEQO+/eCNo1WzI7794IH0NJUS4uSVFfQ0FTSF9JTlRFUkVTVC45OTAuLi4uLkgFAAAAAAAAAAgAAAAUKEludmFsaWQgSWRlbnRpZmllcinldUwQO+/eCOpVXTI7794IKENJUS4uSVFfREFfQ0ZfRVhDTF9PUEVS</t>
  </si>
  <si>
    <t>X0xFQVNFUy45OTAuLi4uLkgFAAAAAAAAAAgAAAAUKEludmFsaWQgSWRlbnRpZmllcinldUwQO+/eCNLzXTI7794IHUNJUS4uSVFfTUlTQ19BREpVU1RfQ0YuLi4uLi5IBQAAAAAAAAAIAAAAFChJbnZhbGlkIElkZW50aWZpZXIpw1ahEDvv3gg2QF8yO+/eCBpDSVEuLklRX1BSRUZfRElWX0NGLi4uLi4uSAUAAAAAAAAACAAAABQoSW52YWxpZCBJZGVudGlmaWVyKcNWoRA7794IvCpgMjvv3gghQ0lRLi5JUV9MVF9ERUJUX1JFUEFJRC4yMDAwLi4uLi5IBQAAAAAAAAAIAAAAFChJbnZhbGlkIElkZW50aWZpZXIp5XVMEDvv3ggJ5WAyO+/eCCNDSVEuLklRX1BST1ZfQkFEX0RFQlRTX0NGLjk5MC4uLi4uSAUAAAAAAAAACAAAABQoSW52YWxpZCBJZGVudGlmaWVyKeV1TBA7794IuqJkMjvv3ggpQ0lRLi5JUV9TVE9DS19CQVNFRF9DT01QX1BSRVRBWC45OTAuLi4uLkgFAAAAAAAAAAgAAAAUKEludmFsaWQgSWRlbnRpZmllcinldUwQO+/eCNUWZzI7794IIENJUS4uSVFfU1RPQ0tfQkFTRURfR0EuOTkwLi4uLi5IBQAAAAAAAAAIAAAAFChJbnZhbGlkIElkZW50aWZpZXIp5XVMEDvv3ggLyGgyO+/eCCZDSVEuLklRX09USEVSX1VOVVNVQUxfU1VQUExFLjk5MC4uLi4uSAUAAAAAAAAACAAAABQoSW52YWxpZCBJZGVudGlmaWVyKeV1TBA7794IYrJpMjvv3ggjQ0lRLi5JUV9JTlNfU0VUVExFX1NVUFBMRS45OTAu</t>
  </si>
  <si>
    <t>Li4uLkgFAAAAAAAAAAgAAAAUKEludmFsaWQgSWRlbnRpZmllcinldUwQO+/eCAQRajI7794IFENJUS4uSVFfR0FBUF9JUy45OTAuBQAAAAAAAAAIAAAAFChJbnZhbGlkIElkZW50aWZpZXIp5XVMEDvv3gjYtW0yO+/eCBtDSVEuLklRX1JFU1RBVEVNRU5UX0lTLjk5MC4FAAAAAAAAAAgAAAAUKEludmFsaWQgSWRlbnRpZmllcinldUwQO+/eCFMEbjI7794IMUNJUS4uSVFfRElTVFJJQlVUQUJMRV9DQVNIX1NUQU5EQVJESVpFRC45OTAuLi4uLkgFAAAAAAAAAAgAAAAUKEludmFsaWQgSWRlbnRpZmllcinldUwQO+/eCI+ibzI7794IGENJUS4uSVFfU0FNRV9TVE9SRS4yMDAwLgUAAAAAAAAACAAAABQoSW52YWxpZCBJZGVudGlmaWVyKeV1TBA7794IQ+tyMjvv3ggeQ0lRLi5JUV9FQklUX0VRX0lOQy4yMDAwLi4uLi5IBQAAAAAAAAAIAAAAFChJbnZhbGlkIElkZW50aWZpZXIp5XVMEDvv3ghshnQyO+/eCCJDSVEuLklRX1RPVEFMX1JFVl9TSEFSRS4yMDAwLi4uLi5IBQAAAAAAAAAIAAAAFChJbnZhbGlkIElkZW50aWZpZXIp5XVMEDvv3ggAbXYyO+/eCC9DSVEuLklRX0RJU1RSSUJVVEFCTEVfQ0FTSF9TSEFSRVNfRElMVVRFRC4yMDAwLgUAAAAAAAAACAAAABQoSW52YWxpZCBJZGVudGlmaWVyKfMQaxA7794INuJ2Mjvv3ggqQ0lRLi5JUV9SVUFfT1BFUkFUSU5HX0xFQVNFX05FVC4yMDAwLi4uLi5IBQAA</t>
  </si>
  <si>
    <t>AAAAAAAIAAAAFChJbnZhbGlkIElkZW50aWZpZXIp5XVMEDvv3gjH+U8yO+/eCBpDSVEuLklRX0xUX0RFQlQuMjAwMC4uLi4uSAUAAAAAAAAACAAAABQoSW52YWxpZCBJZGVudGlmaWVyKeV1TBA7794IAt9TMjvv3ggeQ0lRLi5JUV9MT0FOU19SRUNFSVZfTFQuLi4uLi5IBQAAAAAAAAAIAAAAFChJbnZhbGlkIElkZW50aWZpZXIp0KShEDvv3gg0PlYyO+/eCB5DSVEuLklRX1JFU1RSSUNURURfQ0FTSC4uLi4uLkgFAAAAAAAAAAgAAAAUKEludmFsaWQgSWRlbnRpZmllcinDVqEQO+/eCL/YVzI7794IHUNJUS4uSVFfQ0FTSF9TVF9JTlZFU1QuLi4uLi5IBQAAAAAAAAAIAAAAFChJbnZhbGlkIElkZW50aWZpZXIpw1ahEDvv3ghXJVkyO+/eCBxDSVEuLklRX0RFUFJFX1NVUFAuOTkwLi4uLi5IBQAAAAAAAAAIAAAAFChJbnZhbGlkIElkZW50aWZpZXIp5XVMEDvv3ggwkF4yO+/eCCFDSVEuLklRX1NQRUNJQUxfRElWX0NGLjIwMDAuLi4uLkgFAAAAAAAAAAgAAAAUKEludmFsaWQgSWRlbnRpZmllcinldUwQO+/eCFmOXzI7794IGUNJUS4uSVFfQ09NTU9OX1JFUC4uLi4uLkgFAAAAAAAAAAgAAAAUKEludmFsaWQgSWRlbnRpZmllcinDVqEQO+/eCNWMYDI7794IIkNJUS4uSVFfQ0hBTkdFX0lOVkVOVE9SWS45OTAuLi4uLkgFAAAAAAAAAAgAAAAUKEludmFsaWQgSWRlbnRpZmllcinldUwQO+/eCIrfYzI7794I</t>
  </si>
  <si>
    <t>GENJUS4uSVFfRE9fQ0YuMjAwMC4uLi4uSAUAAAAAAAAACAAAABQoSW52YWxpZCBJZGVudGlmaWVyKeV1TBA7794IplRkMjvv3ggeQ0lRLi5JUV9EQV9TVVBQTF9DRi4yMDAwLi4uLi5IBQAAAAAAAAAIAAAAFChJbnZhbGlkIElkZW50aWZpZXIp5XVMEDvv3gjEeGYyO+/eCBpDSVEuLklRX1BBWU9VVF9SQVRJTy4yMDAwLgUAAAAAAAAACAAAABQoSW52YWxpZCBJZGVudGlmaWVyKeV1TBA7794IMZFuMjvv3ggmQ0lRLi5JUV9OT05DQVNIX1BFTlNJT05fRVhQLjIwMDAuLi4uLkgFAAAAAAAAAAgAAAAUKEludmFsaWQgSWRlbnRpZmllcinldUwQO+/eCJ3JbzI7794IKkNJUS4uSVFfREVGRVJSRURfRE9NRVNUSUNfVEFYRVMuMjAwMC4uLi4uSAUAAAAAAAAACAAAABQoSW52YWxpZCBJZGVudGlmaWVyKeV1TBA7794IfShxMjvv3ggnQ0lRLi5JUV9UT1RBTF9SRVZfQVNfUkVQT1JURUQuOTkwLi4uLi5IBQAAAAAAAAAIAAAAFChJbnZhbGlkIElkZW50aWZpZXIp5XVMEDvv3ghD63IyO+/eCCZDSVEuLklRX0VCSVRfRVFfSU5DX0VYQ0xfU0JDLjk5MC4uLi4uSAUAAAAAAAAACAAAABQoSW52YWxpZCBJZGVudGlmaWVyKeV1TBA7794IbIZ0Mjvv3ggqQ0lRLi5JUV9ESVNUUklCVVRBQkxFX0NBU0hfU0hBUkUuOTkwLi4uLi5IBQAAAAAAAAAIAAAAFChJbnZhbGlkIElkZW50aWZpZXIp5XVMEDvv3ggAbXYyO+/eCCBD</t>
  </si>
  <si>
    <t>SVEuLklRX0JBU0lDX0VQU19FWENMLjk5MC4uLi4uSAUAAAAAAAAACAAAABQoSW52YWxpZCBJZGVudGlmaWVyKbadTBA7794IsAd4Mjvv3ggkQ0lRLi5JUV9SVUFfQ0FQSVRBTF9MRUFTRV9ORVQuLi4uLi5IBQAAAAAAAAAIAAAAFChJbnZhbGlkIElkZW50aWZpZXIpTKW5EDvv3ggTb1AyO+/eCB9DSVEuLklRX0xPTkdfVEVSTV9MRUFTRVMuLi4uLi5IBQAAAAAAAAAIAAAAFChJbnZhbGlkIElkZW50aWZpZXIpTKW5EDvv3ggC31MyO+/eCCVDSVEuLklRX0RFRl9UQVhfQVNTRVRTX0NVUlJFTlQuLi4uLi5IBQAAAAAAAAAIAAAAFChJbnZhbGlkIElkZW50aWZpZXIp0KShEDvv3gi/2FcyO+/eCCxDSVEuLklRX1RPVEFMX0RFQlRfUkVQQUlEX0VYQ0xfTEVBU0VTLi4uLi4uSAUAAAAAAAAACAAAABQoSW52YWxpZCBJZGVudGlmaWVyKcNWoRA7794Iq15aMjvv3gghQ0lRLi5JUV9NSVNDX0FESlVTVF9DRi4yMDAwLi4uLi5IBQAAAAAAAAAIAAAAFChJbnZhbGlkIElkZW50aWZpZXIptp1MEDvv3ggxGV8yO+/eCB1DSVEuLklRX0NPTU1PTl9SRVAuMjAwMC4uLi4uSAUAAAAAAAAACAAAABQoSW52YWxpZCBJZGVudGlmaWVyKbadTBA7794I5HhgMjvv3gglQ0lRLi5JUV9PVEhFUl9JTlZFU1RfQUNUX1NVUFBMLi4uLi4uSAUAAAAAAAAACAAAABQoSW52YWxpZCBJZGVudGlmaWVyKcyqkRA7794IrONhMjvv3ggYQ0lR</t>
  </si>
  <si>
    <t>Li5JUV9DQVBFWC4yMDAwLi4uLi5IBQAAAAAAAAAIAAAAFChJbnZhbGlkIElkZW50aWZpZXIptp1MEDvv3giP1GIyO+/eCCBDSVEuLklRX09USEVSX09QRVJfQUNULjk5MC4uLi4uSAUAAAAAAAAACAAAABQoSW52YWxpZCBJZGVudGlmaWVyKbadTBA7794IplRkMjvv3gggQ0lRLi5JUV9HQUlOX0FTU0VUU19DRi45OTAuLi4uLkgFAAAAAAAAAAgAAAAUKEludmFsaWQgSWRlbnRpZmllcim2nUwQO+/eCHjcZTI7794II0NJUS4uSVFfR1dfSU5UQU5fQU1PUlRfQ0YuOTkwLi4uLi5IBQAAAAAAAAAIAAAAFChJbnZhbGlkIElkZW50aWZpZXIptp1MEDvv3gjEeGYyO+/eCCtDSVEuLklRX1NUT0NLX0JBU0VEX0VYUExPUkVfRFJJTEwuOTkwLi4uLi5IBQAAAAAAAAAIAAAAFChJbnZhbGlkIElkZW50aWZpZXIptp1MEDvv3gjqeWgyO+/eCCdDSVEuLklRX1RPVEFMX1VOVVNVQUxfU1VQUExFLjIwMDAuLi4uLkgFAAAAAAAAAAgAAAAUKEludmFsaWQgSWRlbnRpZmllcim2nUwQO+/eCERkaTI7794IIkNJUS4uSVFfTEVHQUxfU0VUVExFX1NVUFBMRS4uLi4uLkgFAAAAAAAAAAgAAAAUKEludmFsaWQgSWRlbnRpZmllcinm2ZEQO+/eCALqaTI7794IKkNJUS4uSVFfUlVBX0NBUElUQUxfTEVBU0VfQUNDVU1fREVQLi4uLi4uSAUAAAAAAAAACAAAABQoSW52YWxpZCBJZGVudGlmaWVyKUt+uRA7794IJpZQMjvv3ggXQ0lR</t>
  </si>
  <si>
    <t>Li5JUV9UT1RBTF9DTC4uLi4uLkgFAAAAAAAAAAgAAAAUKEludmFsaWQgSWRlbnRpZmllcilMpbkQO+/eCLwZVDI7794IFENJUS4uSVFfQVJfTFQuLi4uLi5IBQAAAAAAAAAIAAAAFChJbnZhbGlkIElkZW50aWZpZXIpTKW5EDvv3gguZVYyO+/eCB1DSVEuLklRX1RSQURJTkdfQVNTRVRTLi4uLi4uSAUAAAAAAAAACAAAABQoSW52YWxpZCBJZGVudGlmaWVyKcJ9oRA7794Ia0xZMjvv3gglQ0lRLi5JUV9HQUlOX0JBUkdBSU5fQUNRX0NGLjk5MC4uLi4uSAUAAAAAAAAACAAAABQoSW52YWxpZCBJZGVudGlmaWVyKbadTBA7794IyCNaMjvv3ggfQ0lRLi5JUV9DQVNIX1RBWEVTX0ZJTkFOLi4uLi4uSAUAAAAAAAAACAAAABQoSW52YWxpZCBJZGVudGlmaWVyKcJ9oRA7794INldcMjvv3ggnQ0lRLi5JUV9DQVNIX0lOVEVSRVNUX0lOVkVTVC4yMDAwLi4uLi5IBQAAAAAAAAAIAAAAFChJbnZhbGlkIElkZW50aWZpZXIptp1MEDvv3gixzFwyO+/eCCpDSVEuLklRX1NBTEVfUFJPQ0VFRFNfUkVOVEFMX0FTU0VUUy4uLi4uLkgFAAAAAAAAAAgAAAAUKEludmFsaWQgSWRlbnRpZmllcinQpKEQO+/eCKilXTI7794IHUNJUS4uSVFfU0FMRV9QUEVfQ0YuOTkwLi4uLi5IBQAAAAAAAAAIAAAAFChJbnZhbGlkIElkZW50aWZpZXIptp1MEDvv3giP1GIyO+/eCCdDSVEuLklRX05FR0FUSVZFX0dXX0FNT1JUX0FULjIwMDAu</t>
  </si>
  <si>
    <t>Li4uLkgFAAAAAAAAAAgAAAAUKEludmFsaWQgSWRlbnRpZmllcim2nUwQO+/eCCMWaTI7794II0NJUS4uSVFfTkVHQVRJVkVfR1dfQU1PUlQuOTkwLi4uLi5IBQAAAAAAAAAIAAAAFChJbnZhbGlkIElkZW50aWZpZXIptp1MEDvv3ghEZGkyO+/eCBhDSVEuLklRX1JVQV9HUk9TUy4uLi4uLkgFAAAAAAAAAAgAAAAUKEludmFsaWQgSWRlbnRpZmllcilMpbkQO+/eCFULUTI7794IHUNJUS4uSVFfT1RIRVJfQ0xfU1VQUEwuLi4uLi5IBQAAAAAAAAAIAAAAFChJbnZhbGlkIElkZW50aWZpZXIpwn2hEDvv3gi8GVQyO+/eCB1DSVEuLklRX0xPQU5TX0ZPUl9TQUxFLi4uLi4uSAUAAAAAAAAACAAAABQoSW52YWxpZCBJZGVudGlmaWVyKcNWoRA7794I9f9XMjvv3gggQ0lRLi5JUV9DQVNIX1NUX0lOVkVTVC45OTAuLi4uLkgFAAAAAAAAAAgAAAAUKEludmFsaWQgSWRlbnRpZmllcim2nUwQO+/eCGtMWTI7794IL0NJUS4uSVFfVE9UQUxfREVCVF9SRVBBSURfRVhDTF9MRUFTRVMuOTkwLi4uLi5IBQAAAAAAAAAIAAAAFChJbnZhbGlkIElkZW50aWZpZXIptp1MEDvv3girXloyO+/eCB5DSVEuLklRX05FVF9ERUJUX0lTU1VFRC4uLi4uLkgFAAAAAAAAAAgAAAAUKEludmFsaWQgSWRlbnRpZmllcinMqpEQO+/eCBVdWzI7794IL0NJUS4uSVFfREFfU1VQUExfQ0ZfRVhDTF9PUEVSX0xFQVNFUy4yMDAwLi4uLi5IBQAA</t>
  </si>
  <si>
    <t>AAAAAAAIAAAAFChJbnZhbGlkIElkZW50aWZpZXIptp1MEDvv3gjLGl4yO+/eCClDSVEuLklRX09USEVSX0lOVkVTVF9BQ1RfU1VQUEwuMjAwMC4uLi4uSAUAAAAAAAAACAAAABQoSW52YWxpZCBJZGVudGlmaWVyKbadTBA7794InbxhMjvv3ggXQ0lRLi5JUV9EQV9DRi45OTAuLi4uLkgFAAAAAAAAAAgAAAAUKEludmFsaWQgSWRlbnRpZmllcim2nUwQO+/eCKoqZjI7794IK0NJUS4uSVFfU1RPQ0tfT1BUSU9OU19DT01QX1BSRVRBWC45OTAuLi4uLkgFAAAAAAAAAAgAAAAUKEludmFsaWQgSWRlbnRpZmllcim2nUwQO+/eCAaMZzI7794IIENJUS4uSVFfU1RPQ0tfQkFTRURfQVQuOTkwLi4uLi5IBQAAAAAAAAAIAAAAFChJbnZhbGlkIElkZW50aWZpZXIptp1MEDvv3gjeUmgyO+/eCCJDSVEuLklRX1NUT0NLX0JBU0VEX0NPR1MuOTkwLi4uLi5IBQAAAAAAAAAIAAAAFChJbnZhbGlkIElkZW50aWZpZXIptp1MEDvv3gg0PWkyO+/eCBxDSVEuLklRX1JVQV9BQ0NVTV9ERVAuLi4uLi5IBQAAAAAAAAAIAAAAFChJbnZhbGlkIElkZW50aWZpZXIpTKW5EDvv3ghE5FAyO+/eCCBDSVEuLklRX0ZJTl9ESVZfQVNTRVRTX0xULi4uLi4uSAUAAAAAAAAACAAAABQoSW52YWxpZCBJZGVudGlmaWVyKUyluRA7794IToxWMjvv3ggwQ0lRLi5JUV9MT05HX1RFUk1fREVCVF9SRVBBSURfRVhDTF9MRUFTRVMuLi4uLi5IBQAA</t>
  </si>
  <si>
    <t>AAAAAAAIAAAAFChJbnZhbGlkIElkZW50aWZpZXIpwn2hEDvv3gj1hVoyO+/eCCdDSVEuLklRX0FNT1JUX1NPRlRXQVJFX0FTU0VUU19DRi4uLi4uLkgFAAAAAAAAAAgAAAAUKEludmFsaWQgSWRlbnRpZmllcinQpKEQO+/eCKilXTI7794IIENJUS4uSVFfQ09NTU9OX0RJVl9DRi4yMDAwLi4uLi5IBQAAAAAAAAAIAAAAFChJbnZhbGlkIElkZW50aWZpZXIptp1MEDvv3gi8KmAyO+/eCB1DSVEuLklRX0NBU0hfSU5WRVNULjk5MC4uLi4uSAUAAAAAAAAACAAAABQoSW52YWxpZCBJZGVudGlmaWVyKbadTBA7794InbxhMjvv3ggeQ0lRLi5JUV9DQVNIX0FDUVVJUkVfQ0YuLi4uLi5IBQAAAAAAAAAIAAAAFChJbnZhbGlkIElkZW50aWZpZXIp5tmREDvv3gh8rWIyO+/eCBxDSVEuLklRX0NIQU5HRV9BUC4yMDAwLi4uLi5IBQAAAAAAAAAIAAAAFChJbnZhbGlkIElkZW50aWZpZXIptp1MEDvv3ghnuGMyO+/eCBtDSVEuLklRX0NIQU5HRV9BUi45OTAuLi4uLkgFAAAAAAAAAAgAAAAUKEludmFsaWQgSWRlbnRpZmllcim2nUwQO+/eCG8GZDI7794IIENJUS4uSVFfU1RPQ0tfQkFTRURfU00uOTkwLi4uLi5IBQAAAAAAAAAIAAAAFChJbnZhbGlkIElkZW50aWZpZXIptp1MEDvv3ggV72gyO+/eCCRDSVEuLklRX0lOU19TRVRUTEVfU1VQUExFLjIwMDAuLi4uLkgFAAAAAAAAAAgAAAAUKEludmFsaWQgSWRlbnRpZmll</t>
  </si>
  <si>
    <t>cim2nUwQO+/eCGKyaTI7794II0NJUS4uSVFfR0FJTl9CQVJHQUlOX0FDUS4yMDAwLi4uLi5IBQAAAAAAAAAIAAAAFChJbnZhbGlkIElkZW50aWZpZXIptp1MEDvv3ggEEWoyO+/eCClDSVEuLklRX0FTU0VUX1dSSVRFRE9XTl9TVVBQTEUuMjAwMC4uLi4uSAUAAAAAAAAACAAAABQoSW52YWxpZCBJZGVudGlmaWVyKbadTBA7794IIV9qMjvv3ggmQ0lRLi5JUV9JTVBBSVJNRU5UX0dXX1NVUFBMRS45OTAuLi4uLkgFAAAAAAAAAAgAAAAUKEludmFsaWQgSWRlbnRpZmllcim2nUwQO+/eCEetajI7794IEUNJUS4uSVFfUkUuLi4uLi5IBQAAAAAAAAAIAAAAFChJbnZhbGlkIElkZW50aWZpZXIpS365EDvv3giV4lEyO+/eCCFDSVEuLklRX1VORUFSTl9SRVZfQ1VSUkVOVC4uLi4uLkgFAAAAAAAAAAgAAAAUKEludmFsaWQgSWRlbnRpZmllcinCfaEQO+/eCMF7VDI7794IGkNJUS4uSVFfT1RIRVJfSU5UQU4uLi4uLi5IBQAAAAAAAAAIAAAAFChJbnZhbGlkIElkZW50aWZpZXIpTKW5EDvv3ghYs1YyO+/eCCRDSVEuLklRX0ZJTl9ESVZfTE9BTlNfQ1VSUkVOVC4uLi4uLkgFAAAAAAAAAAgAAAAUKEludmFsaWQgSWRlbnRpZmllcinCfaEQO+/eCCpOWDI7794IMkNJUS4uSVFfT1BFUkFUSU5HX0xFQVNFX0xJQUJJTElUSUVTX05PTkNBU0guLi4uLi5IBQAAAAAAAAAIAAAAFChJbnZhbGlkIElkZW50aWZpZXIp0KSh</t>
  </si>
  <si>
    <t>EDvv3ggBrVoyO+/eCBVDSVEuLklRX1JFLjIwMDAuLi4uLkgFAAAAAAAAAAgAAAAUKEludmFsaWQgSWRlbnRpZmllcim2nUwQO+/eCHe7UTI7794IIENJUS4uSVFfTUlOT1JJVFlfSU5URVJFU1QuLi4uLi5IBQAAAAAAAAAIAAAAFChJbnZhbGlkIElkZW50aWZpZXIpw1ahEDvv3ghbbVEyO+/eCCBDSVEuLklRX0NIQU5HRV9ERUZfVEFYLjk5MC4uLi4uSAUAAAAAAAAACAAAABQoSW52YWxpZCBJZGVudGlmaWVyKbadTBA7794IAFZjMjvv3ggjQ0lRLi5JUV9TVE9DS19CQVNFRF9DT01QX1RBWC4uLi4uLkgFAAAAAAAAAAgAAAAUKEludmFsaWQgSWRlbnRpZmllcilbA5IQO+/eCNUWZzI7794II0NJUS4uSVFfUkVTVFJfU1RPQ0tfQ09NUC4yMDAwLi4uLi5IBQAAAAAAAAAIAAAAFChJbnZhbGlkIElkZW50aWZpZXIptp1MEDvv3ggGjGcyO+/eCBlDSVEuLklRX1BBWU9VVF9SQVRJTy45OTAuBQAAAAAAAAAIAAAAFChJbnZhbGlkIElkZW50aWZpZXIptp1MEDvv3ggxkW4yO+/eCBFDSVEuLklRX0dBQVBfQ0YuLgUAAAAAAAAACAAAABQoSW52YWxpZCBJZGVudGlmaWVyKVsDkhA7794Ina5ZMjvv3gglQ0lRLi5JUV9DQVNIX0lOVEVSRVNUX1JFQ0VJVkVELi4uLi4uSAUAAAAAAAAACAAAABQoSW52YWxpZCBJZGVudGlmaWVyKcJ9oRA7794IAi9dMjvv3ggiQ0lRLi5JUV9DQVNIX0FDUVVJUkVfQ0YuMjAwMC4uLi4u</t>
  </si>
  <si>
    <t>SAUAAAAAAAAACAAAABQoSW52YWxpZCBJZGVudGlmaWVyKbadTBA7794IboZiMjvv3ggeQ0lRLi5JUV9PVEhFUl9BTU9SVC4yMDAwLi4uLi5IBQAAAAAAAAAIAAAAFChJbnZhbGlkIElkZW50aWZpZXIptp1MEDvv3gigA2YyO+/eCCVDSVEuLklRX0xFR0FMX1NFVFRMRV9TVVBQTEUuOTkwLi4uLi5IBQAAAAAAAAAIAAAAFChJbnZhbGlkIElkZW50aWZpZXIptp1MEDvv3ghismkyO+/eCBtDSVEuLklRX1JEX0VYUF9GTi45OTAuLi4uLkgFAAAAAAAAAAgAAAAUKEludmFsaWQgSWRlbnRpZmllcim2nUwQO+/eCB++bDI7794IG0NJUS4uSVFfREFfRUJJVERBLjk5MC4uLi4uSAUAAAAAAAAACAAAABQoSW52YWxpZCBJZGVudGlmaWVyKbadTBA7794InclvMjvv3ggeQ0lRLi5JUV9JTlRfRVhQX0xURC4yMDAwLi4uLi5IBQAAAAAAAAAIAAAAFChJbnZhbGlkIElkZW50aWZpZXIptp1MEDvv3gg5KnAyO+/eCBNDSVEuLklRX0FQSUMuLi4uLi5IBQAAAAAAAAAIAAAAFChJbnZhbGlkIElkZW50aWZpZXIpTKW5EDvv3giZCVIyO+/eCBRDSVEuLklRX0RPX0NGLi4uLi4uSAUAAAAAAAAACAAAABQoSW52YWxpZCBJZGVudGlmaWVyKVsDkhA7794Is3tkMjvv3ggdQ0lRLi5JUV9JUFJEX1NVUFBMRS45OTAuLi4uLkgFAAAAAAAAAAgAAAAUKEludmFsaWQgSWRlbnRpZmllcim2nUwQO+/eCCFfajI7794IKkNJUS4uSVFfSU1Q</t>
  </si>
  <si>
    <t>VVRfT1BFUl9MRUFTRV9JTlRfRVhQLjk5MC4uLi4uSAUAAAAAAAAACAAAABQoSW52YWxpZCBJZGVudGlmaWVyKbadTBA7794Ial1rMjvv3ggzQ0lRLi5JUV9JTlRFUkVTVF9FWFBfTEVBU0VfTElBQklMSVRZX0RFQlQuOTkwLi4uLi5IBQAAAAAAAAAIAAAAFChJbnZhbGlkIElkZW50aWZpZXIptp1MEDvv3gg5KnAyO+/eCBdDSVEuLklRX0VCSVQuMjAwMC4uLi4uSAUAAAAAAAAACAAAABQoSW52YWxpZCBJZGVudGlmaWVyKbadTBA7794Ib610Mjvv3ggkQ0lRLi5JUV9TUEVDSUFMX0RJVl9TSEFSRS4yMDAwLi4uLi5IBQAAAAAAAAAIAAAAFChJbnZhbGlkIElkZW50aWZpZXIptp1MEDvv3gjoHnYyO+/eCCVDSVEuLklRX0lOVEVSRVNUX0lOVkVTVF9JTkMuOTkwLi4uLi5IBQAAAAAAAAAIAAAAFChJbnZhbGlkIElkZW50aWZpZXIptp1MEDvv3gj9oHsyO+/eCCBDSVEuLklRX1BSRV9PUEVOX0NPU1QuMjAwMC4uLi4uSAUAAAAAAAAACAAAABQoSW52YWxpZCBJZGVudGlmaWVyKbadTBA7794Iop98Mjvv3ggUQ0lRLi5JUV9HUC45OTAuLi4uLkgFAAAAAAAAAAgAAAAUKEludmFsaWQgSWRlbnRpZmllcim2nUwQO+/eCMk7fTI7794IHUNJUS4uSVFfRklOX0RJVl9SRVYuOTkwLi4uLi5IBQAAAAAAAAAIAAAAFChJbnZhbGlkIElkZW50aWZpZXIptp1MEDvv3giC1n4yO+/eCB1DSVEuLklRX1BFUklPRExFTkdUSF9J</t>
  </si>
  <si>
    <t>Uy4yMDAwLgUAAAAAAAAACAAAABQoSW52YWxpZCBJZGVudGlmaWVyKbadTBA7794IBeZ1Mjvv3ggaQ0lRLi5JUV9QUkVGX0VRVUlUWS4uLi4uLkgFAAAAAAAAAAgAAAAUKEludmFsaWQgSWRlbnRpZmllcilMpbkQO+/eCIREUjI7794IHkNJUS4uSVFfQ0FTSF9JTlZFU1QuMjAwMC4uLi4uSAUAAAAAAAAACAAAABQoSW52YWxpZCBJZGVudGlmaWVyKbadTBA7794IoJVhMjvv3ggyQ0lRLi5JUV9ESVNUUklCVVRBQkxFX0NBU0hfU1RBTkRBUkRJWkVELjIwMDAuLi4uLkgFAAAAAAAAAAgAAAAUKEludmFsaWQgSWRlbnRpZmllcim2nUwQO+/eCIB7bzI7794IIkNJUS4uSVFfSU5URVJFU1RfSU5DT01FLjIwMDAuLi4uLkgFAAAAAAAAAAgAAAAUKEludmFsaWQgSWRlbnRpZmllcim2nUwQO+/eCOAmcjI7794IKkNJUS4uSVFfRUJJVERBUl9FUV9JTkNfRVhDTF9TQkMuMjAwMC4uLi4uSAUAAAAAAAAACAAAABQoSW52YWxpZCBJZGVudGlmaWVyKbadTBA7794ItmBzMjvv3ggnQ0lRLi5JUV9TVE9DS19CQVNFRF9DT01QX1RBWC4yMDAwLi4uLi5IBQAAAAAAAAAIAAAAFChJbnZhbGlkIElkZW50aWZpZXIptp1MEDvv3gjK72YyO+/eCCpDSVEuLklRX1NBTEFSSUVTX09USEVSX0JFTkVGSVRTLjIwMDAuLi4uLkgFAAAAAAAAAAgAAAAUKEludmFsaWQgSWRlbnRpZmllcim2nUwQO+/eCFvUajI7794IJ0NJUS4uSVFfTkVU</t>
  </si>
  <si>
    <t>X1JFTlRBTF9FWFBfU1VQUExFLjk5MC4uLi4uSAUAAAAAAAAACAAAABQoSW52YWxpZCBJZGVudGlmaWVyKbadTBA7794IHFxsMjvv3ggYQ0lRLi5JUV9HQV9FWFAuOTkwLi4uLi5IBQAAAAAAAAAIAAAAFChJbnZhbGlkIElkZW50aWZpZXIptp1MEDvv3gjG72wyO+/eCCpDSVEuLklRX09QRVJBVElOR19MRUFTRV9MSUFCSUxJVElFUy4uLi4uLkgFAAAAAAAAAAgAAAAUKEludmFsaWQgSWRlbnRpZmllcinQpKEQO+/eCAvUWjI7794IHUNJUS4uSVFfQ0FTSF9GSU5BTi4yMDAwLi4uLi5IBQAAAAAAAAAIAAAAFChJbnZhbGlkIElkZW50aWZpZXIpG8RMEDvv3ghcZ18yO+/eCBxDSVEuLklRX0NPTU1PTl9JU1NVRUQuLi4uLi5IBQAAAAAAAAAIAAAAFChJbnZhbGlkIElkZW50aWZpZXIpw1ahEDvv3ggJ5WAyO+/eCBtDSVEuLklRX0xPQU5TX0NGLjIwMDAuLi4uLkgFAAAAAAAAAAgAAAAUKEludmFsaWQgSWRlbnRpZmllcikbxEwQO+/eCEVAZTI7794IIkNJUS4uSVFfUkVTVFJfU1RPQ0tfQ09NUC45OTAuLi4uLkgFAAAAAAAAAAgAAAAUKEludmFsaWQgSWRlbnRpZmllcikbxEwQO+/eCBWzZzI7794IHENJUS4uSVFfRklMSU5HX0NVUlJFTkNZLjk5MC4FAAAAAAAAAAgAAAAUKEludmFsaWQgSWRlbnRpZmllcinCfaEQO+/eCCM/bjI7794IJUNJUS4uSVFfQ1VSUl9GT1JFSUdOX1RBWEVTLjIwMDAuLi4uLkgFAAAA</t>
  </si>
  <si>
    <t>AAAAAAgAAAAUKEludmFsaWQgSWRlbnRpZmllcikbxEwQO+/eCMaKcTI7794IH0NJUS4uSVFfRUJJVERBX0NBUEVYLjIwMDAuLi4uLkgFAAAAAAAAAAgAAAAUKEludmFsaWQgSWRlbnRpZmllcikbxEwQO+/eCJISczI7794IIUNJUS4uSVFfRUJJVEFfRVhDTF9TQkMuMjAwMC4uLi4uSAUAAAAAAAAACAAAABQoSW52YWxpZCBJZGVudGlmaWVyKRvETBA7794I89VzMjvv3ggoQ0lRLi5JUV9FQklUREFfTEVBU0VfQURKVVNURUQuMjAwMC4uLi4uSAUAAAAAAAAACAAAABQoSW52YWxpZCBJZGVudGlmaWVyKRvETBA7794IoSJ1Mjvv3ggnQ0lRLi5JUV9GSU5fRElWX0xJQUJfQ1VSUkVOVC4yMDAwLi4uLi5IBQAAAAAAAAAIAAAAFChJbnZhbGlkIElkZW50aWZpZXIpG8RMEDvv3gj7olQyO+/eCB9DSVEuLklRX0FNT1JUX0RJQ19DRi4yMDAwLi4uLi5IBQAAAAAAAAAIAAAAFChJbnZhbGlkIElkZW50aWZpZXIpG8RMEDvv3giopV0yO+/eCCNDSVEuLklRX0NIQU5HRV9VTkVBUk5fUkVWLjk5MC4uLi4uSAUAAAAAAAAACAAAABQoSW52YWxpZCBJZGVudGlmaWVyKRvETBA7794IZ7hjMjvv3ggdQ0lRLi5JUV9BRFZFUlRJU0lORy45OTAuLi4uLkgFAAAAAAAAAAgAAAAUKEludmFsaWQgSWRlbnRpZmllcikbxEwQO+/eCEeMbTI7794II0NJUS4uSVFfRklOX0RJVl9MSUFCX0NVUlJFTlQuLi4uLi5IBQAAAAAAAAAIAAAA</t>
  </si>
  <si>
    <t>FChJbnZhbGlkIElkZW50aWZpZXIpTKW5EDvv3gg4ylQyO+/eCCFDSVEuLklRX0NBU0hfQUNRVUlSRV9DRi45OTAuLi4uLkgFAAAAAAAAAAgAAAAUKEludmFsaWQgSWRlbnRpZmllcikbxEwQO+/eCHytYjI7794IJENJUS4uSVFfQVNTRVRfV1JJVEVET1dOX0NGLjk5MC4uLi4uSAUAAAAAAAAACAAAABQoSW52YWxpZCBJZGVudGlmaWVyKRvETBA7794IXY5lMjvv3ggmQ0lRLi5JUV9TVE9DS19CQVNFRF9DT01QX1RBWC45OTAuLi4uLkgFAAAAAAAAAAgAAAAUKEludmFsaWQgSWRlbnRpZmllcikbxEwQO+/eCNUWZzI7794IJ0NJUS4uSVFfSU1QQUlSTUVOVF9HV19TVVBQTEUuMjAwMC4uLi4uSAUAAAAAAAAACAAAABQoSW52YWxpZCBJZGVudGlmaWVyKRvETBA7794IIV9qMjvv3ggpQ0lRLi5JUV9FWFBMT1JFX0RSSUxMX0VYUF9UT1RBTC45OTAuLi4uLkgFAAAAAAAAAAgAAAAUKEludmFsaWQgSWRlbnRpZmllcikbxEwQO+/eCBtxazI7794IIkNJUS4uSVFfQ1VSUkVOVF9QT1JUX0xFQVNFUy4uLi4uLkgFAAAAAAAAAAgAAAAUKEludmFsaWQgSWRlbnRpZmllcilMpbkQO+/eCFAYVTI7794IG0NJUS4uSVFfQU1PUlRfRElDX0NGLi4uLi4uSAUAAAAAAAAACAAAABQoSW52YWxpZCBJZGVudGlmaWVyKcNWoRA7794IxMxdMjvv3ggkQ0lRLi5JUV9QUk9WX0JBRF9ERUJUU19DRi4yMDAwLi4uLi5IBQAAAAAAAAAI</t>
  </si>
  <si>
    <t>AAAAFChJbnZhbGlkIElkZW50aWZpZXIpG8RMEDvv3gize2QyO+/eCCVDSVEuLklRX1NUT0NLX09QVElPTlNfQ09NUC4yMDAwLi4uLi5IBQAAAAAAAAAIAAAAFChJbnZhbGlkIElkZW50aWZpZXIpG8RMEDvv3gjVFmcyO+/eCCZDSVEuLklRX1JFU1RSX1NUT0NLX0NPTVBfVEFYLjk5MC4uLi4uSAUAAAAAAAAACAAAABQoSW52YWxpZCBJZGVudGlmaWVyKfMQaxA7794IFbNnMjvv3ggcQ0lRLi5JUV9EQVlTX0lOVkVOVE9SWV9PVVQuLgUAAAAAAAAACAAAABQoSW52YWxpZCBJZGVudGlmaWVyKUyluRA7794Iziw9Mjvv3ggeQ0lRLi5JUV9JTlRFUkNPTVBBTllfQ0wuLi4uLi5IBQAAAAAAAAAIAAAAFChJbnZhbGlkIElkZW50aWZpZXIpTKW5EDvv3gh8KEAyO+/eCCZDSVEuLklRX0RFUklWQVRJVkVfTElBQl9DVVJSRU5ULi4uLi4uSAUAAAAAAAAACAAAABQoSW52YWxpZCBJZGVudGlmaWVyKUt+uRA7794IGm9CMjvv3ggkQ0lRLi5JUV9ERUJUX0VRVUlWX09QRVJfTEVBU0UuLi4uLi5IBQAAAAAAAAAIAAAAFChJbnZhbGlkIElkZW50aWZpZXIpS365EDvv3ggklUQyO+/eCBlDSVEuLklRX1RPVEFMX0VNUExPWUVFUy4uBQAAAAAAAAAIAAAAFChJbnZhbGlkIElkZW50aWZpZXIpTKW5EDvv3ghPCUYyO+/eCB1DSVEuLklRX0FTU0VUU19MRVZFTF8yLi4uLi4uSAUAAAAAAAAACAAAABQoSW52YWxpZCBJZGVudGlm</t>
  </si>
  <si>
    <t>aWVyKUyluRA7794IJ31HMjvv3ggsQ0lRLi5JUV9HRU5FUkFMX1BBUlRORVJfQ09NTU9OX0VRVUlUWS4uLi4uLkgFAAAAAAAAAAgAAAAUKEludmFsaWQgSWRlbnRpZmllcilLfrkQO+/eCF57SDI7794IKUNJUS4uSVFfTkFUVVJBTF9SRVNPVVJDRVNfQ09TVC4yMDAwLi4uLi5IBQAAAAAAAAAIAAAAFChJbnZhbGlkIElkZW50aWZpZXIp8xBrEDvv3gh370kyO+/eCBtDSVEuLklRX0ZJTklTSEVEX0lOVi4uLi4uLkgFAAAAAAAAAAgAAAAUKEludmFsaWQgSWRlbnRpZmllcilMpbkQO+/eCBvaSjI7794IH0NJUS4uSVFfQUxMT1dfRE9VQlRfQUNDVC4uLi4uLkgFAAAAAAAAAAgAAAAUKEludmFsaWQgSWRlbnRpZmllcilMpbkQO+/eCK/YSzI7794IJUNJUS4uSVFfVE9UQUxfREVCVF9OT05fQ1VSUkVOVC4uLi4uLkgFAAAAAAAAAAgAAAAUKEludmFsaWQgSWRlbnRpZmllcilMpbkQO+/eCK7DTDI7794IIUNJUS4uSVFfVEJWX1NIQVJFX1JFUE9SVEVELi4uLi4uSAUAAAAAAAAACAAAABQoSW52YWxpZCBJZGVudGlmaWVyKdCkoRA7794I73NNMjvv3ggrQ0lRLi5JUV9UT1RBTF9PVVRTVEFORElOR19GSUxJTkdfREFURS4yMDAwLgUAAAAAAAAACAAAABQoSW52YWxpZCBJZGVudGlmaWVyKfMQaxA7794I+PxNMjvv3ggmQ0lRLi5JUV9UT1RBTF9GSU5BTkNFX0xFQVNFUy45OTAuLi4uLkgFAAAAAAAAAAgAAAAUKElu</t>
  </si>
  <si>
    <t>dmFsaWQgSWRlbnRpZmllcinzEGsQO+/eCKhJTzI7794IKENJUS4uSVFfR1BQRV9FWENMX09QRVJfTEVBU0VTLjIwMDAuLi4uLkgFAAAAAAAAAAgAAAAUKEludmFsaWQgSWRlbnRpZmllcinzEGsQO+/eCH/STzI7794IJ0NJUS4uSVFfUlVBX0NBUElUQUxfTEVBU0VfTkVULjk5MC4uLi4uSAUAAAAAAAAACAAAABQoSW52YWxpZCBJZGVudGlmaWVyKfMQaxA7794IDEhQMjvv3ggeQ0lRLi5JUV9UT1RBTF9FUVVJVFkuOTkwLi4uLi5IBQAAAAAAAAAIAAAAFChJbnZhbGlkIElkZW50aWZpZXIp8xBrEDvv3ggZRlEyO+/eCBdDSVEuLklRX1RSRUFTVVJZLi4uLi4uSAUAAAAAAAAACAAAABQoSW52YWxpZCBJZGVudGlmaWVyKUyluRA7794Id7tRMjvv3ggeQ0lRLi5JUV9QUkVGX05PTl9SRURFRU0uLi4uLi5IBQAAAAAAAAAIAAAAFChJbnZhbGlkIElkZW50aWZpZXIpTKW5EDvv3gilklIyO+/eCCZDSVEuLklRX0lOQ19UQVhfUEFZX0NVUlJFTlQuMjAwMC4uLi4uSAUAAAAAAAAACAAAABQoSW52YWxpZCBJZGVudGlmaWVyKfMQaxA7794IwXtUMjvv3ggRQ0lRLi5JUV9BRS4uLi4uLkgFAAAAAAAAAAgAAAAUKEludmFsaWQgSWRlbnRpZmllcilMpbkQO+/eCHFmVTI7794IG0NJUS4uSVFfTFRfSU5WRVNULjk5MC4uLi4uSAUAAAAAAAAACAAAABQoSW52YWxpZCBJZGVudGlmaWVyKfMQaxA7794IdgFXMjvv3ggcQ0lR</t>
  </si>
  <si>
    <t>Li5JUV9JTlZFTlRPUlkuMjAwMC4uLi4uSAUAAAAAAAAACAAAABQoSW52YWxpZCBJZGVudGlmaWVyKfMQaxA7794IKXVYMjvv3ggWQ0lRLi5JUV9DQUxDX1RZUEVfQ0YuLgUAAAAAAAAACAAAABQoSW52YWxpZCBJZGVudGlmaWVyKdCkoRA7794Io9VZMjvv3ggeQ0lRLi5JUV9NQUlOVF9DQVBFWC4yMDAwLi4uLi5IBQAAAAAAAAAIAAAAFChJbnZhbGlkIElkZW50aWZpZXIp8xBrEDvv3gjaNVsyO+/eCBpDSVEuLklRX0NGX1NIQVJFLjk5MC4uLi4uSAUAAAAAAAAACAAAABQoSW52YWxpZCBJZGVudGlmaWVyKfMQaxA7794IJIRbMjvv3ggkQ0lRLi5JUV9DQVNIX1RBWEVTX0lOVkVTVC4yMDAwLi4uLi5IBQAAAAAAAAAIAAAAFChJbnZhbGlkIElkZW50aWZpZXIp8xBrEDvv3gg2V1wyO+/eCCVDSVEuLklRX0NBU0hfSU5URVJFU1RfT1BFUi4yMDAwLi4uLi5IBQAAAAAAAAAIAAAAFChJbnZhbGlkIElkZW50aWZpZXIp8xBrEDvv3gixzFwyO+/eCB1DSVEuLklRX0RFUFJFX1NVUFAuMjAwMC4uLi4uSAUAAAAAAAAACAAAABQoSW52YWxpZCBJZGVudGlmaWVyKfMQaxA7794IMJBeMjvv3gggQ0lRLi5JUV9DT01NT05fSVNTVUVELjIwMDAuLi4uLkgFAAAAAAAAAAgAAAAUKEludmFsaWQgSWRlbnRpZmllcinzEGsQO+/eCPyzYDI7794IIUNJUS4uSVFfU1RfREVCVF9JU1NVRUQuMjAwMC4uLi4uSAUAAAAAAAAACAAA</t>
  </si>
  <si>
    <t>ABQoSW52YWxpZCBJZGVudGlmaWVyKfMQaxA7794IoJVhMjvv3gghQ0lRLi5JUV9DSEFOR0VfREVGX1RBWC4yMDAwLi4uLi5IBQAAAAAAAAAIAAAAFChJbnZhbGlkIElkZW50aWZpZXIp8xBrEDvv3giyImMyO+/eCCFDSVEuLklRX0NSRURJVF9MT1NTX0NGLjIwMDAuLi4uLkgFAAAAAAAAAAgAAAAUKEludmFsaWQgSWRlbnRpZmllcinzEGsQO+/eCOwXZTI7794IIUNJUS4uSVFfR0FJTl9JTlZFU1RfQ0YuMjAwMC4uLi4uSAUAAAAAAAAACAAAABQoSW52YWxpZCBJZGVudGlmaWVyKfMQaxA7794IcrVlMjvv3ggpQ0lRLi5JUV9TVE9DS19PUFRJT05TX0NPTVBfVEFYLjIwMDAuLi4uLkgFAAAAAAAAAAgAAAAUKEludmFsaWQgSWRlbnRpZmllcinzEGsQO+/eCOU9ZzI7794II0NJUS4uSVFfU1RPQ0tfQkFTRURfQ09HUy4yMDAwLi4uLi5IBQAAAAAAAAAIAAAAFChJbnZhbGlkIElkZW50aWZpZXIp8xBrEDvv3ggjFmkyO+/eCCVDSVEuLklRX1JFU1RSVUNUVVJFX1NVUFBMRS4yMDAwLi4uLi5IBQAAAAAAAAAIAAAAFChJbnZhbGlkIElkZW50aWZpZXIp8xBrEDvv3ghHrWoyO+/eCCRDSVEuLklRX05FVF9SRU5UQUxfRVhQX0ZOLjIwMDAuLi4uLkgFAAAAAAAAAAgAAAAUKEludmFsaWQgSWRlbnRpZmllcinzEGsQO+/eCBxcbDI7794IIkNJUS4uSVFfU0FMRVNfTUFSS0VUSU5HLjIwMDAuLi4uLkgFAAAAAAAAAAgA</t>
  </si>
  <si>
    <t>AAAUKEludmFsaWQgSWRlbnRpZmllcinzEGsQO+/eCBQXbTI7794IHkNJUS4uSVFfQ0ZPX0NVUlJFTlRfTElBQi4yMDAwLgUAAAAAAAAACAAAABQoSW52YWxpZCBJZGVudGlmaWVyKfMQaxA7794IjHs9Mjvv3ggiQ0lRLi5JUV9JTlRFUkNPTVBBTllfTk9OX0NBLi4uLi4uSAUAAAAAAAAACAAAABQoSW52YWxpZCBJZGVudGlmaWVyKUyluRA7794Ihk9AMjvv3ggmQ0lRLi5JUV9MVF9ERUJUX0RFUklWQVRJVkVTLjIwMDAuLi4uLkgFAAAAAAAAAAgAAAAUKEludmFsaWQgSWRlbnRpZmllcinzEGsQO+/eCBpvQjI7794IJ0NJUS4uSVFfREVCVF9FUVVJVl9PUEVSX0xFQVNFLjk5MC4uLi4uSAUAAAAAAAAACAAAABQoSW52YWxpZCBJZGVudGlmaWVyKfMQaxA7794IJJVEMjvv3ggWQ0lRLi5JUV9QQVJUX1RJTUUuOTkwLgUAAAAAAAAACAAAABQoSW52YWxpZCBJZGVudGlmaWVyKfMQaxA7794ITwlGMjvv3ggSQ0lRLi5JUV9DSVAuLi4uLi5IBQAAAAAAAAAIAAAAFChJbnZhbGlkIElkZW50aWZpZXIpTKW5EDvv3gh370kyO+/eCBZDSVEuLklRX1dJUF9JTlYuLi4uLi5IBQAAAAAAAAAIAAAAFChJbnZhbGlkIElkZW50aWZpZXIpS365EDvv3ghAKEsyO+/eCCFDSVEuLklRX1RPVEFMX0RFQlRfQ1VSUkVOVC4uLi4uLkgFAAAAAAAAAAgAAAAUKEludmFsaWQgSWRlbnRpZmllcilMpbkQO+/eCK7DTDI7794IJ0NJUS4u</t>
  </si>
  <si>
    <t>SVFfVE9UQUxfT1VUU1RBTkRJTkdfRklMSU5HX0RBVEUuLgUAAAAAAAAACAAAABQoSW52YWxpZCBJZGVudGlmaWVyKUyluRA7794I+PxNMjvv3ggeQ0lRLi5JUV9UT1RBTF9MRUFTRVMuOTkwLi4uLi5IBQAAAAAAAAAIAAAAFChJbnZhbGlkIElkZW50aWZpZXIp8xBrEDvv3gg9rU4yO+/eCBtDSVEuLklRX1RPVEFMX0VRVUlUWS4uLi4uLkgFAAAAAAAAAAgAAAAUKEludmFsaWQgSWRlbnRpZmllcilMpbkQO+/eCBlGUTI7794IIUNJUS4uSVFfUFJFRl9OT05fUkVERUVNLjk5MC4uLi4uSAUAAAAAAAAACAAAABQoSW52YWxpZCBJZGVudGlmaWVyKfMQaxA7794IYs1SMjvv3ggaQ0lRLi5JUV9UT1RBTF9DTC45OTAuLi4uLkgFAAAAAAAAAAgAAAAUKEludmFsaWQgSWRlbnRpZmllcinzEGsQO+/eCLwZVDI7794IJENJUS4uSVFfVU5FQVJOX1JFVl9DVVJSRU5ULjk5MC4uLi4uSAUAAAAAAAAACAAAABQoSW52YWxpZCBJZGVudGlmaWVyKfMQaxA7794IwXtUMjvv3ggYQ0lRLi5JUV9MVF9JTlZFU1QuLi4uLi5IBQAAAAAAAAAIAAAAFChJbnZhbGlkIElkZW50aWZpZXIpTKW5EDvv3gh2AVcyO+/eCClDSVEuLklRX0RFRl9UQVhfQVNTRVRTX0NVUlJFTlQuMjAwMC4uLi4uSAUAAAAAAAAACAAAABQoSW52YWxpZCBJZGVudGlmaWVyKfMQaxA7794IrbFXMjvv3gggQ0lRLi5JUV9TVF9OT1RFX1JFQ0VJVi45OTAuLi4u</t>
  </si>
  <si>
    <t>LkgFAAAAAAAAAAgAAAAUKEludmFsaWQgSWRlbnRpZmllcinzEGsQO+/eCDicWDI7794IJkNJUS4uSVFfR0FJTl9CQVJHQUlOX0FDUV9DRi4yMDAwLi4uLi5IBQAAAAAAAAAIAAAAFChJbnZhbGlkIElkZW50aWZpZXIp8xBrEDvv3gjII1oyO+/eCB5DSVEuLklRX0RPX0lOVkVTVF9DRi45OTAuLi4uLkgFAAAAAAAAAAgAAAAUKEludmFsaWQgSWRlbnRpZmllcinzEGsQO+/eCNo1WzI7794IIkNJUS4uSVFfQ0FTSF9UQVhFU19GSU5BTi45OTAuLi4uLkgFAAAAAAAAAAgAAAAUKEludmFsaWQgSWRlbnRpZmllcinzEGsQO+/eCDZXXDI7794IJkNJUS4uSVFfQ0FTSF9JTlRFUkVTVF9JTlZFU1QuOTkwLi4uLi5IBQAAAAAAAAAIAAAAFChJbnZhbGlkIElkZW50aWZpZXIp8xBrEDvv3giWB10yO+/eCCBDSVEuLklRX0NBU0hfSU5URVJFU1QuMjAwMC4uLi4uSAUAAAAAAAAACAAAABQoSW52YWxpZCBJZGVudGlmaWVyKfMQaxA7794I6lVdMjvv3gguQ0lRLi5JUV9EQV9TVVBQTF9DRl9FWENMX09QRVJfTEVBU0VTLjk5MC4uLi4uSAUAAAAAAAAACAAAABQoSW52YWxpZCBJZGVudGlmaWVyKfMQaxA7794I7kFeMjvv3ggvQ0lRLi5JUV9ERVBSRUNJQVRJT05fUkVOVEFMX0FTU0VUU19DRi45OTAuLi4uLkgFAAAAAAAAAAgAAAAUKEludmFsaWQgSWRlbnRpZmllcinzEGsQO+/eCDCQXjI7794IIENJUS4uSVFfTFRfREVC</t>
  </si>
  <si>
    <t>VF9JU1NVRUQuOTkwLi4uLi5IBQAAAAAAAAAIAAAAFChJbnZhbGlkIElkZW50aWZpZXIp8xBrEDvv3giglWEyO+/eCC5DSVEuLklRX0NIQU5HRV9PVEhFUl9ORVRfT1BFUl9BU1NFVFMuOTkwLi4uLi5IBQAAAAAAAAAIAAAAFChJbnZhbGlkIElkZW50aWZpZXIp8xBrEDvv3giyImMyO+/eCB9DSVEuLklRX0lOQ19FUVVJVFlfQ0YuOTkwLi4uLi5IBQAAAAAAAAAIAAAAFChJbnZhbGlkIElkZW50aWZpZXIp8xBrEDvv3gjsF2UyO+/eCCJDSVEuLklRX1NUT0NLX0JBU0VEX0NPTVAuOTkwLi4uLi5IBQAAAAAAAAAIAAAAFChJbnZhbGlkIElkZW50aWZpZXIp8xBrEDvv3gjUyGYyO+/eCCRDSVEuLklRX1NUT0NLX09QVElPTlNfQ09NUC45OTAuLi4uLkgFAAAAAAAAAAgAAAAUKEludmFsaWQgSWRlbnRpZmllcinzEGsQO+/eCOU9ZzI7794IIENJUS4uSVFfU1RPQ0tfQkFTRURfUkQuOTkwLi4uLi5IBQAAAAAAAAAIAAAAFChJbnZhbGlkIElkZW50aWZpZXIp8xBrEDvv3ggjFmkyO+/eCB9DSVEuLklRX01FUkdFUl9TVVBQTEUuOTkwLi4uLi5IBQAAAAAAAAAIAAAAFChJbnZhbGlkIElkZW50aWZpZXIp8xBrEDvv3ghHrWoyO+/eCCBDSVEuLklRX05FVF9SRU5UQUxfRVhQLjk5MC4uLi4uSAUAAAAAAAAACAAAABQoSW52YWxpZCBJZGVudGlmaWVyKfMQaxA7794IHFxsMjvv3ggcQ0lRLi5JUV9FRkZFQ1RfVEFYX1JB</t>
  </si>
  <si>
    <t>VEUuOTkwLgUAAAAAAAAACAAAABQoSW52YWxpZCBJZGVudGlmaWVyKfMQaxA7794IKbhuMjvv3ggoQ0lRLi5JUV9BTk5VX0RJU1RSSUJVVElPTl9VTklULjk5MC4uLi4uSAUAAAAAAAAACAAAABQoSW52YWxpZCBJZGVudGlmaWVyKfMQaxA7794IZy1vMjvv3ggrQ0lRLi5JUV9OT05SRUNVUlJJTkdfSU5DT01FX1RBWEVTLjk5MC4uLi4uSAUAAAAAAAAACAAAABQoSW52YWxpZCBJZGVudGlmaWVyKfMQaxA7794IYdpwMjvv3ggXQ0lRLi5JUV9DVVJSRU5UX1JBVElPLi4FAAAAAAAAAAgAAAAUKEludmFsaWQgSWRlbnRpZmllcilMpbkQO+/eCIjdPTI7794IHkNJUS4uSVFfSU5URVJDT01QQU5ZX0NBLi4uLi4uSAUAAAAAAAAACAAAABQoSW52YWxpZCBJZGVudGlmaWVyKUyluRA7794Ihk9AMjvv3gghQ0lRLi5JUV9ERUJUX0VRVUlWX05FVF9QQk8uLi4uLi5IBQAAAAAAAAAIAAAAFChJbnZhbGlkIElkZW50aWZpZXIpTKW5EDvv3ggxvEQyO+/eCBNDSVEuLklRX0ZVTExfVElNRS4uBQAAAAAAAAAIAAAAFChJbnZhbGlkIElkZW50aWZpZXIpTKW5EDvv3gh3V0YyO+/eCCFDSVEuLklRX0FTU0VUU19MRVZFTF8xLjIwMDAuLi4uLkgFAAAAAAAAAAgAAAAUKEludmFsaWQgSWRlbnRpZmllcinzEGsQO+/eCCd9RzI7794IKkNJUS4uSVFfREVGX1RBWF9WQUxVQVRJT05fQUxMT1dBTkNFLi4uLi4uSAUAAAAAAAAACAAA</t>
  </si>
  <si>
    <t>ABQoSW52YWxpZCBJZGVudGlmaWVyKUyluRA7794IuclIMjvv3ggXQ0lRLi5JUV9TT0ZUV0FSRS4uLi4uLkgFAAAAAAAAAAgAAAAUKEludmFsaWQgSWRlbnRpZmllcilLfrkQO+/eCN89SjI7794IGkNJUS4uSVFfV0lQX0lOVi4yMDAwLi4uLi5IBQAAAAAAAAAIAAAAFChJbnZhbGlkIElkZW50aWZpZXIp8xBrEDvv3ggb2koyO+/eCCVDSVEuLklRX1RPVEFMX0RFQlRfQ1VSUkVOVC4yMDAwLi4uLi5IBQAAAAAAAAAIAAAAFChJbnZhbGlkIElkZW50aWZpZXIp8xBrEDvv3giwr0wyO+/eCCJDSVEuLklRX0xUX0RFQlRfREVSSVZBVElWRVMuLi4uLi5IBQAAAAAAAAAIAAAAFChJbnZhbGlkIElkZW50aWZpZXIpTKW5EDvv3ggab0IyO+/eCCNDSVEuLklRX0ZJTl9ESVZfU1RfSU5WRVNULjk5MC4uLi4uSAUAAAAAAAAACAAAABQoSW52YWxpZCBJZGVudGlmaWVyKfMQaxA7794I3s9EMjvv3gggQ0lRLi5JUV9BU1NFVFNfTEVWRUxfMi45OTAuLi4uLkgFAAAAAAAAAAgAAAAUKEludmFsaWQgSWRlbnRpZmllcinzEGsQO+/eCCd9RzI7794IHkNJUS4uSVFfRklOSVNIRURfSU5WLjk5MC4uLi4uSAUAAAAAAAAACAAAABQoSW52YWxpZCBJZGVudGlmaWVyKfMQaxA7794IG9pKMjvv3ggeQ0lRLi5JUV9ORVRfV09SS0lOR19DQVAuLi4uLi5IBQAAAAAAAAAIAAAAFChJbnZhbGlkIElkZW50aWZpZXIpS365EDvv3gjA/0sy</t>
  </si>
  <si>
    <t>O+/eCCZDSVEuLklRX1JVQV9PUEVSQVRJTkdfTEVBU0VfTkVULi4uLi4uSAUAAAAAAAAACAAAABQoSW52YWxpZCBJZGVudGlmaWVyKUyluRA7794Ix/lPMjvv3ggcQ0lRLi5JUV9SVUFfR1JPU1MuMjAwMC4uLi4uSAUAAAAAAAAACAAAABQoSW52YWxpZCBJZGVudGlmaWVyKfMQaxA7794IRORQMjvv3ggaQ0lRLi5JUV9QUkVGX1JFREVFTS4uLi4uLkgFAAAAAAAAAAgAAAAUKEludmFsaWQgSWRlbnRpZmllcinCfaEQO+/eCGLNUjI7794IGkNJUS4uSVFfUEVOU0lPTi4yMDAwLi4uLi5IBQAAAAAAAAAIAAAAFChJbnZhbGlkIElkZW50aWZpZXIp8xBrEDvv3givG1MyO+/eCBVDSVEuLklRX0FQLjIwMDAuLi4uLkgFAAAAAAAAAAgAAAAUKEludmFsaWQgSWRlbnRpZmllcinzEGsQO+/eCHFmVTI7794IIUNJUS4uSVFfT1RIRVJfTFRfQVNTRVRTLjk5MC4uLi4uSAUAAAAAAAAACAAAABQoSW52YWxpZCBJZGVudGlmaWVyKfMQaxA7794IkrRVMjvv3ggTQ0lRLi5JUV9OUFBFLi4uLi4uSAUAAAAAAAAACAAAABQoSW52YWxpZCBJZGVudGlmaWVyKUyluRA7794IiihXMjvv3ggWQ0lRLi5JUV9HUFBFLjk5MC4uLi4uSAUAAAAAAAAACAAAABQoSW52YWxpZCBJZGVudGlmaWVyKfMQaxA7794IXWNXMjvv3gg2Q0lRLi5JUV9PUEVSQVRJTkdfTEVBU0VfTElBQklMSVRJRVNfTk9OQ0FTSC4yMDAwLi4uLi5IBQAAAAAAAAAI</t>
  </si>
  <si>
    <t>AAAAFChJbnZhbGlkIElkZW50aWZpZXIp8xBrEDvv3gj1hVoyO+/eCCBDSVEuLklRX0RPX0ZJTkFOQ0VfQ0YuMjAwMC4uLi4uSAUAAAAAAAAACAAAABQoSW52YWxpZCBJZGVudGlmaWVyKfMQaxA7794IC9RaMjvv3ggcQ0lRLi5JUV9DQVNIX1RBWEVTLjk5MC4uLi4uSAUAAAAAAAAACAAAABQoSW52YWxpZCBJZGVudGlmaWVyKfMQaxA7794IgKVcMjvv3ggpQ0lRLi5JUV9EQV9DRl9FWENMX09QRVJfTEVBU0VTLjIwMDAuLi4uLkgFAAAAAAAAAAgAAAAUKEludmFsaWQgSWRlbnRpZmllcinzEGsQO+/eCNLzXTI7794IGUNJUS4uSVFfSU5WRU5UT1JZX1RVUk5TLi4FAAAAAAAAAAgAAAAUKEludmFsaWQgSWRlbnRpZmllcilMpbkQO+/eCIjdPTI7794IGENJUS4uSVFfSU5UQU5fTkVULi4uLi4uSAUAAAAAAAAACAAAABQoSW52YWxpZCBJZGVudGlmaWVyKUt+uRA7794ISopAMjvv3gggQ0lRLi5JUV9GSU5fRElWX1NUX0lOVkVTVC4uLi4uLkgFAAAAAAAAAAgAAAAUKEludmFsaWQgSWRlbnRpZmllcilMpbkQO+/eCN7PRDI7794ILkNJUS4uSVFfRkFJUl9WQUxVRV9DSEFOR0VfSU5DTF9FQVJOSU5HUy4uLi4uLkgFAAAAAAAAAAgAAAAUKEludmFsaWQgSWRlbnRpZmllcilMpbkQO+/eCHdXRjI7794IMUNJUS4uSVFfTElRVUlEQVRJT05fVkFMVUVfUFJFRkVSUkVEX1JFREVFTS4uLi4uLkgFAAAAAAAAAAgAAAAU</t>
  </si>
  <si>
    <t>KEludmFsaWQgSWRlbnRpZmllcilMpbkQO+/eCETLRzI7794IKENJUS4uSVFfRklOX0RJVl9NSU5PUklUWV9JTlRFUkVTVC4uLi4uLkgFAAAAAAAAAAgAAAAUKEludmFsaWQgSWRlbnRpZmllcilLfrkQO+/eCMnwSDI7794IG0NJUS4uSVFfRklYRURfQVNTRVRfVFVSTlMuLgUAAAAAAAAACAAAABQoSW52YWxpZCBJZGVudGlmaWVyKUt+uRA7794I3ys+Mjvv3ggVQ0lRLi5JUV9HV19ORVQuLi4uLi5IBQAAAAAAAAAIAAAAFChJbnZhbGlkIElkZW50aWZpZXIpTKW5EDvv3giXsUAyO+/eCCxDSVEuLklRX0NVUlJFTlRfUE9SVF9ERUJUX0RFUklWQVRJVkVTLi4uLi4uSAUAAAAAAAAACAAAABQoSW52YWxpZCBJZGVudGlmaWVyKUt+uRA7794Ihb5CMjvv3gglQ0lRLi5JUV9GSU5fRElWX0NBU0hfRVFVSVYuMjAwMC4uLi4uSAUAAAAAAAAACAAAABQoSW52YWxpZCBJZGVudGlmaWVyKfMQaxA7794I3s9EMjvv3ggyQ0lRLi5JUV9GQUlSX1ZBTFVFX0NIQU5HRV9JTkNMX0VBUk5JTkdTLjIwMDAuLi4uLkgFAAAAAAAAAAgAAAAUKEludmFsaWQgSWRlbnRpZmllcinzEGsQO+/eCFswRjI7794ILENJUS4uSVFfRklOX0RJVl9NSU5PUklUWV9JTlRFUkVTVC4yMDAwLi4uLi5IBQAAAAAAAAAIAAAAFChJbnZhbGlkIElkZW50aWZpZXIpGDhrEDvv3gi5yUgyO+/eCBZDSVEuLklRX1JBV19JTlYuLi4uLi5IBQAAAAAAAAAI</t>
  </si>
  <si>
    <t>AAAAFChJbnZhbGlkIElkZW50aWZpZXIpTKW5EDvv3gjwO0syO+/eCCJDSVEuLklRX05FVF9XT1JLSU5HX0NBUC4yMDAwLi4uLi5IBQAAAAAAAAAIAAAAFChJbnZhbGlkIElkZW50aWZpZXIpGDhrEDvv3gjA/0syO+/eCB1DSVEuLklRX1RPVEFMX0RFQlQuMjAwMC4uLi4uSAUAAAAAAAAACAAAABQoSW52YWxpZCBJZGVudGlmaWVyKRg4axA7794IrsNMMjvv3ggYQ0lRLi5JUV9UQlZfU0hBUkUuLi4uLi5IBQAAAAAAAAAIAAAAFChJbnZhbGlkIElkZW50aWZpZXIpTKW5EDvv3ggFm00yO+/eCCpDSVEuLklRX0ZJTkFOQ0VfTEVBU0VTX0xPTkdfVEVSTS45OTAuLi4uLkgFAAAAAAAAAAgAAAAUKEludmFsaWQgSWRlbnRpZmllcikYOGsQO+/eCKhJTzI7794IJ0NJUS4uSVFfR1BQRV9FWENMX09QRVJfTEVBU0VTLjk5MC4uLi4uSAUAAAAAAAAACAAAABQoSW52YWxpZCBJZGVudGlmaWVyKRg4axA7794Ix/lPMjvv3ggaQ0lRLi5JUV9UUkVBU1VSWS45OTAuLi4uLkgFAAAAAAAAAAgAAAAUKEludmFsaWQgSWRlbnRpZmllcikYOGsQO+/eCHe7UTI7794IIkNJUS4uSVFfSU5DX1RBWF9QQVlfQ1VSUkVOVC4uLi4uLkgFAAAAAAAAAAgAAAAUKEludmFsaWQgSWRlbnRpZmllcilMpbkQO+/eCPuiVDI7794IHUNJUS4uSVFfQ0FTSF9FUVVJVi4yMDAwLi4uLi5IBQAAAAAAAAAIAAAAFChJbnZhbGlkIElkZW50aWZpZXIp</t>
  </si>
  <si>
    <t>GDhrEDvv3gg/h1kyO+/eCBlDSVEuLklRX0NBTENfVFlQRV9DRi45OTAuBQAAAAAAAAAIAAAAFChJbnZhbGlkIElkZW50aWZpZXIpGDhrEDvv3gij1VkyO+/eCBVDSVEuLklRX0FTU0VUX1RVUk5TLi4FAAAAAAAAAAgAAAAUKEludmFsaWQgSWRlbnRpZmllcilMpbkQO+/eCORSPjI7794IG0NJUS4uSVFfR1dfSU5UQU5fTkVULi4uLi4uSAUAAAAAAAAACAAAABQoSW52YWxpZCBJZGVudGlmaWVyKUt+uRA7794Il9hAMjvv3ggiQ0lRLi5JUV9TVF9ERUJUX0RFUklWQVRJVkVTLi4uLi4uSAUAAAAAAAAACAAAABQoSW52YWxpZCBJZGVudGlmaWVyKUyluRA7794Ihb5CMjvv3gghQ0lRLi5JUV9GSU5fRElWX0RFQlRfVE9UQUwuLi4uLi5IBQAAAAAAAAAIAAAAFChJbnZhbGlkIElkZW50aWZpZXIpTKW5EDvv3gjkMUUyO+/eCCVDSVEuLklRX0xJQUJJTElUSUVTX0ZBSVJfVkFMVUUuLi4uLi5IBQAAAAAAAAAIAAAAFChJbnZhbGlkIElkZW50aWZpZXIpTKW5EDvv3gh3V0YyO+/eCCJDSVEuLklRX1RPVEFMX0NPTU1PTl9FUVVJVFkuLi4uLi5IBQAAAAAAAAAIAAAAFChJbnZhbGlkIElkZW50aWZpZXIpTKW5EDvv3ghplFEyO+/eCBlDSVEuLklRX1BSRUZfT1RIRVIuLi4uLi5IBQAAAAAAAAAIAAAAFChJbnZhbGlkIElkZW50aWZpZXIpTKW5EDvv3gica1IyO+/eCB5DSVEuLklRX09USEVSX0lOVEFOLjIwMDAuLi4u</t>
  </si>
  <si>
    <t>LkgFAAAAAAAAAAgAAAAUKEludmFsaWQgSWRlbnRpZmllcikYOGsQO+/eCFizVjI7794IFUNJUS4uSVFfQUQuMjAwMC4uLi4uSAUAAAAAAAAACAAAABQoSW52YWxpZCBJZGVudGlmaWVyKRg4axA7794IdgFXMjvv3ggoQ0lRLi5JUV9GSU5fRElWX0FTU0VUU19DVVJSRU5ULjk5MC4uLi4uSAUAAAAAAAAACAAAABQoSW52YWxpZCBJZGVudGlmaWVyKRg4axA7794IDSdYMjvv3ggXQ0lRLi5JUV9DQVBFWF9QQ1RfUkVWLi4FAAAAAAAAAAgAAAAUKEludmFsaWQgSWRlbnRpZmllcilMpbkQO+/eCPl5PjI7794II0NJUS4uSVFfV0FSUkFOVFlfTElBQklMSVRJRVMuLi4uLi5IBQAAAAAAAAAIAAAAFChJbnZhbGlkIElkZW50aWZpZXIpTKW5EDvv3gjf5UIyO+/eCDVDSVEuLklRX0xJUVVJREFUSU9OX1ZBTFVFX1BSRUZFUlJFRF9OT05fUkVERUVNLi4uLi4uSAUAAAAAAAAACAAAABQoSW52YWxpZCBJZGVudGlmaWVyKUyluRA7794IVfJHMjvv3ggqQ0lRLi5JUV9NSU5PUklUWV9JTlRfUkVERUVNX1RPVC4yMDAwLi4uLi5IBQAAAAAAAAAIAAAAFChJbnZhbGlkIElkZW50aWZpZXIpGDhrEDvv3gjJ8EgyO+/eCBpDSVEuLklRX1NPRlRXQVJFLjk5MC4uLi4uSAUAAAAAAAAACAAAABQoSW52YWxpZCBJZGVudGlmaWVyKRg4axA7794I3z1KMjvv3ggaQ0lRLi5JUV9XT1JLSU5HX0NBUC4uLi4uLkgFAAAAAAAAAAgAAAAU</t>
  </si>
  <si>
    <t>KEludmFsaWQgSWRlbnRpZmllcilMpbkQO+/eCNImTDI7794IKkNJUS4uSVFfVE9UQUxfREVCVF9FWENMX09QRVJfTEVBU0VTLi4uLi4uSAUAAAAAAAAACAAAABQoSW52YWxpZCBJZGVudGlmaWVyKUyluRA7794I9V5OMjvv3gglQ0lRLi5JUV9GSU5BTkNFX0xFQVNFU19DVVJSRU5ULi4uLi4uSAUAAAAAAAAACAAAABQoSW52YWxpZCBJZGVudGlmaWVyKUyluRA7794Is3BPMjvv3gguQ0lRLi5JUV9SVUFfQ0FQSVRBTF9MRUFTRV9BQ0NVTV9ERVAuMjAwMC4uLi4uSAUAAAAAAAAACAAAABQoSW52YWxpZCBJZGVudGlmaWVyKRg4axA7794IE29QMjvv3ggdQ0lRLi5JUV9UT1RBTF9MSUFCLjIwMDAuLi4uLkgFAAAAAAAAAAgAAAAUKEludmFsaWQgSWRlbnRpZmllcikYOGsQO+/eCGLNUjI7794IIENJUS4uSVFfT1RIRVJfQ0xfU1VQUEwuOTkwLi4uLi5IBQAAAAAAAAAIAAAAFChJbnZhbGlkIElkZW50aWZpZXIpGDhrEDvv3gi8GVQyO+/eCB1DSVEuLklRX09USEVSX0lOVEFOLjk5MC4uLi4uSAUAAAAAAAAACAAAABQoSW52YWxpZCBJZGVudGlmaWVyKRg4axA7794IWLNWMjvv3ggWQ0lRLi5JUV9OUFBFLjk5MC4uLi4uSAUAAAAAAAAACAAAABQoSW52YWxpZCBJZGVudGlmaWVyKRg4axA7794IiihXMjvv3gguQ0lRLi5JUV9PUEVSQVRJTkdfTEVBU0VfTElBQklMSVRJRVMuMjAwMC4uLi4uSAUAAAAAAAAACAAA</t>
  </si>
  <si>
    <t>ABQoSW52YWxpZCBJZGVudGlmaWVyKRg4axA7794IAa1aMjvv3ggfQ0lRLi5JUV9VTkxFVkVSRURfRkNGLjk5MC4uLi4uSAUAAAAAAAAACAAAABQoSW52YWxpZCBJZGVudGlmaWVyKRg4axA7794IM6tbMjvv3ggqQ0lRLi5JUV9BTU9SVF9TT0ZUV0FSRV9BU1NFVFNfQ0YuOTkwLi4uLi5IBQAAAAAAAAAIAAAAFChJbnZhbGlkIElkZW50aWZpZXIpGDhrEDvv3giopV0yO+/eCDBDSVEuLklRX0RFUFJFQ0lBVElPTl9SRU5UQUxfQVNTRVRTX0NGLjIwMDAuLi4uLkgFAAAAAAAAAAgAAAAUKEludmFsaWQgSWRlbnRpZmllcikYOGsQO+/eCO5BXjI7794ILENJUS4uSVFfR1dfSU5UQU5fQU1PUlRfUEFSVElBTF9DRi4yMDAwLi4uLi5IBQAAAAAAAAAIAAAAFChJbnZhbGlkIElkZW50aWZpZXIpGDhrEDvv3ggwkF4yO+/eCB1DSVEuLklRX1BFUklPRExFTkdUSF9DRi4yMDAwLgUAAAAAAAAACAAAABQoSW52YWxpZCBJZGVudGlmaWVyKRg4axA7794IILdeMjvv3ggdQ0lRLi5JUV9QUkVGX0lTU1VFRC45OTAuLi4uLkgFAAAAAAAAAAgAAAAUKEludmFsaWQgSWRlbnRpZmllcikYOGsQO+/eCOR4YDI7794IG0NJUS4uSVFfRElWRVNUX0NGLjk5MC4uLi4uSAUAAAAAAAAACAAAABQoSW52YWxpZCBJZGVudGlmaWVyKRg4axA7794IboZiMjvv3ggTQ0lRLi5JUV9OSV9NQVJHSU4uLgUAAAAAAAAACAAAABQoSW52YWxpZCBJ</t>
  </si>
  <si>
    <t>ZGVudGlmaWVyKUt+uRA7794IpY0+Mjvv3gghQ0lRLi5JUV9MVF9NQVJLX1NFQ1VSSVRJRVMuLi4uLi5IBQAAAAAAAAAIAAAAFChJbnZhbGlkIElkZW50aWZpZXIpS365EDvv3gjN/0AyO+/eCCRDSVEuLklRX0ZJTl9ESVZfU1RfREVCVF9UT1RBTC4uLi4uLkgFAAAAAAAAAAgAAAAUKEludmFsaWQgSWRlbnRpZmllcilLfrkQO+/eCOQxRTI7794INENJUS4uSVFfTElBQklMSVRJRVNfTkVUVElOR19PVEhFUl9BREpVU1RNRU5UUy4uLi4uLkgFAAAAAAAAAAgAAAAUKEludmFsaWQgSWRlbnRpZmllcilMpbkQO+/eCIW5RjI7794IGENJUS4uSVFfTUFDSElORVJZLi4uLi4uSAUAAAAAAAAACAAAABQoSW52YWxpZCBJZGVudGlmaWVyKUyluRA7794I52RKMjvv3ggUQ0lRLi5JUV9MSUZPUi4uLi4uLkgFAAAAAAAAAAgAAAAUKEludmFsaWQgSWRlbnRpZmllcilMpbkQO+/eCCVjSzI7794IGUNJUS4uSVFfVE9UQUxfREVCVC4uLi4uLkgFAAAAAAAAAAgAAAAUKEludmFsaWQgSWRlbnRpZmllcik3SLkQO+/eCOvqTDI7794IIENJUS4uSVFfQlZfU0hBUkVfUkVQT1JURUQuLi4uLi5IBQAAAAAAAAAIAAAAFChJbnZhbGlkIElkZW50aWZpZXIpTKW5EDvv3ggSwk0yO+/eCCxDSVEuLklRX1JVQV9PUEVSQVRJTkdfTEVBU0VfQUNDVU1fREVQLi4uLi4uSAUAAAAAAAAACAAAABQoSW52YWxpZCBJZGVudGlmaWVyKUyluRA7</t>
  </si>
  <si>
    <t>794IzCBQMjvv3ggmQ0lRLi5JUV9SVUFfQ0FQSVRBTF9MRUFTRV9HUk9TUy4uLi4uLkgFAAAAAAAAAAgAAAAUKEludmFsaWQgSWRlbnRpZmllcilMpbkQO+/eCCaWUDI7794II0NJUS4uSVFfTUlOT1JJVFlfSU5URVJFU1QuOTkwLi4uLi5IBQAAAAAAAAAIAAAAFChJbnZhbGlkIElkZW50aWZpZXIpGDhrEDvv3ghbbVEyO+/eCCBDSVEuLklRX0NVUlJFTlRfUE9SVF9ERUJULi4uLi4uSAUAAAAAAAAACAAAABQoSW52YWxpZCBJZGVudGlmaWVyKUyluRA7794IUBhVMjvv3ggfQ0lRLi5JUV9PVEhFUl9SRUNFSVYuMjAwMC4uLi4uSAUAAAAAAAAACAAAABQoSW52YWxpZCBJZGVudGlmaWVyKRg4axA7794I9tZYMjvv3gghQ0lRLi5JUV9UUkFESU5HX0FTU0VUUy4yMDAwLi4uLi5IBQAAAAAAAAAIAAAAFChJbnZhbGlkIElkZW50aWZpZXIpGDhrEDvv3ghrTFkyO+/eCDBDSVEuLklRX1RPVEFMX0RFQlRfUkVQQUlEX0VYQ0xfTEVBU0VTLjIwMDAuLi4uLkgFAAAAAAAAAAgAAAAUKEludmFsaWQgSWRlbnRpZmllcikYOGsQO+/eCMgjWjI7794INUNJUS4uSVFfT1BFUkFUSU5HX0xFQVNFX0xJQUJJTElUSUVTX05PTkNBU0guOTkwLi4uLi5IBQAAAAAAAAAIAAAAFChJbnZhbGlkIElkZW50aWZpZXIpGDhrEDvv3ggBrVoyO+/eCCZDSVEuLklRX0NIQU5HRV9ERUZfVEFYX1RPVEFMLjk5MC4uLi4uSAUAAAAAAAAACAAA</t>
  </si>
  <si>
    <t>ABQoSW52YWxpZCBJZGVudGlmaWVyKRg4axA7794ILw1cMjvv3ggdQ0lRLi5JUV9BQ0NVTV9BTU9SVF9HVy4uLi4uLkgFAAAAAAAAAAgAAAAUKEludmFsaWQgSWRlbnRpZmllcilMpbkQO+/eCOAmQTI7794IKkNJUS4uSVFfRklOX0RJVl9NSU5PUklUWV9JTlRfUkVERUVNLi4uLi4uSAUAAAAAAAAACAAAABQoSW52YWxpZCBJZGVudGlmaWVyKUt+uRA7794I7z5JMjvv3ggdQ0lRLi5JUV9XT1JLSU5HX0NBUC45OTAuLi4uLkgFAAAAAAAAAAgAAAAUKEludmFsaWQgSWRlbnRpZmllcikYOGsQO+/eCNImTDI7794IGUNJUS4uSVFfQ0FTSF9TSEFSRS4uLi4uLkgFAAAAAAAAAAgAAAAUKEludmFsaWQgSWRlbnRpZmllcilMpbkQO+/eCKQlTTI7794IJENJUS4uSVFfQlZfU0hBUkVfUkVQT1JURUQuMjAwMC4uLi4uSAUAAAAAAAAACAAAABQoSW52YWxpZCBJZGVudGlmaWVyKRg4axA7794IBZtNMjvv3gguQ0lRLi5JUV9UT1RBTF9ERUJUX0VYQ0xfT1BFUl9MRUFTRVMuMjAwMC4uLi4uSAUAAAAAAAAACAAAABQoSW52YWxpZCBJZGVudGlmaWVyKRg4axA7794ItjdOMjvv3ggwQ0lRLi5JUV9MVF9QT1JUSU9OX09QRVJfTEVBU0VfTElBQklMSVRJRVMuLi4uLi5IBQAAAAAAAAAIAAAAFChJbnZhbGlkIElkZW50aWZpZXIpTKW5EDvv3giF+04yO+/eCCRDSVEuLklRX05QUEVfRVhDTF9PUEVSX0xFQVNFUy4uLi4uLkgF</t>
  </si>
  <si>
    <t>AAAAAAAAAAgAAAAUKEludmFsaWQgSWRlbnRpZmllcilMpbkQO+/eCMSXTzI7794IG0NJUS4uSVFfUlVBX0dST1NTLjk5MC4uLi4uSAUAAAAAAAAACAAAABQoSW52YWxpZCBJZGVudGlmaWVyKRg4axA7794IVQtRMjvv3ggXQ0lRLi5JUV9FQklUREFfTUFSR0lOLi4FAAAAAAAAAAgAAAAUKEludmFsaWQgSWRlbnRpZmllcilMpbkQO+/eCNy0PjI7794IJUNJUS4uSVFfQ09OVElOR0VOVF9MSUFCSUxJVElFUy4uLi4uLkgFAAAAAAAAAAgAAAAUKEludmFsaWQgSWRlbnRpZmllcilLfrkQO+/eCOwMQzI7794IMkNJUS4uSVFfTElRVUlEQVRJT05fVkFMVUVfUFJFRkVSUkVEX0NPTlZFUlQuLi4uLi5IBQAAAAAAAAAIAAAAFChJbnZhbGlkIElkZW50aWZpZXIpTKW5EDvv3ghV8kcyO+/eCBhDSVEuLklRX0JVSUxESU5HUy4uLi4uLkgFAAAAAAAAAAgAAAAUKEludmFsaWQgSWRlbnRpZmllcilLfrkQO+/eCPuLSjI7794IHUNJUS4uSVFfQ0FTSF9TSEFSRS4yMDAwLi4uLi5IBQAAAAAAAAAIAAAAFChJbnZhbGlkIElkZW50aWZpZXIpGDhrEDvv3gjr6kwyO+/eCChDSVEuLklRX1RPVEFMX0RFQlRfRVhDTF9MRUFTRVMuOTkwLi4uLi5IBQAAAAAAAAAIAAAAFChJbnZhbGlkIElkZW50aWZpZXIpGDhrEDvv3gi2N04yO+/eCDVDSVEuLklRX0NVUlJFTlRfUE9SVElPTl9PUEVSX0xFQVNFX0xJQUJJTElUSUVTLi4uLi4u</t>
  </si>
  <si>
    <t>SAUAAAAAAAAACAAAABQoSW52YWxpZCBJZGVudGlmaWVyKdCkoRA7794IlCJPMjvv3ggZQ0lRLi5JUV9UT1RBTF9MSUFCLi4uLi4uSAUAAAAAAAAACAAAABQoSW52YWxpZCBJZGVudGlmaWVyKUyluRA7794In/RSMjvv3ggcQ0lRLi5JUV9VTkVBUk5fUkVWX0xULi4uLi4uSAUAAAAAAAAACAAAABQoSW52YWxpZCBJZGVudGlmaWVyKUyluRA7794IzWlTMjvv3gglQ0lRLi5JUV9JTkNfVEFYX1BBWV9DVVJSRU5ULjk5MC4uLi4uSAUAAAAAAAAACAAAABQoSW52YWxpZCBJZGVudGlmaWVyKRg4axA7794I+6JUMjvv3gglQ0lRLi5JUV9DVVJSRU5UX1BPUlRfTEVBU0VTLjk5MC4uLi4uSAUAAAAAAAAACAAAABQoSW52YWxpZCBJZGVudGlmaWVyKRg4axA7794IUBhVMjvv3ggbQ0lRLi5JUV9UT1RBTF9SRUNFSVYuLi4uLi5IBQAAAAAAAAAIAAAAFChJbnZhbGlkIElkZW50aWZpZXIp0KShEDvv3gg4nFgyO+/eCBZDSVEuLklRX0dST1NTX01BUkdJTi4uBQAAAAAAAAAIAAAAFChJbnZhbGlkIElkZW50aWZpZXIpTKW5EDvv3gia7z4yO+/eCBtDSVEuLklRX0dST1NTX0dXLjIwMDAuLi4uLkgFAAAAAAAAAAgAAAAUKEludmFsaWQgSWRlbnRpZmllcikYOGsQO+/eCOAmQTI7794IHENJUS4uSVFfT1JERVJfQkFDS0xPRy4uLi4uLkgFAAAAAAAAAAgAAAAUKEludmFsaWQgSWRlbnRpZmllcilMpbkQO+/eCPIzQzI7794I</t>
  </si>
  <si>
    <t>JENJUS4uSVFfRklOX0RJVl9MVF9ERUJUX1RPVEFMLi4uLi4uSAUAAAAAAAAACAAAABQoSW52YWxpZCBJZGVudGlmaWVyKUyluRA7794IqGxFMjvv3ggiQ0lRLi5JUV9MSUFCSUxJVElFU19MRVZFTF8zLi4uLi4uSAUAAAAAAAAACAAAABQoSW52YWxpZCBJZGVudGlmaWVyKUyluRA7794IhblGMjvv3ggYQ0lRLi5JUV9UT1RBTF9DQVAuLi4uLi5IBQAAAAAAAAAIAAAAFChJbnZhbGlkIElkZW50aWZpZXIpS365EDvv3gjfTUwyO+/eCBxDSVEuLklRX1RPVEFMX0RFQlQuOTkwLi4uLi5IBQAAAAAAAAAIAAAAFChJbnZhbGlkIElkZW50aWZpZXIpGDhrEDvv3gjr6kwyO+/eCDtDSVEuLklRX0ZJTkFOQ0lOR19PQkxJR19OT05fQ1VSUkVOVF9FWENMX09QRVJfTEVBU0VTLi4uLi4uSAUAAAAAAAAACAAAABQoSW52YWxpZCBJZGVudGlmaWVyKUyluRA7794IMIZOMjvv3gg5Q0lRLi5JUV9DVVJSRU5UX1BPUlRJT05fT1BFUl9MRUFTRV9MSUFCSUxJVElFUy4yMDAwLi4uLi5IBQAAAAAAAAAIAAAAFChJbnZhbGlkIElkZW50aWZpZXIpGDhrEDvv3giF+04yO+/eCChDSVEuLklRX05QUEVfRVhDTF9PUEVSX0xFQVNFUy4yMDAwLi4uLi5IBQAAAAAAAAAIAAAAFChJbnZhbGlkIElkZW50aWZpZXIpGDhrEDvv3gjEl08yO+/eCCBDSVEuLklRX1RPVEFMX0xJQUJfRVFVSVRZLi4uLi4uSAUAAAAAAAAACAAAABQoSW52YWxp</t>
  </si>
  <si>
    <t>ZCBJZGVudGlmaWVyKUyluRA7794IVQtRMjvv3ggbQ0lRLi5JUV9PVEhFUl9FUVVJVFkuLi4uLi5IBQAAAAAAAAAIAAAAFChJbnZhbGlkIElkZW50aWZpZXIpS365EDvv3ghplFEyO+/eCBtDSVEuLklRX1BSRUZfQ09OVkVSVC4uLi4uLkgFAAAAAAAAAAgAAAAUKEludmFsaWQgSWRlbnRpZmllcinCfaEQO+/eCKWSUjI7794IHkNJUS4uSVFfUkVUVVJOX0NPTU1PTl9FUVVJVFkuLgUAAAAAAAAACAAAABQoSW52YWxpZCBJZGVudGlmaWVyKUt+uRA7794I5RY/Mjvv3ggnQ0lRLi5JUV9BQ0NVTV9BTU9SVF9JTlRBTl9BU1NFVFMuLi4uLi5IBQAAAAAAAAAIAAAAFChJbnZhbGlkIElkZW50aWZpZXIpTKW5EDvv3ggOnEEyO+/eCCJDSVEuLklRX0xJQUJJTElUSUVTX0xFVkVMXzIuLi4uLi5IBQAAAAAAAAAIAAAAFChJbnZhbGlkIElkZW50aWZpZXIpS365EDvv3gjA4EYyO+/eCC1DSVEuLklRX1RPVEFMX0dFTkVSQUxfUEFSVE5FUl9JTlRFUkVTVC4uLi4uLkgFAAAAAAAAAAgAAAAUKEludmFsaWQgSWRlbnRpZmllcilMpbkQO+/eCBItSDI7794IHkNJUS4uSVFfQVJfVU5CSUxMRUQuMjAwMC4uLi4uSAUAAAAAAAAACAAAABQoSW52YWxpZCBJZGVudGlmaWVyKRg4axA7794IaIpLMjvv3ggaQ0lRLi5JUV9SVUFfTkVULjIwMDAuLi4uLkgFAAAAAAAAAAgAAAAUKEludmFsaWQgSWRlbnRpZmllcikYOGsQO+/eCCaW</t>
  </si>
  <si>
    <t>UDI7794IH0NJUS4uSVFfT1RIRVJfRVFVSVRZLjIwMDAuLi4uLkgFAAAAAAAAAAgAAAAUKEludmFsaWQgSWRlbnRpZmllcikYOGsQO+/eCGmUUTI7794IFkNJUS4uSVFfTFRfREVCVC4uLi4uLkgFAAAAAAAAAAgAAAAUKEludmFsaWQgSWRlbnRpZmllcinCfaEQO+/eCALfUzI7794II0NJUS4uSVFfREVGX1RBWF9MSUFCX0NVUlJFTlQuLi4uLi5IBQAAAAAAAAAIAAAAFChJbnZhbGlkIElkZW50aWZpZXIpTKW5EDvv3gjBe1QyO+/eCCRDSVEuLklRX0ZJTl9ESVZfQVNTRVRTX0xULjIwMDAuLi4uLkgFAAAAAAAAAAgAAAAUKEludmFsaWQgSWRlbnRpZmllcikYOGsQO+/eCC5lVjI7794IEUNJUS4uSVFfQUQuLi4uLi5IBQAAAAAAAAAIAAAAFChJbnZhbGlkIElkZW50aWZpZXIpTKW5EDvv3giKKFcyO+/eCBVDSVEuLklRX0FSLjIwMDAuLi4uLkgFAAAAAAAAAAgAAAAUKEludmFsaWQgSWRlbnRpZmllcikYOGsQO+/eCEv+WDI7794IG0NJUS4uSVFfUkVTVEFURU1FTlRfQ0YuOTkwLgUAAAAAAAAACAAAABQoSW52YWxpZCBJZGVudGlmaWVyKRg4axA7794Iv/xZMjvv3ggaQ0lRLi5JUV9MRVZFUkVEX0ZDRi4uLi4uLkgFAAAAAAAAAAgAAAAUKEludmFsaWQgSWRlbnRpZmllcinQpKEQO+/eCDOrWzI7794IHUNJUS4uSVFfTkVUX0NIQU5HRS4yMDAwLi4uLi5IBQAAAAAAAAAIAAAAFChJbnZhbGlkIElkZW50aWZp</t>
  </si>
  <si>
    <t>ZXIpGDhrEDvv3gjw8V4yO+/eCBVDSVEuLklRX0ZYLjIwMDAuLi4uLkgFAAAAAAAAAAgAAAAUKEludmFsaWQgSWRlbnRpZmllcikYOGsQO+/eCDZAXzI7794IKkNJUS4uSVFfT1RIRVJfRklOQU5DRV9BQ1RfU1VQUEwuMjAwMC4uLi4uSAUAAAAAAAAACAAAABQoSW52YWxpZCBJZGVudGlmaWVyKRg4axA7794IWY5fMjvv3ggeQ0lRLi5JUV9MRVZFUkVEX0ZDRi4yMDAwLi4uLi5IBQAAAAAAAAAIAAAAFChJbnZhbGlkIElkZW50aWZpZXIpGDhrEDvv3ggzq1syO+/eCCBDSVEuLklRX0xUX0RFQlRfUkVQQUlELjk5MC4uLi4uSAUAAAAAAAAACAAAABQoSW52YWxpZCBJZGVudGlmaWVyKRg4axA7794IYAxhMjvv3ggoQ0lRLi5JUV9BU1NFVF9XUklURURPV05fU1VQUExFLjk5MC4uLi4uSAUAAAAAAAAACAAAABQoSW52YWxpZCBJZGVudGlmaWVyKRg4axA7794IO4ZqMjvv3ggpQ0lRLi5JUV9TQUxBUklFU19PVEhFUl9CRU5FRklUUy45OTAuLi4uLkgFAAAAAAAAAAgAAAAUKEludmFsaWQgSWRlbnRpZmllcikYOGsQO+/eCGX7ajI7794IH0NJUS4uSVFfTUFJTlRfUkVQQUlSLjIwMDAuLi4uLkgFAAAAAAAAAAgAAAAUKEludmFsaWQgSWRlbnRpZmllcikYOGsQO+/eCCU2azI7794IGUNJUS4uSVFfR0FfRVhQLjIwMDAuLi4uLkgFAAAAAAAAAAgAAAAUKEludmFsaWQgSWRlbnRpZmllcikYOGsQO+/eCF+DbDI7794I</t>
  </si>
  <si>
    <t>HENJUS4uSVFfQ09NTU9OX0RJVi45OTAuLi4uLkgFAAAAAAAAAAgAAAAUKEludmFsaWQgSWRlbnRpZmllcikYOGsQO+/eCD3fbjI7794IJkNJUS4uSVFfQ0FQSVRBTElaRURfSU5URVJFU1QuOTkwLi4uLi5IBQAAAAAAAAAIAAAAFChJbnZhbGlkIElkZW50aWZpZXIpGDhrEDvv3ggRjHAyO+/eCCZDSVEuLklRX0NVUlJfRE9NRVNUSUNfVEFYRVMuMjAwMC4uLi4uSAUAAAAAAAAACAAAABQoSW52YWxpZCBJZGVudGlmaWVyKRg4axA7794IxopxMjvv3ggjQ0lRLi5JUV9FQklUREFSX0VYQ0xfU0JDLjIwMDAuLi4uLkgFAAAAAAAAAAgAAAAUKEludmFsaWQgSWRlbnRpZmllcikYOGsQO+/eCKc5czI7794IKkNJUS4uSVFfTEVBU0VfQURKVVNUTUVOVF9FQklUREEuMjAwMC4uLi4uSAUAAAAAAAAACAAAABQoSW52YWxpZCBJZGVudGlmaWVyKRg4axA7794Ig9R0Mjvv3ggpQ0lRLi5JUV9FQklUREFfRVFfSU5DX0VYQ0xfU0JDLjIwMDAuLi4uLkgFAAAAAAAAAAgAAAAUKEludmFsaWQgSWRlbnRpZmllcikYOGsQO+/eCLFJdTI7794IIUNJUS4uSVFfRElMVVRfRVBTX05PUk0uMjAwMC4uLi4uSAUAAAAAAAAACAAAABQoSW52YWxpZCBJZGVudGlmaWVyKRg4axA7794ITTB3Mjvv3ggdQ0lRLi5JUV9OSV9DT01QQU5ZLjIwMDAuLi4uLkgFAAAAAAAAAAgAAAAUKEludmFsaWQgSWRlbnRpZmllcikYOGsQO+/eCAHLeDI7</t>
  </si>
  <si>
    <t>794IIENJUS4uSVFfSU1QQUlSTUVOVF9HVy4yMDAwLi4uLi5IBQAAAAAAAAAIAAAAFChJbnZhbGlkIElkZW50aWZpZXIpHV9rEDvv3gg3P3oyO+/eCB1DSVEuLklRX1BSRUZfT1RIRVIuMjAwMC4uLi4uSAUAAAAAAAAACAAAABQoSW52YWxpZCBJZGVudGlmaWVyKR1faxA7794InGtSMjvv3ggkQ0lRLi5JUV9DVVJSRU5UX1BPUlRfREVCVC4yMDAwLi4uLi5IBQAAAAAAAAAIAAAAFChJbnZhbGlkIElkZW50aWZpZXIpHV9rEDvv3ghQGFUyO+/eCCNDSVEuLklRX1RPVEFMX0RJVl9QQUlEX0NGLjk5MC4uLi4uSAUAAAAAAAAACAAAABQoSW52YWxpZCBJZGVudGlmaWVyKR1faxA7794IdtxfMjvv3ggXQ0lRLi5JUV9ET19DRi45OTAuLi4uLkgFAAAAAAAAAAgAAAAUKEludmFsaWQgSWRlbnRpZmllcikdX2sQO+/eCLN7ZDI7794IHUNJUS4uSVFfREFfU1VQUExfQ0YuOTkwLi4uLi5IBQAAAAAAAAAIAAAAFChJbnZhbGlkIElkZW50aWZpZXIpHV9rEDvv3gjUn2YyO+/eCClDSVEuLklRX1JFU1RSX1NUT0NLX0NPTVBfUFJFVEFYLjk5MC4uLi4uSAUAAAAAAAAACAAAABQoSW52YWxpZCBJZGVudGlmaWVyKR1faxA7794INQFoMjvv3gghQ0lRLi5JUV9TQUxFU19NQVJLRVRJTkcuOTkwLi4uLi5IBQAAAAAAAAAIAAAAFChJbnZhbGlkIElkZW50aWZpZXIpHV9rEDvv3ggUF20yO+/eCBVDSVEuLklRX0dBQVBfSVMuMjAw</t>
  </si>
  <si>
    <t>MC4FAAAAAAAAAAgAAAAUKEludmFsaWQgSWRlbnRpZmllcikdX2sQO+/eCEeMbTI7794ILENJUS4uSVFfRUFSTklOR19QQVJFTlRfRVhDTF9FWFRSQS4yMDAwLi4uLi5IBQAAAAAAAAAIAAAAFChJbnZhbGlkIElkZW50aWZpZXIpHV9rEDvv3gjtTXIyO+/eCChDSVEuLklRX1RPVEFMX1JFVl9BU19SRVBPUlRFRC4yMDAwLi4uLi5IBQAAAAAAAAAIAAAAFChJbnZhbGlkIElkZW50aWZpZXIpHV9rEDvv3gjlr3IyO+/eCCdDSVEuLklRX0VCSVRfRVFfSU5DX0VYQ0xfU0JDLjIwMDAuLi4uLkgFAAAAAAAAAAgAAAAUKEludmFsaWQgSWRlbnRpZmllcikdX2sQO+/eCAxfdDI7794IK0NJUS4uSVFfRElTVFJJQlVUQUJMRV9DQVNIX1NIQVJFLjIwMDAuLi4uLkgFAAAAAAAAAAgAAAAUKEludmFsaWQgSWRlbnRpZmllcikdX2sQO+/eCPNFdjI7794IIUNJUS4uSVFfQkFTSUNfRVBTX0VYQ0wuMjAwMC4uLi4uSAUAAAAAAAAACAAAABQoSW52YWxpZCBJZGVudGlmaWVyKR1faxA7794IoOB3Mjvv3ggmQ0lRLi5JUV9PVEhFUl9VTlVTVUFMX1NVUFBMLjIwMDAuLi4uLkgFAAAAAAAAAAgAAAAUKEludmFsaWQgSWRlbnRpZmllcikdX2sQO+/eCOh7eTI7794IF0NJUS4uSVFfSVBSRC4yMDAwLi4uLi5IBQAAAAAAAAAIAAAAFChJbnZhbGlkIElkZW50aWZpZXIpHV9rEDvv3ggW8XkyO+/eCBVDSVEuLklRX0FFLjIwMDAuLi4u</t>
  </si>
  <si>
    <t>LkgFAAAAAAAAAAgAAAAUKEludmFsaWQgSWRlbnRpZmllcikdX2sQO+/eCGM/VTI7794IFENJUS4uSVFfQUUuOTkwLi4uLi5IBQAAAAAAAAAIAAAAFChJbnZhbGlkIElkZW50aWZpZXIpHV9rEDvv3ghxZlUyO+/eCBdDSVEuLklRX0dQUEUuMjAwMC4uLi4uSAUAAAAAAAAACAAAABQoSW52YWxpZCBJZGVudGlmaWVyKR1faxA7794IiihXMjvv3ggcQ0lRLi5JUV9SRVNUQVRFTUVOVF9DRi4yMDAwLgUAAAAAAAAACAAAABQoSW52YWxpZCBJZGVudGlmaWVyKR1faxA7794Io9VZMjvv3ggqQ0lRLi5JUV9PUEVSQVRJTkdfTEVBU0VfUEFZTUVOVFMuOTkwLi4uLi5IBQAAAAAAAAAIAAAAFChJbnZhbGlkIElkZW50aWZpZXIpHV9rEDvv3ggL1FoyO+/eCB5DSVEuLklRX0FNT1JUX0RJQ19DRi45OTAuLi4uLkgFAAAAAAAAAAgAAAAUKEludmFsaWQgSWRlbnRpZmllcikdX2sQO+/eCMTMXTI7794IJENJUS4uSVFfVE9UQUxfREVCVF9JU1NVRUQuMjAwMC4uLi4uSAUAAAAAAAAACAAAABQoSW52YWxpZCBJZGVudGlmaWVyKR1faxA7794IK0dhMjvv3gggQ0lRLi5JUV9TVF9ERUJUX0lTU1VFRC45OTAuLi4uLkgFAAAAAAAAAAgAAAAUKEludmFsaWQgSWRlbnRpZmllcikdX2sQO+/eCKCVYTI7794IIUNJUS4uSVFfQ0hBTkdFX0lOQ19UQVguMjAwMC4uLi4uSAUAAAAAAAAACAAAABQoSW52YWxpZCBJZGVudGlmaWVyKR1f</t>
  </si>
  <si>
    <t>axA7794IAFZjMjvv3ggjQ0lRLi5JUV9DSEFOR0VfSU5WRU5UT1JZLjIwMDAuLi4uLkgFAAAAAAAAAAgAAAAUKEludmFsaWQgSWRlbnRpZmllcikdX2sQO+/eCIrfYzI7794IIENJUS4uSVFfQ1JFRElUX0xPU1NfQ0YuOTkwLi4uLi5IBQAAAAAAAAAIAAAAFChJbnZhbGlkIElkZW50aWZpZXIpHV9rEDvv3ghNZ2UyO+/eCCZDSVEuLklRX01JTk9SSVRZX0lOVEVSRVNUX0NGLjk5MC4uLi4uSAUAAAAAAAAACAAAABQoSW52YWxpZCBJZGVudGlmaWVyKR1faxA7794IoANmMjvv3ggcQ0lRLi5JUV9PSUxfSU1QQUlSLjk5MC4uLi4uSAUAAAAAAAAACAAAABQoSW52YWxpZCBJZGVudGlmaWVyKR1faxA7794IxHhmMjvv3ggsQ0lRLi5JUV9TVE9DS19CQVNFRF9FWFBMT1JFX0RSSUxMLjIwMDAuLi4uLkgFAAAAAAAAAAgAAAAUKEludmFsaWQgSWRlbnRpZmllcikdX2sQO+/eCOp5aDI7794IIUNJUS4uSVFfU1RPQ0tfQkFTRURfU0dBLjk5MC4uLi4uSAUAAAAAAAAACAAAABQoSW52YWxpZCBJZGVudGlmaWVyKR1faxA7794IC8hoMjvv3ggkQ0lRLi5JUV9ORUdBVElWRV9HV19BTU9SVC4yMDAwLi4uLi5IBQAAAAAAAAAIAAAAFChJbnZhbGlkIElkZW50aWZpZXIpHV9rEDvv3ghEZGkyO+/eCCJDSVEuLklRX0lOVF9FWFBfSU5DTF9DQVAuOTkwLi4uLi5IBQAAAAAAAAAIAAAAFChJbnZhbGlkIElkZW50aWZpZXIpHV9r</t>
  </si>
  <si>
    <t>EDvv3ggyA3AyO+/eCCpDSVEuLklRX0VYQ0lTRV9UQVhFU19FWENMX1NBTEVTLjIwMDAuLi4uLkgFAAAAAAAAAAgAAAAUKEludmFsaWQgSWRlbnRpZmllcikdX2sQO+/eCLzYcTI7794IIUNJUS4uSVFfRUJJVERBUl9FUV9JTkMuMjAwMC4uLi4uSAUAAAAAAAAACAAAABQoSW52YWxpZCBJZGVudGlmaWVyKR1faxA7794IyodzMjvv3ggiQ0lRLi5JUV9FQklUREFfRVhDTF9TQkMuMjAwMC4uLi4uSAUAAAAAAAAACAAAABQoSW52YWxpZCBJZGVudGlmaWVyKR1faxA7794IoSJ1Mjvv3ggaQ0lRLi5JUV9HV19JTlRBTi45OTAuLi4uLkgFAAAAAAAAAAgAAAAUKEludmFsaWQgSWRlbnRpZmllcim/g5EQO+/eCKQlTTI7794IN0NJUS4uSVFfRklOQU5DSU5HX09CTElHX0NVUlJFTlRfRVhDTF9PUEVSX0xFQVNFUy4uLi4uLkgFAAAAAAAAAAgAAAAUKEludmFsaWQgSWRlbnRpZmllcinQpKEQO+/eCD2tTjI7794II0NJUS4uSVFfVE9UQUxfRklOQU5DRV9MRUFTRVMuLi4uLi5IBQAAAAAAAAAIAAAAFChJbnZhbGlkIElkZW50aWZpZXIpTKW5EDvv3gioSU8yO+/eCCJDSVEuLklRX0FEX0VYQ0xfT1BFUl9MRUFTRVMuLi4uLi5IBQAAAAAAAAAIAAAAFChJbnZhbGlkIElkZW50aWZpZXIpTKW5EDvv3gjUvk8yO+/eCChDSVEuLklRX1JVQV9PUEVSQVRJTkdfTEVBU0VfR1JPU1MuLi4uLi5IBQAAAAAAAAAIAAAAFChJbnZh</t>
  </si>
  <si>
    <t>bGlkIElkZW50aWZpZXIp0KShEDvv3ggMSFAyO+/eCBZDSVEuLklRX1JVQV9ORVQuLi4uLi5IBQAAAAAAAAAIAAAAFChJbnZhbGlkIElkZW50aWZpZXIpS365EDvv3ggyvVAyO+/eCBVDSVEuLklRX0NPTU1PTi4uLi4uLkgFAAAAAAAAAAgAAAAUKEludmFsaWQgSWRlbnRpZmllcilLfrkQO+/eCEcdUjI7794IIUNJUS4uSVFfRklOX0RJVl9ERUJUX0xULjk5MC4uLi4uSAUAAAAAAAAACAAAABQoSW52YWxpZCBJZGVudGlmaWVyKcyqkRA7794I8LdTMjvv3ggbQ0lRLi5JUV9UT1RBTF9DTC4yMDAwLi4uLi5IBQAAAAAAAAAIAAAAFChJbnZhbGlkIElkZW50aWZpZXIpzKqREDvv3ggPBlQyO+/eCCNDSVEuLklRX0ZJTl9ESVZfREVCVF9DVVJSRU5ULi4uLi4uSAUAAAAAAAAACAAAABQoSW52YWxpZCBJZGVudGlmaWVyKUyluRA7794IQfFUMjvv3ggfQ0lRLi5JUV9UT1RBTF9BU1NFVFMuMjAwMC4uLi4uSAUAAAAAAAAACAAAABQoSW52YWxpZCBJZGVudGlmaWVyKcyqkRA7794Ih41VMjvv3ggcQ0lRLi5JUV9MVF9JTlZFU1QuMjAwMC4uLi4uSAUAAAAAAAAACAAAABQoSW52YWxpZCBJZGVudGlmaWVyKcyqkRA7794IZdpWMjvv3gggQ0lRLi5JUV9PVEhFUl9DQV9TVVBQTC45OTAuLi4uLkgFAAAAAAAAAAgAAAAUKEludmFsaWQgSWRlbnRpZmllcinMqpEQO+/eCK2xVzI7794IGkNJUS4uSVFfUFJFUEFJRF9FWFAu</t>
  </si>
  <si>
    <t>Li4uLi5IBQAAAAAAAAAIAAAAFChJbnZhbGlkIElkZW50aWZpZXIp0KShEDvv3ggpdVgyO+/eCCBDSVEuLklRX1RSQURJTkdfQVNTRVRTLjk5MC4uLi4uSAUAAAAAAAAACAAAABQoSW52YWxpZCBJZGVudGlmaWVyKcyqkRA7794Ia0xZMjvv3ggfQ0lRLi5JUV9ET19GSU5BTkNFX0NGLjk5MC4uLi4uSAUAAAAAAAAACAAAABQoSW52YWxpZCBJZGVudGlmaWVyKcyqkRA7794IG/taMjvv3gglQ0lRLi5JUV9DQVNIX0lOVEVSRVNUX0ZJTkFOLjk5MC4uLi4uSAUAAAAAAAAACAAAABQoSW52YWxpZCBJZGVudGlmaWVyKcyqkRA7794IscxcMjvv3ggoQ0lRLi5JUV9DQVNIX0lOVEVSRVNUX1JFQ0VJVkVELjk5MC4uLi4uSAUAAAAAAAAACAAAABQoSW52YWxpZCBJZGVudGlmaWVyKcyqkRA7794IAi9dMjvv3gglQ0lRLi5JUV9EQV9TVVBQTF9QQVJUSUFMX0NGLjk5MC4uLi4uSAUAAAAAAAAACAAAABQoSW52YWxpZCBJZGVudGlmaWVyKcyqkRA7794IILdeMjvv3ggdQ0lRLi5JUV9FQklUXzFZUl9BTk5fR1JPV1RILi4FAAAAAAAAAAgAAAAUKEludmFsaWQgSWRlbnRpZmllcilLfrkQO+/eCCb3OTI7794IMkNJUS4uSVFfVE9UQUxfREVCVF9FQklUREFfRVhDTF9PUEVSX0xFQVNFU19DQVBFWC4uBQAAAAAAAAAIAAAAFChJbnZhbGlkIElkZW50aWZpZXIpTKW5EDvv3gj0HDsyO+/eCCtDSVEuLklRX0VCSVREQV9FWENM</t>
  </si>
  <si>
    <t>X09QRVJfTEVBU0VTX0NBUEVYX0lOVC4uBQAAAAAAAAAIAAAAFChJbnZhbGlkIElkZW50aWZpZXIpTKW5EDvv3ggwuTsyO+/eCBJDSVEuLklRX0VCSVRfSU5ULi4FAAAAAAAAAAgAAAAUKEludmFsaWQgSWRlbnRpZmllcilLfrkQO+/eCEFCPDI7794IH0NJUS4uSVFfVE9UQUxfREVCVF9DQVBJVEFMLjk5MC4FAAAAAAAAAAgAAAAUKEludmFsaWQgSWRlbnRpZmllcinMqpEQO+/eCK7ePDI7794IGENJUS4uSVFfREFZU19TQUxFU19PVVQuLgUAAAAAAAAACAAAABQoSW52YWxpZCBJZGVudGlmaWVyKUyluRA7794Ij2c9Mjvv3ggVQ0lRLi5JUV9FQklUX01BUkdJTi4uBQAAAAAAAAAIAAAAFChJbnZhbGlkIElkZW50aWZpZXIpS365EDvv3giljT4yO+/eCBhDSVEuLklRX1BFUklPRERBVEUuMTk5OS4FAAAAAAAAAAgAAAAUKEludmFsaWQgSWRlbnRpZmllcinMqpEQO+/eCChlPzI7794IFkNJUS4uSVFfQ0FMQ19UWVBFX0JTLi4FAAAAAAAAAAgAAAAUKEludmFsaWQgSWRlbnRpZmllcilMpbkQO+/eCEuzPzI7794IJENJUS4uSVFfQURWQU5DRVNfRk9SX1NVUFBMSUVTLi4uLi4uSAUAAAAAAAAACAAAABQoSW52YWxpZCBJZGVudGlmaWVyKUyluRA7794Il9hAMjvv3ggXQ0lRLi5JUV9HUk9TU19HVy4uLi4uLkgFAAAAAAAAAAgAAAAUKEludmFsaWQgSWRlbnRpZmllcilMpbkQO+/eCPNNQTI7794II0NJUS4uSVFf</t>
  </si>
  <si>
    <t>REVSSVZBVElWRV9BU1NFVFNfTFQuLi4uLi5IBQAAAAAAAAAIAAAAFChJbnZhbGlkIElkZW50aWZpZXIpS365EDvv3gg00kEyO+/eCCpDSVEuLklRX0RFUklWQVRJVkVfTElBQl9OT05fQ1VSUkVOVC4uLi4uLkgFAAAAAAAAAAgAAAAUKEludmFsaWQgSWRlbnRpZmllcilMpbkQO+/eCP9HQjI7794IIkNJUS4uSVFfVE9UQUxfREVCVF9FWENMX0ZJTi4uLi4uLkgFAAAAAAAAAAgAAAAUKEludmFsaWQgSWRlbnRpZmllcik3SLkQO+/eCAVbQzI7794IGENJUS4uSVFfQ09TVF9CT1JST1dJTkcuLgUAAAAAAAAACAAAABQoSW52YWxpZCBJZGVudGlmaWVyKUyluRA7794IGm5EMjvv3ggXQ0lRLi5JUV9BVkdfRU1QTE9ZRUVTLi4FAAAAAAAAAAgAAAAUKEludmFsaWQgSWRlbnRpZmllcilLfrkQO+/eCPq6RTI7794IIkNJUS4uSVFfTElBQklMSVRJRVNfTEVWRUxfMS4uLi4uLkgFAAAAAAAAAAgAAAAUKEludmFsaWQgSWRlbnRpZmllcilMpbkQO+/eCM0HRzI7794IHUNJUS4uSVFfQVNTRVRTX0xFVkVMXzMuLi4uLi5IBQAAAAAAAAAIAAAAFChJbnZhbGlkIElkZW50aWZpZXIpS365EDvv3ggbVkcyO+/eCDVDSVEuLklRX0xJUVVJREFUSU9OX1ZBTFVFX1BSRUZFUlJFRF9SRURFRU0uMjAwMC4uLi4uSAUAAAAAAAAACAAAABQoSW52YWxpZCBJZGVudGlmaWVyKcyqkRA7794INaRHMjvv3gguQ0lRLi5JUV9HRU5FUkFM</t>
  </si>
  <si>
    <t>X1BBUlRORVJfUFJFRl9FUVVJVFkuMjAwMC4uLi4uSAUAAAAAAAAACAAAABQoSW52YWxpZCBJZGVudGlmaWVyKcyqkRA7794IEi1IMjvv3gguQ0lRLi5JUV9GSU5fRElWX01JTk9SSVRZX0lOVF9SRURFRU0uMjAwMC4uLi4uSAUAAAAAAAAACAAAABQoSW52YWxpZCBJZGVudGlmaWVyKcyqkRA7794I2hdJMjvv3ggkQ0lRLi5JUV9MRUFTRUhPTERfSU1QUk9WRU1FTlQuLi4uLi5IBQAAAAAAAAAIAAAAFChJbnZhbGlkIElkZW50aWZpZXIpTKW5EDvv3ggryEkyO+/eCCVDSVEuLklRX05BVFVSQUxfUkVTT1VSQ0VTX0NPU1QuLi4uLi5IBQAAAAAAAAAIAAAAFChJbnZhbGlkIElkZW50aWZpZXIpTKW5EDvv3giXFkoyO+/eCBtDSVEuLklRX01BQ0hJTkVSWS45OTAuLi4uLkgFAAAAAAAAAAgAAAAUKEludmFsaWQgSWRlbnRpZmllcinMqpEQO+/eCOdkSjI7794IGENJUS4uSVFfT1RIRVJfSU5WLi4uLi4uSAUAAAAAAAAACAAAABQoSW52YWxpZCBJZGVudGlmaWVyKUt+uRA7794IHbNKMjvv3ggXQ0lRLi5JUV9MSUZPUi45OTAuLi4uLkgFAAAAAAAAAAgAAAAUKEludmFsaWQgSWRlbnRpZmllcinMqpEQO+/eCCVjSzI7794IHENJUS4uSVFfRVFVSVRZX01FVEhPRC4uLi4uLkgFAAAAAAAAAAgAAAAUKEludmFsaWQgSWRlbnRpZmllcilLfrkQO+/eCK/YSzI7794IJkNJUS4uSVFfTUlOT1JJVFlfSU5URVJFU1RfVE9U</t>
  </si>
  <si>
    <t>QUwuLi4uLi5IBQAAAAAAAAAIAAAAFChJbnZhbGlkIElkZW50aWZpZXIpTKW5EDvv3gjydEwyO+/eCBdDSVEuLklRX0dXX0lOVEFOLi4uLi4uSAUAAAAAAAAACAAAABQoSW52YWxpZCBJZGVudGlmaWVyKUt+uRA7794IpCVNMjvv3ggXQ0lRLi5JUV9CVl9TSEFSRS4uLi4uLkgFAAAAAAAAAAgAAAAUKEludmFsaWQgSWRlbnRpZmllcilMpbkQO+/eCL3VTTI7794IGUNJUS4uSVFfTFRfREVCVC45OTAuLi4uLkgFAAAAAAAAAAgAAAAUKEludmFsaWQgSWRlbnRpZmllcinMqpEQO+/eCA8GVDI7794IG0NJUS4uSVFfVE9UQUxfQVNTRVRTLi4uLi4uSAUAAAAAAAAACAAAABQoSW52YWxpZCBJZGVudGlmaWVyKdCkoRA7794IkrRVMjvv3gg2Q0lRLi5JUV9UT1RBTF9ERUJUX0VCSVREQV9FWENMX09QRVJfTEVBU0VTX0NBUEVYLjIwMDAuBQAAAAAAAAAIAAAAFChJbnZhbGlkIElkZW50aWZpZXIpzKqREDvv3ggm9joyO+/eCBtDSVEuLklRX1RPVEFMX0RFQlRfRUJJVERBLi4FAAAAAAAAAAgAAAAUKEludmFsaWQgSWRlbnRpZmllcilLfrkQO+/eCDC5OzI7794IIUNJUS4uSVFfVE9UQUxfTElBQl9UT1RBTF9BU1NFVFMuLgUAAAAAAAAACAAAABQoSW52YWxpZCBJZGVudGlmaWVyKUyluRA7794Ie2k8Mjvv3ggbQ0lRLi5JUV9UT1RBTF9ERUJUX0VRVUlUWS4uBQAAAAAAAAAIAAAAFChJbnZhbGlkIElkZW50aWZpZXIp</t>
  </si>
  <si>
    <t>TKW5EDvv3giu3jwyO+/eCCFDSVEuLklRX1JFVFVSTl9DT01NT05fRVFVSVRZLjk5MC4FAAAAAAAAAAgAAAAUKEludmFsaWQgSWRlbnRpZmllcinMqpEQO+/eCOUWPzI7794IGENJUS4uSVFfUkVTVEFURU1FTlRfQlMuLgUAAAAAAAAACAAAABQoSW52YWxpZCBJZGVudGlmaWVyKUyluRA7794IS7M/Mjvv3ggiQ0lRLi5JUV9JTlRFUkNPTVBBTllfQ0wuMjAwMC4uLi4uSAUAAAAAAAAACAAAABQoSW52YWxpZCBJZGVudGlmaWVyKcyqkRA7794IaAFAMjvv3ggaQ0lRLi5JUV9HUk9TU19HVy45OTAuLi4uLkgFAAAAAAAAAAgAAAAUKEludmFsaWQgSWRlbnRpZmllcinMqpEQO+/eCPNNQTI7794IE0NJUS4uSVFfUEFSVF9USU1FLi4FAAAAAAAAAAgAAAAUKEludmFsaWQgSWRlbnRpZmllcilMpbkQO+/eCE8JRjI7794IJUNJUS4uSVFfTElBQklMSVRJRVNfTEVWRUxfMS45OTAuLi4uLkgFAAAAAAAAAAgAAAAUKEludmFsaWQgSWRlbnRpZmllcinMqpEQO+/eCM0HRzI7794IIENJUS4uSVFfQVNTRVRTX0xFVkVMXzEuOTkwLi4uLi5IBQAAAAAAAAAIAAAAFChJbnZhbGlkIElkZW50aWZpZXIpzKqREDvv3gg1pEcyO+/eCDNDSVEuLklRX0dFTkVSQUxfUEFSVE5FUl9NSU5PUklUWV9JTlRFUkVTVC45OTAuLi4uLkgFAAAAAAAAAAgAAAAUKEludmFsaWQgSWRlbnRpZmllcinMqpEQO+/eCFNUSDI7794IKUNJUS4uSVFf</t>
  </si>
  <si>
    <t>TUlOT1JJVFlfSU5UX1JFREVFTV9UT1QuOTkwLi4uLi5IBQAAAAAAAAAIAAAAFChJbnZhbGlkIElkZW50aWZpZXIpzKqREDvv3gjaF0kyO+/eCBtDSVEuLklRX1NPRlRXQVJFLjIwMDAuLi4uLkgFAAAAAAAAAAgAAAAUKEludmFsaWQgSWRlbnRpZmllcinMqpEQO+/eCJcWSjI7794IKUNJUS4uSVFfVE9UQUxfREVCVF9OT05fQ1VSUkVOVC4yMDAwLi4uLi5IBQAAAAAAAAAIAAAAFChJbnZhbGlkIElkZW50aWZpZXIpzKqREDvv3gjydEwyO+/eCB9DSVEuLklRX1RPVEFMX0xFQVNFUy4yMDAwLi4uLi5IBQAAAAAAAAAIAAAAFChJbnZhbGlkIElkZW50aWZpZXIpzKqREDvv3gg9rU4yO+/eCBxDSVEuLklRX09USEVSX0xJQUJfTFQuLi4uLi5IBQAAAAAAAAAIAAAAFChJbnZhbGlkIElkZW50aWZpZXIpS365EDvv3givG1MyO+/eCB5DSVEuLklRX0ZJTl9ESVZfTElBQl9MVC4uLi4uLkgFAAAAAAAAAAgAAAAUKEludmFsaWQgSWRlbnRpZmllcilMpbkQO+/eCOGQUzI7794IJ0NJUS4uSVFfREVGX1RBWF9MSUFCX0NVUlJFTlQuMjAwMC4uLi4uSAUAAAAAAAAACAAAABQoSW52YWxpZCBJZGVudGlmaWVyKcyqkRA7794IeVRUMjvv3ggdQ0lRLi5JUV9QUkVQQUlEX0VYUC45OTAuLi4uLkgFAAAAAAAAAAgAAAAUKEludmFsaWQgSWRlbnRpZmllcinMqpEQO+/eCCl1WDI7794IM0NJUS4uSVFfTE9OR19URVJNX0RFQlRf</t>
  </si>
  <si>
    <t>UkVQQUlEX0VYQ0xfTEVBU0VTLjk5MC4uLi4uSAUAAAAAAAAACAAAABQoSW52YWxpZCBJZGVudGlmaWVyKcyqkRA7794I9YVaMjvv3ggfQ0lRLi5JUV9FQklUREFfMVlSX0FOTl9HUk9XVEguLgUAAAAAAAAACAAAABQoSW52YWxpZCBJZGVudGlmaWVyKUyluRA7794IOh46Mjvv3ggoQ0lRLi5JUV9ERVJJVkFUSVZFX0FTU0VUU19DVVJSRU5ULi4uLi4uSAUAAAAAAAAACAAAABQoSW52YWxpZCBJZGVudGlmaWVyKUyluRA7794I5yBCMjvv3ggkQ0lRLi5JUV9SRVNUUklDVEVEX0NBU0hfVE9UQUwuLi4uLi5IBQAAAAAAAAAIAAAAFChJbnZhbGlkIElkZW50aWZpZXIpTKW5EDvv3ggFW0MyO+/eCChDSVEuLklRX0RFQlRfRVFVSVZfT1BFUl9MRUFTRS4yMDAwLi4uLi5IBQAAAAAAAAAIAAAAFChJbnZhbGlkIElkZW50aWZpZXIpzKqREDvv3ggabkQyO+/eCChDSVEuLklRX0ZJTl9ESVZfU1RfREVCVF9UT1RBTC4yMDAwLi4uLi5IBQAAAAAAAAAIAAAAFChJbnZhbGlkIElkZW50aWZpZXIpzKqREDvv3gieCkUyO+/eCBtDSVEuLklRX05VTUJFUl9BRFJIT0xERVJTLi4FAAAAAAAAAAgAAAAUKEludmFsaWQgSWRlbnRpZmllcilLfrkQO+/eCOuTRTI7794IHUNJUS4uSVFfQVNTRVRTX0xFVkVMXzEuLi4uLi5IBQAAAAAAAAAIAAAAFChJbnZhbGlkIElkZW50aWZpZXIpTKW5EDvv3gg1pEcyO+/eCDBDSVEuLklRX0dF</t>
  </si>
  <si>
    <t>TkVSQUxfUEFSVE5FUl9NSU5PUklUWV9JTlRFUkVTVC4uLi4uLkgFAAAAAAAAAAgAAAAUKEludmFsaWQgSWRlbnRpZmllcilMpbkQO+/eCFNUSDI7794IJkNJUS4uSVFfTUlOT1JJVFlfSU5UX1JFREVFTV9UT1QuLi4uLi5IBQAAAAAAAAAIAAAAFChJbnZhbGlkIElkZW50aWZpZXIpTKW5EDvv3gjaF0kyO+/eCChDSVEuLklRX05BVFVSQUxfUkVTT1VSQ0VTX0NPU1QuOTkwLi4uLi5IBQAAAAAAAAAIAAAAFChJbnZhbGlkIElkZW50aWZpZXIpzKqREDvv3giXFkoyO+/eCBpDSVEuLklRX1JBV19JTlYuMjAwMC4uLi4uSAUAAAAAAAAACAAAABQoSW52YWxpZCBJZGVudGlmaWVyKcyqkRA7794IQChLMjvv3ggUQ0lRLi5JUV9JTlZfTUVUSE9ELi4FAAAAAAAAAAgAAAAUKEludmFsaWQgSWRlbnRpZmllcilLfrkQO+/eCGiKSzI7794IKkNJUS4uSVFfTUlOT1JJVFlfSU5URVJFU1RfVE9UQUwuMjAwMC4uLi4uSAUAAAAAAAAACAAAABQoSW52YWxpZCBJZGVudGlmaWVyKcyqkRA7794I301MMjvv3gg/Q0lRLi5JUV9GSU5BTkNJTkdfT0JMSUdfTk9OX0NVUlJFTlRfRVhDTF9PUEVSX0xFQVNFUy4yMDAwLi4uLi5IBQAAAAAAAAAIAAAAFChJbnZhbGlkIElkZW50aWZpZXIpzKqREDvv3gj1Xk4yO+/eCDpDSVEuLklRX0ZJTkFOQ0lOR19PQkxJR19DVVJSRU5UX0VYQ0xfT1BFUl9MRUFTRVMuOTkwLi4uLi5IBQAAAAAA</t>
  </si>
  <si>
    <t>AAAIAAAAFChJbnZhbGlkIElkZW50aWZpZXIpzKqREDvv3gg9rU4yO+/eCDRDSVEuLklRX0xUX1BPUlRJT05fT1BFUl9MRUFTRV9MSUFCSUxJVElFUy4yMDAwLi4uLi5IBQAAAAAAAAAIAAAAFChJbnZhbGlkIElkZW50aWZpZXIpzKqREDvv3gh11E4yO+/eCCVDSVEuLklRX0FEX0VYQ0xfT1BFUl9MRUFTRVMuOTkwLi4uLi5IBQAAAAAAAAAIAAAAFChJbnZhbGlkIElkZW50aWZpZXIpzKqREDvv3gjUvk8yO+/eCDBDSVEuLklRX1JVQV9PUEVSQVRJTkdfTEVBU0VfQUNDVU1fREVQLjIwMDAuLi4uLkgFAAAAAAAAAAgAAAAUKEludmFsaWQgSWRlbnRpZmllcinMqpEQO+/eCMf5TzI7794IKENJUS4uSVFfUlVBX0NBUElUQUxfTEVBU0VfTkVULjIwMDAuLi4uLkgFAAAAAAAAAAgAAAAUKEludmFsaWQgSWRlbnRpZmllcinMqpEQO+/eCAxIUDI7794IJkNJUS4uSVFfRklOX0RJVl9ERUJUX0NVUlJFTlQuOTkwLi4uLi5IBQAAAAAAAAAIAAAAFChJbnZhbGlkIElkZW50aWZpZXIpzKqREDvv3gg4ylQyO+/eCCFDSVEuLklRX0xPQU5TX1JFQ0VJVl9MVC45OTAuLi4uLkgFAAAAAAAAAAgAAAAUKEludmFsaWQgSWRlbnRpZmllcinMqpEQO+/eCBkXVjI7794IIUNJUS4uSVFfTE9BTlNfRk9SX1NBTEUuMjAwMC4uLi4uSAUAAAAAAAAACAAAABQoSW52YWxpZCBJZGVudGlmaWVyKcyqkRA7794I9f9XMjvv3ggVQ0lRLi5J</t>
  </si>
  <si>
    <t>UV9HQUFQX0NGLjIwMDAuBQAAAAAAAAAIAAAAFChJbnZhbGlkIElkZW50aWZpZXIpzKqREDvv3gidrlkyO+/eCCJDSVEuLklRX05FVF9ERUJUX0lTU1VFRC4yMDAwLi4uLi5IBQAAAAAAAAAIAAAAFChJbnZhbGlkIElkZW50aWZpZXIpzKqREDvv3gjaNVsyO+/eCClDSVEuLklRX0NBU0hfSU5URVJFU1RfUkVDRUlWRUQuMjAwMC4uLi4uSAUAAAAAAAAACAAAABQoSW52YWxpZCBJZGVudGlmaWVyKcyqkRA7794IlgddMjvv3gguQ0lRLi5JUV9TQUxFX1BST0NFRURTX1JFTlRBTF9BU1NFVFMuMjAwMC4uLi4uSAUAAAAAAAAACAAAABQoSW52YWxpZCBJZGVudGlmaWVyKcyqkRA7794ICn1dMjvv3ggsQ0lRLi5JUV9UT1RBTF9ERUJUX0VCSVREQV9FWENMX09QRVJfTEVBU0VTLi4FAAAAAAAAAAgAAAAUKEludmFsaWQgSWRlbnRpZmllcilMpbkQO+/eCCKSOzI7794IF0NJUS4uSVFfUkVUVVJOX0VRVUlUWS4uBQAAAAAAAAAIAAAAFChJbnZhbGlkIElkZW50aWZpZXIpS365EDvv3gjtPT8yO+/eCCZDSVEuLklRX1RPVEFMX0RFQlRfRVhDTF9GSU4uMjAwMC4uLi4uSAUAAAAAAAAACAAAABQoSW52YWxpZCBJZGVudGlmaWVyKcyqkRA7794I8jNDMjvv3ggeQ0lRLi5JUV9OVU1CRVJfQURSSE9MREVSUy45OTAuBQAAAAAAAAAIAAAAFChJbnZhbGlkIElkZW50aWZpZXIpzKqREDvv3giobEUyO+/eCDFDSVEuLklRX1RP</t>
  </si>
  <si>
    <t>VEFMX0dFTkVSQUxfUEFSVE5FUl9JTlRFUkVTVC4yMDAwLi4uLi5IBQAAAAAAAAAIAAAAFChJbnZhbGlkIElkZW50aWZpZXIpzKqREDvv3ghnGUgyO+/eCCJDSVEuLklRX01JTk9SSVRZX0lOVF9SRURFRU0uLi4uLi5IBQAAAAAAAAAIAAAAFChJbnZhbGlkIElkZW50aWZpZXIpTKW5EDvv3gj8ZUkyO+/eCBNDSVEuLklRX0xBTkQuLi4uLi5IBQAAAAAAAAAIAAAAFChJbnZhbGlkIElkZW50aWZpZXIpTKW5EDvv3ggds0oyO+/eCClDSVEuLklRX1JVQV9DQVBJVEFMX0xFQVNFX0dST1NTLjk5MC4uLi4uSAUAAAAAAAAACAAAABQoSW52YWxpZCBJZGVudGlmaWVyKcyqkRA7794IJpZQMjvv3gglQ0lRLi5JUV9UT1RBTF9DT01NT05fRVFVSVRZLjk5MC4uLi4uSAUAAAAAAAAACAAAABQoSW52YWxpZCBJZGVudGlmaWVyKcyqkRA7794IaZRRMjvv3ggcQ0lRLi5JUV9UT1RBTF9MSUFCLjk5MC4uLi4uSAUAAAAAAAAACAAAABQoSW52YWxpZCBJZGVudGlmaWVyKcyqkRA7794In/RSMjvv3ggkQ0lRLi5JUV9ERUZfVEFYX0FTU0VUU19MVC4yMDAwLi4uLi5IBQAAAAAAAAAIAAAAFChJbnZhbGlkIElkZW50aWZpZXIpzKqREDvv3gj671UyO+/eCBdDSVEuLklRX0FSX0xULjk5MC4uLi4uSAUAAAAAAAAACAAAABQoSW52YWxpZCBJZGVudGlmaWVyKcyqkRA7794ILmVWMjvv3ggUQ0lRLi5JUV9HVy45OTAuLi4uLkgFAAAA</t>
  </si>
  <si>
    <t>AAAAAAgAAAAUKEludmFsaWQgSWRlbnRpZmllcinMqpEQO+/eCGXaVjI7794IIUNJUS4uSVFfT1RIRVJfQ0FfU1VQUEwuMjAwMC4uLi4uSAUAAAAAAAAACAAAABQoSW52YWxpZCBJZGVudGlmaWVyKcyqkRA7794IqIpXMjvv3ggfQ0lRLi5JUV9UT1RBTF9SRUNFSVYuMjAwMC4uLi4uSAUAAAAAAAAACAAAABQoSW52YWxpZCBJZGVudGlmaWVyKcyqkRA7794IOJxYMjvv3ggeQ0lRLi5JUV9PVEhFUl9SRUNFSVYuOTkwLi4uLi5IBQAAAAAAAAAIAAAAFChJbnZhbGlkIElkZW50aWZpZXIpzKqREDvv3ghL/lgyO+/eCBxDSVEuLklRX1BFUklPRExFTkdUSF9DRi45OTAuBQAAAAAAAAAIAAAAFChJbnZhbGlkIElkZW50aWZpZXIpzKqREDvv3gjw8V4yO+/eCBxDSVEuLklRX0NBU0hfRklOQU4uOTkwLi4uLi5IBQAAAAAAAAAIAAAAFChJbnZhbGlkIElkZW50aWZpZXIpzKqREDvv3ghZjl8yO+/eCCRDSVEuLklRX1RPVEFMX0RJVl9QQUlEX0NGLjIwMDAuLi4uLkgFAAAAAAAAAAgAAAAUKEludmFsaWQgSWRlbnRpZmllcinMqpEQO+/eCHu1XzI7794IHkNJUS4uSVFfUFJFRl9ESVZfQ0YuMjAwMC4uLi4uSAUAAAAAAAAACAAAABQoSW52YWxpZCBJZGVudGlmaWVyKcyqkRA7794IrANgMjvv3ggcQ0lRLi5JUV9DT01NT05fUkVQLjk5MC4uLi4uSAUAAAAAAAAACAAAABQoSW52YWxpZCBJZGVudGlmaWVyKcyqkRA7794I</t>
  </si>
  <si>
    <t>1YxgMjvv3ggoQ0lRLi5JUV9PVEhFUl9JTlZFU1RfQUNUX1NVUFBMLjk5MC4uLi4uSAUAAAAAAAAACAAAABQoSW52YWxpZCBJZGVudGlmaWVyKcyqkRA7794IrONhMjvv3ggXQ0lRLi5JUV9SRVRVUk5fQVNTRVRTLi4FAAAAAAAAAAgAAAAUKEludmFsaWQgSWRlbnRpZmllcilMpbkQO+/eCChlPzI7794IIUNJUS4uSVFfR1JPU1NfSU5UQU5fQVNTRVRTLi4uLi4uSAUAAAAAAAAACAAAABQoSW52YWxpZCBJZGVudGlmaWVyKUyluRA7794INNJBMjvv3ggfQ0lRLi5JUV9PUkRFUl9CQUNLTE9HLjk5MC4uLi4uSAUAAAAAAAAACAAAABQoSW52YWxpZCBJZGVudGlmaWVyKcyqkRA7794I8jNDMjvv3ggcQ0lRLi5JUV9BVkdfVEVNUF9FTVBMT1lFRVMuLgUAAAAAAAAACAAAABQoSW52YWxpZCBJZGVudGlmaWVyKUyluRA7794I65NFMjvv3ggmQ0lRLi5JUV9MSUFCSUxJVElFU19MRVZFTF8xLjIwMDAuLi4uLkgFAAAAAAAAAAgAAAAUKEludmFsaWQgSWRlbnRpZmllcinMqpEQO+/eCMDgRjI7794IIENJUS4uSVFfT1RIRVJfTElBQl9MVC4yMDAwLi4uLi5IBQAAAAAAAAAIAAAAFChJbnZhbGlkIElkZW50aWZpZXIpzKqREDvv3gif9FIyO+/eCBZDSVEuLklRX1NUX0RFQlQuLi4uLi5IBQAAAAAAAAAIAAAAFChJbnZhbGlkIElkZW50aWZpZXIpTKW5EDvv3ghjP1UyO+/eCBtDSVEuLklRX0lOVkVOVE9SWS45OTAuLi4u</t>
  </si>
  <si>
    <t>LkgFAAAAAAAAAAgAAAAUKEludmFsaWQgSWRlbnRpZmllcinMqpEQO+/eCDicWDI7794IIENJUS4uSVFfU1BFQ0lBTF9ESVZfQ0YuOTkwLi4uLi5IBQAAAAAAAAAIAAAAFChJbnZhbGlkIElkZW50aWZpZXIpzKqREDvv3gh7tV8yO+/eCCFDSVEuLklRX0xUX0RFQlRfSVNTVUVELjIwMDAuLi4uLkgFAAAAAAAAAAgAAAAUKEludmFsaWQgSWRlbnRpZmllcinMqpEQO+/eCHJuYTI7794IL0NJUS4uSVFfQ0hBTkdFX09USEVSX05FVF9PUEVSX0FTU0VUUy4yMDAwLi4uLi5IBQAAAAAAAAAIAAAAFChJbnZhbGlkIElkZW50aWZpZXIp5tmREDvv3gie+2IyO+/eCCBDSVEuLklRX0lOQ19FUVVJVFlfQ0YuMjAwMC4uLi4uSAUAAAAAAAAACAAAABQoSW52YWxpZCBJZGVudGlmaWVyKebZkRA7794I5PBkMjvv3ggjQ0lRLi5JUV9TVE9DS19CQVNFRF9DT01QLjIwMDAuLi4uLkgFAAAAAAAAAAgAAAAUKEludmFsaWQgSWRlbnRpZmllcinm2ZEQO+/eCNTIZjI7794IIkNJUS4uSVFfU1RPQ0tfQkFTRURfU0dBLjIwMDAuLi4uLkgFAAAAAAAAAAgAAAAUKEludmFsaWQgSWRlbnRpZmllcinm2ZEQO+/eCOp5aDI7794IIUNJUS4uSVFfU1RPQ0tfQkFTRURfUkQuMjAwMC4uLi4uSAUAAAAAAAAACAAAABQoSW52YWxpZCBJZGVudGlmaWVyKebZkRA7794IFe9oMjvv3gggQ0lRLi5JUV9NRVJHRVJfU1VQUExFLjIwMDAuLi4uLkgF</t>
  </si>
  <si>
    <t>AAAAAAAAAAgAAAAUKEludmFsaWQgSWRlbnRpZmllcinm2ZEQO+/eCEetajI7794IIUNJUS4uSVFfTkVUX1JFTlRBTF9FWFAuMjAwMC4uLi4uSAUAAAAAAAAACAAAABQoSW52YWxpZCBJZGVudGlmaWVyKebZkRA7794IHFxsMjvv3ggUQ0lRLi5JUV9FQklUREFfSU5ULi4FAAAAAAAAAAgAAAAUKEludmFsaWQgSWRlbnRpZmllcilMpbkQO+/eCDgbPDI7794IJ0NJUS4uSVFfREVSSVZBVElWRV9BU1NFVFNfTFQuMjAwMC4uLi4uSAUAAAAAAAAACAAAABQoSW52YWxpZCBJZGVudGlmaWVyKebZkRA7794IDpxBMjvv3gggQ0lRLi5JUV9BVkdfVEVNUF9FTVBMT1lFRVMuMjAwMC4FAAAAAAAAAAgAAAAUKEludmFsaWQgSWRlbnRpZmllcinm2ZEQO+/eCOuTRTI7794IJUNJUS4uSVFfTElBQklMSVRJRVNfTEVWRUxfMi45OTAuLi4uLkgFAAAAAAAAAAgAAAAUKEludmFsaWQgSWRlbnRpZmllcinm2ZEQO+/eCMDgRjI7794INENJUS4uSVFfR0VORVJBTF9QQVJUTkVSX01JTk9SSVRZX0lOVEVSRVNULjIwMDAuLi4uLkgFAAAAAAAAAAgAAAAUKEludmFsaWQgSWRlbnRpZmllcinm2ZEQO+/eCBItSDI7794IGkNJUS4uSVFfQVJfVU5CSUxMRUQuLi4uLi5IBQAAAAAAAAAIAAAAFChJbnZhbGlkIElkZW50aWZpZXIpTKW5EDvv3gimsUsyO+/eCCZDSVEuLklRX0FEX0VYQ0xfT1BFUl9MRUFTRVMuMjAwMC4uLi4uSAUAAAAA</t>
  </si>
  <si>
    <t>AAAACAAAABQoSW52YWxpZCBJZGVudGlmaWVyKebZkRA7794IxJdPMjvv3gglQ0lRLi5JUV9VTkVBUk5fUkVWX0NVUlJFTlQuMjAwMC4uLi4uSAUAAAAAAAAACAAAABQoSW52YWxpZCBJZGVudGlmaWVyKebZkRA7794IeVRUMjvv3ggaQ0lRLi5JUV9DQUxDX1RZUEVfQ0YuMjAwMC4FAAAAAAAAAAgAAAAUKEludmFsaWQgSWRlbnRpZmllcinm2ZEQO+/eCJ2uWTI7794ILUNJUS4uSVFfT1BFUkFUSU5HX0xFQVNFX0xJQUJJTElUSUVTLjk5MC4uLi4uSAUAAAAAAAAACAAAABQoSW52YWxpZCBJZGVudGlmaWVyKebZkRA7794IAa1aMjvv3ggkQ0lRLi5JUV9HUk9TU19JTlRBTl9BU1NFVFMuOTkwLi4uLi5IBQAAAAAAAAAIAAAAFChJbnZhbGlkIElkZW50aWZpZXIp5tmREDvv3gg00kEyO+/eCCBDSVEuLklRX0FTU0VUU19GQUlSX1ZBTFVFLi4uLi4uSAUAAAAAAAAACAAAABQoSW52YWxpZCBJZGVudGlmaWVyKUt+uRA7794IBS9HMjvv3ggwQ0lRLi5JUV9UT1RBTF9HRU5FUkFMX1BBUlRORVJfSU5URVJFU1QuOTkwLi4uLi5IBQAAAAAAAAAIAAAAFChJbnZhbGlkIElkZW50aWZpZXIp5tmREDvv3ggSLUgyO+/eCBdDSVEuLklRX05FVF9ERUJULi4uLi4uSAUAAAAAAAAACAAAABQoSW52YWxpZCBJZGVudGlmaWVyKUyluRA7794I8nRMMjvv3ggjQ0lRLi5JUV9UT1RBTF9PVVRTVEFORElOR19CU19EQVRFLi4FAAAA</t>
  </si>
  <si>
    <t>AAAAAAgAAAAUKEludmFsaWQgSWRlbnRpZmllcilMpbkQO+/eCPj8TTI7794IJ0NJUS4uSVFfTlBQRV9FWENMX09QRVJfTEVBU0VTLjk5MC4uLi4uSAUAAAAAAAAACAAAABQoSW52YWxpZCBJZGVudGlmaWVyKebZkRA7794IxJdPMjvv3ggsQ0lRLi5JUV9SVUFfT1BFUkFUSU5HX0xFQVNFX0dST1NTLjIwMDAuLi4uLkgFAAAAAAAAAAgAAAAUKEludmFsaWQgSWRlbnRpZmllcinm2ZEQO+/eCMwgUDI7794IHkNJUS4uSVFfUFJFRl9DT05WRVJULjk5MC4uLi4uSAUAAAAAAAAACAAAABQoSW52YWxpZCBJZGVudGlmaWVyKebZkRA7794IpZJSMjvv3ggmQ0lRLi5JUV9ERUZfVEFYX0xJQUJfQ1VSUkVOVC45OTAuLi4uLkgFAAAAAAAAAAgAAAAUKEludmFsaWQgSWRlbnRpZmllcinm2ZEQO+/eCHlUVDI7794IJ0NJUS4uSVFfRklOX0RJVl9ERUJUX0NVUlJFTlQuMjAwMC4uLi4uSAUAAAAAAAAACAAAABQoSW52YWxpZCBJZGVudGlmaWVyKebZkRA7794IOMpUMjvv3ggeQ0lRLi5JUV9QUkVQQUlEX0VYUC4yMDAwLi4uLi5IBQAAAAAAAAAIAAAAFChJbnZhbGlkIElkZW50aWZpZXIp5tmREDvv3ggqTlgyO+/eCB5DSVEuLklRX1RPVEFMX1JFQ0VJVi45OTAuLi4uLkgFAAAAAAAAAAgAAAAUKEludmFsaWQgSWRlbnRpZmllcinm2ZEQO+/eCDicWDI7794II0NJUS4uSVFfQ0FTSF9UQVhFU19GSU5BTi4yMDAwLi4uLi5I</t>
  </si>
  <si>
    <t>BQAAAAAAAAAIAAAAFChJbnZhbGlkIElkZW50aWZpZXIp5tmREDvv3gh+Q1wyO+/eCCNDSVEuLklRX1RPVEFMX0RFQlRfUkVQQUlELjk5MC4uLi4uSAUAAAAAAAAACAAAABQoSW52YWxpZCBJZGVudGlmaWVyKebZkRA7794ICeVgMjvv3gggQ0lRLi5JUV9TQUxFX0lOVEFOX0NGLjIwMDAuLi4uLkgFAAAAAAAAAAgAAAAUKEludmFsaWQgSWRlbnRpZmllcinm2ZEQO+/eCFo4YjI7794IHENJUS4uSVFfQ0hBTkdFX0FSLjIwMDAuLi4uLkgFAAAAAAAAAAgAAAAUKEludmFsaWQgSWRlbnRpZmllcinm2ZEQO+/eCIrfYzI7794IJ0NJUS4uSVFfTUlOT1JJVFlfSU5URVJFU1RfQ0YuMjAwMC4uLi4uSAUAAAAAAAAACAAAABQoSW52YWxpZCBJZGVudGlmaWVyKebZkRA7794IeNxlMjvv3ggdQ0lRLi5JUV9PSUxfSU1QQUlSLjIwMDAuLi4uLkgFAAAAAAAAAAgAAAAUKEludmFsaWQgSWRlbnRpZmllcinm2ZEQO+/eCJpRZjI7794IJENJUS4uSVFfU1RPQ0tfQkFTRURfVE9UQUwuMjAwMC4uLi4uSAUAAAAAAAAACAAAABQoSW52YWxpZCBJZGVudGlmaWVyKebZkRA7794IJdpnMjvv3ggmQ0lRLi5JUV9MRUdBTF9TRVRUTEVfU1VQUExFLjIwMDAuLi4uLkgFAAAAAAAAAAgAAAAUKEludmFsaWQgSWRlbnRpZmllcinm2ZEQO+/eCGKyaTI7794IEUNJUS4uSVFfR0FBUF9CUy4uBQAAAAAAAAAIAAAAFChJbnZhbGlkIElkZW50</t>
  </si>
  <si>
    <t>aWZpZXIpS365EDvv3gg0jD8yO+/eCCZDSVEuLklRX0RFUklWQVRJVkVfQVNTRVRTX0xULjk5MC4uLi4uSAUAAAAAAAAACAAAABQoSW52YWxpZCBJZGVudGlmaWVyKebZkRA7794Ii/lBMjvv3gguQ0lRLi5JUV9SRVNUUklDVEVEX0NBU0hfTk9OX0NVUlJFTlQuMjAwMC4uLi4uSAUAAAAAAAAACAAAABQoSW52YWxpZCBJZGVudGlmaWVyKebZkRA7794IFoJDMjvv3ggqQ0lRLi5JUV9HRU5FUkFMX1BBUlRORVJfUFJFRl9FUVVJVFkuLi4uLi5IBQAAAAAAAAAIAAAAFChJbnZhbGlkIElkZW50aWZpZXIpTKW5EDvv3ghTVEgyO+/eCC9DSVEuLklRX1JVQV9PUEVSQVRJTkdfTEVBU0VfQUNDVU1fREVQLjk5MC4uLi4uSAUAAAAAAAAACAAAABQoSW52YWxpZCBJZGVudGlmaWVyKVsDkhA7794IzCBQMjvv3ggiQ0lRLi5JUV9GSU5fRElWX0xJQUJfTFQuMjAwMC4uLi4uSAUAAAAAAAAACAAAABQoSW52YWxpZCBJZGVudGlmaWVyKVsDkhA7794IzWlTMjvv3ggmQ0lRLi5JUV9GSU5fRElWX0xJQUJfQ1VSUkVOVC45OTAuLi4uLkgFAAAAAAAAAAgAAAAUKEludmFsaWQgSWRlbnRpZmllcilbA5IQO+/eCDjKVDI7794IHENJUS4uSVFfVE9UQUxfREVCVF9DQVBJVEFMLi4FAAAAAAAAAAgAAAAUKEludmFsaWQgSWRlbnRpZmllcilLfrkQO+/eCJu3PDI7794IKUNJUS4uSVFfRU1QTE9ZRUVTX1VOREVSX1VOSU9OX0NPTlRS</t>
  </si>
  <si>
    <t>QUNUUy4uBQAAAAAAAAAIAAAAFChJbnZhbGlkIElkZW50aWZpZXIpTKW5EDvv3ggI4kUyO+/eCC9DSVEuLklRX0FTU0VUU19ORVRUSU5HX09USEVSX0FESlVTVE1FTlRTLi4uLi4uSAUAAAAAAAAACAAAABQoSW52YWxpZCBJZGVudGlmaWVyKUyluRA7794IG1ZHMjvv3ggSQ0lRLi5JUV9UQlYuLi4uLi5IBQAAAAAAAAAIAAAAFChJbnZhbGlkIElkZW50aWZpZXIpTKW5EDvv3gjfTE0yO+/eCCdDSVEuLklRX1RPVEFMX09VVFNUQU5ESU5HX0JTX0RBVEUuMjAwMC4FAAAAAAAAAAgAAAAUKEludmFsaWQgSWRlbnRpZmllcilbA5IQO+/eCL3VTTI7794IGUNJUS4uSVFfQ09NTU9OLjIwMDAuLi4uLkgFAAAAAAAAAAgAAAAUKEludmFsaWQgSWRlbnRpZmllcilbA5IQO+/eCEcdUjI7794IIUNJUS4uSVFfRklOX0RJVl9MSUFCX0xULjk5MC4uLi4uSAUAAAAAAAAACAAAABQoSW52YWxpZCBJZGVudGlmaWVyKVsDkhA7794I4ZBTMjvv3ggiQ0lRLi5JUV9MT0FOU19SRUNFSVZfTFQuMjAwMC4uLi4uSAUAAAAAAAAACAAAABQoSW52YWxpZCBJZGVudGlmaWVyKVsDkhA7794IGRdWMjvv3ggUQ0lRLi5JUV9BRC45OTAuLi4uLkgFAAAAAAAAAAgAAAAUKEludmFsaWQgSWRlbnRpZmllcilbA5IQO+/eCIooVzI7794IIUNJUS4uSVFfQ0FTSF9UQVhFU19PUEVSLjk5MC4uLi4uSAUAAAAAAAAACAAAABQoSW52YWxpZCBJZGVu</t>
  </si>
  <si>
    <t>dGlmaWVyKVsDkhA7794IgKVcMjvv3ggnQ0lRLi5JUV9ORUdBVElWRV9HV19BTU9SVF9DRi4yMDAwLi4uLi5IBQAAAAAAAAAIAAAAFChJbnZhbGlkIElkZW50aWZpZXIpWwOSEDvv3gjEzF0yO+/eCChDSVEuLklRX0RFUklWQVRJVkVfVFJBRElOR19BU1NFVFMuLi4uLi5IBQAAAAAAAAAIAAAAFChJbnZhbGlkIElkZW50aWZpZXIpS365EDvv3gjnIEIyO+/eCBpDSVEuLklRX05FVF9ERUJULjk5MC4uLi4uSAUAAAAAAAAACAAAABQoSW52YWxpZCBJZGVudGlmaWVyKVsDkhA7794I8nRMMjvv3ggWQ0lRLi5JUV9UQlYuMjAwMC4uLi4uSAUAAAAAAAAACAAAABQoSW52YWxpZCBJZGVudGlmaWVyKVsDkhA7794I30xNMjvv3ggiQ0lRLi5JUV9PVEhFUl9MVF9BU1NFVFMuMjAwMC4uLi4uSAUAAAAAAAAACAAAABQoSW52YWxpZCBJZGVudGlmaWVyKVsDkhA7794IkrRVMjvv3ggjQ0lRLi5JUV9ERUZfVEFYX0FTU0VUU19MVC45OTAuLi4uLkgFAAAAAAAAAAgAAAAUKEludmFsaWQgSWRlbnRpZmllcilbA5IQO+/eCBkXVjI7794IGUNJUS4uSVFfQ0FTSF9DT05WRVJTSU9OLi4FAAAAAAAAAAgAAAAUKEludmFsaWQgSWRlbnRpZmllcilLfrkQO+/eCLsFPTI7794IIkNJUS4uSVFfSU5URVJDT01QQU5ZX05PTl9DTC4uLi4uLkgFAAAAAAAAAAgAAAAUKEludmFsaWQgSWRlbnRpZmllcilMpbkQO+/eCGgBQDI7794IIkNJ</t>
  </si>
  <si>
    <t>US4uSVFfREVGX1RBWF9MSUFCX0xULjIwMDAuLi4uLkgFAAAAAAAAAAgAAAAUKEludmFsaWQgSWRlbnRpZmllcilbA5IQO+/eCK8bUzI7794IHkNJUS4uSVFfVE9UQUxfQVNTRVRTLjk5MC4uLi4uSAUAAAAAAAAACAAAABQoSW52YWxpZCBJZGVudGlmaWVyKVsDkhA7794IkrRVMjvv3ggpQ0lRLi5JUV9GSU5fRElWX0FTU0VUU19DVVJSRU5ULjIwMDAuLi4uLkgFAAAAAAAAAAgAAAAUKEludmFsaWQgSWRlbnRpZmllcilbA5IQO+/eCPX/VzI7794IFENJUS4uSVFfQVIuOTkwLi4uLi5IBQAAAAAAAAAIAAAAFChJbnZhbGlkIElkZW50aWZpZXIpWwOSEDvv3ghL/lgyO+/eCBRDSVEuLklRX0ZYLjk5MC4uLi4uSAUAAAAAAAAACAAAABQoSW52YWxpZCBJZGVudGlmaWVyKVsDkhA7794INkBfMjvv3ggpQ0lRLi5JUV9PVEhFUl9GSU5BTkNFX0FDVF9TVVBQTC45OTAuLi4uLkgFAAAAAAAAAAgAAAAUKEludmFsaWQgSWRlbnRpZmllcilbA5IQO+/eCFmOXzI7794IHUNJUS4uSVFfUFJFRl9ESVZfQ0YuOTkwLi4uLi5IBQAAAAAAAAAIAAAAFChJbnZhbGlkIElkZW50aWZpZXIpWwOSEDvv3gi8KmAyO+/eCB5DSVEuLklRX1BSRUZfSVNTVUVELjIwMDAuLi4uLkgFAAAAAAAAAAgAAAAUKEludmFsaWQgSWRlbnRpZmllcilbA5IQO+/eCARSYDI7794IHENJUS4uSVFfRElWRVNUX0NGLjIwMDAuLi4uLkgFAAAAAAAAAAgA</t>
  </si>
  <si>
    <t>AAAUKEludmFsaWQgSWRlbnRpZmllcilbA5IQO+/eCGZfYjI7794IIUNJUS4uSVFfT1RIRVJfT1BFUl9BQ1QuMjAwMC4uLi4uSAUAAAAAAAAACAAAABQoSW52YWxpZCBJZGVudGlmaWVyKVsDkhA7794Ily1kMjvv3ggYQ0lRLi5JUV9EQV9DRi4yMDAwLi4uLi5IBQAAAAAAAAAIAAAAFChJbnZhbGlkIElkZW50aWZpZXIpWwOSEDvv3giqKmYyO+/eCCpDSVEuLklRX1JFU1RSX1NUT0NLX0NPTVBfUFJFVEFYLjIwMDAuLi4uLkgFAAAAAAAAAAgAAAAUKEludmFsaWQgSWRlbnRpZmllcilbA5IQO+/eCBWzZzI7794IJENJUS4uSVFfU1RPQ0tfQkFTRURfT1RIRVIuMjAwMC4uLi4uSAUAAAAAAAAACAAAABQoSW52YWxpZCBJZGVudGlmaWVyKVsDkhA7794I3lJoMjvv3ggkQ0lRLi5JUV9NSU5PUklUWV9JTlRFUkVTVC4yMDAwLi4uLi5IBQAAAAAAAAAIAAAAFChJbnZhbGlkIElkZW50aWZpZXIpWwOSEDvv3ggZRlEyO+/eCBdDSVEuLklRX05QUEUuMjAwMC4uLi4uSAUAAAAAAAAACAAAABQoSW52YWxpZCBJZGVudGlmaWVyKZ8qkhA7794IdgFXMjvv3gggQ0lRLi5JUV9VTkxFVkVSRURfRkNGLjIwMDAuLi4uLkgFAAAAAAAAAAgAAAAUKEludmFsaWQgSWRlbnRpZmllcimfKpIQO+/eCCSEWzI7794IK0NJUS4uSVFfQU1PUlRfU09GVFdBUkVfQVNTRVRTX0NGLjIwMDAuLi4uLkgFAAAAAAAAAAgAAAAUKEludmFsaWQg</t>
  </si>
  <si>
    <t>SWRlbnRpZmllcimfKpIQO+/eCAp9XTI7794IJkNJUS4uSVFfREFfU1VQUExfUEFSVElBTF9DRi4yMDAwLi4uLi5IBQAAAAAAAAAIAAAAFChJbnZhbGlkIElkZW50aWZpZXIpnyqSEDvv3gggt14yO+/eCBpDSVEuLklRX1BSRUZfUkVQLjk5MC4uLi4uSAUAAAAAAAAACAAAABQoSW52YWxpZCBJZGVudGlmaWVyKZ8qkhA7794IBFJgMjvv3gghQ0lRLi5JUV9JTlZFU1RfTE9BTlNfQ0YuOTkwLi4uLi5IBQAAAAAAAAAIAAAAFChJbnZhbGlkIElkZW50aWZpZXIpnyqSEDvv3gi2CmIyO+/eCCVDSVEuLklRX1NBTEVfUkVBTF9FU1RBVEVfQ0YuOTkwLi4uLi5IBQAAAAAAAAAIAAAAFChJbnZhbGlkIElkZW50aWZpZXIpnyqSEDvv3ghuhmIyO+/eCCdDSVEuLklRX0NIQU5HRV9UUkFESU5HX0FTU0VUUy45OTAuLi4uLkgFAAAAAAAAAAgAAAAUKEludmFsaWQgSWRlbnRpZmllcimfKpIQO+/eCJctZDI7794IHUNJUS4uSVFfT1RIRVJfQU1PUlQuOTkwLi4uLi5IBQAAAAAAAAAIAAAAFChJbnZhbGlkIElkZW50aWZpZXIpnyqSEDvv3giqKmYyO+/eCBlDSVEuLklRX0dXX05FVC4yMDAwLi4uLi5IBQAAAAAAAAAIAAAAFChJbnZhbGlkIElkZW50aWZpZXIpw1ahEDvv3ghKikAyO+/eCCVDSVEuLklRX0xUX01BUktfU0VDVVJJVElFUy4yMDAwLi4uLi5IBQAAAAAAAAAIAAAAFChJbnZhbGlkIElkZW50aWZpZXIpw1ahEDvv</t>
  </si>
  <si>
    <t>3giX2EAyO+/eCCBDSVEuLklRX09SREVSX0JBQ0tMT0cuMjAwMC4uLi4uSAUAAAAAAAAACAAAABQoSW52YWxpZCBJZGVudGlmaWVyKcNWoRA7794I7AxDMjvv3ggbQ0lRLi5JUV9DT1NUX0JPUlJPV0lORy45OTAuBQAAAAAAAAAIAAAAFChJbnZhbGlkIElkZW50aWZpZXIpw1ahEDvv3ggabkQyO+/eCC1DSVEuLklRX0RFRl9UQVhfVkFMVUFUSU9OX0FMTE9XQU5DRS45OTAuLi4uLkgFAAAAAAAAAAgAAAAUKEludmFsaWQgSWRlbnRpZmllcinDVqEQO+/eCJSiSDI7794IH0NJUS4uSVFfRklOSVNIRURfSU5WLjIwMDAuLi4uLkgFAAAAAAAAAAgAAAAUKEludmFsaWQgSWRlbnRpZmllcinDVqEQO+/eCB2zSjI7794IHkNJUS4uSVFfV09SS0lOR19DQVAuMjAwMC4uLi4uSAUAAAAAAAAACAAAABQoSW52YWxpZCBJZGVudGlmaWVyKcNWoRA7794IwP9LMjvv3ggbQ0lRLi5JUV9UT1RBTF9DQVAuOTkwLi4uLi5IBQAAAAAAAAAIAAAAFChJbnZhbGlkIElkZW50aWZpZXIpw1ahEDvv3gjfTUwyO+/eCCpDSVEuLklRX1RPVEFMX09VVFNUQU5ESU5HX0ZJTElOR19EQVRFLjk5MC4FAAAAAAAAAAgAAAAUKEludmFsaWQgSWRlbnRpZmllcinDVqEQO+/eCPj8TTI7794ILUNJUS4uSVFfVE9UQUxfREVCVF9FWENMX09QRVJfTEVBU0VTLjk5MC4uLi4uSAUAAAAAAAAACAAAABQoSW52YWxpZCBJZGVudGlmaWVyKcNWoRA7794I</t>
  </si>
  <si>
    <t>9V5OMjvv3ggpQ0lRLi5JUV9SVUFfT1BFUkFUSU5HX0xFQVNFX05FVC45OTAuLi4uLkgFAAAAAAAAAAgAAAAUKEludmFsaWQgSWRlbnRpZmllcinDVqEQO+/eCMf5TzI7794IK0NJUS4uSVFfUlVBX09QRVJBVElOR19MRUFTRV9HUk9TUy45OTAuLi4uLkgFAAAAAAAAAAgAAAAUKEludmFsaWQgSWRlbnRpZmllcinDVqEQO+/eCAxIUDI7794IKkNJUS4uSVFfUlVBX0NBUElUQUxfTEVBU0VfR1JPU1MuMjAwMC4uLi4uSAUAAAAAAAAACAAAABQoSW52YWxpZCBJZGVudGlmaWVyKcNWoRA7794IJpZQMjvv3ggZQ0lRLi5JUV9SVUFfTkVULjk5MC4uLi4uSAUAAAAAAAAACAAAABQoSW52YWxpZCBJZGVudGlmaWVyKcNWoRA7794IMr1QMjvv3ggkQ0lRLi5JUV9UT1RBTF9MSUFCX0VRVUlUWS4yMDAwLi4uLi5IBQAAAAAAAAAIAAAAFChJbnZhbGlkIElkZW50aWZpZXIpw1ahEDvv3ghVC1EyO+/eCBdDSVEuLklRX0FQSUMuMjAwMC4uLi4uSAUAAAAAAAAACAAAABQoSW52YWxpZCBJZGVudGlmaWVyKcNWoRA7794IleJRMjvv3ggaQ0lRLi5JUV9TVF9ERUJULjIwMDAuLi4uLkgFAAAAAAAAAAgAAAAUKEludmFsaWQgSWRlbnRpZmllcinDVqEQO+/eCFAYVTI7794II0NJUS4uSVFfRklOX0RJVl9MT0FOU19MVC4yMDAwLi4uLi5IBQAAAAAAAAAIAAAAFChJbnZhbGlkIElkZW50aWZpZXIpw1ahEDvv3gguZVYyO+/eCBpD</t>
  </si>
  <si>
    <t>SVEuLklRX1RPVEFMX0NBLjk5MC4uLi4uSAUAAAAAAAAACAAAABQoSW52YWxpZCBJZGVudGlmaWVyKcNWoRA7794IqIpXMjvv3ggoQ0lRLi5JUV9ERUZfVEFYX0FTU0VUU19DVVJSRU5ULjk5MC4uLi4uSAUAAAAAAAAACAAAABQoSW52YWxpZCBJZGVudGlmaWVyKcNWoRA7794I9f9XMjvv3ggcQ0lRLi5JUV9DQVNIX0VRVUlWLjk5MC4uLi4uSAUAAAAAAAAACAAAABQoSW52YWxpZCBJZGVudGlmaWVyKcNWoRA7794Ina5ZMjvv3ggdQ0lRLi5JUV9NQUlOVF9DQVBFWC45OTAuLi4uLkgFAAAAAAAAAAgAAAAUKEludmFsaWQgSWRlbnRpZmllcinDVqEQO+/eCNo1WzI7794IJENJUS4uSVFfQ0FTSF9JTlRFUkVTVF9PUEVSLjk5MC4uLi4uSAUAAAAAAAAACAAAABQoSW52YWxpZCBJZGVudGlmaWVyKcNWoRA7794IlgddMjvv3ggrQ0lRLi5JUV9HV19JTlRBTl9BTU9SVF9QQVJUSUFMX0NGLjk5MC4uLi4uSAUAAAAAAAAACAAAABQoSW52YWxpZCBJZGVudGlmaWVyKcNWoRA7794IILdeMjvv3ggcQ0lRLi5JUV9ORVRfQ0hBTkdFLjk5MC4uLi4uSAUAAAAAAAAACAAAABQoSW52YWxpZCBJZGVudGlmaWVyKcNWoRA7794IMRlfMjvv3ggbQ0lRLi5JUV9FQklUXzVZUl9BTk5fQ0FHUi4uBQAAAAAAAAAIAAAAFChJbnZhbGlkIElkZW50aWZpZXIpTKW5EDvv3ggxjjgyO+/eCBtDSVEuLklRX0dQXzFZUl9BTk5fR1JPV1RI</t>
  </si>
  <si>
    <t>Li4FAAAAAAAAAAgAAAAUKEludmFsaWQgSWRlbnRpZmllcilLfrkQO+/eCDoeOjI7794IIUNJUS4uSVFfVE9UQUxfREVCVF9FQklUREFfQ0FQRVguLgUAAAAAAAAACAAAABQoSW52YWxpZCBJZGVudGlmaWVyKUt+uRA7794I9Bw7Mjvv3ggaQ0lRLi5JUV9FQklUREFfQ0FQRVhfSU5ULi4FAAAAAAAAAAgAAAAUKEludmFsaWQgSWRlbnRpZmllcilLfrkQO+/eCPTzOzI7794IJENJUS4uSVFfVE9UQUxfTElBQl9UT1RBTF9BU1NFVFMuOTkwLgUAAAAAAAAACAAAABQoSW52YWxpZCBJZGVudGlmaWVyKcNWoRA7794Ie2k8Mjvv3ggbQ0lRLi5JUV9JTlRBTl9ORVQuOTkwLi4uLi5IBQAAAAAAAAAIAAAAFChJbnZhbGlkIElkZW50aWZpZXIpw1ahEDvv3ghKikAyO+/eCCxDSVEuLklRX0RFUklWQVRJVkVfQVNTRVRTX0NVUlJFTlQuMjAwMC4uLi4uSAUAAAAAAAAACAAAABQoSW52YWxpZCBJZGVudGlmaWVyKcNWoRA7794Ii/lBMjvv3ggmQ0lRLi5JUV9TVF9ERUJUX0RFUklWQVRJVkVTLjIwMDAuLi4uLkgFAAAAAAAAAAgAAAAUKEludmFsaWQgSWRlbnRpZmllcinDVqEQO+/eCIW+QjI7794IKENJUS4uSVFfQ09OVElOR0VOVF9MSUFCSUxJVElFUy45OTAuLi4uLkgFAAAAAAAAAAgAAAAUKEludmFsaWQgSWRlbnRpZmllcinDVqEQO+/eCOwMQzI7794IJ0NJUS4uSVFfTEVBU0VIT0xEX0lNUFJPVkVNRU5ULjk5MC4u</t>
  </si>
  <si>
    <t>Li4uSAUAAAAAAAAACAAAABQoSW52YWxpZCBJZGVudGlmaWVyKcNWoRA7794I0aBJMjvv3ggbQ0lRLi5JUV9PVEhFUl9JTlYuOTkwLi4uLi5IBQAAAAAAAAAIAAAAFChJbnZhbGlkIElkZW50aWZpZXIpw1ahEDvv3ggds0oyO+/eCCNDSVEuLklRX0FMTE9XX0RPVUJUX0FDQ1QuMjAwMC4uLi4uSAUAAAAAAAAACAAAABQoSW52YWxpZCBJZGVudGlmaWVyKcNWoRA7794Ir9hLMjvv3gghQ0lRLi5JUV9ORVRfV09SS0lOR19DQVAuOTkwLi4uLi5IBQAAAAAAAAAIAAAAFChJbnZhbGlkIElkZW50aWZpZXIpw1ahEDvv3gjA/0syO+/eCBpDSVEuLklRX0JWX1NIQVJFLjk5MC4uLi4uSAUAAAAAAAAACAAAABQoSW52YWxpZCBJZGVudGlmaWVyKcNWoRA7794IvdVNMjvv3ggeQ0lRLi5JUV9PVEhFUl9FUVVJVFkuOTkwLi4uLi5IBQAAAAAAAAAIAAAAFChJbnZhbGlkIElkZW50aWZpZXIpw1ahEDvv3ghplFEyO+/eCBRDSVEuLklRX1JFLjk5MC4uLi4uSAUAAAAAAAAACAAAABQoSW52YWxpZCBJZGVudGlmaWVyKcNWoRA7794IleJRMjvv3ggeQ0lRLi5JUV9QUkVGX0VRVUlUWS4yMDAwLi4uLi5IBQAAAAAAAAAIAAAAFChJbnZhbGlkIElkZW50aWZpZXIpw1ahEDvv3ghHHVIyO+/eCBxDSVEuLklRX1BSRUZfT1RIRVIuOTkwLi4uLi5IBQAAAAAAAAAIAAAAFChJbnZhbGlkIElkZW50aWZpZXIpw1ahEDvv3gica1IyO+/e</t>
  </si>
  <si>
    <t>CB5DSVEuLklRX1BSRUZfUkVERUVNLjIwMDAuLi4uLkgFAAAAAAAAAAgAAAAUKEludmFsaWQgSWRlbnRpZmllcinDVqEQO+/eCKWSUjI7794II0NJUS4uSVFfQ1VSUkVOVF9QT1JUX0RFQlQuOTkwLi4uLi5IBQAAAAAAAAAIAAAAFChJbnZhbGlkIElkZW50aWZpZXIpw1ahEDvv3ghQGFUyO+/eCCNDSVEuLklRX0ZJTl9ESVZfQVNTRVRTX0xULjk5MC4uLi4uSAUAAAAAAAAACAAAABQoSW52YWxpZCBJZGVudGlmaWVyKcNWoRA7794ILmVWMjvv3ggVQ0lRLi5JUV9HVy4yMDAwLi4uLi5IBQAAAAAAAAAIAAAAFChJbnZhbGlkIElkZW50aWZpZXIpw1ahEDvv3ghYs1YyO+/eCCFDSVEuLklRX1NUX05PVEVfUkVDRUlWLjIwMDAuLi4uLkgFAAAAAAAAAAgAAAAUKEludmFsaWQgSWRlbnRpZmllcinDVqEQO+/eCDicWDI7794INENJUS4uSVFfTE9OR19URVJNX0RFQlRfUkVQQUlEX0VYQ0xfTEVBU0VTLjIwMDAuLi4uLkgFAAAAAAAAAAgAAAAUKEludmFsaWQgSWRlbnRpZmllcinDVqEQO+/eCKteWjI7794IK0NJUS4uSVFfT1BFUkFUSU5HX0xFQVNFX1BBWU1FTlRTLjIwMDAuLi4uLkgFAAAAAAAAAAgAAAAUKEludmFsaWQgSWRlbnRpZmllcinDVqEQO+/eCAvUWjI7794IHUNJUS4uSVFfQ0FTSF9UQVhFUy4yMDAwLi4uLi5IBQAAAAAAAAAIAAAAFChJbnZhbGlkIElkZW50aWZpZXIpw1ahEDvv3giApVwyO+/eCBpD</t>
  </si>
  <si>
    <t>SVEuLklRX0RFUF9SVUEuMjAwMC4uLi4uSAUAAAAAAAAACAAAABQoSW52YWxpZCBJZGVudGlmaWVyKcNWoRA7794I7kFeMjvv3gglQ0lRLi5JUV9DT01NT05fUFJFRl9ESVZfQ0YuMjAwMC4uLi4uSAUAAAAAAAAACAAAABQoSW52YWxpZCBJZGVudGlmaWVyKcNWoRA7794IdtxfMjvv3ggZQ0lRLi5JUV9HUF81WVJfQU5OX0NBR1IuLgUAAAAAAAAACAAAABQoSW52YWxpZCBJZGVudGlmaWVyKUyluRA7794IRLU4Mjvv3gggQ0lRLi5JUV9UT1RBTF9SRVZfNVlSX0FOTl9DQUdSLi4FAAAAAAAAAAgAAAAUKEludmFsaWQgSWRlbnRpZmllcilLfrkQO+/eCFbcODI7794IIkNJUS4uSVFfVE9UQUxfUkVWXzFZUl9BTk5fR1JPV1RILi4FAAAAAAAAAAgAAAAUKEludmFsaWQgSWRlbnRpZmllcilLfrkQO+/eCA9ZOjI7794IGUNJUS4uSVFfTFRfREVCVF9DQVBJVEFMLi4FAAAAAAAAAAgAAAAUKEludmFsaWQgSWRlbnRpZmllcilLfrkQO+/eCImQPDI7794IHENJUS4uSVFfQ0FTSF9DT05WRVJTSU9OLjk5MC4FAAAAAAAAAAgAAAAUKEludmFsaWQgSWRlbnRpZmllcinDVqEQO+/eCLsFPTI7794IG0NJUS4uSVFfREFZU19TQUxFU19PVVQuOTkwLgUAAAAAAAAACAAAABQoSW52YWxpZCBJZGVudGlmaWVyKcNWoRA7794IjHs9Mjvv3ggnQ0lRLi5JUV9SRVNUUklDVEVEX0NBU0hfVE9UQUwuOTkwLi4uLi5IBQAAAAAAAAAI</t>
  </si>
  <si>
    <t>AAAAFChJbnZhbGlkIElkZW50aWZpZXIpw1ahEDvv3ggFW0MyO+/eCBtDSVEuLklRX0JVSUxESU5HUy45OTAuLi4uLkgFAAAAAAAAAAgAAAAUKEludmFsaWQgSWRlbnRpZmllcinDVqEQO+/eCOdkSjI7794IF0NJUS4uSVFfSU5WX01FVEhPRC45OTAuBQAAAAAAAAAIAAAAFChJbnZhbGlkIElkZW50aWZpZXIpw1ahEDvv3ghoiksyO+/eCBpDSVEuLklRX0VQU18zWVJfQU5OX0NBR1IuLgUAAAAAAAAACAAAABQoSW52YWxpZCBJZGVudGlmaWVyKUyluRA7794IVtw4Mjvv3ggqQ0lRLi5JUV9ORVRfREVCVF9FQklUREFfRVhDTF9PUEVSX0xFQVNFUy4uBQAAAAAAAAAIAAAAFChJbnZhbGlkIElkZW50aWZpZXIpTKW5EDvv3ggDRDsyO+/eCBhDSVEuLklRX0xUX0RFQlRfRVFVSVRZLi4FAAAAAAAAAAgAAAAUKEludmFsaWQgSWRlbnRpZmllcilMpbkQO+/eCJu3PDI7794IGkNJUS4uSVFfQ0ZPX0NVUlJFTlRfTElBQi4uBQAAAAAAAAAIAAAAFChJbnZhbGlkIElkZW50aWZpZXIpS365EDvv3gjXoj0yO+/eCBpDSVEuLklRX1JFVFVSTl9FUVVJVFkuOTkwLgUAAAAAAAAACAAAABQoSW52YWxpZCBJZGVudGlmaWVyKcNWoRA7794I5RY/Mjvv3ggmQ0lRLi5JUV9JTlRFUkNPTVBBTllfTk9OX0NBLjIwMDAuLi4uLkgFAAAAAAAAAAgAAAAUKEludmFsaWQgSWRlbnRpZmllcinDVqEQO+/eCHwoQDI7794IK0NJUS4uSVFf</t>
  </si>
  <si>
    <t>QUNDVU1fQU1PUlRfSU5UQU5fQVNTRVRTLjIwMDAuLi4uLkgFAAAAAAAAAAgAAAAUKEludmFsaWQgSWRlbnRpZmllcinDVqEQO+/eCPNNQTI7794IH0NJUS4uSVFfRUJJVF8zWVJfQU5OX0NBR1IuMjAwMC4FAAAAAAAAAAgAAAAUKEludmFsaWQgSWRlbnRpZmllcinCfaEQO+/eCNEMOTI7794IHkNJUS4uSVFfR1BfMVlSX0FOTl9HUk9XVEguOTkwLgUAAAAAAAAACAAAABQoSW52YWxpZCBJZGVudGlmaWVyKcJ9oRA7794IOh46Mjvv3ggSQ0lRLi5JUV9BUl9UVVJOUy4uBQAAAAAAAAAIAAAAFChJbnZhbGlkIElkZW50aWZpZXIpTKW5EDvv3gjGBD4yO+/eCBlDSVEuLklRX05JXzNZUl9BTk5fQ0FHUi4uBQAAAAAAAAAIAAAAFChJbnZhbGlkIElkZW50aWZpZXIpTKW5EDvv3gjRDDkyO+/eCC5DSVEuLklRX05FVF9ERUJUX0VCSVREQV9FWENMX09QRVJfTEVBU0VTLjIwMDAuBQAAAAAAAAAIAAAAFChJbnZhbGlkIElkZW50aWZpZXIpwn2hEDvv3ggDRDsyO+/eCCVDSVEuLklRX0VCSVREQV9FWENMX09QRVJfTEVBU0VTX0lOVC4uBQAAAAAAAAAIAAAAFChJbnZhbGlkIElkZW50aWZpZXIpS365EDvv3gg4GzwyO+/eCBxDSVEuLklRX0xUX0RFQlRfRVFVSVRZLjIwMDAuBQAAAAAAAAAIAAAAFChJbnZhbGlkIElkZW50aWZpZXIpwn2hEDvv3giJkDwyO+/eCBpDSVEuLklRX0RBWVNfUEFZQUJMRV9PVVQuLgUAAAAA</t>
  </si>
  <si>
    <t>AAAACAAAABQoSW52YWxpZCBJZGVudGlmaWVyKUyluRA7794Iziw9Mjvv3ggpQ0lRLi5JUV9ERVJJVkFUSVZFX0xJQUJfQ1VSUkVOVC45OTAuLi4uLkgFAAAAAAAAAAgAAAAUKEludmFsaWQgSWRlbnRpZmllcinCfaEQO+/eCBpvQjI7794IIUNJUS4uSVFfRklOX0RJVl9DQVNIX0VRVUlWLi4uLi4uSAUAAAAAAAAACAAAABQoSW52YWxpZCBJZGVudGlmaWVyKUyluRA7794IngpFMjvv3ggZQ0lRLi5JUV9SQVdfSU5WLjk5MC4uLi4uSAUAAAAAAAAACAAAABQoSW52YWxpZCBJZGVudGlmaWVyKcJ9oRA7794I8DtLMjvv3ggcQ0lRLi5JUV9UT1RBTF9DQVAuMjAwMC4uLi4uSAUAAAAAAAAACAAAABQoSW52YWxpZCBJZGVudGlmaWVyKcJ9oRA7794I0iZMMjvv3ggpQ0lRLi5JUV9NSU5PUklUWV9JTlRFUkVTVF9UT1RBTC45OTAuLi4uLkgFAAAAAAAAAAgAAAAUKEludmFsaWQgSWRlbnRpZmllcinCfaEQO+/eCPJ0TDI7794IKENJUS4uSVFfVE9UQUxfREVCVF9OT05fQ1VSUkVOVC45OTAuLi4uLkgFAAAAAAAAAAgAAAAUKEludmFsaWQgSWRlbnRpZmllcinCfaEQO+/eCK7DTDI7794IM0NJUS4uSVFfTFRfUE9SVElPTl9PUEVSX0xFQVNFX0xJQUJJTElUSUVTLjk5MC4uLi4uSAUAAAAAAAAACAAAABQoSW52YWxpZCBJZGVudGlmaWVyKcJ9oRA7794IhftOMjvv3ggrQ0lRLi5JUV9GSU5BTkNFX0xFQVNFU19MT05H</t>
  </si>
  <si>
    <t>X1RFUk0uMjAwMC4uLi4uSAUAAAAAAAAACAAAABQoSW52YWxpZCBJZGVudGlmaWVyKcJ9oRA7794IqElPMjvv3ggdQ0lRLi5JUV9FQklUREFfM1lSX0FOTl9DQUdSLi4FAAAAAAAAAAgAAAAUKEludmFsaWQgSWRlbnRpZmllcilLfrkQO+/eCOpaOTI7794IEUNJUS4uSVFfWl9TQ09SRS4uBQAAAAAAAAAIAAAAFChJbnZhbGlkIElkZW50aWZpZXIpS365EDvv3ghfgDoyO+/eCBxDSVEuLklRX0xUX0RFQlRfQ0FQSVRBTC45OTAuBQAAAAAAAAAIAAAAFChJbnZhbGlkIElkZW50aWZpZXIpwn2hEDvv3giJkDwyO+/eCBVDSVEuLklRX1FVSUNLX1JBVElPLi4FAAAAAAAAAAgAAAAUKEludmFsaWQgSWRlbnRpZmllcilLfrkQO+/eCNeiPTI7794IGENJUS4uSVFfUkVUVVJOX0NBUElUQUwuLgUAAAAAAAAACAAAABQoSW52YWxpZCBJZGVudGlmaWVyKUt+uRA7794I7T0/Mjvv3ggYQ0lRLi5JUV9HV19ORVQuOTkwLi4uLi5IBQAAAAAAAAAIAAAAFChJbnZhbGlkIElkZW50aWZpZXIpwn2hEDvv3ghKikAyO+/eCCxDSVEuLklRX0RFUklWQVRJVkVfVFJBRElOR19BU1NFVFMuMjAwMC4uLi4uSAUAAAAAAAAACAAAABQoSW52YWxpZCBJZGVudGlmaWVyKcJ9oRA7794I5yBCMjvv3ggqQ0lRLi5JUV9SRVNUUklDVEVEX0NBU0hfTk9OX0NVUlJFTlQuLi4uLi5IBQAAAAAAAAAIAAAAFChJbnZhbGlkIElkZW50aWZpZXIpS365</t>
  </si>
  <si>
    <t>EDvv3gj+RkQyO+/eCB1DSVEuLklRX0VCSVREQV9DQVBFWF9JTlQuOTkwLgUAAAAAAAAACAAAABQoSW52YWxpZCBJZGVudGlmaWVyKcJ9oRA7794I9PM7Mjvv3ggdQ0lRLi5JUV9DRk9fQ1VSUkVOVF9MSUFCLjk5MC4FAAAAAAAAAAgAAAAUKEludmFsaWQgSWRlbnRpZmllcinCfaEQO+/eCNeiPTI7794IGkNJUS4uSVFfQ0FQRVhfUENUX1JFVi45OTAuBQAAAAAAAAAIAAAAFChJbnZhbGlkIElkZW50aWZpZXIpwn2hEDvv3gj5eT4yO+/eCCJDSVEuLklRX0lOVEVSQ09NUEFOWV9DQS4yMDAwLi4uLi5IBQAAAAAAAAAIAAAAFChJbnZhbGlkIElkZW50aWZpZXIpwn2hEDvv3gh8KEAyO+/eCBZDSVEuLklRX0NJUC4yMDAwLi4uLi5IBQAAAAAAAAAIAAAAFChJbnZhbGlkIElkZW50aWZpZXIpwn2hEDvv3ggryEkyO+/eCCJDSVEuLklRX0FMTE9XX0RPVUJUX0FDQ1QuOTkwLi4uLi5IBQAAAAAAAAAIAAAAFChJbnZhbGlkIElkZW50aWZpZXIpwn2hEDvv3giv2EsyO+/eCB9DSVEuLklRX1JVQV9BQ0NVTV9ERVAuOTkwLi4uLi5IBQAAAAAAAAAIAAAAFChJbnZhbGlkIElkZW50aWZpZXIpwn2hEDvv3ghE5FAyO+/eCB9DSVEuLklRX1RPVEFMX0VRVUlUWS4yMDAwLi4uLi5IBQAAAAAAAAAIAAAAFChJbnZhbGlkIElkZW50aWZpZXIpwn2hEDvv3ghVC1EyO+/eCCZDSVEuLklRX1RPVEFMX0NPTU1PTl9FUVVJVFkuMjAw</t>
  </si>
  <si>
    <t>MC4uLi4uSAUAAAAAAAAACAAAABQoSW52YWxpZCBJZGVudGlmaWVyKcJ9oRA7794IW21RMjvv3ggbQ0lRLi5JUV9UUkVBU1VSWS4yMDAwLi4uLi5IBQAAAAAAAAAIAAAAFChJbnZhbGlkIElkZW50aWZpZXIpwn2hEDvv3gh3u1EyO+/eCB1DSVEuLklRX1BSRUZfRVFVSVRZLjk5MC4uLi4uSAUAAAAAAAAACAAAABQoSW52YWxpZCBJZGVudGlmaWVyKcJ9oRA7794IhERSMjvv3ggiQ0lRLi5JUV9QUkVGX05PTl9SRURFRU0uMjAwMC4uLi4uSAUAAAAAAAAACAAAABQoSW52YWxpZCBJZGVudGlmaWVyKcJ9oRA7794IpZJSMjvv3ggmQ0lRLi5JUV9DVVJSRU5UX1BPUlRfTEVBU0VTLjIwMDAuLi4uLkgFAAAAAAAAAAgAAAAUKEludmFsaWQgSWRlbnRpZmllcinCfaEQO+/eCEHxVDI7794IIENJUS4uSVFfTE9BTlNfRk9SX1NBTEUuOTkwLi4uLi5IBQAAAAAAAAAIAAAAFChJbnZhbGlkIElkZW50aWZpZXIpwn2hEDvv3gj1/1cyO+/eCBRDSVEuLklRX0dBQVBfQ0YuOTkwLgUAAAAAAAAACAAAABQoSW52YWxpZCBJZGVudGlmaWVyKcJ9oRA7794Ina5ZMjvv3gghQ0lRLi5JUV9ORVRfREVCVF9JU1NVRUQuOTkwLi4uLi5IBQAAAAAAAAAIAAAAFChJbnZhbGlkIElkZW50aWZpZXIpwn2hEDvv3ggVXVsyO+/eCB1DSVEuLklRX0xFVkVSRURfRkNGLjk5MC4uLi4uSAUAAAAAAAAACAAAABQoSW52YWxpZCBJZGVudGlmaWVy</t>
  </si>
  <si>
    <t>KcJ9oRA7794IM6tbMjvv3ggtQ0lRLi5JUV9TQUxFX1BST0NFRURTX1JFTlRBTF9BU1NFVFMuOTkwLi4uLi5IBQAAAAAAAAAIAAAAFChJbnZhbGlkIElkZW50aWZpZXIpwn2hEDvv3giopV0yO+/eCCBDSVEuLklRX01JU0NfQURKVVNUX0NGLjk5MC4uLi4uSAUAAAAAAAAACAAAABQoSW52YWxpZCBJZGVudGlmaWVyKcJ9oRA7794INkBfMjvv3ggZQ0lRLi5JUV9ORVRfREVCVF9FQklUREEuLgUAAAAAAAAACAAAABQoSW52YWxpZCBJZGVudGlmaWVyKUt+uRA7794IFWs7Mjvv3ggZQ0lRLi5JUV9HUF8zWVJfQU5OX0NBR1IuLgUAAAAAAAAACAAAABQoSW52YWxpZCBJZGVudGlmaWVyKUyluRA7794I+4E5Mjvv3ggcQ0lRLi5JUV9ORVRfREVCVF9FQklUREEuOTkwLgUAAAAAAAAACAAAABQoSW52YWxpZCBJZGVudGlmaWVyKcJ9oRA7794IFWs7Mjvv3ggmQ0lRLi5JUV9JTlRFUkNPTVBBTllfTk9OX0NMLjIwMDAuLi4uLkgFAAAAAAAAAAgAAAAUKEludmFsaWQgSWRlbnRpZmllcinCfaEQO+/eCFXaPzI7794ILUNJUS4uSVFfRklOX0RJVl9NSU5PUklUWV9JTlRfUkVERUVNLjk5MC4uLi4uSAUAAAAAAAAACAAAABQoSW52YWxpZCBJZGVudGlmaWVyKcJ9oRA7794I/GVJMjvv3ggXQ0lRLi5JUV9MQU5ELjIwMDAuLi4uLkgFAAAAAAAAAAgAAAAUKEludmFsaWQgSWRlbnRpZmllcinCfaEQO+/eCPuLSjI7794IJUNJ</t>
  </si>
  <si>
    <t>US4uSVFfVEJWX1NIQVJFX1JFUE9SVEVELjIwMDAuLi4uLkgFAAAAAAAAAAgAAAAUKEludmFsaWQgSWRlbnRpZmllcinCfaEQO+/eCN9MTTI7794IG0NJUS4uSVFfVEJWX1NIQVJFLjk5MC4uLi4uSAUAAAAAAAAACAAAABQoSW52YWxpZCBJZGVudGlmaWVyKcJ9oRA7794IBZtNMjvv3ggfQ0lRLi5JUV9PVEhFUl9MSUFCX0xULjk5MC4uLi4uSAUAAAAAAAAACAAAABQoSW52YWxpZCBJZGVudGlmaWVyKcJ9oRA7794IrxtTMjvv3ggZQ0lRLi5JUV9QRU5TSU9OLjk5MC4uLi4uSAUAAAAAAAAACAAAABQoSW52YWxpZCBJZGVudGlmaWVyKcJ9oRA7794IzWlTMjvv3gggQ0lRLi5JUV9UT1RBTF9SRVZfM1lSX0FOTl9DQUdSLi4FAAAAAAAAAAgAAAAUKEludmFsaWQgSWRlbnRpZmllcilMpbkQO+/eCPuBOTI7794IIUNJUS4uSVFfVE9UQUxfUkVWX0VNUExPWUVFLi4uLi4uSAUAAAAAAAAACAAAABQoSW52YWxpZCBJZGVudGlmaWVyKUyluRA7794Ip6c6Mjvv3ggYQ0lRLi5JUV9RVUlDS19SQVRJTy45OTAuBQAAAAAAAAAIAAAAFChJbnZhbGlkIElkZW50aWZpZXIpwn2hEDvv3gjXoj0yO+/eCBVDSVEuLklRX0FSX1RVUk5TLjk5MC4FAAAAAAAAAAgAAAAUKEludmFsaWQgSWRlbnRpZmllcinCfaEQO+/eCMYEPjI7794IGkNJUS4uSVFfQ0FMQ19UWVBFX0JTLjIwMDAuBQAAAAAAAAAIAAAAFChJbnZhbGlkIElkZW50</t>
  </si>
  <si>
    <t>aWZpZXIpwn2hEDvv3gg0jD8yO+/eCCRDSVEuLklRX0xUX01BUktfU0VDVVJJVElFUy45OTAuLi4uLkgFAAAAAAAAAAgAAAAUKEludmFsaWQgSWRlbnRpZmllcinCfaEQO+/eCM3/QDI7794IJ0NJUS4uSVFfV0FSUkFOVFlfTElBQklMSVRJRVMuMjAwMC4uLi4uSAUAAAAAAAAACAAAABQoSW52YWxpZCBJZGVudGlmaWVyKcJ9oRA7794I3+VCMjvv3ggoQ0lRLi5JUV9GSU5fRElWX0xUX0RFQlRfVE9UQUwuMjAwMC4uLi4uSAUAAAAAAAAACAAAABQoSW52YWxpZCBJZGVudGlmaWVyKcJ9oRA7794I5DFFMjvv3ggdQ0lRLi5JUV9UT1RBTF9FTVBMT1lFRVMuMjAwMC4FAAAAAAAAAAgAAAAUKEludmFsaWQgSWRlbnRpZmllcinCfaEQO+/eCAjiRTI7794IOENJUS4uSVFfTElBQklMSVRJRVNfTkVUVElOR19PVEhFUl9BREpVU1RNRU5UUy4yMDAwLi4uLi5IBQAAAAAAAAAIAAAAFChJbnZhbGlkIElkZW50aWZpZXIpwn2hEDvv3gg6kkYyO+/eCDNDSVEuLklRX0FTU0VUU19ORVRUSU5HX09USEVSX0FESlVTVE1FTlRTLjIwMDAuLi4uLkgFAAAAAAAAAAgAAAAUKEludmFsaWQgSWRlbnRpZmllcinCfaEQO+/eCAUvRzI7794IHENJUS4uSVFfQ0FTSF9TSEFSRS45OTAuLi4uLkgFAAAAAAAAAAgAAAAUKEludmFsaWQgSWRlbnRpZmllcinCfaEQO+/eCPgRTTI7794IFUNJUS4uSVFfVEJWLjk5MC4uLi4uSAUAAAAAAAAA</t>
  </si>
  <si>
    <t>CAAAABQoSW52YWxpZCBJZGVudGlmaWVyKcJ9oRA7794I30xNMjvv3ggwQ0lRLi5JUV9ORVRfREVCVF9FQklUREFfRVhDTF9PUEVSX0xFQVNFU19DQVBFWC4uBQAAAAAAAAAIAAAAFChJbnZhbGlkIElkZW50aWZpZXIpTKW5EDvv3girzjoyO+/eCBRDSVEuLklRX0dBQVBfQlMuOTkwLgUAAAAAAAAACAAAABQoSW52YWxpZCBJZGVudGlmaWVyKdCkoRA7794INIw/Mjvv3ggfQ0lRLi5JUV9HV19JTlRBTl9ORVQuMjAwMC4uLi4uSAUAAAAAAAAACAAAABQoSW52YWxpZCBJZGVudGlmaWVyKdCkoRA7794Il7FAMjvv3ggrQ0lRLi5JUV9ERVJJVkFUSVZFX1RSQURJTkdfQVNTRVRTLjk5MC4uLi4uSAUAAAAAAAAACAAAABQoSW52YWxpZCBJZGVudGlmaWVyKdCkoRA7794I5yBCMjvv3gglQ0lRLi5JUV9ERUJUX0VRVUlWX05FVF9QQk8uMjAwMC4uLi4uSAUAAAAAAAAACAAAABQoSW52YWxpZCBJZGVudGlmaWVyKdCkoRA7794IJJVEMjvv3ggnQ0lRLi5JUV9GSU5fRElWX1NUX0RFQlRfVE9UQUwuOTkwLi4uLi5IBQAAAAAAAAAIAAAAFChJbnZhbGlkIElkZW50aWZpZXIp0KShEDvv3gjkMUUyO+/eCCxDSVEuLklRX0VNUExPWUVFU19VTkRFUl9VTklPTl9DT05UUkFDVFMuOTkwLgUAAAAAAAAACAAAABQoSW52YWxpZCBJZGVudGlmaWVyKdCkoRA7794ICOJFMjvv3ggoQ0lRLi5JUV9MSUFCSUxJVElFU19GQUlSX1ZB</t>
  </si>
  <si>
    <t>TFVFLjk5MC4uLi4uSAUAAAAAAAAACAAAABQoSW52YWxpZCBJZGVudGlmaWVyKdCkoRA7794IOpJGMjvv3ggcQ0lRLi5JUV9NQUNISU5FUlkuMjAwMC4uLi4uSAUAAAAAAAAACAAAABQoSW52YWxpZCBJZGVudGlmaWVyKdCkoRA7794I3z1KMjvv3ggYQ0lRLi5JUV9MSUZPUi4yMDAwLi4uLi5IBQAAAAAAAAAIAAAAFChJbnZhbGlkIElkZW50aWZpZXIp0KShEDvv3gjwO0syO+/eCB9DSVEuLklRX0VQU18xWVJfQU5OX0dST1dUSC45OTAuBQAAAAAAAAAIAAAAFChJbnZhbGlkIElkZW50aWZpZXIp0KShEDvv3ggKqTkyO+/eCCNDSVEuLklRX05FVF9ERUJUX0VCSVREQV9DQVBFWC4yMDAwLgUAAAAAAAAACAAAABQoSW52YWxpZCBJZGVudGlmaWVyKdCkoRA7794Iq846Mjvv3gggQ0lRLi5JUV9BQ0NVTV9BTU9SVF9HVy45OTAuLi4uLkgFAAAAAAAAAAgAAAAUKEludmFsaWQgSWRlbnRpZmllcinQpKEQO+/eCOAmQTI7794IHENJUS4uSVFfQ09TVF9CT1JST1dJTkcuMjAwMC4FAAAAAAAAAAgAAAAUKEludmFsaWQgSWRlbnRpZmllcinQpKEQO+/eCN+qQzI7794IJUNJUS4uSVFfRklOX0RJVl9ERUJUX1RPVEFMLjIwMDAuLi4uLkgFAAAAAAAAAAgAAAAUKEludmFsaWQgSWRlbnRpZmllcinQpKEQO+/eCN7PRDI7794IG0NJUS4uSVFfQVZHX0VNUExPWUVFUy4yMDAwLgUAAAAAAAAACAAAABQoSW52YWxpZCBJZGVu</t>
  </si>
  <si>
    <t>dGlmaWVyKdCkoRA7794I65NFMjvv3ggWQ0lRLi5JUV9GVUxMX1RJTUUuOTkwLgUAAAAAAAAACAAAABQoSW52YWxpZCBJZGVudGlmaWVyKdCkoRA7794Id1dGMjvv3gguQ0lRLi5JUV9ERUZfVEFYX1ZBTFVBVElPTl9BTExPV0FOQ0UuMjAwMC4uLi4uSAUAAAAAAAAACAAAABQoSW52YWxpZCBJZGVudGlmaWVyKdCkoRA7794IXntIMjvv3ggoQ0lRLi5JUV9MRUFTRUhPTERfSU1QUk9WRU1FTlQuMjAwMC4uLi4uSAUAAAAAAAAACAAAABQoSW52YWxpZCBJZGVudGlmaWVyKdCkoRA7794I/GVJMjvv3ggbQ0lRLi5JUV9OSV8xWVJfQU5OX0dST1dUSC4uBQAAAAAAAAAIAAAAFChJbnZhbGlkIElkZW50aWZpZXIpTKW5EDvv3ggZ0DkyO+/eCDNDSVEuLklRX05FVF9ERUJUX0VCSVREQV9FWENMX09QRVJfTEVBU0VTX0NBUEVYLjk5MC4FAAAAAAAAAAgAAAAUKEludmFsaWQgSWRlbnRpZmllcinQpKEQO+/eCKvOOjI7794IHkNJUS4uSVFfRklYRURfQVNTRVRfVFVSTlMuOTkwLgUAAAAAAAAACAAAABQoSW52YWxpZCBJZGVudGlmaWVyKdCkoRA7794I3ys+Mjvv3ggcQ0lRLi5JUV9SRVNUQVRFTUVOVF9CUy4yMDAwLgUAAAAAAAAACAAAABQoSW52YWxpZCBJZGVudGlmaWVyKdCkoRA7794INIw/Mjvv3ggtQ0lRLi5JUV9SRVNUUklDVEVEX0NBU0hfTk9OX0NVUlJFTlQuOTkwLi4uLi5IBQAAAAAAAAAIAAAAFChJbnZh</t>
  </si>
  <si>
    <t>bGlkIElkZW50aWZpZXIp0KShEDvv3gj+RkQyO+/eCCRDSVEuLklRX0ZJTl9ESVZfQ0FTSF9FUVVJVi45OTAuLi4uLkgFAAAAAAAAAAgAAAAUKEludmFsaWQgSWRlbnRpZmllcinQpKEQO+/eCJ4KRTI7794IH0NJUS4uSVFfQVZHX1RFTVBfRU1QTE9ZRUVTLjk5MC4FAAAAAAAAAAgAAAAUKEludmFsaWQgSWRlbnRpZmllcinQpKEQO+/eCOuTRTI7794INkNJUS4uSVFfTElRVUlEQVRJT05fVkFMVUVfUFJFRkVSUkVEX0NPTlZFUlQuMjAwMC4uLi4uSAUAAAAAAAAACAAAABQoSW52YWxpZCBJZGVudGlmaWVyKdCkoRA7794IVfJHMjvv3ggvQ0lRLi5JUV9HRU5FUkFMX1BBUlRORVJfQ09NTU9OX0VRVUlUWS45OTAuLi4uLkgFAAAAAAAAAAgAAAAUKEludmFsaWQgSWRlbnRpZmllcinQpKEQO+/eCF57SDI7794IJUNJUS4uSVFfTUlOT1JJVFlfSU5UX1JFREVFTS45OTAuLi4uLkgFAAAAAAAAAAgAAAAUKEludmFsaWQgSWRlbnRpZmllcinQpKEQO+/eCPxlSTI7794IG0NJUS4uSVFfQlZfU0hBUkUuMjAwMC4uLi4uSAUAAAAAAAAACAAAABQoSW52YWxpZCBJZGVudGlmaWVyKdCkoRA7794IEsJNMjvv3ggmQ0lRLi5JUV9UT1RBTF9PVVRTVEFORElOR19CU19EQVRFLjk5MC4FAAAAAAAAAAgAAAAUKEludmFsaWQgSWRlbnRpZmllcinQpKEQO+/eCPj8TTI7794IGUNJUS4uSVFfQ0FMQ19UWVBFX0JTLjk5MC4FAAAA</t>
  </si>
  <si>
    <t>AAAAAAgAAAAUKEludmFsaWQgSWRlbnRpZmllcinQpKEQO+/eCEuzPzI7794IKENJUS4uSVFfQURWQU5DRVNfRk9SX1NVUFBMSUVTLjIwMDAuLi4uLkgFAAAAAAAAAAgAAAAUKEludmFsaWQgSWRlbnRpZmllcinQpKEQO+/eCJfYQDI7794IMENJUS4uSVFfQ1VSUkVOVF9QT1JUX0RFQlRfREVSSVZBVElWRVMuMjAwMC4uLi4uSAUAAAAAAAAACAAAABQoSW52YWxpZCBJZGVudGlmaWVyKdCkoRA7794I+alCMjvv3ggXQ0lRLi5JUV9QQVJUX1RJTUUuMjAwMC4FAAAAAAAAAAgAAAAUKEludmFsaWQgSWRlbnRpZmllcinQpKEQO+/eCE8JRjI7794IJkNJUS4uSVFfTElBQklMSVRJRVNfTEVWRUxfMy4yMDAwLi4uLi5IBQAAAAAAAAAIAAAAFChJbnZhbGlkIElkZW50aWZpZXIp0KShEDvv3gg6kkYyO+/eCCFDSVEuLklRX0FTU0VUU19MRVZFTF8zLjIwMDAuLi4uLkgFAAAAAAAAAAgAAAAUKEludmFsaWQgSWRlbnRpZmllcinQpKEQO+/eCBtWRzI7794IOENJUS4uSVFfTElRVUlEQVRJT05fVkFMVUVfUFJFRkVSUkVEX05PTl9SRURFRU0uOTkwLi4uLi5IBQAAAAAAAAAIAAAAFChJbnZhbGlkIElkZW50aWZpZXIp0KShEDvv3ghV8kcyO+/eCCBDSVEuLklRX0VRVUlUWV9NRVRIT0QuMjAwMC4uLi4uSAUAAAAAAAAACAAAABQoSW52YWxpZCBJZGVudGlmaWVyKdCkoRA7794IprFLMjvv3ggcQ0lRLi5JUV9UQlZfU0hB</t>
  </si>
  <si>
    <t>UkUuMjAwMC4uLi4uSAUAAAAAAAAACAAAABQoSW52YWxpZCBJZGVudGlmaWVyKdCkoRA7794I73NNMjvv3ggjQ0lRLi5JUV9CVl9TSEFSRV9SRVBPUlRFRC45OTAuLi4uLkgFAAAAAAAAAAgAAAAUKEludmFsaWQgSWRlbnRpZmllcinQpKEQO+/eCBLCTTI7794IFkNJUS4uSVFfQVBJQy45OTAuLi4uLkgFAAAAAAAAAAgAAAAUKEludmFsaWQgSWRlbnRpZmllcinQpKEQO+/eCEcdUjI7794IH0NJUS4uSVFfVU5FQVJOX1JFVl9MVC45OTAuLi4uLkgFAAAAAAAAAAgAAAAUKEludmFsaWQgSWRlbnRpZmllcinQpKEQO+/eCM1pUzI7794II0NJUS4uSVFfTE9OR19URVJNX0xFQVNFUy4yMDAwLi4uLi5IBQAAAAAAAAAIAAAAFChJbnZhbGlkIElkZW50aWZpZXIp0KShEDvv3gjwt1MyO+/eCBlDSVEuLklRX1NUX0RFQlQuOTkwLi4uLi5IBQAAAAAAAAAIAAAAFChJbnZhbGlkIElkZW50aWZpZXIp0KShEDvv3ghjP1UyO+/eCCJDSVEuLklRX0ZJTl9ESVZfTE9BTlNfTFQuOTkwLi4uLi5IBQAAAAAAAAAIAAAAFChJbnZhbGlkIElkZW50aWZpZXIp0KShEDvv3ghYs1YyO+/eCCJDSVEuLklRX1JFU1RSSUNURURfQ0FTSC4yMDAwLi4uLi5IBQAAAAAAAAAIAAAAFChJbnZhbGlkIElkZW50aWZpZXIp0KShEDvv3gitsVcyO+/eCBxDSVEuLklRX1NUX0lOVkVTVC4yMDAwLi4uLi5IBQAAAAAAAAAIAAAAFChJbnZhbGlkIElk</t>
  </si>
  <si>
    <t>ZW50aWZpZXIp0KShEDvv3ghrTFkyO+/eCB9DSVEuLklRX0RPX0lOVkVTVF9DRi4yMDAwLi4uLi5IBQAAAAAAAAAIAAAAFChJbnZhbGlkIElkZW50aWZpZXIp0KShEDvv3ggb+1oyO+/eCBtDSVEuLklRX0NGX1NIQVJFLjIwMDAuLi4uLkgFAAAAAAAAAAgAAAAUKEludmFsaWQgSWRlbnRpZmllcinQpKEQO+/eCBVdWzI7794IJENJUS4uSVFfQ0FTSF9JTlRFUkVTVF9ORVQuMjAwMC4uLi4uSAUAAAAAAAAACAAAABQoSW52YWxpZCBJZGVudGlmaWVyKdCkoRA7794IAi9dMjvv3ggeQ0lRLi5JUV9OSV8xWVJfQU5OX0dST1dUSC45OTAuBQAAAAAAAAAIAAAAFChJbnZhbGlkIElkZW50aWZpZXIp0KShEDvv3ggZ0DkyO+/eCB9DSVEuLklRX05FVF9ERUJUX0VCSVREQV9DQVBFWC4uBQAAAAAAAAAIAAAAFChJbnZhbGlkIElkZW50aWZpZXIpS365EDvv3ggm9joyO+/eCB9DSVEuLklRX1RPVEFMX0RFQlRfRVFVSVRZLjIwMDAuBQAAAAAAAAAIAAAAFChJbnZhbGlkIElkZW50aWZpZXIp0KShEDvv3giu3jwyO+/eCC5DSVEuLklRX0RFUklWQVRJVkVfTElBQl9OT05fQ1VSUkVOVC4yMDAwLi4uLi5IBQAAAAAAAAAIAAAAFChJbnZhbGlkIElkZW50aWZpZXIp0KShEDvv3gj/R0IyO+/eCCVDSVEuLklRX0xUX0RFQlRfREVSSVZBVElWRVMuOTkwLi4uLi5IBQAAAAAAAAAIAAAAFChJbnZhbGlkIElkZW50aWZpZXIp0KSh</t>
  </si>
  <si>
    <t>EDvv3gj5qUIyO+/eCCZDSVEuLklRX1dBUlJBTlRZX0xJQUJJTElUSUVTLjk5MC4uLi4uSAUAAAAAAAAACAAAABQoSW52YWxpZCBJZGVudGlmaWVyKdCkoRA7794I3+VCMjvv3ggnQ0lRLi5JUV9GSU5fRElWX0xUX0RFQlRfVE9UQUwuOTkwLi4uLi5IBQAAAAAAAAAIAAAAFChJbnZhbGlkIElkZW50aWZpZXIp0KShEDvv3giobEUyO+/eCBxDSVEuLklRX1RPVEFMX0VNUExPWUVFUy45OTAuBQAAAAAAAAAIAAAAFChJbnZhbGlkIElkZW50aWZpZXIp0KShEDvv3ghPCUYyO+/eCDdDSVEuLklRX0xJQUJJTElUSUVTX05FVFRJTkdfT1RIRVJfQURKVVNUTUVOVFMuOTkwLi4uLi5IBQAAAAAAAAAIAAAAFChJbnZhbGlkIElkZW50aWZpZXIp0KShEDvv3gg6kkYyO+/eCDJDSVEuLklRX0FTU0VUU19ORVRUSU5HX09USEVSX0FESlVTVE1FTlRTLjk5MC4uLi4uSAUAAAAAAAAACAAAABQoSW52YWxpZCBJZGVudGlmaWVyKdCkoRA7794IG1ZHMjvv3ggcQ0lRLi5JUV9CVUlMRElOR1MuMjAwMC4uLi4uSAUAAAAAAAAACAAAABQoSW52YWxpZCBJZGVudGlmaWVyKdCkoRA7794I52RKMjvv3ggdQ0lRLi5JUV9BUl9VTkJJTExFRC45OTAuLi4uLkgFAAAAAAAAAAgAAAAUKEludmFsaWQgSWRlbnRpZmllcinQpKEQO+/eCKaxSzI7794IGkNJUS4uSVFfRVBTXzVZUl9BTk5fQ0FHUi4uBQAAAAAAAAAIAAAAFChJbnZhbGlkIElk</t>
  </si>
  <si>
    <t>ZW50aWZpZXIpTKW5EDvv3ggOQDgyO+/eCBtDSVEuLklRX0VCSVRfM1lSX0FOTl9DQUdSLi4FAAAAAAAAAAgAAAAUKEludmFsaWQgSWRlbnRpZmllcilLfrkQO+/eCN4zOTI7794IHUNJUS4uSVFfR1BfM1lSX0FOTl9DQUdSLjIwMDAuBQAAAAAAAAAIAAAAFChJbnZhbGlkIElkZW50aWZpZXIpN0i5EDvv3gjqWjkyO+/eCCVDSVEuLklRX1RPVEFMX0RFQlRfRUJJVERBX0NBUEVYLjIwMDAuBQAAAAAAAAAIAAAAFChJbnZhbGlkIElkZW50aWZpZXIpN0i5EDvv3gj0HDsyO+/eCCBDSVEuLklRX1RPVEFMX0RFQlRfQ0FQSVRBTC4yMDAwLgUAAAAAAAAACAAAABQoSW52YWxpZCBJZGVudGlmaWVyKTdIuRA7794IiZA8Mjvv3ggdQ0lRLi5JUV9FQklUREFfNVlSX0FOTl9DQUdSLi4FAAAAAAAAAAgAAAAUKEludmFsaWQgSWRlbnRpZmllcilLfrkQO+/eCDGOODI7794IIENJUS4uSVFfRUJJVERBXzNZUl9BTk5fQ0FHUi45OTAuBQAAAAAAAAAIAAAAFChJbnZhbGlkIElkZW50aWZpZXIpN0i5EDvv3gjqWjkyO+/eCBxDSVEuLklRX0VQU18xWVJfQU5OX0dST1dUSC4uBQAAAAAAAAAIAAAAFChJbnZhbGlkIElkZW50aWZpZXIpS365EDvv3ggKqTkyO+/eCDVDSVEuLklRX1RPVEFMX0RFQlRfRUJJVERBX0VYQ0xfT1BFUl9MRUFTRVNfQ0FQRVguOTkwLgUAAAAAAAAACAAAABQoSW52YWxpZCBJZGVudGlmaWVyKTdIuRA7</t>
  </si>
  <si>
    <t>794I9Bw7Mjvv3ggbQ0lRLi5JUV9MVF9ERUJUX0VRVUlUWS45OTAuBQAAAAAAAAAIAAAAFChJbnZhbGlkIElkZW50aWZpZXIpN0i5EDvv3giJkDwyO+/eCBhDSVEuLklRX0FTU0VUX1RVUk5TLjk5MC4FAAAAAAAAAAgAAAAUKEludmFsaWQgSWRlbnRpZmllcik3SLkQO+/eCN8rPjI7794IGENJUS4uSVFfRUJJVF9NQVJHSU4uOTkwLgUAAAAAAAAACAAAABQoSW52YWxpZCBJZGVudGlmaWVyKTdIuRA7794I3LQ+Mjvv3gghQ0lRLi5JUV9JTlRFUkNPTVBBTllfQ0wuOTkwLi4uLi5IBQAAAAAAAAAIAAAAFChJbnZhbGlkIElkZW50aWZpZXIpN0i5EDvv3gh8KEAyO+/eCCtDSVEuLklRX0RFUklWQVRJVkVfQVNTRVRTX0NVUlJFTlQuOTkwLi4uLi5IBQAAAAAAAAAIAAAAFChJbnZhbGlkIElkZW50aWZpZXIpN0i5EDvv3gjnIEIyO+/eCB9DSVEuLklRX0dQXzFZUl9BTk5fR1JPV1RILjIwMDAuBQAAAAAAAAAIAAAAFChJbnZhbGlkIElkZW50aWZpZXIpN0i5EDvv3ggm9zkyO+/eCCVDSVEuLklRX1RPVEFMX1JFVl9FTVBMT1lFRS4yMDAwLi4uLi5IBQAAAAAAAAAIAAAAFChJbnZhbGlkIElkZW50aWZpZXIpN0i5EDvv3ghfgDoyO+/eCBZDSVEuLklRX0VCSVRfSU5ULjIwMDAuBQAAAAAAAAAIAAAAFChJbnZhbGlkIElkZW50aWZpZXIpN0i5EDvv3ghBQjwyO+/eCBRDSVEuLklRX1FVSUNLX0NPTVAuNQUAAAAAAAAA</t>
  </si>
  <si>
    <t>CAAAABQoSW52YWxpZCBJZGVudGlmaWVyKTdIuRA7794ICRk4Mjvv3ggZQ0lRLi5JUV9OSV81WVJfQU5OX0NBR1IuLgUAAAAAAAAACAAAABQoSW52YWxpZCBJZGVudGlmaWVyKUt+uRA7794IImc4Mjvv3ggeQ0lRLi5JUV9FQklUXzVZUl9BTk5fQ0FHUi45OTAuBQAAAAAAAAAIAAAAFChJbnZhbGlkIElkZW50aWZpZXIpN0i5EDvv3ggiZzgyO+/eCCJDSVEuLklRX0VCSVREQV8xWVJfQU5OX0dST1dUSC45OTAuBQAAAAAAAAAIAAAAFChJbnZhbGlkIElkZW50aWZpZXIpN0i5EDvv3ggm9zkyO+/eCC5DSVEuLklRX0VCSVREQV9FWENMX09QRVJfTEVBU0VTX0NBUEVYX0lOVC45OTAuBQAAAAAAAAAIAAAAFChJbnZhbGlkIElkZW50aWZpZXIpN0i5EDvv3ggwuTsyO+/eCBdDSVEuLklRX0VCSVREQV9JTlQuOTkwLgUAAAAAAAAACAAAABQoSW52YWxpZCBJZGVudGlmaWVyKTdIuRA7794IQUI8Mjvv3ggaQ0lRLi5JUV9DVVJSRU5UX1JBVElPLjk5MC4FAAAAAAAAAAgAAAAUKEludmFsaWQgSWRlbnRpZmllcik3SLkQO+/eCIjdPTI7794IGkNJUS4uSVFfUkVUVVJOX0FTU0VUUy45OTAuBQAAAAAAAAAIAAAAFChJbnZhbGlkIElkZW50aWZpZXIpN0i5EDvv3ggoZT8yO+/eCCdDSVEuLklRX0FEVkFOQ0VTX0ZPUl9TVVBQTElFUy45OTAuLi4uLkgFAAAAAAAAAAgAAAAUKEludmFsaWQgSWRlbnRpZmllcik3SLkQO+/e</t>
  </si>
  <si>
    <t>CJfYQDI7794IJUNJUS4uSVFfU1RfREVCVF9ERVJJVkFUSVZFUy45OTAuLi4uLkgFAAAAAAAAAAgAAAAUKEludmFsaWQgSWRlbnRpZmllcik3SLkQO+/eCIW+QjI7794IFENJUS4uSVFfUVVJQ0tfQ09NUC42BQAAAAAAAAAIAAAAFChJbnZhbGlkIElkZW50aWZpZXIpN0i5EDvv3ggJGTgyO+/eCBlDSVEuLklRX0VCSVRfTUFSR0lOLjIwMDAuBQAAAAAAAAAIAAAAFChJbnZhbGlkIElkZW50aWZpZXIpN0i5EDvv3giljT4yO+/eCCJDSVEuLklRX1JFVFVSTl9DT01NT05fRVFVSVRZLjIwMDAuBQAAAAAAAAAIAAAAFChJbnZhbGlkIElkZW50aWZpZXIpN0i5EDvv3gia7z4yO+/eCBxDSVEuLklRX0lOVEFOX05FVC4yMDAwLi4uLi5IBQAAAAAAAAAIAAAAFChJbnZhbGlkIElkZW50aWZpZXIpN0i5EDvv3giWdkAyO+/eCCpDSVEuLklRX0RFUklWQVRJVkVfTElBQl9DVVJSRU5ULjIwMDAuLi4uLkgFAAAAAAAAAAgAAAAUKEludmFsaWQgSWRlbnRpZmllcik3SLkQO+/eCP9HQjI7794IJENJUS4uSVFfRklOX0RJVl9TVF9JTlZFU1QuMjAwMC4uLi4uSAUAAAAAAAAACAAAABQoSW52YWxpZCBJZGVudGlmaWVyKTdIuRA7794IMbxEMjvv3ggpQ0lRLi5JUV9MSUFCSUxJVElFU19GQUlSX1ZBTFVFLjIwMDAuLi4uLkgFAAAAAAAAAAgAAAAUKEludmFsaWQgSWRlbnRpZmllcik3SLkQO+/eCHdXRjI7794IJkNJUS4uSVFf</t>
  </si>
  <si>
    <t>TElBQklMSVRJRVNfTEVWRUxfMi4yMDAwLi4uLi5IBQAAAAAAAAAIAAAAFChJbnZhbGlkIElkZW50aWZpZXIpN0i5EDvv3gjA4EYyO+/eCDBDSVEuLklRX0dFTkVSQUxfUEFSVE5FUl9DT01NT05fRVFVSVRZLjIwMDAuLi4uLkgFAAAAAAAAAAgAAAAUKEludmFsaWQgSWRlbnRpZmllcik3SLkQO+/eCF57SDI7794IHENJUS4uSVFfT1RIRVJfSU5WLjIwMDAuLi4uLkgFAAAAAAAAAAgAAAAUKEludmFsaWQgSWRlbnRpZmllcik3SLkQO+/eCB2zSjI7794IG0NJUS4uSVFfTkVUX0RFQlQuMjAwMC4uLi4uSAUAAAAAAAAACAAAABQoSW52YWxpZCBJZGVudGlmaWVyKTdIuRA7794I8nRMMjvv3ggpQ0lRLi5JUV9UT1RBTF9ERUJUX0VYQ0xfTEVBU0VTLjIwMDAuLi4uLkgFAAAAAAAAAAgAAAAUKEludmFsaWQgSWRlbnRpZmllcik3SLkQO+/eCPj8TTI7794IO0NJUS4uSVFfRklOQU5DSU5HX09CTElHX0NVUlJFTlRfRVhDTF9PUEVSX0xFQVNFUy4yMDAwLi4uLi5IBQAAAAAAAAAIAAAAFChJbnZhbGlkIElkZW50aWZpZXIpN0i5EDvv3ggwhk4yO+/eCBRDSVEuLklRX1FVSUNLX0NPTVAuNwUAAAAAAAAACAAAABQoSW52YWxpZCBJZGVudGlmaWVyKTdIuRA7794ICRk4Mjvv3ggeQ0lRLi5JUV9FQklUXzNZUl9BTk5fQ0FHUi45OTAuBQAAAAAAAAAIAAAAFChJbnZhbGlkIElkZW50aWZpZXIpN0i5EDvv3gjeMzkyO+/e</t>
  </si>
  <si>
    <t>CCNDSVEuLklRX1RPVEFMX1JFVl8zWVJfQU5OX0NBR1IuOTkwLgUAAAAAAAAACAAAABQoSW52YWxpZCBJZGVudGlmaWVyKTdIuRA7794ICqk5Mjvv3ggtQ0lRLi5JUV9ORVRfREVCVF9FQklUREFfRVhDTF9PUEVSX0xFQVNFUy45OTAuBQAAAAAAAAAIAAAAFChJbnZhbGlkIElkZW50aWZpZXIpN0i5EDvv3ggDRDsyO+/eCB5DSVEuLklRX1RPVEFMX0RFQlRfRVFVSVRZLjk5MC4FAAAAAAAAAAgAAAAUKEludmFsaWQgSWRlbnRpZmllcik3SLkQO+/eCK7ePDI7794IFkNJUS4uSVFfTklfTUFSR0lOLjk5MC4FAAAAAAAAAAgAAAAUKEludmFsaWQgSWRlbnRpZmllcik3SLkQO+/eCKWNPjI7794IJUNJUS4uSVFfSU5URVJDT01QQU5ZX05PTl9DTC45OTAuLi4uLkgFAAAAAAAAAAgAAAAUKEludmFsaWQgSWRlbnRpZmllcik3SLkQO+/eCGgBQDI7794IIUNJUS4uSVFfSU5URVJDT01QQU5ZX0NBLjk5MC4uLi4uSAUAAAAAAAAACAAAABQoSW52YWxpZCBJZGVudGlmaWVyKTdIuRA7794IlnZAMjvv3ggtQ0lRLi5JUV9ERVJJVkFUSVZFX0xJQUJfTk9OX0NVUlJFTlQuOTkwLi4uLi5IBQAAAAAAAAAIAAAAFChJbnZhbGlkIElkZW50aWZpZXIpN0i5EDvv3gj/R0IyO+/eCCRDSVEuLklRX0RFQlRfRVFVSVZfTkVUX1BCTy45OTAuLi4uLkgFAAAAAAAAAAgAAAAUKEludmFsaWQgSWRlbnRpZmllcilLfrkQO+/eCDG8RDI7</t>
  </si>
  <si>
    <t>794IMUNJUS4uSVFfRkFJUl9WQUxVRV9DSEFOR0VfSU5DTF9FQVJOSU5HUy45OTAuLi4uLkgFAAAAAAAAAAgAAAAUKEludmFsaWQgSWRlbnRpZmllcilLfrkQO+/eCHdXRjI7794INUNJUS4uSVFfTElRVUlEQVRJT05fVkFMVUVfUFJFRkVSUkVEX0NPTlZFUlQuOTkwLi4uLi5IBQAAAAAAAAAIAAAAFChJbnZhbGlkIElkZW50aWZpZXIpS365EDvv3ghV8kcyO+/eCC1DSVEuLklRX0dFTkVSQUxfUEFSVE5FUl9QUkVGX0VRVUlUWS45OTAuLi4uLkgFAAAAAAAAAAgAAAAUKEludmFsaWQgSWRlbnRpZmllcilLfrkQO+/eCF57SDI7794IFkNJUS4uSVFfTEFORC45OTAuLi4uLkgFAAAAAAAAAAgAAAAUKEludmFsaWQgSWRlbnRpZmllcilLfrkQO+/eCB2zSjI7794IFENJUS4uSVFfUVVJQ0tfQ09NUC44BQAAAAAAAAAIAAAAFChJbnZhbGlkIElkZW50aWZpZXIpS365EDvv3ggJGTgyO+/eCBVDSVEuLklRX1pfU0NPUkUuMjAwMC4FAAAAAAAAAAgAAAAUKEludmFsaWQgSWRlbnRpZmllcilLfrkQO+/eCA9ZOjI7794IHUNJUS4uSVFfTFRfREVCVF9DQVBJVEFMLjIwMDAuBQAAAAAAAAAIAAAAFChJbnZhbGlkIElkZW50aWZpZXIpS365EDvv3gh7aTwyO+/eCBxDSVEuLklRX0dQXzVZUl9BTk5fQ0FHUi45OTAuBQAAAAAAAAAIAAAAFChJbnZhbGlkIElkZW50aWZpZXIpS365EDvv3ghEtTgyO+/eCCVDSVEuLklRX1RP</t>
  </si>
  <si>
    <t>VEFMX1JFVl8xWVJfQU5OX0dST1dUSC45OTAuBQAAAAAAAAAIAAAAFChJbnZhbGlkIElkZW50aWZpZXIpS365EDvv3ggPWToyO+/eCChDSVEuLklRX0VCSVREQV9FWENMX09QRVJfTEVBU0VTX0lOVC45OTAuBQAAAAAAAAAIAAAAFChJbnZhbGlkIElkZW50aWZpZXIpS365EDvv3gg4GzwyO+/eCCFDSVEuLklRX0VCSVRfMVlSX0FOTl9HUk9XVEguMjAwMC4FAAAAAAAAAAgAAAAUKEludmFsaWQgSWRlbnRpZmllcilLfrkQO+/eCBnQOTI7794IFENJUS4uSVFfUVVJQ0tfQ09NUC4yBQAAAAAAAAAIAAAAFChJbnZhbGlkIElkZW50aWZpZXIpS365EDvv3ggJGTgyO+/eCBxDSVEuLklRX0dQXzNZUl9BTk5fQ0FHUi45OTAuBQAAAAAAAAAIAAAAFChJbnZhbGlkIElkZW50aWZpZXIpS365EDvv3gj7gTkyO+/eCCRDSVEuLklRX1RPVEFMX0RFQlRfRUJJVERBX0NBUEVYLjk5MC4FAAAAAAAAAAgAAAAUKEludmFsaWQgSWRlbnRpZmllcilLfrkQO+/eCPQcOzI7794IL0NJUS4uSVFfVE9UQUxfREVCVF9FQklUREFfRVhDTF9PUEVSX0xFQVNFUy45OTAuBQAAAAAAAAAIAAAAFChJbnZhbGlkIElkZW50aWZpZXIpS365EDvv3ggikjsyO+/eCB1DSVEuLklRX0RBWVNfUEFZQUJMRV9PVVQuOTkwLgUAAAAAAAAACAAAABQoSW52YWxpZCBJZGVudGlmaWVyKUt+uRA7794Iziw9Mjvv3ggaQ0lRLi5JUV9FQklUREFfTUFSR0lO</t>
  </si>
  <si>
    <t>Ljk5MC4FAAAAAAAAAAgAAAAUKEludmFsaWQgSWRlbnRpZmllcilLfrkQO+/eCNy0PjI7794IJUNJUS4uSVFfSU5URVJDT01QQU5ZX05PTl9DQS45OTAuLi4uLkgFAAAAAAAAAAgAAAAUKEludmFsaWQgSWRlbnRpZmllcilLfrkQO+/eCIZPQDI7794IFENJUS4uSVFfUVVJQ0tfQ09NUC4zBQAAAAAAAAAIAAAAFChJbnZhbGlkIElkZW50aWZpZXIpS365EDvv3ggJGTgyO+/eCB1DSVEuLklRX05JXzNZUl9BTk5fQ0FHUi4yMDAwLgUAAAAAAAAACAAAABQoSW52YWxpZCBJZGVudGlmaWVyKUt+uRA7794I0Qw5Mjvv3gg0Q0lRLi5JUV9ORVRfREVCVF9FQklUREFfRVhDTF9PUEVSX0xFQVNFU19DQVBFWC4yMDAwLgUAAAAAAAAACAAAABQoSW52YWxpZCBJZGVudGlmaWVyKUt+uRA7794Ip6c6Mjvv3gglQ0lRLi5JUV9UT1RBTF9MSUFCX1RPVEFMX0FTU0VUUy4yMDAwLgUAAAAAAAAACAAAABQoSW52YWxpZCBJZGVudGlmaWVyKUt+uRA7794IQUI8Mjvv3ggbQ0lRLi5JUV9DQVBFWF9QQ1RfUkVWLjIwMDAuBQAAAAAAAAAIAAAAFChJbnZhbGlkIElkZW50aWZpZXIpS365EDvv3gjkUj4yO+/eCCVDSVEuLklRX0dST1NTX0lOVEFOX0FTU0VUUy4yMDAwLi4uLi5IBQAAAAAAAAAIAAAAFChJbnZhbGlkIElkZW50aWZpZXIpS365EDvv3ggOnEEyO+/eCChDSVEuLklRX1JFU1RSSUNURURfQ0FTSF9UT1RBTC4yMDAwLi4u</t>
  </si>
  <si>
    <t>Li5IBQAAAAAAAAAIAAAAFChJbnZhbGlkIElkZW50aWZpZXIpS365EDvv3ggFW0MyO+/eCC1DSVEuLklRX0VNUExPWUVFU19VTkRFUl9VTklPTl9DT05UUkFDVFMuMjAwMC4FAAAAAAAAAAgAAAAUKEludmFsaWQgSWRlbnRpZmllcilLfrkQO+/eCPq6RTI7794IF0NJUS4uSVFfRlVMTF9USU1FLjIwMDAuBQAAAAAAAAAIAAAAFChJbnZhbGlkIElkZW50aWZpZXIpS365EDvv3ghbMEYyO+/eCDlDSVEuLklRX0xJUVVJREFUSU9OX1ZBTFVFX1BSRUZFUlJFRF9OT05fUkVERUVNLjIwMDAuLi4uLkgFAAAAAAAAAAgAAAAUKEludmFsaWQgSWRlbnRpZmllcilLfrkQO+/eCETLRzI7794IFENJUS4uSVFfUVVJQ0tfQ09NUC40BQAAAAAAAAAIAAAAFChJbnZhbGlkIElkZW50aWZpZXIpS365EDvv3ggJGTgyO+/eCCBDSVEuLklRX0VCSVREQV81WVJfQU5OX0NBR1IuOTkwLgUAAAAAAAAACAAAABQoSW52YWxpZCBJZGVudGlmaWVyKUt+uRA7794IMY44Mjvv3ggdQ0lRLi5JUV9FUFNfM1lSX0FOTl9DQUdSLjk5MC4FAAAAAAAAAAgAAAAUKEludmFsaWQgSWRlbnRpZmllcilLfrkQO+/eCNEMOTI7794IJENJUS4uSVFfVE9UQUxfUkVWX0VNUExPWUVFLjk5MC4uLi4uSAUAAAAAAAAACAAAABQoSW52YWxpZCBJZGVudGlmaWVyKUt+uRA7794Ip6c6Mjvv3ggVQ0lRLi5JUV9FQklUX0lOVC45OTAuBQAAAAAAAAAIAAAAFChJ</t>
  </si>
  <si>
    <t>bnZhbGlkIElkZW50aWZpZXIpS365EDvv3ghBQjwyO+/eCBxDSVEuLklRX0lOVkVOVE9SWV9UVVJOUy45OTAuBQAAAAAAAAAIAAAAFChJbnZhbGlkIElkZW50aWZpZXIpS365EDvv3giI3T0yO+/eCBdDSVEuLklRX1BFUklPRERBVEUuOTg5LgUAAAAAAAAACAAAABQoSW52YWxpZCBJZGVudGlmaWVyKUt+uRA7794IKGU/Mjvv3ggbQ0lRLi5JUV9SRVNUQVRFTUVOVF9CUy45OTAuBQAAAAAAAAAIAAAAFChJbnZhbGlkIElkZW50aWZpZXIpS365EDvv3ghV2j8yO+/eCCpDSVEuLklRX0FDQ1VNX0FNT1JUX0lOVEFOX0FTU0VUUy45OTAuLi4uLkgFAAAAAAAAAAgAAAAUKEludmFsaWQgSWRlbnRpZmllcilLfrkQO+/eCA6cQTI7794IJUNJUS4uSVFfVE9UQUxfREVCVF9FWENMX0ZJTi45OTAuLi4uLkgFAAAAAAAAAAgAAAAUKEludmFsaWQgSWRlbnRpZmllcilLfrkQO+/eCAVbQzI7794IGkNJUS4uSVFfQVZHX0VNUExPWUVFUy45OTAuBQAAAAAAAAAIAAAAFChJbnZhbGlkIElkZW50aWZpZXIpS365EDvv3gj6ukUyO+/eCCBDSVEuLklRX0FTU0VUU19MRVZFTF8zLjk5MC4uLi4uSAUAAAAAAAAACAAAABQoSW52YWxpZCBJZGVudGlmaWVyKUt+uRA7794IG1ZHMjvv3gg0Q0lRLi5JUV9MSVFVSURBVElPTl9WQUxVRV9QUkVGRVJSRURfUkVERUVNLjk5MC4uLi4uSAUAAAAAAAAACAAAABQoSW52YWxpZCBJZGVudGlm</t>
  </si>
  <si>
    <t>aWVyKUt+uRA7794IRMtHMjvv3ggVQ0lRLi5JUV9DSVAuOTkwLi4uLi5IBQAAAAAAAAAIAAAAFChJbnZhbGlkIElkZW50aWZpZXIpS365EDvv3gh370kyO+/eCB9DSVEuLklRX0VRVUlUWV9NRVRIT0QuOTkwLi4uLi5IBQAAAAAAAAAIAAAAFChJbnZhbGlkIElkZW50aWZpZXIpS365EDvv3giv2EsyO+/eCCRDSVEuLklRX1RCVl9TSEFSRV9SRVBPUlRFRC45OTAuLi4uLkgFAAAAAAAAAAgAAAAUKEludmFsaWQgSWRlbnRpZmllcilLfrkQO+/eCO9zTTI7794IOENJUS4uSVFfQ1VSUkVOVF9QT1JUSU9OX09QRVJfTEVBU0VfTElBQklMSVRJRVMuOTkwLi4uLi5IBQAAAAAAAAAIAAAAFChJbnZhbGlkIElkZW50aWZpZXIpS365EDvv3giUIk8yO+/eCChDSVEuLklRX0ZJTkFOQ0VfTEVBU0VTX0NVUlJFTlQuOTkwLi4uLi5IBQAAAAAAAAAIAAAAFChJbnZhbGlkIElkZW50aWZpZXIpS365EDvv3gjEl08yO+/eCCNDSVEuLklRX1RPVEFMX0xJQUJfRVFVSVRZLjk5MC4uLi4uSAUAAAAAAAAACAAAABQoSW52YWxpZCBJZGVudGlmaWVyKUt+uRA7794IVQtRMjvv3ggdQ0lRLi5JUV9QUkVGX1JFREVFTS45OTAuLi4uLkgFAAAAAAAAAAgAAAAUKEludmFsaWQgSWRlbnRpZmllcilLfrkQO+/eCGLNUjI7794IH0NJUS4uSVFfTklfMVlSX0FOTl9HUk9XVEguMjAwMC4FAAAAAAAAAAgAAAAUKEludmFsaWQgSWRlbnRpZmll</t>
  </si>
  <si>
    <t>cilLfrkQO+/eCAqpOTI7794IMENJUS4uSVFfVE9UQUxfREVCVF9FQklUREFfRVhDTF9PUEVSX0xFQVNFUy4yMDAwLgUAAAAAAAAACAAAABQoSW52YWxpZCBJZGVudGlmaWVyKUt+uRA7794IFWs7Mjvv3ggjQ0lRLi5JUV9UT1RBTF9SRVZfNVlSX0FOTl9DQUdSLjk5MC4FAAAAAAAAAAgAAAAUKEludmFsaWQgSWRlbnRpZmllcilLfrkQO+/eCFbcODI7794IFENJUS4uSVFfWl9TQ09SRS45OTAuBQAAAAAAAAAIAAAAFChJbnZhbGlkIElkZW50aWZpZXIpS365EDvv3ghfgDoyO+/eCCJDSVEuLklRX05FVF9ERUJUX0VCSVREQV9DQVBFWC45OTAuBQAAAAAAAAAIAAAAFChJbnZhbGlkIElkZW50aWZpZXIpS365EDvv3ggm9joyO+/eCB9DSVEuLklRX0VCSVRfNVlSX0FOTl9DQUdSLjIwMDAuBQAAAAAAAAAIAAAAFChJbnZhbGlkIElkZW50aWZpZXIpS365EDvv3ggiZzgyO+/eCC9DSVEuLklRX0VCSVREQV9FWENMX09QRVJfTEVBU0VTX0NBUEVYX0lOVC4yMDAwLgUAAAAAAAAACAAAABQoSW52YWxpZCBJZGVudGlmaWVyKUt+uRA7794IIpI7Mjvv3ggbQ0lRLi5JUV9DVVJSRU5UX1JBVElPLjIwMDAuBQAAAAAAAAAIAAAAFChJbnZhbGlkIElkZW50aWZpZXIpS365EDvv3gjdyT0yO+/eCBxDSVEuLklRX05JXzVZUl9BTk5fQ0FHUi45OTAuBQAAAAAAAAAIAAAAFChJbnZhbGlkIElkZW50aWZpZXIpS365EDvv3ggi</t>
  </si>
  <si>
    <t>ZzgyO+/eCCBDSVEuLklRX0VCSVRfMVlSX0FOTl9HUk9XVEguOTkwLgUAAAAAAAAACAAAABQoSW52YWxpZCBJZGVudGlmaWVyKUt+uRA7794IJvc5Mjvv3ggeQ0lRLi5JUV9UT1RBTF9ERUJUX0VCSVREQS45OTAuBQAAAAAAAAAIAAAAFChJbnZhbGlkIElkZW50aWZpZXIpS365EDvv3ggwuTsyO+/eCB9DSVEuLklRX0RBWVNfSU5WRU5UT1JZX09VVC45OTAuBQAAAAAAAAAIAAAAFChJbnZhbGlkIElkZW50aWZpZXIpS365EDvv3gjOLD0yO+/eCBlDSVEuLklRX0dST1NTX01BUkdJTi45OTAuBQAAAAAAAAAIAAAAFChJbnZhbGlkIElkZW50aWZpZXIpS365EDvv3gjctD4yO+/eCBtDSVEuLklRX1JFVFVSTl9DQVBJVEFMLjk5MC4FAAAAAAAAAAgAAAAUKEludmFsaWQgSWRlbnRpZmllcilLfrkQO+/eCO09PzI7794IHkNJUS4uSVFfR1dfSU5UQU5fTkVULjk5MC4uLi4uSAUAAAAAAAAACAAAABQoSW52YWxpZCBJZGVudGlmaWVyKUyluRA7794Il9hAMjvv3ggvQ0lRLi5JUV9DVVJSRU5UX1BPUlRfREVCVF9ERVJJVkFUSVZFUy45OTAuLi4uLkgFAAAAAAAAAAgAAAAUKEludmFsaWQgSWRlbnRpZmllcilMpbkQO+/eCIW+QjI7794IJENJUS4uSVFfRklOX0RJVl9ERUJUX1RPVEFMLjk5MC4uLi4uSAUAAAAAAAAACAAAABQoSW52YWxpZCBJZGVudGlmaWVyKUyluRA7794IngpFMjvv3gglQ0lRLi5JUV9MSUFCSUxJ</t>
  </si>
  <si>
    <t>VElFU19MRVZFTF8zLjk5MC4uLi4uSAUAAAAAAAAACAAAABQoSW52YWxpZCBJZGVudGlmaWVyKUyluRA7794IhblGMjvv3ggjQ0lRLi5JUV9BU1NFVFNfRkFJUl9WQUxVRS45OTAuLi4uLkgFAAAAAAAAAAgAAAAUKEludmFsaWQgSWRlbnRpZmllcilMpbkQO+/eCAUvRzI7794IK0NJUS4uSVFfRklOX0RJVl9NSU5PUklUWV9JTlRFUkVTVC45OTAuLi4uLkgFAAAAAAAAAAgAAAAUKEludmFsaWQgSWRlbnRpZmllcilMpbkQO+/eCMnwSDI7794IGUNJUS4uSVFfV0lQX0lOVi45OTAuLi4uLkgFAAAAAAAAAAgAAAAUKEludmFsaWQgSWRlbnRpZmllcilMpbkQO+/eCEAoSzI7794IJENJUS4uSVFfVE9UQUxfREVCVF9DVVJSRU5ULjk5MC4uLi4uSAUAAAAAAAAACAAAABQoSW52YWxpZCBJZGVudGlmaWVyKUyluRA7794IrsNMMjvv3gg+Q0lRLi5JUV9GSU5BTkNJTkdfT0JMSUdfTk9OX0NVUlJFTlRfRVhDTF9PUEVSX0xFQVNFUy45OTAuLi4uLkgFAAAAAAAAAAgAAAAUKEludmFsaWQgSWRlbnRpZmllcilMpbkQO+/eCPVeTjI7794II0NJUS4uSVFfVE9UQUxfT1BFUl9MRUFTRVMuOTkwLi4uLi5IBQAAAAAAAAAIAAAAFChJbnZhbGlkIElkZW50aWZpZXIpTKW5EDvv3gh11E4yO+/eCC1DSVEuLklRX1JVQV9DQVBJVEFMX0xFQVNFX0FDQ1VNX0RFUC45OTAuLi4uLkgFAAAAAAAAAAgAAAAUKEludmFsaWQgSWRlbnRp</t>
  </si>
  <si>
    <t>ZmllcilMpbkQO+/eCCaWUDI7794IGENJUS4uSVFfQ09NTU9OLjk5MC4uLi4uSAUAAAAAAAAACAAAABQoSW52YWxpZCBJZGVudGlmaWVyKUyluRA7794IRx1SMjvv3ggiQ0lRLi5JUV9MT05HX1RFUk1fTEVBU0VTLjk5MC4uLi4uSAUAAAAAAAAACAAAABQoSW52YWxpZCBJZGVudGlmaWVyKUyluRA7794IAt9TMjvv3ggUQ0lRLi5JUV9BUC45OTAuLi4uLkgFAAAAAAAAAAgAAAAUKEludmFsaWQgSWRlbnRpZmllcilMpbkQO+/eCIeNVTI7794IIENJUS4uSVFfREVGX0NIQVJHRVNfTFQuOTkwLi4uLi5IBQAAAAAAAAAIAAAAFChJbnZhbGlkIElkZW50aWZpZXIpTKW5EDvv3gj671UyO+/eCBxDSVEuLklRX05JXzNZUl9BTk5fQ0FHUi45OTAuBQAAAAAAAAAIAAAAFChJbnZhbGlkIElkZW50aWZpZXIpTKW5EDvv3gjRDDkyO+/eCB1DSVEuLklRX05JXzVZUl9BTk5fQ0FHUi4yMDAwLgUAAAAAAAAACAAAABQoSW52YWxpZCBJZGVudGlmaWVyKUyluRA7794IDkA4Mjvv3ggdQ0lRLi5JUV9HUF81WVJfQU5OX0NBR1IuMjAwMC4FAAAAAAAAAAgAAAAUKEludmFsaWQgSWRlbnRpZmllcilMpbkQO+/eCES1ODI7794IKUNJUS4uSVFfRUJJVERBX0VYQ0xfT1BFUl9MRUFTRVNfSU5ULjIwMDAuBQAAAAAAAAAIAAAAFChJbnZhbGlkIElkZW50aWZpZXIpTKW5EDvv3gj08zsyO+/eCBlDSVEuLklRX1FVSUNLX1JBVElPLjIw</t>
  </si>
  <si>
    <t>MDAuBQAAAAAAAAAIAAAAFChJbnZhbGlkIElkZW50aWZpZXIpTKW5EDvv3giMez0yO+/eCBxDSVEuLklRX1JFVFVSTl9DQVBJVEFMLjIwMDAuBQAAAAAAAAAIAAAAFChJbnZhbGlkIElkZW50aWZpZXIpTKW5EDvv3gjlFj8yO+/eCBVDSVEuLklRX0dBQVBfQlMuMjAwMC4FAAAAAAAAAAgAAAAUKEludmFsaWQgSWRlbnRpZmllcilMpbkQO+/eCChlPzI7794IIUNJUS4uSVFfQUNDVU1fQU1PUlRfR1cuMjAwMC4uLi4uSAUAAAAAAAAACAAAABQoSW52YWxpZCBJZGVudGlmaWVyKUyluRA7794Izf9AMjvv3ggpQ0lRLi5JUV9DT05USU5HRU5UX0xJQUJJTElUSUVTLjIwMDAuLi4uLkgFAAAAAAAAAAgAAAAUKEludmFsaWQgSWRlbnRpZmllcilMpbkQO+/eCN/lQjI7794IH0NJUS4uSVFfTlVNQkVSX0FEUkhPTERFUlMuMjAwMC4FAAAAAAAAAAgAAAAUKEludmFsaWQgSWRlbnRpZmllcilMpbkQO+/eCKhsRTI7794IJENJUS4uSVFfQVNTRVRTX0ZBSVJfVkFMVUUuMjAwMC4uLi4uSAUAAAAAAAAACAAAABQoSW52YWxpZCBJZGVudGlmaWVyKUyluRA7794IzQdHMjvv3gghQ0lRLi5JUV9BU1NFVFNfTEVWRUxfMi4yMDAwLi4uLi5IBQAAAAAAAAAIAAAAFChJbnZhbGlkIElkZW50aWZpZXIpTKW5EDvv3ggnfUcyO+/eCCZDSVEuLklRX01JTk9SSVRZX0lOVF9SRURFRU0uMjAwMC4uLi4uSAUAAAAAAAAACAAAABQoSW52</t>
  </si>
  <si>
    <t>YWxpZCBJZGVudGlmaWVyKUyluRA7794I/GVJMjvv3ggYQ0lRLi5JUV9JTlZfTUVUSE9ELjIwMDAuBQAAAAAAAAAIAAAAFChJbnZhbGlkIElkZW50aWZpZXIpTKW5EDvv3gglY0syO+/eCBtDSVEuLklRX0dXX0lOVEFOLjIwMDAuLi4uLkgFAAAAAAAAAAgAAAAUKEludmFsaWQgSWRlbnRpZmllcilMpbkQO+/eCPgRTTI7794IJENJUS4uSVFfVE9UQUxfT1BFUl9MRUFTRVMuMjAwMC4uLi4uSAUAAAAAAAAACAAAABQoSW52YWxpZCBJZGVudGlmaWVyKUyluRA7794IPa1OMjvv3ggnQ0lRLi5JUV9UT1RBTF9GSU5BTkNFX0xFQVNFUy4yMDAwLi4uLi5IBQAAAAAAAAAIAAAAFChJbnZhbGlkIElkZW50aWZpZXIpTKW5EDvv3giUIk8yO+/eCCBDSVEuLklRX1JVQV9BQ0NVTV9ERVAuMjAwMC4uLi4uSAUAAAAAAAAACAAAABQoSW52YWxpZCBJZGVudGlmaWVyKUyluRA7794IMr1QMjvv3ggfQ0lRLi5JUV9QUkVGX0NPTlZFUlQuMjAwMC4uLi4uSAUAAAAAAAAACAAAABQoSW52YWxpZCBJZGVudGlmaWVyKUyluRA7794InGtSMjvv3gghQ0lRLi5JUV9PVEhFUl9DTF9TVVBQTC4yMDAwLi4uLi5IBQAAAAAAAAAIAAAAFChJbnZhbGlkIElkZW50aWZpZXIpTKW5EDvv3gi8GVQyO+/eCCFDSVEuLklRX0RFRl9DSEFSR0VTX0xULjIwMDAuLi4uLkgFAAAAAAAAAAgAAAAUKEludmFsaWQgSWRlbnRpZmllcilMpbkQO+/eCJK0</t>
  </si>
  <si>
    <t>VTI7794IGENJUS4uSVFfQVJfTFQuMjAwMC4uLi4uSAUAAAAAAAAACAAAABQoSW52YWxpZCBJZGVudGlmaWVyKUyluRA7794IND5WMjvv3ggdQ0lRLi5JUV9FUFNfNVlSX0FOTl9DQUdSLjk5MC4FAAAAAAAAAAgAAAAUKEludmFsaWQgSWRlbnRpZmllcilMpbkQO+/eCA5AODI7794II0NJUS5OQVNEQVE6Q0FMTS5JUV9UQlYuOTkxLi4uLlVTRC5IAQAAACB6BQACAAAABzc3OC4wMTMBCAAAAAUAAAABMQEAAAAKMTk3MjAxMjEyMQMAAAADMTYwAgAAAAQxMzEwBAAAAAEwBwAAAAk3LzMxLzIwMjYIAAAACDYvMy8yMDE3CQAAAAEwpFpNIjvv3gh+UY4lO+/eCCdDSVEuTkFTREFROkNBTE0uSVFfUkFXX0lOVi45OTEuLi4uVVNELkgBAAAAIHoFAAIAAAAGOTguMDU5AQgAAAAFAAAAATEBAAAACjE5NzIwMTIxMjEDAAAAAzE2MAIAAAAEMzE3MQQAAAABMAcAAAAJNy8zMS8yMDI2CAAAAAg2LzMvMjAxNwkAAAABMKRaTSI7794IflGOJTvv3ggtQ0lRLk5BU0RBUTpDQUxNLklRX0VRVUlUWV9NRVRIT0QuOTkzLi4uLlVTRC5IAQAAACB6BQACAAAABjY3LjU1NAEIAAAABQAAAAExAQAAAAstMjE0MjQyOTAzOQMAAAADMTYwAgAAAAQzMDYzBAAAAAEwBwAAAAk3LzMxLzIwMjYIAAAACDYvMS8yMDE5CQAAAAEwpFpNIjvv3gh+UY4lO+/eCCtDSVEuTkFTREFROkNBTE0uSVFfV09SS0lOR19DQVAuOTkzLi4uLlVTRC5IAQAA</t>
  </si>
  <si>
    <t>ACB6BQACAAAABzQ5Mi44NDYBCAAAAAUAAAABMQEAAAALLTIxNDI0MjkwMzkDAAAAAzE2MAIAAAAENDE2NQQAAAABMAcAAAAJNy8zMS8yMDI2CAAAAAg2LzEvMjAxOQkAAAABMKRaTSI7794IflGOJTvv3ggjQ0lRLk5BU0RBUTpDQUxNLklRX0NJUC45OTMuLi4uVVNELkgBAAAAIHoFAAIAAAAGNTIuNTUxAQgAAAAFAAAAATEBAAAACy0yMTQyNDI5MDM5AwAAAAMxNjACAAAABDMwMzMEAAAAATAHAAAACTcvMzEvMjAyNggAAAAINi8xLzIwMTkJAAAAATCkWk0iO+/eCH5RjiU7794IKkNJUS5OQVNEQVE6Q0FMTS5JUV9PVEhFUl9JTlYuMjAwMC4uLi5VU0QuSAEAAAAgegUAAwAAAAAApFpNIjvv3gh+UY4lO+/eCD5DSVEuTkFTREFROkNBTE0uSVFfR0VORVJBTF9QQVJUTkVSX0NPTU1PTl9FUVVJVFkuMjAwMC4uLi5VU0QuSAEAAAAgegUAAwAAAAAApFpNIjvv3gh+UY4lO+/eCDdDSVEuTkFTREFROkNBTE0uSVFfTUlOT1JJVFlfSU5UX1JFREVFTV9UT1QuOTkxLi4uLlVTRC5IAQAAACB6BQADAAAAAACkWk0iO+/eCCR+jiU7794IQENJUS5OQVNEQVE6Q0FMTS5JUV9BU1NFVFNfTkVUVElOR19PVEhFUl9BREpVU1RNRU5UUy45OTEuLi4uVVNELkgBAAAAIHoFAAMAAAAAAKRaTSI7794IJH6OJTvv3ghCQ0lRLk5BU0RBUTpDQUxNLklRX0xJUVVJREFUSU9OX1ZBTFVFX1BSRUZFUlJFRF9SRURFRU0uOTkzLi4uLlVT</t>
  </si>
  <si>
    <t>RC5IAQAAACB6BQADAAAAAACkWk0iO+/eCCR+jiU7794IIUNJUS5OQVNEQVE6Q0FMTS5JUV9QQVJUX1RJTUUuOTkzLgEAAAAgegUAAgAAAAMxNzgApFpNIjvv3ggkfo4lO+/eCDdDSVEuTkFTREFROkNBTE0uSVFfTElBQklMSVRJRVNfRkFJUl9WQUxVRS4yMDAwLi4uLlVTRC5IAQAAACB6BQACAAAABDIxLjUApFpNIjvv3gh+UY4lO+/eCDRDSVEuTkFTREFROkNBTE0uSVFfTElBQklMSVRJRVNfTEVWRUxfMi4yMDAwLi4uLlVTRC5IAQAAACB6BQADAAAAAACkWk0iO+/eCCR+jiU7794IMkNJUS5OQVNEQVE6Q0FMTS5JUV9GSU5fRElWX1NUX0lOVkVTVC4yMDAwLi4uLlVTRC5IAQAAACB6BQADAAAAAACkWk0iO+/eCCR+jiU7794INUNJUS5OQVNEQVE6Q0FMTS5JUV9GSU5fRElWX1NUX0RFQlRfVE9UQUwuOTkxLi4uLlVTRC5IAQAAACB6BQADAAAAAACkWk0iO+/eCCR+jiU7794IKkNJUS5OQVNEQVE6Q0FMTS5JUV9BVkdfVEVNUF9FTVBMT1lFRVMuOTkxLgEAAAAgegUAAwAAAAAApFpNIjvv3ggkfo4lO+/eCDNDSVEuTkFTREFROkNBTE0uSVFfU1RfREVCVF9ERVJJVkFUSVZFUy45OTEuLi4uVVNELkgBAAAAIHoFAAMAAAAAAKRaTSI7794IJH6OJTvv3ggzQ0lRLk5BU0RBUTpDQUxNLklRX1RPVEFMX0RFQlRfRVhDTF9GSU4uOTkzLi4uLlVTRC5IAQAAACB6BQACAAAABTIuNTU0AQgAAAAFAAAAATEBAAAACy0y</t>
  </si>
  <si>
    <t>MTQyNDI5MDM5AwAAAAMxNjACAAAABTIxODYwBAAAAAEwBwAAAAk3LzMxLzIwMjYIAAAACDYvMS8yMDE5CQAAAAEwpFpNIjvv3ggIpY4lO+/eCCZDSVEuTkFTREFROkNBTE0uSVFfQ09TVF9CT1JST1dJTkcuOTkzLgEAAAAgegUAAgAAAAcxNC45MDA1AQgAAAAFAAAAATEBAAAACy0yMTQyNDI5MDM5AwAAAAMxNjACAAAABTIxNjgxBAAAAAEwBwAAAAk3LzMxLzIwMjYIAAAACDYvMS8yMDE5CQAAAAEwpFpNIjvv3ggIpY4lO+/eCDhDSVEuTkFTREFROkNBTE0uSVFfQUNDVU1fQU1PUlRfSU5UQU5fQVNTRVRTLjk5My4uLi5VU0QuSAEAAAAgegUAAgAAAActMjYuODI3AQgAAAAFAAAAATEBAAAACy0yMTQyNDI5MDM5AwAAAAMxNjACAAAABTI0MzMxBAAAAAEwBwAAAAk3LzMxLzIwMjYIAAAACDYvMS8yMDE5CQAAAAEwpFpNIjvv3ggIpY4lO+/eCDhDSVEuTkFTREFROkNBTE0uSVFfREVSSVZBVElWRV9MSUFCX0NVUlJFTlQuMjAwMC4uLi5VU0QuSAEAAAAgegUAAwAAAAAApFpNIjvv3ggkfo4lO+/eCCpDSVEuTkFTREFROkNBTE0uSVFfSU5UQU5fTkVULjIwMDAuLi4uVVNELkgBAAAAIHoFAAIAAAAFNzMuMTMBCAAAAAUAAAABMQEAAAALLTE4ODEwNjgyOTUDAAAAAzE2MAIAAAAFNDg5NjIEAAAAATAHAAAACTcvMzEvMjAyNggAAAAJNS8zMC8yMDI2CQAAAAEwpFpNIjvv3ggkfo4lO+/eCDVDSVEuTkFTREFROkNB</t>
  </si>
  <si>
    <t>TE0uSVFfQURWQU5DRVNfRk9SX1NVUFBMSUVTLjk5MS4uLi5VU0QuSAEAAAAgegUAAwAAAAAApFpNIjvv3ggIpY4lO+/eCCVDSVEuTkFTREFROkNBTE0uSVFfUkVUVVJOX0FTU0VUUy45OTEuAQAAACB6BQACAAAABy03LjYwNDMBCAAAAAUAAAABMQEAAAAKMTk3MjAxMjEyMQMAAAADMTYwAgAAAAQ0MTc4BAAAAAEwBwAAAAk3LzMxLzIwMjYIAAAACDYvMy8yMDE3CQAAAAEwpFpNIjvv3ggIpY4lO+/eCCZDSVEuTkFTREFROkNBTE0uSVFfUkVTVEFURU1FTlRfQlMuOTkzLgEAAAAgegUAAwAAAAJOQwCkWk0iO+/eCAiljiU7794II0NJUS5OQVNEQVE6Q0FMTS5JUV9BU1NFVF9UVVJOUy45OTMuAQAAACB6BQACAAAABzEuMTgwMTkBCAAAAAUAAAABMQEAAAALLTIxNDI0MjkwMzkDAAAAAzE2MAIAAAAENDE3NwQAAAABMAcAAAAJNy8zMS8yMDI2CAAAAAg2LzEvMjAxOQkAAAABMKRaTSI7794ICKWOJTvv3ggkQ0lRLk5BU0RBUTpDQUxNLklRX0VCSVRfTUFSR0lOLjIwMDAuAQAAACB6BQACAAAABzExLjc5MjQBCAAAAAUAAAABMQEAAAALLTE4ODEwNjgyOTUDAAAAAzE2MAIAAAAENDA1MwQAAAABMAcAAAAJNy8zMS8yMDI2CAAAAAk1LzMwLzIwMjYJAAAAATCkWk0iO+/eCAiljiU7794ILUNJUS5OQVNEQVE6Q0FMTS5JUV9SRVRVUk5fQ09NTU9OX0VRVUlUWS4yMDAwLgEAAAAgegUAAgAAAAcxMi4xOTU2AQgAAAAF</t>
  </si>
  <si>
    <t>AAAAATEBAAAACy0xODgxMDY4Mjk1AwAAAAMxNjACAAAABTMzMzIwBAAAAAEwBwAAAAk3LzMxLzIwMjYIAAAACTUvMzAvMjAyNgkAAAABMKRaTSI7794ICKWOJTvv3ggmQ0lRLk5BU0RBUTpDQUxNLklRX0RBWVNfU0FMRVNfT1VULjk5MS4BAAAAIHoFAAIAAAAJMjEuMjgxMzAyAQgAAAAFAAAAATEBAAAACjE5NzIwMTIxMjEDAAAAAzE2MAIAAAAENDA0MgQAAAABMAcAAAAJNy8zMS8yMDI2CAAAAAg2LzMvMjAxNwkAAAABMKRaTSI7794ICKWOJTvv3gglQ0lRLk5BU0RBUTpDQUxNLklRX0NVUlJFTlRfUkFUSU8uOTkxLgEAAAAgegUAAgAAAAg2Ljc0NDE2NwEIAAAABQAAAAExAQAAAAoxOTcyMDEyMTIxAwAAAAMxNjACAAAABDQwMzAEAAAAATAHAAAACTcvMzEvMjAyNggAAAAINi8zLzIwMTcJAAAAATCkWk0iO+/eCAiljiU7794IOUNJUS5OQVNEQVE6Q0FMTS5JUV9FQklUREFfRVhDTF9PUEVSX0xFQVNFU19DQVBFWF9JTlQuOTkxLgEAAAAgegUAAwAAAAJOTQEIAAAABQAAAAExAQAAAAoxOTcyMDEyMTIxAwAAAAMxNjACAAAABTQ5MTc0BAAAAAEwBwAAAAk3LzMxLzIwMjYIAAAACDYvMy8yMDE3CQAAAAEwpFpNIjvv3ggIpY4lO+/eCCBDSVEuTkFTREFROkNBTE0uSVFfRUJJVF9JTlQuOTkzLgEAAAAgegUAAgAAAAk3MS4xMzk3NTEBCAAAAAUAAAABMQEAAAALLTIxNDI0MjkwMzkDAAAAAzE2MAIAAAAENDE4</t>
  </si>
  <si>
    <t>OQQAAAABMAcAAAAJNy8zMS8yMDI2CAAAAAg2LzEvMjAxOQkAAAABMKRaTSI7794IFsyOJTvv3ggmQ0lRLk5BU0RBUTpDQUxNLklRX0xUX0RFQlRfRVFVSVRZLjk5My4BAAAAIHoFAAIAAAAGMC4wODY2AQgAAAAFAAAAATEBAAAACy0yMTQyNDI5MDM5AwAAAAMxNjACAAAABDQwODUEAAAAATAHAAAACTcvMzEvMjAyNggAAAAINi8xLzIwMTkJAAAAATCkWk0iO+/eCBbMjiU7794IMkNJUS5OQVNEQVE6Q0FMTS5JUV9UT1RBTF9SRVZfRU1QTE9ZRUUuOTkzLi4uLlVTRC5IAQAAACB6BQACAAAABzQwMC4yMzEBCAAAAAUAAAABMQEAAAALLTIxNDI0MjkwMzkDAAAAAzE2MAIAAAAENDEyMwQAAAABMAcAAAAJNy8zMS8yMDI2CAAAAAg2LzEvMjAxOQkAAAABMKRaTSI7794IFsyOJTvv3ggtQ0lRLk5BU0RBUTpDQUxNLklRX0VCSVREQV8xWVJfQU5OX0dST1dUSC45OTEuAQAAACB6BQADAAAAAk5NAQgAAAAFAAAAATEBAAAACjE5NzIwMTIxMjEDAAAAAzE2MAIAAAAENDE5NgQAAAABMAcAAAAJNy8zMS8yMDI2CAAAAAg2LzMvMjAxNwkAAAABMKRaTSI7794IFsyOJTvv3ggpQ0lRLk5BU0RBUTpDQUxNLklRX0VCSVRfNVlSX0FOTl9DQUdSLjk5MS4BAAAAIHoFAAMAAAACTk0BCAAAAAUAAAABMQEAAAAKMTk3MjAxMjEyMQMAAAADMTYwAgAAAAQ0MjM2BAAAAAEwBwAAAAk3LzMxLzIwMjYIAAAACDYvMy8yMDE3CQAAAAEw</t>
  </si>
  <si>
    <t>pFpNIjvv3ggWzI4lO+/eCChDSVEuTkFTREFROkNBTE0uSVFfRVBTXzNZUl9BTk5fQ0FHUi45OTMuAQAAACB6BQACAAAACC00NC40NTc3AQgAAAAFAAAAATEBAAAACy0yMTQyNDI5MDM5AwAAAAMxNjACAAAABDQyMjYEAAAAATAHAAAACTcvMzEvMjAyNggAAAAINi8xLzIwMTkJAAAAATCkWk0iO+/eCBbMjiU7794IM0NJUS5OQVNEQVE6Q0FMTS5JUV9TVF9ERUJUX0RFUklWQVRJVkVTLjk5MC4uLi5VU0QuSAEAAAAgegUAAwAAAAAApFpNIjvv3ggWzI4lO+/eCDhDSVEuTkFTREFROkNBTE0uSVFfQUNDVU1fQU1PUlRfSU5UQU5fQVNTRVRTLjk5Mi4uLi5VU0QuSAEAAAAgegUAAgAAAActMjQuMDMyAQgAAAAFAAAAATEBAAAACjIwNDU3NDkzMTADAAAAAzE2MAIAAAAFMjQzMzEEAAAAATAHAAAACTcvMzEvMjAyNggAAAAINi8yLzIwMTgJAAAAATCkWk0iO+/eCBbMjiU7794IOUNJUS5OQVNEQVE6Q0FMTS5JUV9ERVJJVkFUSVZFX0FTU0VUU19DVVJSRU5ULjk5Mi4uLi5VU0QuSAEAAAAgegUAAwAAAAAApFpNIjvv3ggk844lO+/eCDVDSVEuTkFTREFROkNBTE0uSVFfQURWQU5DRVNfRk9SX1NVUFBMSUVTLjk5MC4uLi5VU0QuSAEAAAAgegUAAwAAAAAApFpNIjvv3ggk844lO+/eCCVDSVEuTkFTREFROkNBTE0uSVFfUkVUVVJOX0FTU0VUUy45OTAuAQAAACB6BQACAAAABzI4LjgxMjMBCAAAAAUAAAABMQEAAAAK</t>
  </si>
  <si>
    <t>MTg5NjgyMDUxNwMAAAADMTYwAgAAAAQ0MTc4BAAAAAEwBwAAAAk3LzMxLzIwMjYIAAAACTUvMjgvMjAxNgkAAAABMKRaTSI7794IFsyOJTvv3ggmQ0lRLk5BU0RBUTpDQUxNLklRX1JFU1RBVEVNRU5UX0JTLjk5Mi4BAAAAIHoFAAMAAAACTkMApFpNIjvv3ggWzI4lO+/eCCNDSVEuTkFTREFROkNBTE0uSVFfQVNTRVRfVFVSTlMuOTkyLgEAAAAgegUAAgAAAAYxLjM3NjYBCAAAAAUAAAABMQEAAAAKMjA0NTc0OTMxMAMAAAADMTYwAgAAAAQ0MTc3BAAAAAEwBwAAAAk3LzMxLzIwMjYIAAAACDYvMi8yMDE4CQAAAAEwpFpNIjvv3ggWzI4lO+/eCCVDSVEuTkFTREFROkNBTE0uSVFfQ1VSUkVOVF9SQVRJTy45OTAuAQAAACB6BQACAAAACDcuNTA0Nzk5AQgAAAAFAAAAATEBAAAACjE4OTY4MjA1MTcDAAAAAzE2MAIAAAAENDAzMAQAAAABMAcAAAAJNy8zMS8yMDI2CAAAAAk1LzI4LzIwMTYJAAAAATCkWk0iO+/eCCTzjiU7794IOUNJUS5OQVNEQVE6Q0FMTS5JUV9FQklUREFfRVhDTF9PUEVSX0xFQVNFU19DQVBFWF9JTlQuOTkwLgEAAAAgegUAAgAAAAozNzkuNTY4MzM5AQgAAAAFAAAAATEBAAAACjE4OTY4MjA1MTcDAAAAAzE2MAIAAAAFNDkxNzQEAAAAATAHAAAACTcvMzEvMjAyNggAAAAJNS8yOC8yMDE2CQAAAAEwpFpNIjvv3ggk844lO+/eCCJDSVEuTkFTREFROkNBTE0uSVFfRUJJVERBX0lOVC45OTAu</t>
  </si>
  <si>
    <t>AQAAACB6BQACAAAACjQ0NS40MjA0MTUBCAAAAAUAAAABMQEAAAAKMTg5NjgyMDUxNwMAAAADMTYwAgAAAAQ0MTkwBAAAAAEwBwAAAAk3LzMxLzIwMjYIAAAACTUvMjgvMjAxNgkAAAABMKRaTSI7794IJPOOJTvv3ggmQ0lRLk5BU0RBUTpDQUxNLklRX0xUX0RFQlRfRVFVSVRZLjk5Mi4BAAAAIHoFAAIAAAAGMC4yNjcyAQgAAAAFAAAAATEBAAAACjIwNDU3NDkzMTADAAAAAzE2MAIAAAAENDA4NQQAAAABMAcAAAAJNy8zMS8yMDI2CAAAAAg2LzIvMjAxOAkAAAABMKRaTSI7794IJPOOJTvv3ggyQ0lRLk5BU0RBUTpDQUxNLklRX1RPVEFMX1JFVl9FTVBMT1lFRS45OTIuLi4uVVNELkgBAAAAIHoFAAIAAAAFNDI5LjkBCAAAAAUAAAABMQEAAAAKMjA0NTc0OTMxMAMAAAADMTYwAgAAAAQ0MTIzBAAAAAEwBwAAAAk3LzMxLzIwMjYIAAAACDYvMi8yMDE4CQAAAAEwpFpNIjvv3ggk844lO+/eCEBDSVEuTkFTREFROkNBTE0uSVFfVE9UQUxfREVCVF9FQklUREFfRVhDTF9PUEVSX0xFQVNFU19DQVBFWC45OTIuAQAAACB6BQACAAAACDAuMDI4MTgzAQgAAAAFAAAAATEBAAAACjIwNDU3NDkzMTADAAAAAzE2MAIAAAAFNDkxODMEAAAAATAHAAAACTcvMzEvMjAyNggAAAAINi8yLzIwMTgJAAAAATCkWk0iO+/eCCTzjiU7794ILUNJUS5OQVNEQVE6Q0FMTS5JUV9FQklUREFfMVlSX0FOTl9HUk9XVEguOTkwLgEAAAAg</t>
  </si>
  <si>
    <t>egUAAgAAAAY4Ni41MzEBCAAAAAUAAAABMQEAAAAKMTg5NjgyMDUxNwMAAAADMTYwAgAAAAQ0MTk2BAAAAAEwBwAAAAk3LzMxLzIwMjYIAAAACTUvMjgvMjAxNgkAAAABMKRaTSI7794IJPOOJTvv3ggpQ0lRLk5BU0RBUTpDQUxNLklRX0VCSVRfNVlSX0FOTl9DQUdSLjk5MC4BAAAAIHoFAAIAAAAHNDIuOTA3MwEIAAAABQAAAAExAQAAAAoxODk2ODIwNTE3AwAAAAMxNjACAAAABDQyMzYEAAAAATAHAAAACTcvMzEvMjAyNggAAAAJNS8yOC8yMDE2CQAAAAEwpFpNIjvv3ggk844lO+/eCChDSVEuTkFTREFROkNBTE0uSVFfRVBTXzNZUl9BTk5fQ0FHUi45OTIuAQAAACB6BQACAAAABy03LjkxNzcBCAAAAAUAAAABMQEAAAAKMjA0NTc0OTMxMAMAAAADMTYwAgAAAAQ0MjI2BAAAAAEwBwAAAAk3LzMxLzIwMjYIAAAACDYvMi8yMDE4CQAAAAEwpFpNIjvv3ggk844lO+/eCCFDSVEuTkFTREFROkNBTE0uSVFfRUJJVF9JTlQuMjAwMC4BAAAAIHoFAAIAAAAKNjE3LjUzOTU2OAEIAAAABQAAAAExAQAAAAstMTg4MTA2ODI5NQMAAAADMTYwAgAAAAQ0MTg5BAAAAAEwBwAAAAk3LzMxLzIwMjYIAAAACTUvMzAvMjAyNgkAAAABMKRaTSI7794IJPOOJTvv3ggzQ0lRLk5BU0RBUTpDQUxNLklRX1RPVEFMX1JFVl9FTVBMT1lFRS4yMDAwLi4uLlVTRC5IAQAAACB6BQACAAAABzYwMi4wNzQBCAAAAAUAAAABMQEAAAALLTE4</t>
  </si>
  <si>
    <t>ODEwNjgyOTUDAAAAAzE2MAIAAAAENDEyMwQAAAABMAcAAAAJNy8zMS8yMDI2CAAAAAk1LzMwLzIwMjYJAAAAATCkWk0iO+/eCFYajyU7794IQENJUS5OQVNEQVE6Q0FMTS5JUV9UT1RBTF9ERUJUX0VCSVREQV9FWENMX09QRVJfTEVBU0VTX0NBUEVYLjk5MS4BAAAAIHoFAAMAAAACTk0BCAAAAAUAAAABMQEAAAAKMTk3MjAxMjEyMQMAAAADMTYwAgAAAAU0OTE4MwQAAAABMAcAAAAJNy8zMS8yMDI2CAAAAAg2LzMvMjAxNwkAAAABMKRaTSI7794IVhqPJTvv3gg6Q0lRLk5BU0RBUTpDQUxNLklRX1RPVEFMX0RFQlRfRUJJVERBX0VYQ0xfT1BFUl9MRUFTRVMuOTkzLgEAAAAgegUAAgAAAAgwLjAyNTQyMgEIAAAABQAAAAExAQAAAAstMjE0MjQyOTAzOQMAAAADMTYwAgAAAAU0ODk5NAQAAAABMAcAAAAJNy8zMS8yMDI2CAAAAAg2LzEvMjAxOQkAAAABMKRaTSI7794IVhqPJTvv3ggrQ0lRLk5BU0RBUTpDQUxNLklRX0VCSVREQV8zWVJfQU5OX0NBR1IuOTkxLgEAAAAgegUAAwAAAAJOTQEIAAAABQAAAAExAQAAAAoxOTcyMDEyMTIxAwAAAAMxNjACAAAABDQyMjIEAAAAATAHAAAACTcvMzEvMjAyNggAAAAINi8zLzIwMTcJAAAAATCkWk0iO+/eCFYajyU7794IKUNJUS5OQVNEQVE6Q0FMTS5JUV9OSV8xWVJfQU5OX0dST1dUSC45OTMuAQAAACB6BQACAAAACC01Ni45Mzc5AQgAAAAFAAAAATEBAAAACy0yMTQy</t>
  </si>
  <si>
    <t>NDI5MDM5AwAAAAMxNjACAAAABDQxOTkEAAAAATAHAAAACTcvMzEvMjAyNggAAAAINi8xLzIwMTkJAAAAATCkWk0iO+/eCCTzjiU7794IKkNJUS5OQVNEQVE6Q0FMTS5JUV9HUF8xWVJfQU5OX0dST1dUSC4yMDAwLgEAAAAgegUAAgAAAAgtNjMuNjkwNAEIAAAABQAAAAExAQAAAAstMTg4MTA2ODI5NQMAAAADMTYwAgAAAAQ0MTk1BAAAAAEwBwAAAAk3LzMxLzIwMjYIAAAACTUvMzAvMjAyNgkAAAABMKRaTSI7794IVhqPJTvv3ggoQ0lRLk5BU0RBUTpDQUxNLklRX0VQU181WVJfQU5OX0NBR1IuOTkzLgEAAAAgegUAAgAAAAgtMTMuMTE2OQEIAAAABQAAAAExAQAAAAstMjE0MjQyOTAzOQMAAAADMTYwAgAAAAQ0MjM5BAAAAAEwBwAAAAk3LzMxLzIwMjYIAAAACDYvMS8yMDE5CQAAAAEwpFpNIjvv3ghWGo8lO+/eCChDSVEuTkFTREFROkNBTE0uSVFfRVBTXzNZUl9BTk5fQ0FHUi45OTEuAQAAACB6BQADAAAAAk5NAQgAAAAFAAAAATEBAAAACjE5NzIwMTIxMjEDAAAAAzE2MAIAAAAENDIyNgQAAAABMAcAAAAJNy8zMS8yMDI2CAAAAAg2LzMvMjAxNwkAAAABMKRaTSI7794IVhqPJTvv3gg5Q0lRLk5BU0RBUTpDQUxNLklRX0RFUklWQVRJVkVfQVNTRVRTX0NVUlJFTlQuOTkwLi4uLlVTRC5IAQAAACB6BQADAAAAAACkWk0iO+/eCFYajyU7794IM0NJUS5OQVNEQVE6Q0FMTS5JUV9MVF9ERUJUX0RFUklWQVRJ</t>
  </si>
  <si>
    <t>VkVTLjk5Mi4uLi5VU0QuSAEAAAAgegUAAwAAAAAApFpNIjvv3ghfQY8lO+/eCCZDSVEuTkFTREFROkNBTE0uSVFfR1dfTkVULjk5Mi4uLi5VU0QuSAEAAAAgegUAAwAAAAAApFpNIjvv3ghWGo8lO+/eCCVDSVEuTkFTREFROkNBTE0uSVFfUkVUVVJOX0VRVUlUWS45OTIuAQAAACB6BQACAAAABzE0LjAyMDQBCAAAAAUAAAABMQEAAAAKMjA0NTc0OTMxMAMAAAADMTYwAgAAAAQ0MTI4BAAAAAEwBwAAAAk3LzMxLzIwMjYIAAAACDYvMi8yMDE4CQAAAAEwpFpNIjvv3ghWGo8lO+/eCC9DSVEuTkFTREFROkNBTE0uSVFfSU5URVJDT01QQU5ZX0NMLjk5MC4uLi5VU0QuSAEAAAAgegUAAwAAAAAApFpNIjvv3ghWGo8lO+/eCCNDSVEuTkFTREFROkNBTE0uSVFfQVNTRVRfVFVSTlMuOTkwLgEAAAAgegUAAgAAAAgxLjg3MDg0MgEIAAAABQAAAAExAQAAAAoxODk2ODIwNTE3AwAAAAMxNjACAAAABDQxNzcEAAAAATAHAAAACTcvMzEvMjAyNggAAAAJNS8yOC8yMDE2CQAAAAEwpFpNIjvv3ghWGo8lO+/eCCNDSVEuTkFTREFROkNBTE0uSVFfRUJJVF9NQVJHSU4uOTkwLgEAAAAgegUAAgAAAAcyNC42NDExAQgAAAAFAAAAATEBAAAACjE4OTY4MjA1MTcDAAAAAzE2MAIAAAAENDA1MwQAAAABMAcAAAAJNy8zMS8yMDI2CAAAAAk1LzI4LzIwMTYJAAAAATCkWk0iO+/eCF9BjyU7794IKENJUS5OQVNEQVE6Q0FMTS5JUV9E</t>
  </si>
  <si>
    <t>QVlTX1BBWUFCTEVfT1VULjk5Mi4BAAAAIHoFAAIAAAAJMTAuODM3MzcyAQgAAAAFAAAAATEBAAAACjIwNDU3NDkzMTADAAAAAzE2MAIAAAAENDE4MwQAAAABMAcAAAAJNy8zMS8yMDI2CAAAAAg2LzIvMjAxOAkAAAABMKRaTSI7794IX0GPJTvv3ggoQ0lRLk5BU0RBUTpDQUxNLklRX0NGT19DVVJSRU5UX0xJQUIuOTkyLgEAAAAgegUAAgAAAAgxLjg1ODQ4MgEIAAAABQAAAAExAQAAAAoyMDQ1NzQ5MzEwAwAAAAMxNjACAAAABDQxODUEAAAAATAHAAAACTcvMzEvMjAyNggAAAAINi8yLzIwMTgJAAAAATCkWk0iO+/eCF9BjyU7794IJkNJUS5OQVNEQVE6Q0FMTS5JUV9MVF9ERUJUX0VRVUlUWS45OTAuAQAAACB6BQACAAAABjEuMDA4MwEIAAAABQAAAAExAQAAAAoxODk2ODIwNTE3AwAAAAMxNjACAAAABDQwODUEAAAAATAHAAAACTcvMzEvMjAyNggAAAAJNS8yOC8yMDE2CQAAAAEwpFpNIjvv3ghfQY8lO+/eCEBDSVEuTkFTREFROkNBTE0uSVFfVE9UQUxfREVCVF9FQklUREFfRVhDTF9PUEVSX0xFQVNFU19DQVBFWC45OTAuAQAAACB6BQACAAAACDAuMDU4Mjc1AQgAAAAFAAAAATEBAAAACjE4OTY4MjA1MTcDAAAAAzE2MAIAAAAFNDkxODMEAAAAATAHAAAACTcvMzEvMjAyNggAAAAJNS8yOC8yMDE2CQAAAAEwpFpNIjvv3ghfQY8lO+/eCDpDSVEuTkFTREFROkNBTE0uSVFfVE9UQUxfREVCVF9FQklUREFf</t>
  </si>
  <si>
    <t>RVhDTF9PUEVSX0xFQVNFUy45OTIuAQAAACB6BQACAAAACDAuMDI1ODMxAQgAAAAFAAAAATEBAAAACjIwNDU3NDkzMTADAAAAAzE2MAIAAAAFNDg5OTQEAAAAATAHAAAACTcvMzEvMjAyNggAAAAINi8yLzIwMTgJAAAAATCkWk0iO+/eCF9BjyU7794IK0NJUS5OQVNEQVE6Q0FMTS5JUV9FQklUREFfM1lSX0FOTl9DQUdSLjk5MC4BAAAAIHoFAAIAAAAHNjIuMjY2MQEIAAAABQAAAAExAQAAAAoxODk2ODIwNTE3AwAAAAMxNjACAAAABDQyMjIEAAAAATAHAAAACTcvMzEvMjAyNggAAAAJNS8yOC8yMDE2CQAAAAEwpFpNIjvv3ghfQY8lO+/eCClDSVEuTkFTREFROkNBTE0uSVFfTklfMVlSX0FOTl9HUk9XVEguOTkyLgEAAAAgegUAAwAAAAJOTQEIAAAABQAAAAExAQAAAAoyMDQ1NzQ5MzEwAwAAAAMxNjACAAAABDQxOTkEAAAAATAHAAAACTcvMzEvMjAyNggAAAAINi8yLzIwMTgJAAAAATCkWk0iO+/eCF9BjyU7794IKENJUS5OQVNEQVE6Q0FMTS5JUV9FUFNfNVlSX0FOTl9DQUdSLjk5Mi4BAAAAIHoFAAIAAAAHMTkuODgyOAEIAAAABQAAAAExAQAAAAoyMDQ1NzQ5MzEwAwAAAAMxNjACAAAABDQyMzkEAAAAATAHAAAACTcvMzEvMjAyNggAAAAINi8yLzIwMTgJAAAAATCkWk0iO+/eCF9BjyU7794IIENJUS5OQVNEQVE6Q0FMTS5JUV9BUl9UVVJOUy45OTMuAQAAACB6BQACAAAACTE5Ljc1NzQyNwEIAAAABQAA</t>
  </si>
  <si>
    <t>AAExAQAAAAstMjE0MjQyOTAzOQMAAAADMTYwAgAAAAQ0MDAxBAAAAAEwBwAAAAk3LzMxLzIwMjYIAAAACDYvMS8yMDE5CQAAAAEwpFpNIjvv3ghfQY8lO+/eCChDSVEuTkFTREFROkNBTE0uSVFfQ0ZPX0NVUlJFTlRfTElBQi45OTEuAQAAACB6BQACAAAACS0wLjcwOTkzNgEIAAAABQAAAAExAQAAAAoxOTcyMDEyMTIxAwAAAAMxNjACAAAABDQxODUEAAAAATAHAAAACTcvMzEvMjAyNggAAAAINi8zLzIwMTcJAAAAATCkWk0iO+/eCK5ojyU7794IKENJUS5OQVNEQVE6Q0FMTS5JUV9FQklUREFfQ0FQRVhfSU5ULjk5MS4BAAAAIHoFAAMAAAACTk0BCAAAAAUAAAABMQEAAAAKMTk3MjAxMjEyMQMAAAADMTYwAgAAAAQ0MTkxBAAAAAEwBwAAAAk3LzMxLzIwMjYIAAAACDYvMy8yMDE3CQAAAAEwpFpNIjvv3giuaI8lO+/eCC9DSVEuTkFTREFROkNBTE0uSVFfVE9UQUxfTElBQl9UT1RBTF9BU1NFVFMuOTkzLgEAAAAgegUAAgAAAAcxNC4zOTcyAQgAAAAFAAAAATEBAAAACy0yMTQyNDI5MDM5AwAAAAMxNjACAAAABDQxODgEAAAAATAHAAAACTcvMzEvMjAyNggAAAAINi8xLzIwMTkJAAAAATCkWk0iO+/eCK5ojyU7794IK0NJUS5OQVNEQVE6Q0FMTS5JUV9UT1RBTF9ERUJUX0NBUElUQUwuMjAwMC4BAAAAIHoFAAMAAAAAAKRaTSI7794IX0GPJTvv3gg+Q0lRLk5BU0RBUTpDQUxNLklRX05FVF9ERUJUX0VCSVRE</t>
  </si>
  <si>
    <t>QV9FWENMX09QRVJfTEVBU0VTX0NBUEVYLjk5My4BAAAAIHoFAAMAAAACTk0BCAAAAAUAAAABMQEAAAALLTIxNDI0MjkwMzkDAAAAAzE2MAIAAAAFNDkxODIEAAAAATAHAAAACTcvMzEvMjAyNggAAAAINi8xLzIwMTkJAAAAATCkWk0iO+/eCK5ojyU7794IMENJUS5OQVNEQVE6Q0FMTS5JUV9UT1RBTF9ERUJUX0VCSVREQV9DQVBFWC4yMDAwLgEAAAAgegUAAwAAAAAApFpNIjvv3giuaI8lO+/eCDpDSVEuTkFTREFROkNBTE0uSVFfVE9UQUxfREVCVF9FQklUREFfRVhDTF9PUEVSX0xFQVNFUy45OTEuAQAAACB6BQADAAAAAk5NAQgAAAAFAAAAATEBAAAACjE5NzIwMTIxMjEDAAAAAzE2MAIAAAAFNDg5OTQEAAAAATAHAAAACTcvMzEvMjAyNggAAAAINi8zLzIwMTcJAAAAATCkWk0iO+/eCK5ojyU7794IKENJUS5OQVNEQVE6Q0FMTS5JUV9HUF8zWVJfQU5OX0NBR1IuMjAwMC4BAAAAIHoFAAIAAAAHLTE3LjQ5MQEIAAAABQAAAAExAQAAAAstMTg4MTA2ODI5NQMAAAADMTYwAgAAAAQ0MjIxBAAAAAEwBwAAAAk3LzMxLzIwMjYIAAAACTUvMzAvMjAyNgkAAAABMKRaTSI7794IrmiPJTvv3ggpQ0lRLk5BU0RBUTpDQUxNLklRX05JXzFZUl9BTk5fR1JPV1RILjk5MS4BAAAAIHoFAAMAAAACTk0BCAAAAAUAAAABMQEAAAAKMTk3MjAxMjEyMQMAAAADMTYwAgAAAAQ0MTk5BAAAAAEwBwAAAAk3LzMxLzIwMjYIAAAA</t>
  </si>
  <si>
    <t>CDYvMy8yMDE3CQAAAAEwpFpNIjvv3giuaI8lO+/eCDBDSVEuTkFTREFROkNBTE0uSVFfVE9UQUxfUkVWXzFZUl9BTk5fR1JPV1RILjk5My4BAAAAIHoFAAIAAAAHLTkuNDMxMgEIAAAABQAAAAExAQAAAAstMjE0MjQyOTAzOQMAAAADMTYwAgAAAAQ0MTk0BAAAAAEwBwAAAAk3LzMxLzIwMjYIAAAACDYvMS8yMDE5CQAAAAEwpFpNIjvv3giuaI8lO+/eCChDSVEuTkFTREFROkNBTE0uSVFfRVBTXzVZUl9BTk5fQ0FHUi45OTEuAQAAACB6BQADAAAAAk5NAQgAAAAFAAAAATEBAAAACjE5NzIwMTIxMjEDAAAAAzE2MAIAAAAENDIzOQQAAAABMAcAAAAJNy8zMS8yMDI2CAAAAAg2LzMvMjAxNwkAAAABMKRaTSI7794IrmiPJTvv3ggnQ0lRLk5BU0RBUTpDQUxNLklRX0dQXzVZUl9BTk5fQ0FHUi45OTMuAQAAACB6BQACAAAABy01Ljk0NDMBCAAAAAUAAAABMQEAAAALLTIxNDI0MjkwMzkDAAAAAzE2MAIAAAAENDIzNAQAAAABMAcAAAAJNy8zMS8yMDI2CAAAAAg2LzEvMjAxOQkAAAABMKRaTSI7794IrmiPJTvv3gg7Q0lRQVZHLk5BU0RBUTpDQUxNLklRX1RFVl9FQklUREEuMjAwMC4yOC8wMi8yMDI2LjMwLzA1LzIwMjYBAAAAIHoFAAIAAAAQMi4zMDIzODQ4Mjg3NDgxNgD1mQwlO+/eCFvI6jI7794IPkNJUUFWRy5OQVNEQVE6Q0FMTS5JUV9URVZfVE9UQUxfUkVWLjIwMDAuMjgvMDIvMjAyNi4zMC8wNS8yMDI2</t>
  </si>
  <si>
    <t>AQAAACB6BQACAAAAETAuNzA3NDYwMzQ1NjA1NDY2APWZDCU7794IW8jqMjvv3gg5Q0lRQVZHLk5BU0RBUTpDQUxNLklRX1RFVl9FQklULjIwMDAuMjgvMDIvMjAyNi4zMC8wNS8yMDI2AQAAACB6BQACAAAAEDIuNTcxMjM5OTk1NTM3MDcA9ZkMJTvv3ghbyOoyO+/eCDhDSVFBVkcuTkFTREFROkNBTE0uSVFfUEVfRVhDTC4yMDAwLjI4LzAyLzIwMjYuMzAvMDUvMjAyNgEAAAAgegUAAgAAABA0LjcwNTQxNTg0MDQwNTk4APWZDCU7794IW8jqMjvv3gg0Q0lRQVZHLk5BU0RBUTpDQUxNLklRX1BCVi4yMDAwLjI4LzAyLzIwMjYuMzAvMDUvMjAyNgEAAAAgegUAAgAAABAxLjM5NzUwMDcxODc5MzM0APWZDCU7794IW8jqMjvv3gg1Q0lRQVZHLk5BU0RBUTpDQUxNLklRX1BUQlYuMjAwMC4yOC8wMi8yMDI2LjMwLzA1LzIwMjYBAAAAIHoFAAIAAAAQMS40NzQ2MzI1NDk5MDA3NwD1mQwlO+/eCFvI6jI7794INUNJUUFWRy5OQVNEQVE6Q0FMTS5JUV9QVEJWLjIwMDAuMzEvMDUvMjAyNS4zMC8wNS8yMDI2AQAAACB6BQACAAAAEDEuNzM5NDExNzQxOTExNjgA9ZkMJTvv3giKwdo0O+/eCDRDSVFBVkcuTkFTREFROkNBTE0uSVFfUEJWLjIwMDAuMzEvMDUvMjAyNS4zMC8wNS8yMDI2AQAAACB6BQACAAAAEDEuNjcwMDQzOTEyNzc4MzEA9ZkMJTvv3giKwdo0O+/eCDhDSVFBVkcuTkFTREFROkNBTE0uSVFfUEVfRVhD</t>
  </si>
  <si>
    <t>TC4yMDAwLjMxLzA1LzIwMjUuMzAvMDUvMjAyNgEAAAAgegUAAgAAABA0LjExNjcwNTkzMDk5NzUyAPWZDCU7794IQNbaNDvv3gg5Q0lRQVZHLk5BU0RBUTpDQUxNLklRX1RFVl9FQklULjIwMDAuMzEvMDUvMjAyNS4zMC8wNS8yMDI2AQAAACB6BQACAAAAEDIuMzEwMjI1NTA3Njk4MjIA9ZkMJTvv3ghA1to0O+/eCDtDSVFBVkcuTkFTREFROkNBTE0uSVFfVEVWX0VCSVREQS4yMDAwLjMxLzA1LzIwMjUuMzAvMDUvMjAyNgEAAAAgegUAAgAAABAyLjEzOTE1MTMxODQxMjM4APWZDCU7794IQNbaNDvv3gg+Q0lRQVZHLk5BU0RBUTpDQUxNLklRX1RFVl9UT1RBTF9SRVYuMjAwMC4zMS8wNS8yMDI1LjMwLzA1LzIwMjYBAAAAIHoFAAIAAAARMC43NjY0MzY3MDAzNjUxNzUA9ZkMJTvv3ghA1to0O+/eCDJDSVEuTkFTREFROkNBTE0uSVFfQ0ZPX0NVUlJFTlRfTElBQi45OTQuMzEvMDcvMjAyNgEAAAAgegUAAgAAAAcwLjc4OTk0AQgAAAAFAAAAATEBAAAACy0yMDg4MzQ3NDY5AwAAAAMxNjACAAAABDQxODUEAAAAATAHAAAACTcvMzEvMjAyNggAAAAJNS8zMC8yMDIwCQAAAAEwIbiNMDvv3ghNRKM0O+/eCDFDSVEuTkFTREFROkNBTE0uSVFfTFRfREVCVF9FUVVJVFkuMTAwMC4zMS8wNy8yMDI2AQAAACB6BQADAAAAAABL340wO+/eCPmTojQ7794IQUNJUS5OQVNEQVE6Q0FMTS5JUV9FTVBMT1lFRVNfVU5ERVJf</t>
  </si>
  <si>
    <t>VU5JT05fQ09OVFJBQ1RTLjk5Ny4zMS8wNy8yMDI2AQAAACB6BQADAAAAAADwVY0wO+/eCOOlpTQ7794IQkNJUS5OQVNEQVE6Q0FMTS5JUV9ORVRfREVCVF9FQklUREFfRVhDTF9PUEVSX0xFQVNFUy45OTguMzEvMDcvMjAyNgEAAAAgegUAAwAAAAJOTQEIAAAABQAAAAExAQAAAAstMTg4MTA2ODY3NgMAAAADMTYwAgAAAAU0OTE3NQQAAAABMAcAAAAJNy8zMS8yMDI2CAAAAAg2LzEvMjAyNAkAAAABMAJ1hzA7794IUUahNDvv3ghBQ0lRLk5BU0RBUTpDQUxNLklRX0VNUExPWUVFU19VTkRFUl9VTklPTl9DT05UUkFDVFMuOTk5LjMxLzA3LzIwMjYBAAAAIHoFAAIAAAACNDMA8FWNMDvv3gjjpaU0O+/eCDFDSVEuTkFTREFROkNBTE0uSVFfRklMSU5HX0NVUlJFTkNZLjk5OS4zMS8wNy8yMDI2AQAAACB6BQADAAAAA1VTRADpAhgxO+/eCLZApzQ7794IL0NJUS5OQVNEQVE6Q0FMTS5JUV9HUk9TU19NQVJHSU4uMTAwMC4zMS8wNy8yMDI2AQAAACB6BQACAAAABzIzLjA4MTUBCAAAAAUAAAABMQEAAAALLTE4ODEwNjg2NjgDAAAAAzE2MAIAAAAENDA3NAQAAAABMAcAAAAJNy8zMS8yMDI2CAAAAAk1LzMwLzIwMjYJAAAAATAhuI0wO+/eCL+ApDQ7794IOUNJUS5OQVNEQVE6Q0FMTS5JUV9UT1RBTF9ERUJUX0VCSVREQV9DQVBFWC45OTQuMzEvMDcvMjAyNgEAAAAgegUAAwAAAAJOTQEIAAAABQAAAAExAQAAAAst</t>
  </si>
  <si>
    <t>MjA4ODM0NzQ2OQMAAAADMTYwAgAAAAUyMzMxMwQAAAABMAcAAAAJNy8zMS8yMDI2CAAAAAk1LzMwLzIwMjAJAAAAATACdYcwO+/eCJELoTQ7794IMENJUS5OQVNEQVE6Q0FMTS5JUV9MVF9ERUJUX0VRVUlUWS45OTkuMzEvMDcvMjAyNgEAAAAgegUAAwAAAAAAS9+NMDvv3giybKI0O+/eCEJDSVEuTkFTREFROkNBTE0uSVFfTkVUX0RFQlRfRUJJVERBX0VYQ0xfT1BFUl9MRUFTRVMuOTk3LjMxLzA3LzIwMjYBAAAAIHoFAAMAAAACTk0BCAAAAAUAAAABMQEAAAALLTE5MzQ5Nzg0MjADAAAAAzE2MAIAAAAFNDkxNzUEAAAAATAHAAAACTcvMzEvMjAyNggAAAAINi8zLzIwMjMJAAAAATACdYcwO+/eCFFGoTQ7794IO0NJUS5OQVNEQVE6Q0FMTS5JUV9UT1RBTF9SRVZfMVlSX0FOTl9HUk9XVEguMTAwMC4zMS8wNy8yMDI2AQAAACB6BQACAAAACC0zMS42ODIxAQgAAAAFAAAAATEBAAAACy0xODgxMDY4NjY4AwAAAAMxNjACAAAABDQxOTQEAAAAATAHAAAACTcvMzEvMjAyNggAAAAJNS8zMC8yMDI2CQAAAAEwsoiHMDvv3gg2lqA0O+/eCDJDSVEuTkFTREFROkNBTE0uSVFfRVBTXzNZUl9BTk5fQ0FHUi45OTguMzEvMDcvMjAyNgEAAAAgegUAAgAAAAg0MjIuMDE2MwEIAAAABQAAAAExAQAAAAstMTg4MTA2ODY3NgMAAAADMTYwAgAAAAQ0MjI2BAAAAAEwBwAAAAk3LzMxLzIwMjYIAAAACDYvMS8yMDI0CQAAAAEw</t>
  </si>
  <si>
    <t>soiHMDvv3gj9l580O+/eCDBDSVEuTkFTREFROkNBTE0uSVFfUkVTVEFURU1FTlRfQ0YuOTk5LjMxLzA3LzIwMjYBAAAAIHoFAAMAAAACTkMAWa76MDvv3gi2pKY0O+/eCDFDSVEuTkFTREFROkNBTE0uSVFfRklMSU5HX0NVUlJFTkNZLjk5OC4zMS8wNy8yMDI2AQAAACB6BQADAAAAA1VTRADpAhgxO+/eCLZApzQ7794IL0NJUS5OQVNEQVE6Q0FMTS5JUV9SRVRVUk5fRVFVSVRZLjk5OC4zMS8wNy8yMDI2AQAAACB6BQACAAAABzE2LjIyMDIBCAAAAAUAAAABMQEAAAALLTE4ODEwNjg2NzYDAAAAAzE2MAIAAAAENDEyOAQAAAABMAcAAAAJNy8zMS8yMDI2CAAAAAg2LzEvMjAyNAkAAAABMCG4jTA7794Ius6kNDvv3ggvQ0lRLk5BU0RBUTpDQUxNLklRX0VCSVREQV9NQVJHSU4uOTk3LjMxLzA3LzIwMjYBAAAAIHoFAAIAAAAHMzIuOTQzOAEIAAAABQAAAAExAQAAAAstMTkzNDk3ODQyMAMAAAADMTYwAgAAAAQ0MDQ3BAAAAAEwBwAAAAk3LzMxLzIwMjYIAAAACDYvMy8yMDIzCQAAAAEwIbiNMDvv3gi/gKQ0O+/eCC9DSVEuTkFTREFROkNBTE0uSVFfQ0FQRVhfUENUX1JFVi45OTQuMzEvMDcvMjAyNgEAAAAgegUAAgAAAAY5LjE4NzQBCAAAAAUAAAABMQEAAAALLTIwODgzNDc0NjkDAAAAAzE2MAIAAAAFMzUzODAEAAAAATAHAAAACTcvMzEvMjAyNggAAAAJNS8zMC8yMDIwCQAAAAEwIbiNMDvv3ggIL6Q0O+/e</t>
  </si>
  <si>
    <t>CC9DSVEuTkFTREFROkNBTE0uSVFfQ0FQRVhfUENUX1JFVi45OTkuMzEvMDcvMjAyNgEAAAAgegUAAgAAAAYzLjc4MzYBCAAAAAUAAAABMQEAAAALLTE4ODEwNjg2NzUDAAAAAzE2MAIAAAAFMzUzODAEAAAAATAHAAAACTcvMzEvMjAyNggAAAAJNS8zMS8yMDI1CQAAAAEwIbiNMDvv3ggIL6Q0O+/eCDpDSVEuTkFTREFROkNBTE0uSVFfVE9UQUxfUkVWXzFZUl9BTk5fR1JPV1RILjk5OS4zMS8wNy8yMDI2AQAAACB6BQACAAAABzgzLjE5MzEBCAAAAAUAAAABMQEAAAALLTE4ODEwNjg2NzUDAAAAAzE2MAIAAAAENDE5NAQAAAABMAcAAAAJNy8zMS8yMDI2CAAAAAk1LzMxLzIwMjUJAAAAATCyiIcwO+/eCDaWoDQ7794IOUNJUS5OQVNEQVE6Q0FMTS5JUV9UT1RBTF9ERUJUX0VCSVREQV9DQVBFWC45OTkuMzEvMDcvMjAyNgEAAAAgegUAAwAAAAAAAnWHMDvv3giRC6E0O+/eCDFDSVEuTkFTREFROkNBTE0uSVFfR1BfNVlSX0FOTl9DQUdSLjk5OS4zMS8wNy8yMDI2AQAAACB6BQACAAAABzU5LjQ0ODUBCAAAAAUAAAABMQEAAAALLTE4ODEwNjg2NzUDAAAAAzE2MAIAAAAENDIzNAQAAAABMAcAAAAJNy8zMS8yMDI2CAAAAAk1LzMxLzIwMjUJAAAAATCyiIcwO+/eCO1wnzQ7794IMUNJUS5OQVNEQVE6Q0FMTS5JUV9QRVJJT0RMRU5HVEhfQ0YuOTk3LjMxLzA3LzIwMjYBAAAAIHoFAAEAAAACMTIA9pX2MDvv3gi2</t>
  </si>
  <si>
    <t>8qY0O+/eCDpDSVEuTkFTREFROkNBTE0uSVFfVE9UQUxfREVCVF9FQklUREFfQ0FQRVguMTAwMC4zMS8wNy8yMDI2AQAAACB6BQADAAAAAAACdYcwO+/eCJELoTQ7794ILENJUS5OQVNEQVE6Q0FMTS5JUV9JTlZfTUVUSE9ELjk5Ni4zMS8wNy8yMDI2AQAAACB6BQADAAAABEZJRk8A4FyRMDvv3ghaL6Y0O+/eCCtDSVEuTkFTREFROkNBTE0uSVFfUEFSVF9USU1FLjk5OS4zMS8wNy8yMDI2AQAAACB6BQACAAAAAzE0NQDwVY0wO+/eCBMIpjQ7794IM0NJUS5OQVNEQVE6Q0FMTS5JUV9OVU1CRVJfQURSSE9MREVSUy45OTkuMzEvMDcvMjAyNgEAAAAgegUAAwAAAAAA8FWNMDvv3ggHkqU0O+/eCC9DSVEuTkFTREFROkNBTE0uSVFfUkVUVVJOX0VRVUlUWS45OTUuMzEvMDcvMjAyNgEAAAAgegUAAgAAAAYwLjIwMzcBCAAAAAUAAAABMQEAAAALLTIwMzcyNDE3MjEDAAAAAzE2MAIAAAAENDEyOAQAAAABMAcAAAAJNy8zMS8yMDI2CAAAAAk1LzI5LzIwMjEJAAAAATAhuI0wO+/eCLCnpDQ7794IM0NJUS5OQVNEQVE6Q0FMTS5JUV9OVU1CRVJfQURSSE9MREVSUy45OTYuMzEvMDcvMjAyNgEAAAAgegUAAwAAAAAA8FWNMDvv3ggEa6U0O+/eCDFDSVEuTkFTREFROkNBTE0uSVFfSU5WRU5UT1JZX1RVUk5TLjk5Ny4zMS8wNy8yMDI2AQAAACB6BQACAAAACDcuMTE5MzY4AQgAAAAFAAAAATEBAAAACy0xOTM0OTc4NDIw</t>
  </si>
  <si>
    <t>AwAAAAMxNjACAAAABDQwODIEAAAAATAHAAAACTcvMzEvMjAyNggAAAAINi8zLzIwMjMJAAAAATAhuI0wO+/eCIhrozQ7794IMENJUS5OQVNEQVE6Q0FMTS5JUV9EQVlTX1NBTEVTX09VVC45OTUuMzEvMDcvMjAyNgEAAAAgegUAAgAAAAkyMi4xMzE1NjQBCAAAAAUAAAABMQEAAAALLTIwMzcyNDE3MjEDAAAAAzE2MAIAAAAENDA0MgQAAAABMAcAAAAJNy8zMS8yMDI2CAAAAAk1LzI5LzIwMjEJAAAAATBL340wO+/eCDsdozQ7794IMUNJUS5OQVNEQVE6Q0FMTS5JUV9DQVNIX0NPTlZFUlNJT04uOTk1LjMxLzA3LzIwMjYBAAAAIHoFAAIAAAAJNjguMDI5NDE2AQgAAAAFAAAAATEBAAAACy0yMDM3MjQxNzIxAwAAAAMxNjACAAAABDQxODQEAAAAATAHAAAACTcvMzEvMjAyNggAAAAJNS8yOS8yMDIxCQAAAAEwS9+NMDvv3gi6zqI0O+/eCDJDSVEuTkFTREFROkNBTE0uSVFfRUJJVERBX0NBUEVYX0lOVC45OTcuMzEvMDcvMjAyNgEAAAAgegUAAgAAAAsxNTQzLjU5MzQ4MQEIAAAABQAAAAExAQAAAAstMTkzNDk3ODQyMAMAAAADMTYwAgAAAAQ0MTkxBAAAAAEwBwAAAAk3LzMxLzIwMjYIAAAACDYvMy8yMDIzCQAAAAEwS9+NMDvv3gjaz6E0O+/eCDFDSVEuTkFTREFROkNBTE0uSVFfSU5WRU5UT1JZX1RVUk5TLjk5Ni4zMS8wNy8yMDI2AQAAACB6BQACAAAACDUuOTc5MzUxAQgAAAAFAAAAATEBAAAACy0xOTg2</t>
  </si>
  <si>
    <t>NzA4NDMzAwAAAAMxNjACAAAABDQwODIEAAAAATAHAAAACTcvMzEvMjAyNggAAAAJNS8yOC8yMDIyCQAAAAEwIbiNMDvv3giIa6M0O+/eCDFDSVEuTkFTREFROkNBTE0uSVFfUEVSSU9ETEVOR1RIX0NGLjk5Ni4zMS8wNy8yMDI2AQAAACB6BQABAAAAAjEyAPaV9jA7794ItvKmNDvv3ggwQ0lRLk5BU0RBUTpDQUxNLklRX1JFU1RBVEVNRU5UX0NGLjk5OC4zMS8wNy8yMDI2AQAAACB6BQADAAAAAk5DAFmu+jA7794ItqSmNDvv3ggsQ0lRLk5BU0RBUTpDQUxNLklRX0lOVl9NRVRIT0QuOTk1LjMxLzA3LzIwMjYBAAAAIHoFAAMAAAAERklGTwDgXJEwO+/eCFovpjQ7794IK0NJUS5OQVNEQVE6Q0FMTS5JUV9QQVJUX1RJTUUuOTk4LjMxLzA3LzIwMjYBAAAAIHoFAAIAAAADMTM4APBVjTA7794IEwimNDvv3gg3Q0lRLk5BU0RBUTpDQUxNLklRX0VCSVREQV8xWVJfQU5OX0dST1dUSC45OTYuMzEvMDcvMjAyNgEAAAAgegUAAgAAAAg0NzEuNDEzMQEIAAAABQAAAAExAQAAAAstMTk4NjcwODQzMwMAAAADMTYwAgAAAAQ0MTk2BAAAAAEwBwAAAAk3LzMxLzIwMjYIAAAACTUvMjgvMjAyMgkAAAABMLKIhzA7794IJm+gNDvv3ggwQ0lRLk5BU0RBUTpDQUxNLklRX1JFU1RBVEVNRU5UX0JTLjk5OS4zMS8wNy8yMDI2AQAAACB6BQADAAAAAk5DACG4jTA7794I2UOlNDvv3ggvQ0lRLk5BU0RBUTpDQUxNLklRX1JFVFVS</t>
  </si>
  <si>
    <t>Tl9FUVVJVFkuOTk0LjMxLzA3LzIwMjYBAAAAIHoFAAIAAAAGMS44MzMyAQgAAAAFAAAAATEBAAAACy0yMDg4MzQ3NDY5AwAAAAMxNjACAAAABDQxMjgEAAAAATAHAAAACTcvMzEvMjAyNggAAAAJNS8zMC8yMDIwCQAAAAEwIbiNMDvv3gi6zqQ0O+/eCDBDSVEuTkFTREFROkNBTE0uSVFfRUJJVERBX01BUkdJTi4xMDAwLjMxLzA3LzIwMjYBAAAAIHoFAAIAAAAHMTYuMDYyOQEIAAAABQAAAAExAQAAAAstMTg4MTA2ODY2OAMAAAADMTYwAgAAAAQ0MDQ3BAAAAAEwBwAAAAk3LzMxLzIwMjYIAAAACTUvMzAvMjAyNgkAAAABMCG4jTA7794I61WkNDvv3ggvQ0lRLk5BU0RBUTpDQUxNLklRX0NBUEVYX1BDVF9SRVYuOTk4LjMxLzA3LzIwMjYBAAAAIHoFAAIAAAAGNi4zMjM2AQgAAAAFAAAAATEBAAAACy0xODgxMDY4Njc2AwAAAAMxNjACAAAABTM1MzgwBAAAAAEwBwAAAAk3LzMxLzIwMjYIAAAACDYvMS8yMDI0CQAAAAEwIbiNMDvv3ggIL6Q0O+/eCDBDSVEuTkFTREFROkNBTE0uSVFfQ09TVF9CT1JST1dJTkcuOTk3LjMxLzA3LzIwMjYBAAAAIHoFAAMAAAAAAPBVjTA7794IBGulNDvv3ggwQ0lRLk5BU0RBUTpDQUxNLklRX0RBWVNfU0FMRVNfT1VULjk5NC4zMS8wNy8yMDI2AQAAACB6BQACAAAACTE5LjEyNTI4OAEIAAAABQAAAAExAQAAAAstMjA4ODM0NzQ2OQMAAAADMTYwAgAAAAQ0MDQyBAAAAAEwBwAA</t>
  </si>
  <si>
    <t>AAk3LzMxLzIwMjYIAAAACTUvMzAvMjAyMAkAAAABMEvfjTA7794IOx2jNDvv3gg5Q0lRLk5BU0RBUTpDQUxNLklRX1RPVEFMX0xJQUJfVE9UQUxfQVNTRVRTLjk5OS4zMS8wNy8yMDI2AQAAACB6BQACAAAABzE2LjgxMjUBCAAAAAUAAAABMQEAAAALLTE4ODEwNjg2NzUDAAAAAzE2MAIAAAAENDE4OAQAAAABMAcAAAAJNy8zMS8yMDI2CAAAAAk1LzMxLzIwMjUJAAAAATBL340wO+/eCLJsojQ7794IQ0NJUS5OQVNEQVE6Q0FMTS5JUV9FQklUREFfRVhDTF9PUEVSX0xFQVNFU19DQVBFWF9JTlQuOTk2LjMxLzA3LzIwMjYBAAAAIHoFAAIAAAAKMzMzLjU1ODMxMgEIAAAABQAAAAExAQAAAAstMTk4NjcwODQzMwMAAAADMTYwAgAAAAU0OTE3NAQAAAABMAcAAAAJNy8zMS8yMDI2CAAAAAk1LzI4LzIwMjIJAAAAATD9TYcwO+/eCNrPoTQ7794ISkNJUS5OQVNEQVE6Q0FMTS5JUV9UT1RBTF9ERUJUX0VCSVREQV9FWENMX09QRVJfTEVBU0VTX0NBUEVYLjk5Ni4zMS8wNy8yMDI2AQAAACB6BQADAAAAAACyiIcwO+/eCJELoTQ7794IL0NJUS5OQVNEQVE6Q0FMTS5JUV9DVVJSRU5UX1JBVElPLjk5NS4zMS8wNy8yMDI2AQAAACB6BQACAAAACDUuNzcwNzkxAQgAAAAFAAAAATEBAAAACy0yMDM3MjQxNzIxAwAAAAMxNjACAAAABDQwMzAEAAAAATAHAAAACTcvMzEvMjAyNggAAAAJNS8yOS8yMDIxCQAAAAEwIbiNMDvv</t>
  </si>
  <si>
    <t>3giIa6M0O+/eCDJDSVEuTkFTREFROkNBTE0uSVFfRVBTXzVZUl9BTk5fQ0FHUi45OTcuMzEvMDcvMjAyNgEAAAAgegUAAgAAAAc0Mi45NDk4AQgAAAAFAAAAATEBAAAACy0xOTM0OTc4NDIwAwAAAAMxNjACAAAABDQyMzkEAAAAATAHAAAACTcvMzEvMjAyNggAAAAINi8zLzIwMjMJAAAAATCyiIcwO+/eCNcinzQ7794IM0NJUS5OQVNEQVE6Q0FMTS5JUV9FQklUXzVZUl9BTk5fQ0FHUi45OTYuMzEvMDcvMjAyNgEAAAAgegUAAwAAAAJOTQEIAAAABQAAAAExAQAAAAstMTk4NjcwODQzMwMAAAADMTYwAgAAAAQ0MjM2BAAAAAEwBwAAAAk3LzMxLzIwMjYIAAAACTUvMjgvMjAyMgkAAAABMLKIhzA7794I5EmfNDvv3ggrQ0lRLk5BU0RBUTpDQUxNLklRX1BBUlRfVElNRS45OTcuMzEvMDcvMjAyNgEAAAAgegUAAgAAAAMxNjEA8FWNMDvv3giq4KU0O+/eCDRDSVEuTkFTREFROkNBTE0uSVFfQVZHX1RFTVBfRU1QTE9ZRUVTLjk5NS4zMS8wNy8yMDI2AQAAACB6BQADAAAAAADwVY0wO+/eCOOlpTQ7794IRENJUS5OQVNEQVE6Q0FMTS5JUV9UT1RBTF9ERUJUX0VCSVREQV9FWENMX09QRVJfTEVBU0VTLjk5OS4zMS8wNy8yMDI2AQAAACB6BQADAAAAAAACdYcwO+/eCH+ooTQ7794IMENJUS5OQVNEQVE6Q0FMTS5JUV9SRVNUQVRFTUVOVF9CUy45OTcuMzEvMDcvMjAyNgEAAAAgegUAAwAAAAJOQwAhuI0wO+/eCNlD</t>
  </si>
  <si>
    <t>pTQ7794IL0NJUS5OQVNEQVE6Q0FMTS5JUV9SRVRVUk5fQVNTRVRTLjk5NS4zMS8wNy8yMDI2AQAAACB6BQACAAAABy0xLjE5NDcBCAAAAAUAAAABMQEAAAALLTIwMzcyNDE3MjEDAAAAAzE2MAIAAAAENDE3OAQAAAABMAcAAAAJNy8zMS8yMDI2CAAAAAk1LzI5LzIwMjEJAAAAATAhuI0wO+/eCO71pDQ7794IL0NJUS5OQVNEQVE6Q0FMTS5JUV9FQklUREFfTUFSR0lOLjk5OS4zMS8wNy8yMDI2AQAAACB6BQACAAAABzM4Ljc2MzUBCAAAAAUAAAABMQEAAAALLTE4ODEwNjg2NzUDAAAAAzE2MAIAAAAENDA0NwQAAAABMAcAAAAJNy8zMS8yMDI2CAAAAAk1LzMxLzIwMjUJAAAAATAhuI0wO+/eCOtVpDQ7794ILUNJUS5OQVNEQVE6Q0FMTS5JUV9BU1NFVF9UVVJOUy45OTcuMzEvMDcvMjAyNgEAAAAgegUAAgAAAAgxLjg2MDU1OAEIAAAABQAAAAExAQAAAAstMTkzNDk3ODQyMAMAAAADMTYwAgAAAAQ0MTc3BAAAAAEwBwAAAAk3LzMxLzIwMjYIAAAACDYvMy8yMDIzCQAAAAEwIbiNMDvv3gi6B6Q0O+/eCDJDSVEuTkFTREFROkNBTE0uSVFfRVBTXzNZUl9BTk5fQ0FHUi45OTcuMzEvMDcvMjAyNgEAAAAgegUAAgAAAAgyNDQuNTQzNgEIAAAABQAAAAExAQAAAAstMTkzNDk3ODQyMAMAAAADMTYwAgAAAAQ0MjI2BAAAAAEwBwAAAAk3LzMxLzIwMjYIAAAACDYvMy8yMDIzCQAAAAEwsoiHMDvv3gj9l580O+/eCDJD</t>
  </si>
  <si>
    <t>SVEuTkFTREFROkNBTE0uSVFfREFZU19QQVlBQkxFX09VVC45OTkuMzEvMDcvMjAyNgEAAAAgegUAAgAAAAkxMy4xNjgwNjQBCAAAAAUAAAABMQEAAAALLTE4ODEwNjg2NzUDAAAAAzE2MAIAAAAENDE4MwQAAAABMAcAAAAJNy8zMS8yMDI2CAAAAAk1LzMxLzIwMjUJAAAAATBL340wO+/eCLrOojQ7794IMENJUS5OQVNEQVE6Q0FMTS5JUV9MVF9ERUJUX0VRVUlUWS45OTcuMzEvMDcvMjAyNgEAAAAgegUAAwAAAAAAS9+NMDvv3giybKI0O+/eCCxDSVEuTkFTREFROkNBTE0uSVFfRUJJVERBX0lOVC45OTUuMzEvMDcvMjAyNgEAAAAgegUAAgAAAAoxOTEuMzE5MjQ0AQgAAAAFAAAAATEBAAAACy0yMDM3MjQxNzIxAwAAAAMxNjACAAAABDQxOTAEAAAAATAHAAAACTcvMzEvMjAyNggAAAAJNS8yOS8yMDIxCQAAAAEwS9+NMDvv3gjlMaI0O+/eCENDSVEuTkFTREFROkNBTE0uSVFfRUJJVERBX0VYQ0xfT1BFUl9MRUFTRVNfQ0FQRVhfSU5ULjk5NS4zMS8wNy8yMDI2AQAAACB6BQADAAAAAk5NAQgAAAAFAAAAATEBAAAACy0yMDM3MjQxNzIxAwAAAAMxNjACAAAABTQ5MTc0BAAAAAEwBwAAAAk3LzMxLzIwMjYIAAAACTUvMjkvMjAyMQkAAAABMEvfjTA7794I2s+hNDvv3ggyQ0lRLk5BU0RBUTpDQUxNLklRX0VQU181WVJfQU5OX0NBR1IuOTk4LjMxLzA3LzIwMjYBAAAAIHoFAAIAAAAHMzguNDQxMgEIAAAABQAA</t>
  </si>
  <si>
    <t>AAExAQAAAAstMTg4MTA2ODY3NgMAAAADMTYwAgAAAAQ0MjM5BAAAAAEwBwAAAAk3LzMxLzIwMjYIAAAACDYvMS8yMDI0CQAAAAEwsoiHMDvv3gjXIp80O+/eCEpDSVEuTkFTREFROkNBTE0uSVFfVE9UQUxfREVCVF9FQklUREFfRVhDTF9PUEVSX0xFQVNFU19DQVBFWC45OTcuMzEvMDcvMjAyNgEAAAAgegUAAwAAAAAAsoiHMDvv3giRC6E0O+/eCDdDSVEuTkFTREFROkNBTE0uSVFfRUJJVERBXzFZUl9BTk5fR1JPV1RILjk5NS4zMS8wNy8yMDI2AQAAACB6BQACAAAACC0zOS4xMjExAQgAAAAFAAAAATEBAAAACy0yMDM3MjQxNzIxAwAAAAMxNjACAAAABDQxOTYEAAAAATAHAAAACTcvMzEvMjAyNggAAAAJNS8yOS8yMDIxCQAAAAEwsoiHMDvv3gg2lqA0O+/eCDNDSVEuTkFTREFROkNBTE0uSVFfTklfMVlSX0FOTl9HUk9XVEguOTk5LjMxLzA3LzIwMjYBAAAAIHoFAAIAAAAHMzM5LjA0MwEIAAAABQAAAAExAQAAAAstMTg4MTA2ODY3NQMAAAADMTYwAgAAAAQ0MTk5BAAAAAEwBwAAAAk3LzMxLzIwMjYIAAAACTUvMzEvMjAyNQkAAAABMLKIhzA7794IJm+gNDvv3ggxQ0lRLk5BU0RBUTpDQUxNLklRX0dQXzNZUl9BTk5fQ0FHUi45OTkuMzEvMDcvMjAyNgEAAAAgegUAAgAAAAc3Ni40MjQxAQgAAAAFAAAAATEBAAAACy0xODgxMDY4Njc1AwAAAAMxNjACAAAABDQyMjEEAAAAATAHAAAACTcvMzEvMjAyNggA</t>
  </si>
  <si>
    <t>AAAJNS8zMS8yMDI1CQAAAAEwsoiHMDvv3gj2+Z80O+/eCC9DSVEuTkFTREFROkNBTE0uSVFfUkVUVVJOX0VRVUlUWS45OTYuMzEvMDcvMjAyNgEAAAAgegUAAgAAAAcxMi41MTEzAQgAAAAFAAAAATEBAAAACy0xOTg2NzA4NDMzAwAAAAMxNjACAAAABDQxMjgEAAAAATAHAAAACTcvMzEvMjAyNggAAAAJNS8yOC8yMDIyCQAAAAEwIbiNMDvv3giwp6Q0O+/eCDNDSVEuTkFTREFROkNBTE0uSVFfRUJJVF81WVJfQU5OX0NBR1IuOTk1LjMxLzA3LzIwMjYBAAAAIHoFAAMAAAACTk0BCAAAAAUAAAABMQEAAAALLTIwMzcyNDE3MjEDAAAAAzE2MAIAAAAENDIzNgQAAAABMAcAAAAJNy8zMS8yMDI2CAAAAAk1LzI5LzIwMjEJAAAAATCyiIcwO+/eCORJnzQ7794IMkNJUS5OQVNEQVE6Q0FMTS5JUV9FUFNfM1lSX0FOTl9DQUdSLjk5Ni4zMS8wNy8yMDI2AQAAACB6BQACAAAABzM0LjQ2MDQBCAAAAAUAAAABMQEAAAALLTE5ODY3MDg0MzMDAAAAAzE2MAIAAAAENDIyNgQAAAABMAcAAAAJNy8zMS8yMDI2CAAAAAk1LzI4LzIwMjIJAAAAATCyiIcwO+/eCP2XnzQ7794IMkNJUS5OQVNEQVE6Q0FMTS5JUV9HUF81WVJfQU5OX0NBR1IuMTAwMC4zMS8wNy8yMDI2AQAAACB6BQACAAAABzMzLjEzNjgBCAAAAAUAAAABMQEAAAALLTE4ODEwNjg2NjgDAAAAAzE2MAIAAAAENDIzNAQAAAABMAcAAAAJNy8zMS8yMDI2CAAAAAk1</t>
  </si>
  <si>
    <t>LzMwLzIwMjYJAAAAATCyiIcwO+/eCO1wnzQ7794IM0NJUS5OQVNEQVE6Q0FMTS5JUV9FQklUXzVZUl9BTk5fQ0FHUi45OTQuMzEvMDcvMjAyNgEAAAAgegUAAgAAAAgtNjQuMzcyNwEIAAAABQAAAAExAQAAAAstMjA4ODM0NzQ2OQMAAAADMTYwAgAAAAQ0MjM2BAAAAAEwBwAAAAk3LzMxLzIwMjYIAAAACTUvMzAvMjAyMAkAAAABMLKIhzA7794I5EmfNDvv3ggxQ0lRLk5BU0RBUTpDQUxNLklRX0NBU0hfQ09OVkVSU0lPTi45OTQuMzEvMDcvMjAyNgEAAAAgegUAAgAAAAc2MC4zNjAzAQgAAAAFAAAAATEBAAAACy0yMDg4MzQ3NDY5AwAAAAMxNjACAAAABDQxODQEAAAAATAHAAAACTcvMzEvMjAyNggAAAAJNS8zMC8yMDIwCQAAAAEwS9+NMDvv3gi6zqI0O+/eCEBDSVEuTkFTREFROkNBTE0uSVFfVE9UQUxfT1VUU1RBTkRJTkdfRklMSU5HX0RBVEUuMTAwMC4zMS8wNy8yMDI2AQAAACB6BQACAAAACDQ2LjkxNzA4AQQAAAAFAAAAATUBAAAACy0xODgxMDY4NjY4AgAAAAUyNDE1MwYAAAABMGI1kTA7794IW1amNDvv3ghBQ0lRLk5BU0RBUTpDQUxNLklRX0VNUExPWUVFU19VTkRFUl9VTklPTl9DT05UUkFDVFMuOTk4LjMxLzA3LzIwMjYBAAAAIHoFAAMAAAAAAPBVjTA7794I46WlNDvv3ggwQ0lRLk5BU0RBUTpDQUxNLklRX0NPU1RfQk9SUk9XSU5HLjk5NC4zMS8wNy8yMDI2AQAAACB6BQACAAAABjE2Ljc2</t>
  </si>
  <si>
    <t>MgEIAAAABQAAAAExAQAAAAstMjA4ODM0NzQ2OQMAAAADMTYwAgAAAAUyMTY4MQQAAAABMAcAAAAJNy8zMS8yMDI2CAAAAAk1LzMwLzIwMjAJAAAAATDwVY0wO+/eCNlDpTQ7794IKUNJUS5OQVNEQVE6Q0FMTS5JUV9HQUFQX0JTLjk5OC4zMS8wNy8yMDI2AQAAACB6BQADAAAAB1VTIEdBQVAAIbiNMDvv3gju9aQ0O+/eCERDSVEuTkFTREFROkNBTE0uSVFfVE9UQUxfREVCVF9FQklUREFfRVhDTF9PUEVSX0xFQVNFUy45OTYuMzEvMDcvMjAyNgEAAAAgegUAAwAAAAAAAnWHMDvv3gimbaE0O+/eCC1DSVEuTkFTREFROkNBTE0uSVFfRUJJVF9NQVJHSU4uOTk0LjMxLzA3LzIwMjYBAAAAIHoFAAIAAAAGMC4wOTk5AQgAAAAFAAAAATEBAAAACy0yMDg4MzQ3NDY5AwAAAAMxNjACAAAABDQwNTMEAAAAATAHAAAACTcvMzEvMjAyNggAAAAJNS8zMC8yMDIwCQAAAAEwIbiNMDvv3gi/gKQ0O+/eCCxDSVEuTkFTREFROkNBTE0uSVFfTklfTUFSR0lOLjEwMDAuMzEvMDcvMjAyNgEAAAAgegUAAgAAAAcxMC44NzY0AQgAAAAFAAAAATEBAAAACy0xODgxMDY4NjY4AwAAAAMxNjACAAAABDQwOTQEAAAAATAHAAAACTcvMzEvMjAyNggAAAAJNS8zMC8yMDI2CQAAAAEwIbiNMDvv3ggIL6Q0O+/eCCpDSVEuTkFTREFROkNBTE0uSVFfQVJfVFVSTlMuOTk4LjMxLzA3LzIwMjYBAAAAIHoFAAIAAAAJMTguNjQ2NTk5AQgAAAAF</t>
  </si>
  <si>
    <t>AAAAATEBAAAACy0xODgxMDY4Njc2AwAAAAMxNjACAAAABDQwMDEEAAAAATAHAAAACTcvMzEvMjAyNggAAAAINi8xLzIwMjQJAAAAATAhuI0wO+/eCJWSozQ7794IMkNJUS5OQVNEQVE6Q0FMTS5JUV9DRk9fQ1VSUkVOVF9MSUFCLjk5Ni4zMS8wNy8yMDI2AQAAACB6BQACAAAACDAuNjgzNDE1AQgAAAAFAAAAATEBAAAACy0xOTg2NzA4NDMzAwAAAAMxNjACAAAABDQxODUEAAAAATAHAAAACTcvMzEvMjAyNggAAAAJNS8yOC8yMDIyCQAAAAEwIbiNMDvv3ghNRKM0O+/eCDNDSVEuTkFTREFROkNBTE0uSVFfTklfMVlSX0FOTl9HUk9XVEguOTk2LjMxLzA3LzIwMjYBAAAAIHoFAAIAAAAJNjMzOS4zMjAzAQgAAAAFAAAAATEBAAAACy0xOTg2NzA4NDMzAwAAAAMxNjACAAAABDQxOTkEAAAAATAHAAAACTcvMzEvMjAyNggAAAAJNS8yOC8yMDIyCQAAAAEwsoiHMDvv3ggZSKA0O+/eCDRDSVEuTkFTREFROkNBTE0uSVFfVE9UQUxfREVCVF9FUVVJVFkuMTAwMC4zMS8wNy8yMDI2AQAAACB6BQADAAAAAABL340wO+/eCPmTojQ7794IMENJUS5OQVNEQVE6Q0FMTS5JUV9MVF9ERUJUX0VRVUlUWS45OTQuMzEvMDcvMjAyNgEAAAAgegUAAgAAAAYwLjIzNjQBCAAAAAUAAAABMQEAAAALLTIwODgzNDc0NjkDAAAAAzE2MAIAAAAENDA4NQQAAAABMAcAAAAJNy8zMS8yMDI2CAAAAAk1LzMwLzIwMjAJAAAAATBL340wO+/e</t>
  </si>
  <si>
    <t>CPmTojQ7794IOUNJUS5OQVNEQVE6Q0FMTS5JUV9UT1RBTF9MSUFCX1RPVEFMX0FTU0VUUy45OTguMzEvMDcvMjAyNgEAAAAgegUAAgAAAAcxNy43NDY0AQgAAAAFAAAAATEBAAAACy0xODgxMDY4Njc2AwAAAAMxNjACAAAABDQxODgEAAAAATAHAAAACTcvMzEvMjAyNggAAAAINi8xLzIwMjQJAAAAATBL340wO+/eCLJsojQ7794IMkNJUS5OQVNEQVE6Q0FMTS5JUV9FQklUREFfQ0FQRVhfSU5ULjk5Ni4zMS8wNy8yMDI2AQAAACB6BQACAAAACjMzMy41NTgzMTIBCAAAAAUAAAABMQEAAAALLTE5ODY3MDg0MzMDAAAAAzE2MAIAAAAENDE5MQQAAAABMAcAAAAJNy8zMS8yMDI2CAAAAAk1LzI4LzIwMjIJAAAAATBL340wO+/eCNrPoTQ7794IMkNJUS5OQVNEQVE6Q0FMTS5JUV9FUFNfNVlSX0FOTl9DQUdSLjk5Ni4zMS8wNy8yMDI2AQAAACB6BQADAAAAAk5NAQgAAAAFAAAAATEBAAAACy0xOTg2NzA4NDMzAwAAAAMxNjACAAAABDQyMzkEAAAAATAHAAAACTcvMzEvMjAyNggAAAAJNS8yOC8yMDIyCQAAAAEwsoiHMDvv3gjXIp80O+/eCENDSVEuTkFTREFROkNBTE0uSVFfTkVUX0RFQlRfRUJJVERBX0VYQ0xfT1BFUl9MRUFTRVMuMTAwMC4zMS8wNy8yMDI2AQAAACB6BQADAAAAAk5NAQgAAAAFAAAAATEBAAAACy0xODgxMDY4NjY4AwAAAAMxNjACAAAABTQ5MTc1BAAAAAEwBwAAAAk3LzMxLzIwMjYIAAAACTUv</t>
  </si>
  <si>
    <t>MzAvMjAyNgkAAAABMAJ1hzA7794IUUahNDvv3ghKQ0lRLk5BU0RBUTpDQUxNLklRX1RPVEFMX0RFQlRfRUJJVERBX0VYQ0xfT1BFUl9MRUFTRVNfQ0FQRVguOTk0LjMxLzA3LzIwMjYBAAAAIHoFAAMAAAACTk0BCAAAAAUAAAABMQEAAAALLTIwODgzNDc0NjkDAAAAAzE2MAIAAAAFNDkxODMEAAAAATAHAAAACTcvMzEvMjAyNggAAAAJNS8zMC8yMDIwCQAAAAEwsoiHMDvv3giRC6E0O+/eCEhDSVEuTkFTREFROkNBTE0uSVFfTkVUX0RFQlRfRUJJVERBX0VYQ0xfT1BFUl9MRUFTRVNfQ0FQRVguOTk4LjMxLzA3LzIwMjYBAAAAIHoFAAMAAAACTk0BCAAAAAUAAAABMQEAAAALLTE4ODEwNjg2NzYDAAAAAzE2MAIAAAAFNDkxODIEAAAAATAHAAAACTcvMzEvMjAyNggAAAAINi8xLzIwMjQJAAAAATCyiIcwO+/eCITkoDQ7794IOkNJUS5OQVNEQVE6Q0FMTS5JUV9UT1RBTF9SRVZfMVlSX0FOTl9HUk9XVEguOTk4LjMxLzA3LzIwMjYBAAAAIHoFAAIAAAAILTI2LjA1NTkBCAAAAAUAAAABMQEAAAALLTE4ODEwNjg2NzYDAAAAAzE2MAIAAAAENDE5NAQAAAABMAcAAAAJNy8zMS8yMDI2CAAAAAg2LzEvMjAyNAkAAAABMLKIhzA7794Ib72gNDvv3ggyQ0lRLk5BU0RBUTpDQUxNLklRX0VCSVREQV9DQVBFWF9JTlQuOTk1LjMxLzA3LzIwMjYBAAAAIHoFAAMAAAACTk0BCAAAAAUAAAABMQEAAAALLTIwMzcyNDE3MjED</t>
  </si>
  <si>
    <t>AAAAAzE2MAIAAAAENDE5MQQAAAABMAcAAAAJNy8zMS8yMDI2CAAAAAk1LzI5LzIwMjEJAAAAATBL340wO+/eCKMKojQ7794IOUNJUS5OQVNEQVE6Q0FMTS5JUV9UT1RBTF9SRVZfM1lSX0FOTl9DQUdSLjEwMDAuMzEvMDcvMjAyNgEAAAAgegUAAgAAAActMi41NDk4AQgAAAAFAAAAATEBAAAACy0xODgxMDY4NjY4AwAAAAMxNjACAAAABDQyMjAEAAAAATAHAAAACTcvMzEvMjAyNggAAAAJNS8zMC8yMDI2CQAAAAEwsoiHMDvv3ggIIaA0O+/eCDVDSVEuTkFTREFROkNBTE0uSVFfRUJJVERBXzNZUl9BTk5fQ0FHUi45OTQuMzEvMDcvMjAyNgEAAAAgegUAAwAAAAJOTQEIAAAABQAAAAExAQAAAAstMjA4ODM0NzQ2OQMAAAADMTYwAgAAAAQ0MjIyBAAAAAEwBwAAAAk3LzMxLzIwMjYIAAAACTUvMzAvMjAyMAkAAAABMLKIhzA7794I9vmfNDvv3gg0Q0lRLk5BU0RBUTpDQUxNLklRX0VCSVRfM1lSX0FOTl9DQUdSLjEwMDAuMzEvMDcvMjAyNgEAAAAgegUAAgAAAAgtMjkuMTIxMgEIAAAABQAAAAExAQAAAAstMTg4MTA2ODY2OAMAAAADMTYwAgAAAAQ0MjIzBAAAAAEwBwAAAAk3LzMxLzIwMjYIAAAACTUvMzAvMjAyNgkAAAABMLKIhzA7794IDb+fNDvv3ggxQ0lRLk5BU0RBUTpDQUxNLklRX0dQXzVZUl9BTk5fQ0FHUi45OTguMzEvMDcvMjAyNgEAAAAgegUAAgAAAAcxOS40MzMyAQgAAAAFAAAAATEBAAAACy0x</t>
  </si>
  <si>
    <t>ODgxMDY4Njc2AwAAAAMxNjACAAAABDQyMzQEAAAAATAHAAAACTcvMzEvMjAyNggAAAAINi8xLzIwMjQJAAAAATCyiIcwO+/eCO1wnzQ7794IOENJUS5OQVNEQVE6Q0FMTS5JUV9UT1RBTF9SRVZfM1lSX0FOTl9DQUdSLjk5OS4zMS8wNy8yMDI2AQAAACB6BQACAAAABzMzLjg1MjEBCAAAAAUAAAABMQEAAAALLTE4ODEwNjg2NzUDAAAAAzE2MAIAAAAENDIyMAQAAAABMAcAAAAJNy8zMS8yMDI2CAAAAAk1LzMxLzIwMjUJAAAAATCyiIcwO+/eCAghoDQ7794IKkNJUS5OQVNEQVE6Q0FMTS5JUV9BUl9UVVJOUy45OTcuMzEvMDcvMjAyNgEAAAAgegUAAgAAAAkyMi40NjU4MzcBCAAAAAUAAAABMQEAAAALLTE5MzQ5Nzg0MjADAAAAAzE2MAIAAAAENDAwMQQAAAABMAcAAAAJNy8zMS8yMDI2CAAAAAg2LzMvMjAyMwkAAAABMCG4jTA7794IlZKjNDvv3ggyQ0lRLk5BU0RBUTpDQUxNLklRX0NGT19DVVJSRU5UX0xJQUIuOTk1LjMxLzA3LzIwMjYBAAAAIHoFAAIAAAAIMC4yOTAwODcBCAAAAAUAAAABMQEAAAALLTIwMzcyNDE3MjEDAAAAAzE2MAIAAAAENDE4NQQAAAABMAcAAAAJNy8zMS8yMDI2CAAAAAk1LzI5LzIwMjEJAAAAATAhuI0wO+/eCE1EozQ7794IM0NJUS5OQVNEQVE6Q0FMTS5JUV9UT1RBTF9ERUJUX0VRVUlUWS45OTkuMzEvMDcvMjAyNgEAAAAgegUAAwAAAAAAS9+NMDvv3gj5k6I0O+/eCDlDSVEu</t>
  </si>
  <si>
    <t>TkFTREFROkNBTE0uSVFfVE9UQUxfTElBQl9UT1RBTF9BU1NFVFMuOTk3LjMxLzA3LzIwMjYBAAAAIHoFAAIAAAAHMTcuNjQ4MwEIAAAABQAAAAExAQAAAAstMTkzNDk3ODQyMAMAAAADMTYwAgAAAAQ0MTg4BAAAAAEwBwAAAAk3LzMxLzIwMjYIAAAACDYvMy8yMDIzCQAAAAEwS9+NMDvv3gjlMaI0O+/eCDNDSVEuTkFTREFROkNBTE0uSVFfR1BfMVlSX0FOTl9HUk9XVEguOTk0LjMxLzA3LzIwMjYBAAAAIHoFAAIAAAAILTE5LjQxNjQBCAAAAAUAAAABMQEAAAALLTIwODgzNDc0NjkDAAAAAzE2MAIAAAAENDE5NQQAAAABMAcAAAAJNy8zMS8yMDI2CAAAAAk1LzMwLzIwMjAJAAAAATCyiIcwO+/eCDaWoDQ7794IQkNJUS5OQVNEQVE6Q0FMTS5JUV9ORVRfREVCVF9FQklUREFfRVhDTF9PUEVSX0xFQVNFUy45OTkuMzEvMDcvMjAyNgEAAAAgegUAAwAAAAJOTQEIAAAABQAAAAExAQAAAAstMTg4MTA2ODY3NQMAAAADMTYwAgAAAAU0OTE3NQQAAAABMAcAAAAJNy8zMS8yMDI2CAAAAAk1LzMxLzIwMjUJAAAAATACdYcwO+/eCFFGoTQ7794ISENJUS5OQVNEQVE6Q0FMTS5JUV9ORVRfREVCVF9FQklUREFfRVhDTF9PUEVSX0xFQVNFU19DQVBFWC45OTcuMzEvMDcvMjAyNgEAAAAgegUAAwAAAAJOTQEIAAAABQAAAAExAQAAAAstMTkzNDk3ODQyMAMAAAADMTYwAgAAAAU0OTE4MgQAAAABMAcAAAAJNy8zMS8yMDI2</t>
  </si>
  <si>
    <t>CAAAAAg2LzMvMjAyMwkAAAABMLKIhzA7794IhOSgNDvv3ggzQ0lRLk5BU0RBUTpDQUxNLklRX0dQXzFZUl9BTk5fR1JPV1RILjk5NS4zMS8wNy8yMDI2AQAAACB6BQACAAAACC0xMC41MzkyAQgAAAAFAAAAATEBAAAACy0yMDM3MjQxNzIxAwAAAAMxNjACAAAABDQxOTUEAAAAATAHAAAACTcvMzEvMjAyNggAAAAJNS8yOS8yMDIxCQAAAAEwsoiHMDvv3ghvvaA0O+/eCDNDSVEuTkFTREFROkNBTE0uSVFfTklfMVlSX0FOTl9HUk9XVEguOTk1LjMxLzA3LzIwMjYBAAAAIHoFAAIAAAAILTg4Ljc5ODkBCAAAAAUAAAABMQEAAAALLTIwMzcyNDE3MjEDAAAAAzE2MAIAAAAENDE5OQQAAAABMAcAAAAJNy8zMS8yMDI2CAAAAAk1LzI5LzIwMjEJAAAAATCyiIcwO+/eCBlIoDQ7794INENJUS5OQVNEQVE6Q0FMTS5JUV9FQklUXzVZUl9BTk5fQ0FHUi4xMDAwLjMxLzA3LzIwMjYBAAAAIHoFAAMAAAACTk0BCAAAAAUAAAABMQEAAAALLTE4ODEwNjg2NjgDAAAAAzE2MAIAAAAENDIzNgQAAAABMAcAAAAJNy8zMS8yMDI2CAAAAAk1LzMwLzIwMjYJAAAAATCyiIcwO+/eCORJnzQ7794IMUNJUS5OQVNEQVE6Q0FMTS5JUV9OSV8zWVJfQU5OX0NBR1IuOTk3LjMxLzA3LzIwMjYBAAAAIHoFAAIAAAAIMjQ1LjQyOTMBCAAAAAUAAAABMQEAAAALLTE5MzQ5Nzg0MjADAAAAAzE2MAIAAAAENDIyNQQAAAABMAcAAAAJNy8zMS8y</t>
  </si>
  <si>
    <t>MDI2CAAAAAg2LzMvMjAyMwkAAAABMLKIhzA7794IudKfNDvv3ggxQ0lRLk5BU0RBUTpDQUxNLklRX0dQXzVZUl9BTk5fQ0FHUi45OTcuMzEvMDcvMjAyNgEAAAAgegUAAgAAAAYyNy4wNzcBCAAAAAUAAAABMQEAAAALLTE5MzQ5Nzg0MjADAAAAAzE2MAIAAAAENDIzNAQAAAABMAcAAAAJNy8zMS8yMDI2CAAAAAg2LzMvMjAyMwkAAAABMLKIhzA7794I7XCfNDvv3ggyQ0lRLk5BU0RBUTpDQUxNLklRX0VQU181WVJfQU5OX0NBR1IuOTk1LjMxLzA3LzIwMjYBAAAAIHoFAAIAAAAILTYzLjkwNzEBCAAAAAUAAAABMQEAAAALLTIwMzcyNDE3MjEDAAAAAzE2MAIAAAAENDIzOQQAAAABMAcAAAAJNy8zMS8yMDI2CAAAAAk1LzI5LzIwMjEJAAAAATCyiIcwO+/eCNcinzQ7794ISENJUS5OQVNEQVE6Q0FMTS5JUV9ORVRfREVCVF9FQklUREFfRVhDTF9PUEVSX0xFQVNFU19DQVBFWC45OTYuMzEvMDcvMjAyNgEAAAAgegUAAwAAAAJOTQEIAAAABQAAAAExAQAAAAstMTk4NjcwODQzMwMAAAADMTYwAgAAAAU0OTE4MgQAAAABMAcAAAAJNy8zMS8yMDI2CAAAAAk1LzI4LzIwMjIJAAAAATCyiIcwO+/eCITkoDQ7794IM0NJUS5OQVNEQVE6Q0FMTS5JUV9FQklUXzVZUl9BTk5fQ0FHUi45OTkuMzEvMDcvMjAyNgEAAAAgegUAAgAAAAgzMDkuNjIzMQEIAAAABQAAAAExAQAAAAstMTg4MTA2ODY3NQMAAAADMTYwAgAAAAQ0</t>
  </si>
  <si>
    <t>MjM2BAAAAAEwBwAAAAk3LzMxLzIwMjYIAAAACTUvMzEvMjAyNQkAAAABMLKIhzA7794I5EmfNDvv3gg4Q0lRLk5BU0RBUTpDQUxNLklRX0VCSVREQV8xWVJfQU5OX0dST1dUSC4xMDAwLjMxLzA3LzIwMjYBAAAAIHoFAAIAAAAILTcxLjY5MDMBCAAAAAUAAAABMQEAAAALLTE4ODEwNjg2NjgDAAAAAzE2MAIAAAAENDE5NgQAAAABMAcAAAAJNy8zMS8yMDI2CAAAAAk1LzMwLzIwMjYJAAAAATCyiIcwO+/eCCZvoDQ7794IOENJUS5OQVNEQVE6Q0FMTS5JUV9UT1RBTF9SRVZfM1lSX0FOTl9DQUdSLjk5OC4zMS8wNy8yMDI2AQAAACB6BQACAAAABzE5LjkyMDkBCAAAAAUAAAABMQEAAAALLTE4ODEwNjg2NzYDAAAAAzE2MAIAAAAENDIyMAQAAAABMAcAAAAJNy8zMS8yMDI2CAAAAAg2LzEvMjAyNAkAAAABMLKIhzA7794ICCGgNDvv3ggxQ0lRLk5BU0RBUTpDQUxNLklRX05JXzNZUl9BTk5fQ0FHUi45OTYuMzEvMDcvMjAyNgEAAAAgegUAAgAAAAczNC43Mzg2AQgAAAAFAAAAATEBAAAACy0xOTg2NzA4NDMzAwAAAAMxNjACAAAABDQyMjUEAAAAATAHAAAACTcvMzEvMjAyNggAAAAJNS8yOC8yMDIyCQAAAAEwsoiHMDvv3gi50p80O+/eCDVDSVEuTkFTREFROkNBTE0uSVFfRUJJVERBXzVZUl9BTk5fQ0FHUi45OTQuMzEvMDcvMjAyNgEAAAAgegUAAgAAAAgtMjYuNDQwMgEIAAAABQAAAAExAQAAAAstMjA4ODM0</t>
  </si>
  <si>
    <t>NzQ2OQMAAAADMTYwAgAAAAQ0MjM1BAAAAAEwBwAAAAk3LzMxLzIwMjYIAAAACTUvMzAvMjAyMAkAAAABMLKIhzA7794I7XCfNDvv3ggzQ0lRLk5BU0RBUTpDQUxNLklRX1RPVEFMX0RFQlRfRUJJVERBLjk5NS4zMS8wNy8yMDI2AQAAACB6BQACAAAACDAuMDU4MzU0AQgAAAAFAAAAATEBAAAACy0yMDM3MjQxNzIxAwAAAAMxNjACAAAABDQxOTIEAAAAATAHAAAACTcvMzEvMjAyNggAAAAJNS8yOS8yMDIxCQAAAAEwAnWHMDvv3gjaz6E0O+/eCDJDSVEuTkFTREFROkNBTE0uSVFfRVBTXzVZUl9BTk5fQ0FHUi45OTQuMzEvMDcvMjAyNgEAAAAgegUAAgAAAAgtMzUuMjM0NgEIAAAABQAAAAExAQAAAAstMjA4ODM0NzQ2OQMAAAADMTYwAgAAAAQ0MjM5BAAAAAEwBwAAAAk3LzMxLzIwMjYIAAAACTUvMzAvMjAyMAkAAAABMLKIhzA7794I1yKfNDvv3gg3Q0lRLk5BU0RBUTpDQUxNLklRX0VCSVREQV8xWVJfQU5OX0dST1dUSC45OTkuMzEvMDcvMjAyNgEAAAAgegUAAgAAAAgzNDAuOTE2NQEIAAAABQAAAAExAQAAAAstMTg4MTA2ODY3NQMAAAADMTYwAgAAAAQ0MTk2BAAAAAEwBwAAAAk3LzMxLzIwMjYIAAAACTUvMzEvMjAyNQkAAAABMLKIhzA7794IJm+gNDvv3gg4Q0lRLk5BU0RBUTpDQUxNLklRX1RPVEFMX1JFVl8zWVJfQU5OX0NBR1IuOTk3LjMxLzA3LzIwMjYBAAAAIHoFAAIAAAAHMzIuNTI5NQEIAAAA</t>
  </si>
  <si>
    <t>BQAAAAExAQAAAAstMTkzNDk3ODQyMAMAAAADMTYwAgAAAAQ0MjIwBAAAAAEwBwAAAAk3LzMxLzIwMjYIAAAACDYvMy8yMDIzCQAAAAEwsoiHMDvv3ggIIaA0O+/eCDFDSVEuTkFTREFROkNBTE0uSVFfTklfM1lSX0FOTl9DQUdSLjk5NS4zMS8wNy8yMDI2AQAAACB6BQACAAAABy03NC42MTUBCAAAAAUAAAABMQEAAAALLTIwMzcyNDE3MjEDAAAAAzE2MAIAAAAENDIyNQQAAAABMAcAAAAJNy8zMS8yMDI2CAAAAAk1LzI5LzIwMjEJAAAAATCyiIcwO+/eCLnSnzQ7794IOENJUS5OQVNEQVE6Q0FMTS5JUV9UT1RBTF9SRVZfNVlSX0FOTl9DQUdSLjk5Ny4zMS8wNy8yMDI2AQAAACB6BQACAAAABzE1LjkyMzEBCAAAAAUAAAABMQEAAAALLTE5MzQ5Nzg0MjADAAAAAzE2MAIAAAAENDIzMwQAAAABMAcAAAAJNy8zMS8yMDI2CAAAAAg2LzMvMjAyMwkAAAABMLKIhzA7794I/ZefNDvv3ggxQ0lRLk5BU0RBUTpDQUxNLklRX05JXzNZUl9BTk5fQ0FHUi45OTQuMzEvMDcvMjAyNgEAAAAgegUAAwAAAAJOTQEIAAAABQAAAAExAQAAAAstMjA4ODM0NzQ2OQMAAAADMTYwAgAAAAQ0MjI1BAAAAAEwBwAAAAk3LzMxLzIwMjYIAAAACTUvMzAvMjAyMAkAAAABMLKIhzA7794IudKfNDvv3gg4Q0lRLk5BU0RBUTpDQUxNLklRX1RPVEFMX1JFVl81WVJfQU5OX0NBR1IuOTk4LjMxLzA3LzIwMjYBAAAAIHoFAAIAAAAHMTEuMzE1</t>
  </si>
  <si>
    <t>MwEIAAAABQAAAAExAQAAAAstMTg4MTA2ODY3NgMAAAADMTYwAgAAAAQ0MjMzBAAAAAEwBwAAAAk3LzMxLzIwMjYIAAAACDYvMS8yMDI0CQAAAAEwsoiHMDvv3gj9l580O+/eCDNDSVEuTkFTREFROkNBTE0uSVFfRUJJVF81WVJfQU5OX0NBR1IuOTk4LjMxLzA3LzIwMjYBAAAAIHoFAAIAAAAGNDUuMDc4AQgAAAAFAAAAATEBAAAACy0xODgxMDY4Njc2AwAAAAMxNjACAAAABDQyMzYEAAAAATAHAAAACTcvMzEvMjAyNggAAAAINi8xLzIwMjQJAAAAATCyiIcwO+/eCORJnzQ7794IM0NJUS5OQVNEQVE6Q0FMTS5JUV9FUFNfNVlSX0FOTl9DQUdSLjEwMDAuMzEvMDcvMjAyNgEAAAAgegUAAgAAAAgxNzcuOTAxNAEIAAAABQAAAAExAQAAAAstMTg4MTA2ODY2OAMAAAADMTYwAgAAAAQ0MjM5BAAAAAEwBwAAAAk3LzMxLzIwMjYIAAAACTUvMzAvMjAyNgkAAAABMLKIhzA7794IxfueNDvv3gguQ0lRLk5BU0RBUTpDQUxNLklRX0NBTENfVFlQRV9CUy45OTYuMzEvMDcvMjAyNgEAAAAgegUAAwAAAANSVVAAIbiNMDvv3ggFHaU0O+/eCEpDSVEuTkFTREFROkNBTE0uSVFfVE9UQUxfREVCVF9FQklUREFfRVhDTF9PUEVSX0xFQVNFU19DQVBFWC45OTkuMzEvMDcvMjAyNgEAAAAgegUAAwAAAAAAsoiHMDvv3giRC6E0O+/eCClDSVEuTkFTREFROkNBTE0uSVFfWl9TQ09SRS45OTcuMzEvMDcvMjAyNgEAAAAgegUAAgAA</t>
  </si>
  <si>
    <t>AAg5LjU3Njc3MwEIAAAABQAAAAExAQAAAAstMTkzNDk3ODQyMAMAAAADMTYwAgAAAAYxMDAxMjMEAAAAATAHAAAACTcvMzEvMjAyNggAAAAINi8zLzIwMjMJAAAAATCyiIcwO+/eCG+9oDQ7794INUNJUS5OQVNEQVE6Q0FMTS5JUV9FQklUXzFZUl9BTk5fR1JPV1RILjk5NS4zMS8wNy8yMDI2AQAAACB6BQADAAAAAk5NAQgAAAAFAAAAATEBAAAACy0yMDM3MjQxNzIxAwAAAAMxNjACAAAABDQxOTcEAAAAATAHAAAACTcvMzEvMjAyNggAAAAJNS8yOS8yMDIxCQAAAAEwsoiHMDvv3ggmb6A0O+/eCDVDSVEuTkFTREFROkNBTE0uSVFfRUJJVERBXzNZUl9BTk5fQ0FHUi45OTkuMzEvMDcvMjAyNgEAAAAgegUAAgAAAAc5OS44OTgxAQgAAAAFAAAAATEBAAAACy0xODgxMDY4Njc1AwAAAAMxNjACAAAABDQyMjIEAAAAATAHAAAACTcvMzEvMjAyNggAAAAJNS8zMS8yMDI1CQAAAAEwsoiHMDvv3gj2+Z80O+/eCC1DSVEuTkFTREFROkNBTE0uSVFfUVVJQ0tfUkFUSU8uOTk0LjMxLzA3LzIwMjYBAAAAIHoFAAIAAAAIMy41NDg1ODcBCAAAAAUAAAABMQEAAAALLTIwODgzNDc0NjkDAAAAAzE2MAIAAAAENDEyMQQAAAABMAcAAAAJNy8zMS8yMDI2CAAAAAk1LzMwLzIwMjAJAAAAATAhuI0wO+/eCE1EozQ7794IMUNJUS5OQVNEQVE6Q0FMTS5JUV9OSV81WVJfQU5OX0NBR1IuOTk1LjMxLzA3LzIwMjYBAAAAIHoFAAIA</t>
  </si>
  <si>
    <t>AAAILTYzLjQ1NTQBCAAAAAUAAAABMQEAAAALLTIwMzcyNDE3MjEDAAAAAzE2MAIAAAAENDIzOAQAAAABMAcAAAAJNy8zMS8yMDI2CAAAAAk1LzI5LzIwMjEJAAAAATCyiIcwO+/eCORJnzQ7794IMkNJUS5OQVNEQVE6Q0FMTS5JUV9FUFNfNVlSX0FOTl9DQUdSLjk5OS4zMS8wNy8yMDI2AQAAACB6BQACAAAACDEzMC45ODQyAQgAAAAFAAAAATEBAAAACy0xODgxMDY4Njc1AwAAAAMxNjACAAAABDQyMzkEAAAAATAHAAAACTcvMzEvMjAyNggAAAAJNS8zMS8yMDI1CQAAAAEwsoiHMDvv3gjF+540O+/eCDFDSVEuTkFTREFROkNBTE0uSVFfVE9UQUxfRU1QTE9ZRUVTLjk5Ni4zMS8wNy8yMDI2AQAAACB6BQACAAAABDI5MTUA8FWNMDvv3giq4KU0O+/eCDNDSVEuTkFTREFROkNBTE0uSVFfTlVNQkVSX0FEUkhPTERFUlMuOTk0LjMxLzA3LzIwMjYBAAAAIHoFAAMAAAAAAPBVjTA7794IBGulNDvv3ggsQ0lRLk5BU0RBUTpDQUxNLklRX0VCSVREQV9JTlQuOTk2LjMxLzA3LzIwMjYBAAAAIHoFAAIAAAAKNTEzLjIwODQzNgEIAAAABQAAAAExAQAAAAstMTk4NjcwODQzMwMAAAADMTYwAgAAAAQ0MTkwBAAAAAEwBwAAAAk3LzMxLzIwMjYIAAAACTUvMjgvMjAyMgkAAAABMEvfjTA7794IowqiNDvv3ggwQ0lRLk5BU0RBUTpDQUxNLklRX1JFVFVSTl9DQVBJVEFMLjk5NC4zMS8wNy8yMDI2AQAAACB6BQACAAAABjAu</t>
  </si>
  <si>
    <t>MDg0MgEIAAAABQAAAAExAQAAAAstMjA4ODM0NzQ2OQMAAAADMTYwAgAAAAQ0MzYzBAAAAAEwBwAAAAk3LzMxLzIwMjYIAAAACTUvMzAvMjAyMAkAAAABMCG4jTA7794I7vWkNDvv3ggwQ0lRLk5BU0RBUTpDQUxNLklRX1JFVFVSTl9FUVVJVFkuMTAwMC4zMS8wNy8yMDI2AQAAACB6BQACAAAABzEyLjIxOTYBCAAAAAUAAAABMQEAAAALLTE4ODEwNjg2NjgDAAAAAzE2MAIAAAAENDEyOAQAAAABMAcAAAAJNy8zMS8yMDI2CAAAAAk1LzMwLzIwMjYJAAAAATAhuI0wO+/eCLrOpDQ7794ILUNJUS5OQVNEQVE6Q0FMTS5JUV9FQklUX01BUkdJTi45OTguMzEvMDcvMjAyNgEAAAAgegUAAgAAAAcxMi42NTY0AQgAAAAFAAAAATEBAAAACy0xODgxMDY4Njc2AwAAAAMxNjACAAAABDQwNTMEAAAAATAHAAAACTcvMzEvMjAyNggAAAAINi8xLzIwMjQJAAAAATAhuI0wO+/eCOtVpDQ7794IM0NJUS5OQVNEQVE6Q0FMTS5JUV9GSVhFRF9BU1NFVF9UVVJOUy45OTYuMzEvMDcvMjAyNgEAAAAgegUAAgAAAAgyLjc5OTg2MQEIAAAABQAAAAExAQAAAAstMTk4NjcwODQzMwMAAAADMTYwAgAAAAQ0MDY2BAAAAAEwBwAAAAk3LzMxLzIwMjYIAAAACTUvMjgvMjAyMgkAAAABMCG4jTA7794IxOCjNDvv3ggpQ0lRLk5BU0RBUTpDQUxNLklRX1pfU0NPUkUuOTk2LjMxLzA3LzIwMjYBAAAAIHoFAAIAAAAINi42ODQ0MTQBCAAAAAUA</t>
  </si>
  <si>
    <t>AAABMQEAAAALLTE5ODY3MDg0MzMDAAAAAzE2MAIAAAAGMTAwMTIzBAAAAAEwBwAAAAk3LzMxLzIwMjYIAAAACTUvMjgvMjAyMgkAAAABMLKIhzA7794Ib72gNDvv3ggzQ0lRLk5BU0RBUTpDQUxNLklRX0NGT19DVVJSRU5UX0xJQUIuMTAwMC4zMS8wNy8yMDI2AQAAACB6BQACAAAACDIuMzM0MzgyAQgAAAAFAAAAATEBAAAACy0xODgxMDY4NjY4AwAAAAMxNjACAAAABDQxODUEAAAAATAHAAAACTcvMzEvMjAyNggAAAAJNS8zMC8yMDI2CQAAAAEwIbiNMDvv3gg7HaM0O+/eCDRDSVEuTkFTREFROkNBTE0uSVFfREFZU19JTlZFTlRPUllfT1VULjk5NC4zMS8wNy8yMDI2AQAAACB6BQACAAAACTU1LjgxODMwOAEIAAAABQAAAAExAQAAAAstMjA4ODM0NzQ2OQMAAAADMTYwAgAAAAQ0MDM1BAAAAAEwBwAAAAk3LzMxLzIwMjYIAAAACTUvMzAvMjAyMAkAAAABMEvfjTA7794I/PWiNDvv3ggxQ0lRLk5BU0RBUTpDQUxNLklRX0NBU0hfQ09OVkVSU0lPTi45OTguMzEvMDcvMjAyNgEAAAAgegUAAgAAAAg1OC44NTE1MgEIAAAABQAAAAExAQAAAAstMTg4MTA2ODY3NgMAAAADMTYwAgAAAAQ0MTg0BAAAAAEwBwAAAAk3LzMxLzIwMjYIAAAACDYvMS8yMDI0CQAAAAEwS9+NMDvv3gi6zqI0O+/eCDFDSVEuTkFTREFROkNBTE0uSVFfTFRfREVCVF9DQVBJVEFMLjk5Ni4zMS8wNy8yMDI2AQAAACB6BQADAAAAAABL340w</t>
  </si>
  <si>
    <t>O+/eCLJsojQ7794IOENJUS5OQVNEQVE6Q0FMTS5JUV9UT1RBTF9SRVZfNVlSX0FOTl9DQUdSLjk5Ni4zMS8wNy8yMDI2AQAAACB6BQACAAAABzEwLjU4NjcBCAAAAAUAAAABMQEAAAALLTE5ODY3MDg0MzMDAAAAAzE2MAIAAAAENDIzMwQAAAABMAcAAAAJNy8zMS8yMDI2CAAAAAk1LzI4LzIwMjIJAAAAATCyiIcwO+/eCP2XnzQ7794IM0NJUS5OQVNEQVE6Q0FMTS5JUV9FQklUREFfQ0FQRVhfSU5ULjEwMDAuMzEvMDcvMjAyNgEAAAAgegUAAgAAAAo1NjkuMTk3ODQxAQgAAAAFAAAAATEBAAAACy0xODgxMDY4NjY4AwAAAAMxNjACAAAABDQxOTEEAAAAATAHAAAACTcvMzEvMjAyNggAAAAJNS8zMC8yMDI2CQAAAAEwS9+NMDvv3gjaz6E0O+/eCDNDSVEuTkFTREFROkNBTE0uSVFfVE9UQUxfREVCVF9FQklUREEuOTk0LjMxLzA3LzIwMjYBAAAAIHoFAAIAAAAHMC4wNTI4MQEIAAAABQAAAAExAQAAAAstMjA4ODM0NzQ2OQMAAAADMTYwAgAAAAQ0MTkyBAAAAAEwBwAAAAk3LzMxLzIwMjYIAAAACTUvMzAvMjAyMAkAAAABMAJ1hzA7794I2s+hNDvv3ggxQ0lRLk5BU0RBUTpDQUxNLklRX05FVF9ERUJUX0VCSVREQS45OTguMzEvMDcvMjAyNgEAAAAgegUAAwAAAAJOTQEIAAAABQAAAAExAQAAAAstMTg4MTA2ODY3NgMAAAADMTYwAgAAAAQ0MTkzBAAAAAEwBwAAAAk3LzMxLzIwMjYIAAAACDYvMS8yMDI0CQAA</t>
  </si>
  <si>
    <t>AAEwAnWHMDvv3gimbaE0O+/eCEpDSVEuTkFTREFROkNBTE0uSVFfVE9UQUxfREVCVF9FQklUREFfRVhDTF9PUEVSX0xFQVNFU19DQVBFWC45OTguMzEvMDcvMjAyNgEAAAAgegUAAwAAAAAAsoiHMDvv3giRC6E0O+/eCC1DSVEuTkFTREFROkNBTE0uSVFfRUJJVF9NQVJHSU4uOTk3LjMxLzA3LzIwMjYBAAAAIHoFAAIAAAAHMzAuNjQ3OQEIAAAABQAAAAExAQAAAAstMTkzNDk3ODQyMAMAAAADMTYwAgAAAAQ0MDUzBAAAAAEwBwAAAAk3LzMxLzIwMjYIAAAACDYvMy8yMDIzCQAAAAEwIbiNMDvv3gjrVaQ0O+/eCDRDSVEuTkFTREFROkNBTE0uSVFfR1BfMVlSX0FOTl9HUk9XVEguMTAwMC4zMS8wNy8yMDI2AQAAACB6BQACAAAACC02My42OTA0AQgAAAAFAAAAATEBAAAACy0xODgxMDY4NjY4AwAAAAMxNjACAAAABDQxOTUEAAAAATAHAAAACTcvMzEvMjAyNggAAAAJNS8zMC8yMDI2CQAAAAEwsoiHMDvv3gg2lqA0O+/eCDVDSVEuTkFTREFROkNBTE0uSVFfRUJJVF8xWVJfQU5OX0dST1dUSC45OTQuMzEvMDcvMjAyNgEAAAAgegUAAgAAAAgtOTcuMDUxMgEIAAAABQAAAAExAQAAAAstMjA4ODM0NzQ2OQMAAAADMTYwAgAAAAQ0MTk3BAAAAAEwBwAAAAk3LzMxLzIwMjYIAAAACTUvMzAvMjAyMAkAAAABMLKIhzA7794IJm+gNDvv3gg0Q0lRLk5BU0RBUTpDQUxNLklRX05JXzFZUl9BTk5fR1JPV1RILjEwMDAu</t>
  </si>
  <si>
    <t>MzEvMDcvMjAyNgEAAAAgegUAAgAAAAgtNzQuMDQzNQEIAAAABQAAAAExAQAAAAstMTg4MTA2ODY2OAMAAAADMTYwAgAAAAQ0MTk5BAAAAAEwBwAAAAk3LzMxLzIwMjYIAAAACTUvMzAvMjAyNgkAAAABMLKIhzA7794IGUigNDvv3gg1Q0lRLk5BU0RBUTpDQUxNLklRX0VCSVREQV8zWVJfQU5OX0NBR1IuOTk4LjMxLzA3LzIwMjYBAAAAIHoFAAIAAAAIMTE3Ljk0MTUBCAAAAAUAAAABMQEAAAALLTE4ODEwNjg2NzYDAAAAAzE2MAIAAAAENDIyMgQAAAABMAcAAAAJNy8zMS8yMDI2CAAAAAg2LzEvMjAyNAkAAAABMLKIhzA7794I9vmfNDvv3ggyQ0lRLk5BU0RBUTpDQUxNLklRX0VCSVREQV9DQVBFWF9JTlQuOTk5LjMxLzA3LzIwMjYBAAAAIHoFAAIAAAAKMjQzNS45NTA5OAEIAAAABQAAAAExAQAAAAstMTg4MTA2ODY3NQMAAAADMTYwAgAAAAQ0MTkxBAAAAAEwBwAAAAk3LzMxLzIwMjYIAAAACTUvMzEvMjAyNQkAAAABMEvfjTA7794I2s+hNDvv3ggxQ0lRLk5BU0RBUTpDQUxNLklRX05JXzVZUl9BTk5fQ0FHUi45OTQuMzEvMDcvMjAyNgEAAAAgegUAAgAAAAgtMzUuMjIzNAEIAAAABQAAAAExAQAAAAstMjA4ODM0NzQ2OQMAAAADMTYwAgAAAAQ0MjM4BAAAAAEwBwAAAAk3LzMxLzIwMjYIAAAACTUvMzAvMjAyMAkAAAABMLKIhzA7794I1yKfNDvv3ggxQ0lRLk5BU0RBUTpDQUxNLklRX1RPVEFMX0VNUExP</t>
  </si>
  <si>
    <t>WUVFUy45OTUuMzEvMDcvMjAyNgEAAAAgegUAAgAAAAQzMjE5APBVjTA7794IquClNDvv3gguQ0lRLk5BU0RBUTpDQUxNLklRX0NBTENfVFlQRV9CUy45OTUuMzEvMDcvMjAyNgEAAAAgegUAAwAAAANSVVAAIbiNMDvv3ggFHaU0O+/eCC9DSVEuTkFTREFROkNBTE0uSVFfUkVUVVJOX0VRVUlUWS45OTkuMzEvMDcvMjAyNgEAAAAgegUAAgAAAAY1NS44NDMBCAAAAAUAAAABMQEAAAALLTE4ODEwNjg2NzUDAAAAAzE2MAIAAAAENDEyOAQAAAABMAcAAAAJNy8zMS8yMDI2CAAAAAk1LzMxLzIwMjUJAAAAATAhuI0wO+/eCLCnpDQ7794INENJUS5OQVNEQVE6Q0FMTS5JUV9FUFNfMVlSX0FOTl9HUk9XVEguOTk3LjMxLzA3LzIwMjYBAAAAIHoFAAIAAAAINDcwLjU4ODIBCAAAAAUAAAABMQEAAAALLTE5MzQ5Nzg0MjADAAAAAzE2MAIAAAAENDIwMAQAAAABMAcAAAAJNy8zMS8yMDI2CAAAAAg2LzMvMjAyMwkAAAABMLKIhzA7794IGUigNDvv3ggzQ0lRLk5BU0RBUTpDQUxNLklRX0ZJWEVEX0FTU0VUX1RVUk5TLjk5NS4zMS8wNy8yMDI2AQAAACB6BQACAAAACDIuMzQxNDgzAQgAAAAFAAAAATEBAAAACy0yMDM3MjQxNzIxAwAAAAMxNjACAAAABDQwNjYEAAAAATAHAAAACTcvMzEvMjAyNggAAAAJNS8yOS8yMDIxCQAAAAEwIbiNMDvv3gjE4KM0O+/eCDJDSVEuTkFTREFROkNBTE0uSVFfQ0ZPX0NVUlJFTlRfTElB</t>
  </si>
  <si>
    <t>Qi45OTkuMzEvMDcvMjAyNgEAAAAgegUAAgAAAAgzLjk3MTYyNQEIAAAABQAAAAExAQAAAAstMTg4MTA2ODY3NQMAAAADMTYwAgAAAAQ0MTg1BAAAAAEwBwAAAAk3LzMxLzIwMjYIAAAACTUvMzEvMjAyNQkAAAABMCG4jTA7794IOx2jNDvv3ggxQ0lRLk5BU0RBUTpDQUxNLklRX0NBU0hfQ09OVkVSU0lPTi45OTcuMzEvMDcvMjAyNgEAAAAgegUAAgAAAAk1My4xMjkwNTUBCAAAAAUAAAABMQEAAAALLTE5MzQ5Nzg0MjADAAAAAzE2MAIAAAAENDE4NAQAAAABMAcAAAAJNy8zMS8yMDI2CAAAAAg2LzMvMjAyMwkAAAABMEvfjTA7794Ius6iNDvv3ggxQ0lRLk5BU0RBUTpDQUxNLklRX0xUX0RFQlRfQ0FQSVRBTC45OTUuMzEvMDcvMjAyNgEAAAAgegUAAgAAAAUwLjE0NQEIAAAABQAAAAExAQAAAAstMjAzNzI0MTcyMQMAAAADMTYwAgAAAAQ0MTg3BAAAAAEwBwAAAAk3LzMxLzIwMjYIAAAACTUvMjkvMjAyMQkAAAABMEvfjTA7794IsmyiNDvv3gguQ0lRLk5BU0RBUTpDQUxNLklRX0NBTENfVFlQRV9CUy45OTQuMzEvMDcvMjAyNgEAAAAgegUAAwAAAANSVVAAIbiNMDvv3ggFHaU0O+/eCDFDSVEuTkFTREFROkNBTE0uSVFfTkVUX0RFQlRfRUJJVERBLjk5Ny4zMS8wNy8yMDI2AQAAACB6BQADAAAAAk5NAQgAAAAFAAAAATEBAAAACy0xOTM0OTc4NDIwAwAAAAMxNjACAAAABDQxOTMEAAAAATAHAAAACTcvMzEv</t>
  </si>
  <si>
    <t>MjAyNggAAAAINi8zLzIwMjMJAAAAATACdYcwO+/eCKZtoTQ7794IN0NJUS5OQVNEQVE6Q0FMTS5JUV9ORVRfREVCVF9FQklUREFfQ0FQRVguOTk1LjMxLzA3LzIwMjYBAAAAIHoFAAMAAAACTk0BCAAAAAUAAAABMQEAAAALLTIwMzcyNDE3MjEDAAAAAzE2MAIAAAAFMjMzMTQEAAAAATAHAAAACTcvMzEvMjAyNggAAAAJNS8yOS8yMDIxCQAAAAEwsoiHMDvv3giRC6E0O+/eCClDSVEuTkFTREFROkNBTE0uSVFfWl9TQ09SRS45OTUuMzEvMDcvMjAyNgEAAAAgegUAAgAAAAc3Ljk2OTMzAQgAAAAFAAAAATEBAAAACy0yMDM3MjQxNzIxAwAAAAMxNjACAAAABjEwMDEyMwQAAAABMAcAAAAJNy8zMS8yMDI2CAAAAAk1LzI5LzIwMjEJAAAAATCyiIcwO+/eCG+9oDQ7794IM0NJUS5OQVNEQVE6Q0FMTS5JUV9HUF8xWVJfQU5OX0dST1dUSC45OTkuMzEvMDcvMjAyNgEAAAAgegUAAgAAAAgyNDEuNzYyMgEIAAAABQAAAAExAQAAAAstMTg4MTA2ODY3NQMAAAADMTYwAgAAAAQ0MTk1BAAAAAEwBwAAAAk3LzMxLzIwMjYIAAAACTUvMzEvMjAyNQkAAAABMLKIhzA7794INpagNDvv3ggxQ0lRLk5BU0RBUTpDQUxNLklRX0lOVkVOVE9SWV9UVVJOUy45OTguMzEvMDcvMjAyNgEAAAAgegUAAgAAAAg2LjUzNTU5OAEIAAAABQAAAAExAQAAAAstMTg4MTA2ODY3NgMAAAADMTYwAgAAAAQ0MDgyBAAAAAEwBwAAAAk3LzMxLzIw</t>
  </si>
  <si>
    <t>MjYIAAAACDYvMS8yMDI0CQAAAAEwIbiNMDvv3giVkqM0O+/eCDVDSVEuTkFTREFROkNBTE0uSVFfRUJJVERBXzNZUl9BTk5fQ0FHUi45OTcuMzEvMDcvMjAyNgEAAAAgegUAAgAAAAgxNTkuMjk0OAEIAAAABQAAAAExAQAAAAstMTkzNDk3ODQyMAMAAAADMTYwAgAAAAQ0MjIyBAAAAAEwBwAAAAk3LzMxLzIwMjYIAAAACDYvMy8yMDIzCQAAAAEwsoiHMDvv3gi50p80O+/eCDhDSVEuTkFTREFROkNBTE0uSVFfVE9UQUxfUkVWXzVZUl9BTk5fQ0FHUi45OTUuMzEvMDcvMjAyNgEAAAAgegUAAgAAAActNi43MDU1AQgAAAAFAAAAATEBAAAACy0yMDM3MjQxNzIxAwAAAAMxNjACAAAABDQyMzMEAAAAATAHAAAACTcvMzEvMjAyNggAAAAJNS8yOS8yMDIxCQAAAAEwsoiHMDvv3gj9l580O+/eCDVDSVEuTkFTREFROkNBTE0uSVFfRUJJVERBXzVZUl9BTk5fQ0FHUi45OTkuMzEvMDcvMjAyNgEAAAAgegUAAgAAAAc5NC40MzI1AQgAAAAFAAAAATEBAAAACy0xODgxMDY4Njc1AwAAAAMxNjACAAAABDQyMzUEAAAAATAHAAAACTcvMzEvMjAyNggAAAAJNS8zMS8yMDI1CQAAAAEwsoiHMDvv3gjtcJ80O+/eCDJDSVEuTkFTREFROkNBTE0uSVFfRklMSU5HX0NVUlJFTkNZLjEwMDAuMzEvMDcvMjAyNgEAAAAgegUAAwAAAANVU0QA6QIYMTvv3gi2QKc0O+/eCDpDSVEuTkFTREFROkNBTE0uSVFfVE9UQUxfTElBQl9UT1RB</t>
  </si>
  <si>
    <t>TF9BU1NFVFMuMTAwMC4zMS8wNy8yMDI2AQAAACB6BQACAAAABjE1LjAyOQEIAAAABQAAAAExAQAAAAstMTg4MTA2ODY2OAMAAAADMTYwAgAAAAQ0MTg4BAAAAAEwBwAAAAk3LzMxLzIwMjYIAAAACTUvMzAvMjAyNgkAAAABMEvfjTA7794I5TGiNDvv3gg2Q0lRLk5BU0RBUTpDQUxNLklRX1JFVFVSTl9DT01NT05fRVFVSVRZLjk5Ni4zMS8wNy8yMDI2AQAAACB6BQACAAAABzEyLjUyOTkBCAAAAAUAAAABMQEAAAALLTE5ODY3MDg0MzMDAAAAAzE2MAIAAAAFMzMzMjAEAAAAATAHAAAACTcvMzEvMjAyNggAAAAJNS8yOC8yMDIyCQAAAAEwIbiNMDvv3giwp6Q0O+/eCC1DSVEuTkFTREFROkNBTE0uSVFfRUJJVF9NQVJHSU4uOTk2LjMxLzA3LzIwMjYBAAAAIHoFAAIAAAAGNy43ODkyAQgAAAAFAAAAATEBAAAACy0xOTg2NzA4NDMzAwAAAAMxNjACAAAABDQwNTMEAAAAATAHAAAACTcvMzEvMjAyNggAAAAJNS8yOC8yMDIyCQAAAAEwIbiNMDvv3gjrVaQ0O+/eCDBDSVEuTkFTREFROkNBTE0uSVFfQ0FQRVhfUENUX1JFVi4xMDAwLjMxLzA3LzIwMjYBAAAAIHoFAAIAAAAGNS4xOTM2AQgAAAAFAAAAATEBAAAACy0xODgxMDY4NjY4AwAAAAMxNjACAAAABTM1MzgwBAAAAAEwBwAAAAk3LzMxLzIwMjYIAAAACTUvMzAvMjAyNgkAAAABMCG4jTA7794IugekNDvv3ggzQ0lRLk5BU0RBUTpDQUxNLklRX0ZJWEVEX0FT</t>
  </si>
  <si>
    <t>U0VUX1RVUk5TLjk5NC4zMS8wNy8yMDI2AQAAACB6BQACAAAABzIuNjU4MzUBCAAAAAUAAAABMQEAAAALLTIwODgzNDc0NjkDAAAAAzE2MAIAAAAENDA2NgQAAAABMAcAAAAJNy8zMS8yMDI2CAAAAAk1LzMwLzIwMjAJAAAAATAhuI0wO+/eCLoHpDQ7794IM0NJUS5OQVNEQVE6Q0FMTS5JUV9HUF8xWVJfQU5OX0dST1dUSC45OTguMzEvMDcvMjAyNgEAAAAgegUAAgAAAAgtNTQuNzM1NQEIAAAABQAAAAExAQAAAAstMTg4MTA2ODY3NgMAAAADMTYwAgAAAAQ0MTk1BAAAAAEwBwAAAAk3LzMxLzIwMjYIAAAACDYvMS8yMDI0CQAAAAEwsoiHMDvv3gg2lqA0O+/eCDJDSVEuTkFTREFROkNBTE0uSVFfQ0ZPX0NVUlJFTlRfTElBQi45OTguMzEvMDcvMjAyNgEAAAAgegUAAgAAAAgxLjk4MjA0OQEIAAAABQAAAAExAQAAAAstMTg4MTA2ODY3NgMAAAADMTYwAgAAAAQ0MTg1BAAAAAEwBwAAAAk3LzMxLzIwMjYIAAAACDYvMS8yMDI0CQAAAAEwIbiNMDvv3gg7HaM0O+/eCDFDSVEuTkFTREFROkNBTE0uSVFfQ0FTSF9DT05WRVJTSU9OLjk5Ni4zMS8wNy8yMDI2AQAAACB6BQACAAAACTY5Ljc2NzE1MgEIAAAABQAAAAExAQAAAAstMTk4NjcwODQzMwMAAAADMTYwAgAAAAQ0MTg0BAAAAAEwBwAAAAk3LzMxLzIwMjYIAAAACTUvMjgvMjAyMgkAAAABMEvfjTA7794Ius6iNDvv3gg1Q0lRLk5BU0RBUTpDQUxNLklRX1RP</t>
  </si>
  <si>
    <t>VEFMX0RFQlRfQ0FQSVRBTC4xMDAwLjMxLzA3LzIwMjYBAAAAIHoFAAMAAAAAAEvfjTA7794I+ZOiNDvv3ggxQ0lRLk5BU0RBUTpDQUxNLklRX0xUX0RFQlRfQ0FQSVRBTC45OTQuMzEvMDcvMjAyNgEAAAAgegUAAgAAAAYwLjIzNTYBCAAAAAUAAAABMQEAAAALLTIwODgzNDc0NjkDAAAAAzE2MAIAAAAENDE4NwQAAAABMAcAAAAJNy8zMS8yMDI2CAAAAAk1LzMwLzIwMjAJAAAAATBL340wO+/eCLJsojQ7794INUNJUS5OQVNEQVE6Q0FMTS5JUV9FQklUREFfNVlSX0FOTl9DQUdSLjk5OC4zMS8wNy8yMDI2AQAAACB6BQACAAAABzMwLjExNjMBCAAAAAUAAAABMQEAAAALLTE4ODEwNjg2NzYDAAAAAzE2MAIAAAAENDIzNQQAAAABMAcAAAAJNy8zMS8yMDI2CAAAAAg2LzEvMjAyNAkAAAABMLKIhzA7794I5EmfNDvv3ggyQ0lRLk5BU0RBUTpDQUxNLklRX0VCSVREQV9DQVBFWF9JTlQuOTk4LjMxLzA3LzIwMjYBAAAAIHoFAAIAAAAKNDE0LjUxOTEyNQEIAAAABQAAAAExAQAAAAstMTg4MTA2ODY3NgMAAAADMTYwAgAAAAQ0MTkxBAAAAAEwBwAAAAk3LzMxLzIwMjYIAAAACDYvMS8yMDI0CQAAAAEwS9+NMDvv3gjaz6E0O+/eCDFDSVEuTkFTREFROkNBTE0uSVFfTkVUX0RFQlRfRUJJVERBLjk5Ni4zMS8wNy8yMDI2AQAAACB6BQADAAAAAk5NAQgAAAAFAAAAATEBAAAACy0xOTg2NzA4NDMzAwAAAAMxNjACAAAA</t>
  </si>
  <si>
    <t>BDQxOTMEAAAAATAHAAAACTcvMzEvMjAyNggAAAAJNS8yOC8yMDIyCQAAAAEwAnWHMDvv3gimbaE0O+/eCDdDSVEuTkFTREFROkNBTE0uSVFfTkVUX0RFQlRfRUJJVERBX0NBUEVYLjk5NC4zMS8wNy8yMDI2AQAAACB6BQADAAAAAk5NAQgAAAAFAAAAATEBAAAACy0yMDg4MzQ3NDY5AwAAAAMxNjACAAAABTIzMzE0BAAAAAEwBwAAAAk3LzMxLzIwMjYIAAAACTUvMzAvMjAyMAkAAAABMLKIhzA7794IkQuhNDvv3ghJQ0lRLk5BU0RBUTpDQUxNLklRX05FVF9ERUJUX0VCSVREQV9FWENMX09QRVJfTEVBU0VTX0NBUEVYLjEwMDAuMzEvMDcvMjAyNgEAAAAgegUAAwAAAAJOTQEIAAAABQAAAAExAQAAAAstMTg4MTA2ODY2OAMAAAADMTYwAgAAAAU0OTE4MgQAAAABMAcAAAAJNy8zMS8yMDI2CAAAAAk1LzMwLzIwMjYJAAAAATCyiIcwO+/eCITkoDQ7794INENJUS5OQVNEQVE6Q0FMTS5JUV9UT1RBTF9ERUJUX0NBUElUQUwuOTk4LjMxLzA3LzIwMjYBAAAAIHoFAAMAAAAAAEvfjTA7794I+ZOiNDvv3gg0Q0lRLk5BU0RBUTpDQUxNLklRX0VQU18xWVJfQU5OX0dST1dUSC45OTYuMzEvMDcvMjAyNgEAAAAgegUAAgAAAAQ2NzAwAQgAAAAFAAAAATEBAAAACy0xOTg2NzA4NDMzAwAAAAMxNjACAAAABDQyMDAEAAAAATAHAAAACTcvMzEvMjAyNggAAAAJNS8yOC8yMDIyCQAAAAEwsoiHMDvv3ggZSKA0O+/eCDNDSVEu</t>
  </si>
  <si>
    <t>TkFTREFROkNBTE0uSVFfRUJJVF8zWVJfQU5OX0NBR1IuOTk0LjMxLzA3LzIwMjYBAAAAIHoFAAMAAAACTk0BCAAAAAUAAAABMQEAAAALLTIwODgzNDc0NjkDAAAAAzE2MAIAAAAENDIyMwQAAAABMAcAAAAJNy8zMS8yMDI2CAAAAAk1LzMwLzIwMjAJAAAAATCyiIcwO+/eCLnSnzQ7794IMkNJUS5OQVNEQVE6Q0FMTS5JUV9OSV8zWVJfQU5OX0NBR1IuMTAwMC4zMS8wNy8yMDI2AQAAACB6BQACAAAACC0yNS4yNDM5AQgAAAAFAAAAATEBAAAACy0xODgxMDY4NjY4AwAAAAMxNjACAAAABDQyMjUEAAAAATAHAAAACTcvMzEvMjAyNggAAAAJNS8zMC8yMDI2CQAAAAEwsoiHMDvv3ggNv580O+/eCDhDSVEuTkFTREFROkNBTE0uSVFfVE9UQUxfUkVWXzVZUl9BTk5fQ0FHUi45OTQuMzEvMDcvMjAyNgEAAAAgegUAAgAAAActMy4wMjY4AQgAAAAFAAAAATEBAAAACy0yMDg4MzQ3NDY5AwAAAAMxNjACAAAABDQyMzMEAAAAATAHAAAACTcvMzEvMjAyNggAAAAJNS8zMC8yMDIwCQAAAAEwsoiHMDvv3gj9l580O+/eCDlDSVEuTkFTREFROkNBTE0uSVFfVE9UQUxfREVCVF9FQklUREFfQ0FQRVguOTk4LjMxLzA3LzIwMjYBAAAAIHoFAAMAAAAAAAJ1hzA7794IUUahNDvv3ggzQ0lRLk5BU0RBUTpDQUxNLklRX0dQXzFZUl9BTk5fR1JPV1RILjk5Ny4zMS8wNy8yMDI2AQAAACB6BQACAAAACDI1NC45Njk2AQgAAAAFAAAA</t>
  </si>
  <si>
    <t>ATEBAAAACy0xOTM0OTc4NDIwAwAAAAMxNjACAAAABDQxOTUEAAAAATAHAAAACTcvMzEvMjAyNggAAAAINi8zLzIwMjMJAAAAATCyiIcwO+/eCDaWoDQ7794INENJUS5OQVNEQVE6Q0FMTS5JUV9FUFNfMVlSX0FOTl9HUk9XVEguOTk1LjMxLzA3LzIwMjYBAAAAIHoFAAIAAAAILTg5LjQ1ODYBCAAAAAUAAAABMQEAAAALLTIwMzcyNDE3MjEDAAAAAzE2MAIAAAAENDIwMAQAAAABMAcAAAAJNy8zMS8yMDI2CAAAAAk1LzI5LzIwMjEJAAAAATCyiIcwO+/eCBlIoDQ7794IMUNJUS5OQVNEQVE6Q0FMTS5JUV9OSV8zWVJfQU5OX0NBR1IuOTk5LjMxLzA3LzIwMjYBAAAAIHoFAAIAAAAIMTA5LjUxODkBCAAAAAUAAAABMQEAAAALLTE4ODEwNjg2NzUDAAAAAzE2MAIAAAAENDIyNQQAAAABMAcAAAAJNy8zMS8yMDI2CAAAAAk1LzMxLzIwMjUJAAAAATCyiIcwO+/eCA2/nzQ7794INUNJUS5OQVNEQVE6Q0FMTS5JUV9FQklUREFfNVlSX0FOTl9DQUdSLjk5Ny4zMS8wNy8yMDI2AQAAACB6BQACAAAABzM0LjQ2ODMBCAAAAAUAAAABMQEAAAALLTE5MzQ5Nzg0MjADAAAAAzE2MAIAAAAENDIzNQQAAAABMAcAAAAJNy8zMS8yMDI2CAAAAAg2LzMvMjAyMwkAAAABMLKIhzA7794I5EmfNDvv3ggxQ0lRLk5BU0RBUTpDQUxNLklRX05JXzNZUl9BTk5fQ0FHUi45OTguMzEvMDcvMjAyNgEAAAAgegUAAgAAAAg0MTIuODYyNAEI</t>
  </si>
  <si>
    <t>AAAABQAAAAExAQAAAAstMTg4MTA2ODY3NgMAAAADMTYwAgAAAAQ0MjI1BAAAAAEwBwAAAAk3LzMxLzIwMjYIAAAACDYvMS8yMDI0CQAAAAEwsoiHMDvv3ggNv580O+/eCCpDSVEuTkFTREFROkNBTE0uSVFfRUJJVF9JTlQuOTk2LjMxLzA3LzIwMjYBAAAAIHoFAAIAAAAKMzQzLjQ5Mzc5NgEIAAAABQAAAAExAQAAAAstMTk4NjcwODQzMwMAAAADMTYwAgAAAAQ0MTg5BAAAAAEwBwAAAAk3LzMxLzIwMjYIAAAACTUvMjgvMjAyMgkAAAABMEvfjTA7794I5TGiNDvv3ghDQ0lRLk5BU0RBUTpDQUxNLklRX0VCSVREQV9FWENMX09QRVJfTEVBU0VTX0NBUEVYX0lOVC45OTQuMzEvMDcvMjAyNgEAAAAgegUAAwAAAAJOTQEIAAAABQAAAAExAQAAAAstMjA4ODM0NzQ2OQMAAAADMTYwAgAAAAU0OTE3NAQAAAABMAcAAAAJNy8zMS8yMDI2CAAAAAk1LzMwLzIwMjAJAAAAATBL340wO+/eCNrPoTQ7794INENJUS5OQVNEQVE6Q0FMTS5JUV9UT1RBTF9ERUJUX0VCSVREQS4xMDAwLjMxLzA3LzIwMjYBAAAAIHoFAAMAAAAAAAJ1hzA7794If6ihNDvv3ggxQ0lRLk5BU0RBUTpDQUxNLklRX05FVF9ERUJUX0VCSVREQS45OTQuMzEvMDcvMjAyNgEAAAAgegUAAwAAAAJOTQEIAAAABQAAAAExAQAAAAstMjA4ODM0NzQ2OQMAAAADMTYwAgAAAAQ0MTkzBAAAAAEwBwAAAAk3LzMxLzIwMjYIAAAACTUvMzAvMjAyMAkAAAABMAJ1</t>
  </si>
  <si>
    <t>hzA7794Ipm2hNDvv3gg5Q0lRLk5BU0RBUTpDQUxNLklRX1RPVEFMX0RFQlRfRUJJVERBX0NBUEVYLjk5Ny4zMS8wNy8yMDI2AQAAACB6BQADAAAAAAACdYcwO+/eCJELoTQ7794IM0NJUS5OQVNEQVE6Q0FMTS5JUV9HUF8xWVJfQU5OX0dST1dUSC45OTYuMzEvMDcvMjAyNgEAAAAgegUAAgAAAAgxMDkuNzk1MQEIAAAABQAAAAExAQAAAAstMTk4NjcwODQzMwMAAAADMTYwAgAAAAQ0MTk1BAAAAAEwBwAAAAk3LzMxLzIwMjYIAAAACTUvMjgvMjAyMgkAAAABMLKIhzA7794INpagNDvv3gg2Q0lRLk5BU0RBUTpDQUxNLklRX0VCSVRfMVlSX0FOTl9HUk9XVEguMTAwMC4zMS8wNy8yMDI2AQAAACB6BQACAAAACC03Ny45NjI2AQgAAAAFAAAAATEBAAAACy0xODgxMDY4NjY4AwAAAAMxNjACAAAABDQxOTcEAAAAATAHAAAACTcvMzEvMjAyNggAAAAJNS8zMC8yMDI2CQAAAAEwsoiHMDvv3ggmb6A0O+/eCDRDSVEuTkFTREFROkNBTE0uSVFfRVBTXzFZUl9BTk5fR1JPV1RILjk5NC4zMS8wNy8yMDI2AQAAACB6BQACAAAACC02Ni4wODY1AQgAAAAFAAAAATEBAAAACy0yMDg4MzQ3NDY5AwAAAAMxNjACAAAABDQyMDAEAAAAATAHAAAACTcvMzEvMjAyNggAAAAJNS8zMC8yMDIwCQAAAAEwsoiHMDvv3ggZSKA0O+/eCDFDSVEuTkFTREFROkNBTE0uSVFfR1BfM1lSX0FOTl9DQUdSLjk5OC4zMS8wNy8yMDI2AQAAACB6</t>
  </si>
  <si>
    <t>BQACAAAABzQ5LjkzOTEBCAAAAAUAAAABMQEAAAALLTE4ODEwNjg2NzYDAAAAAzE2MAIAAAAENDIyMQQAAAABMAcAAAAJNy8zMS8yMDI2CAAAAAg2LzEvMjAyNAkAAAABMLKIhzA7794I9vmfNDvv3ggxQ0lRLk5BU0RBUTpDQUxNLklRX05JXzVZUl9BTk5fQ0FHUi45OTkuMzEvMDcvMjAyNgEAAAAgegUAAgAAAAgxMzEuMzk1MgEIAAAABQAAAAExAQAAAAstMTg4MTA2ODY3NQMAAAADMTYwAgAAAAQ0MjM4BAAAAAEwBwAAAAk3LzMxLzIwMjYIAAAACTUvMzEvMjAyNQkAAAABMLKIhzA7794I1yKfNDvv3gg1Q0lRLk5BU0RBUTpDQUxNLklRX0VCSVREQV81WVJfQU5OX0NBR1IuOTk2LjMxLzA3LzIwMjYBAAAAIHoFAAMAAAACTk0BCAAAAAUAAAABMQEAAAALLTE5ODY3MDg0MzMDAAAAAzE2MAIAAAAENDIzNQQAAAABMAcAAAAJNy8zMS8yMDI2CAAAAAk1LzI4LzIwMjIJAAAAATCyiIcwO+/eCORJnzQ7794IMkNJUS5OQVNEQVE6Q0FMTS5JUV9OSV81WVJfQU5OX0NBR1IuMTAwMC4zMS8wNy8yMDI2AQAAACB6BQACAAAACDE3My43NDgyAQgAAAAFAAAAATEBAAAACy0xODgxMDY4NjY4AwAAAAMxNjACAAAABDQyMzgEAAAAATAHAAAACTcvMzEvMjAyNggAAAAJNS8zMC8yMDI2CQAAAAEwsoiHMDvv3gjXIp80O+/eCCpDSVEuTkFTREFROkNBTE0uSVFfRUJJVF9JTlQuOTk1LjMxLzA3LzIwMjYBAAAAIHoFAAMAAAAC</t>
  </si>
  <si>
    <t>Tk0BCAAAAAUAAAABMQEAAAALLTIwMzcyNDE3MjEDAAAAAzE2MAIAAAAENDE4OQQAAAABMAcAAAAJNy8zMS8yMDI2CAAAAAk1LzI5LzIwMjEJAAAAATBL340wO+/eCOUxojQ7794IM0NJUS5OQVNEQVE6Q0FMTS5JUV9UT1RBTF9ERUJUX0VCSVREQS45OTkuMzEvMDcvMjAyNgEAAAAgegUAAwAAAAAAAnWHMDvv3gh/qKE0O+/eCDNDSVEuTkFTREFROkNBTE0uSVFfTlVNQkVSX0FEUkhPTERFUlMuOTk4LjMxLzA3LzIwMjYBAAAAIHoFAAMAAAAAAPBVjTA7794IB5KlNDvv3gg1Q0lRLk5BU0RBUTpDQUxNLklRX0VCSVRfMVlSX0FOTl9HUk9XVEguOTk5LjMxLzA3LzIwMjYBAAAAIHoFAAIAAAAINDI5LjE0MTUBCAAAAAUAAAABMQEAAAALLTE4ODEwNjg2NzUDAAAAAzE2MAIAAAAENDE5NwQAAAABMAcAAAAJNy8zMS8yMDI2CAAAAAk1LzMxLzIwMjUJAAAAATCyiIcwO+/eCCZvoDQ7794IMUNJUS5OQVNEQVE6Q0FMTS5JUV9HUF8zWVJfQU5OX0NBR1IuOTk3LjMxLzA3LzIwMjYBAAAAIHoFAAIAAAAHODguMTY1NQEIAAAABQAAAAExAQAAAAstMTkzNDk3ODQyMAMAAAADMTYwAgAAAAQ0MjIxBAAAAAEwBwAAAAk3LzMxLzIwMjYIAAAACDYvMy8yMDIzCQAAAAEwsoiHMDvv3gj2+Z80O+/eCDJDSVEuTkFTREFROkNBTE0uSVFfRVBTXzNZUl9BTk5fQ0FHUi45OTUuMzEvMDcvMjAyNgEAAAAgegUAAgAAAAgtNzUuMTI5</t>
  </si>
  <si>
    <t>MgEIAAAABQAAAAExAQAAAAstMjAzNzI0MTcyMQMAAAADMTYwAgAAAAQ0MjI2BAAAAAEwBwAAAAk3LzMxLzIwMjYIAAAACTUvMjkvMjAyMQkAAAABMLKIhzA7794IDb+fNDvv3gg1Q0lRLk5BU0RBUTpDQUxNLklRX0VCSVREQV81WVJfQU5OX0NBR1IuOTk1LjMxLzA3LzIwMjYBAAAAIHoFAAIAAAAILTQxLjE5OTEBCAAAAAUAAAABMQEAAAALLTIwMzcyNDE3MjEDAAAAAzE2MAIAAAAENDIzNQQAAAABMAcAAAAJNy8zMS8yMDI2CAAAAAk1LzI5LzIwMjEJAAAAATCyiIcwO+/eCORJnzQ7794ILUNJUS5OQVNEQVE6Q0FMTS5JUV9BU1NFVF9UVVJOUy45OTQuMzEvMDcvMjAyNgEAAAAgegUAAgAAAAcxLjE0Mzk5AQgAAAAFAAAAATEBAAAACy0yMDg4MzQ3NDY5AwAAAAMxNjACAAAABDQxNzcEAAAAATAHAAAACTcvMzEvMjAyNggAAAAJNS8zMC8yMDIwCQAAAAEwIbiNMDvv3gi6B6Q0O+/eCCxDSVEuTkFTREFROkNBTE0uSVFfSU5WX01FVEhPRC45OTguMzEvMDcvMjAyNgEAAAAgegUAAwAAAARGSUZPAOBckTA7794IW1amNDvv3ggrQ0lRLk5BU0RBUTpDQUxNLklRX1BBUlRfVElNRS45OTQuMzEvMDcvMjAyNgEAAAAgegUAAgAAAAMxNzUA8FWNMDvv3ggTCKY0O+/eCDJDSVEuTkFTREFROkNBTE0uSVFfVE9UQUxfRU1QTE9ZRUVTLjEwMDAuMzEvMDcvMjAyNgEAAAAgegUAAgAAAAQ0ODM2APBVjTA7794I46WlNDvv</t>
  </si>
  <si>
    <t>3ggvQ0lRLk5BU0RBUTpDQUxNLklRX0FWR19FTVBMT1lFRVMuOTk0LjMxLzA3LzIwMjYBAAAAIHoFAAMAAAAAAPBVjTA7794I46WlNDvv3gg0Q0lRLk5BU0RBUTpDQUxNLklRX1RPVEFMX0RFQlRfQ0FQSVRBTC45OTYuMzEvMDcvMjAyNgEAAAAgegUAAwAAAAAAS9+NMDvv3gj5k6I0O+/eCDBDSVEuTkFTREFROkNBTE0uSVFfUkVTVEFURU1FTlRfQlMuOTk0LjMxLzA3LzIwMjYBAAAAIHoFAAMAAAACTkMAIbiNMDvv3gjZQ6U0O+/eCC9DSVEuTkFTREFROkNBTE0uSVFfQ0FMQ19UWVBFX0JTLjEwMDAuMzEvMDcvMjAyNgEAAAAgegUAAwAAAANSRVAAIbiNMDvv3ggFHaU0O+/eCDBDSVEuTkFTREFROkNBTE0uSVFfUkVUVVJOX0NBUElUQUwuOTk4LjMxLzA3LzIwMjYBAAAAIHoFAAIAAAAHMTAuODA0MQEIAAAABQAAAAExAQAAAAstMTg4MTA2ODY3NgMAAAADMTYwAgAAAAQ0MzYzBAAAAAEwBwAAAAk3LzMxLzIwMjYIAAAACDYvMS8yMDI0CQAAAAEwIbiNMDvv3gi6zqQ0O+/eCC9DSVEuTkFTREFROkNBTE0uSVFfRUJJVERBX01BUkdJTi45OTYuMzEvMDcvMjAyNgEAAAAgegUAAgAAAAcxMS42Mzc4AQgAAAAFAAAAATEBAAAACy0xOTg2NzA4NDMzAwAAAAMxNjACAAAABDQwNDcEAAAAATAHAAAACTcvMzEvMjAyNggAAAAJNS8yOC8yMDIyCQAAAAEwIbiNMDvv3gi/gKQ0O+/eCDlDSVEuTkFTREFROkNBTE0uSVFf</t>
  </si>
  <si>
    <t>VE9UQUxfREVCVF9FQklUREFfQ0FQRVguOTk2LjMxLzA3LzIwMjYBAAAAIHoFAAMAAAAAAAJ1hzA7794IkQuhNDvv3gg0Q0lRLk5BU0RBUTpDQUxNLklRX0ZJWEVEX0FTU0VUX1RVUk5TLjEwMDAuMzEvMDcvMjAyNgEAAAAgegUAAgAAAAgyLjQ4MzI0OAEIAAAABQAAAAExAQAAAAstMTg4MTA2ODY2OAMAAAADMTYwAgAAAAQ0MDY2BAAAAAEwBwAAAAk3LzMxLzIwMjYIAAAACTUvMzAvMjAyNgkAAAABMCG4jTA7794IlZKjNDvv3ggxQ0lRLk5BU0RBUTpDQUxNLklRX0lOVkVOVE9SWV9UVVJOUy45OTQuMzEvMDcvMjAyNgEAAAAgegUAAgAAAAg2LjUyMTEzNgEIAAAABQAAAAExAQAAAAstMjA4ODM0NzQ2OQMAAAADMTYwAgAAAAQ0MDgyBAAAAAEwBwAAAAk3LzMxLzIwMjYIAAAACTUvMzAvMjAyMAkAAAABMCG4jTA7794IiGujNDvv3ggtQ0lRLk5BU0RBUTpDQUxNLklRX1FVSUNLX1JBVElPLjk5OC4zMS8wNy8yMDI2AQAAACB6BQACAAAACDQuMjgwMzQ2AQgAAAAFAAAAATEBAAAACy0xODgxMDY4Njc2AwAAAAMxNjACAAAABDQxMjEEAAAAATAHAAAACTcvMzEvMjAyNggAAAAINi8xLzIwMjQJAAAAATAhuI0wO+/eCIhrozQ7794IMkNJUS5OQVNEQVE6Q0FMTS5JUV9EQVlTX1BBWUFCTEVfT1VULjk5Ni4zMS8wNy8yMDI2AQAAACB6BQACAAAACTE2LjUyNDUwOAEIAAAABQAAAAExAQAAAAstMTk4NjcwODQzMwMA</t>
  </si>
  <si>
    <t>AAADMTYwAgAAAAQ0MTgzBAAAAAEwBwAAAAk3LzMxLzIwMjYIAAAACTUvMjgvMjAyMgkAAAABMEvfjTA7794I/PWiNDvv3ggyQ0lRLk5BU0RBUTpDQUxNLklRX0VQU18zWVJfQU5OX0NBR1IuOTk0LjMxLzA3LzIwMjYBAAAAIHoFAAMAAAACTk0BCAAAAAUAAAABMQEAAAALLTIwODgzNDc0NjkDAAAAAzE2MAIAAAAENDIyNgQAAAABMAcAAAAJNy8zMS8yMDI2CAAAAAk1LzMwLzIwMjAJAAAAATCyiIcwO+/eCP2XnzQ7794IMkNJUS5OQVNEQVE6Q0FMTS5JUV9MVF9ERUJUX0NBUElUQUwuMTAwMC4zMS8wNy8yMDI2AQAAACB6BQADAAAAAABL340wO+/eCLJsojQ7794IKkNJUS5OQVNEQVE6Q0FMTS5JUV9FQklUX0lOVC45OTQuMzEvMDcvMjAyNgEAAAAgegUAAgAAAAgyLjcxMjg1MQEIAAAABQAAAAExAQAAAAstMjA4ODM0NzQ2OQMAAAADMTYwAgAAAAQ0MTg5BAAAAAEwBwAAAAk3LzMxLzIwMjYIAAAACTUvMzAvMjAyMAkAAAABMEvfjTA7794I5TGiNDvv3gg9Q0lRLk5BU0RBUTpDQUxNLklRX0VCSVREQV9FWENMX09QRVJfTEVBU0VTX0lOVC45OTguMzEvMDcvMjAyNgEAAAAgegUAAgAAAAo2ODIuNDg5OTgxAQgAAAAFAAAAATEBAAAACy0xODgxMDY4Njc2AwAAAAMxNjACAAAABTQ5MTczBAAAAAEwBwAAAAk3LzMxLzIwMjYIAAAACDYvMS8yMDI0CQAAAAEwS9+NMDvv3gijCqI0O+/eCDNDSVEuTkFTREFROkNB</t>
  </si>
  <si>
    <t>TE0uSVFfVE9UQUxfREVCVF9FQklUREEuOTk4LjMxLzA3LzIwMjYBAAAAIHoFAAMAAAAAAAJ1hzA7794If6ihNDvv3ggzQ0lRLk5BU0RBUTpDQUxNLklRX05VTUJFUl9BRFJIT0xERVJTLjk5Ny4zMS8wNy8yMDI2AQAAACB6BQADAAAAAADwVY0wO+/eCARrpTQ7794IOENJUS5OQVNEQVE6Q0FMTS5JUV9ORVRfREVCVF9FQklUREFfQ0FQRVguMTAwMC4zMS8wNy8yMDI2AQAAACB6BQADAAAAAk5NAQgAAAAFAAAAATEBAAAACy0xODgxMDY4NjY4AwAAAAMxNjACAAAABTIzMzE0BAAAAAEwBwAAAAk3LzMxLzIwMjYIAAAACTUvMzAvMjAyNgkAAAABMLKIhzA7794IkQuhNDvv3ggqQ0lRLk5BU0RBUTpDQUxNLklRX1pfU0NPUkUuMTAwMC4zMS8wNy8yMDI2AQAAACB6BQACAAAACDguNjc4MjAxAQgAAAAFAAAAATEBAAAACy0xODgxMDY4NjY4AwAAAAMxNjACAAAABjEwMDEyMwQAAAABMAcAAAAJNy8zMS8yMDI2CAAAAAk1LzMwLzIwMjYJAAAAATCyiIcwO+/eCG+9oDQ7794INUNJUS5OQVNEQVE6Q0FMTS5JUV9FQklUXzFZUl9BTk5fR1JPV1RILjk5OC4zMS8wNy8yMDI2AQAAACB6BQACAAAACC02OS40NjM4AQgAAAAFAAAAATEBAAAACy0xODgxMDY4Njc2AwAAAAMxNjACAAAABDQxOTcEAAAAATAHAAAACTcvMzEvMjAyNggAAAAINi8xLzIwMjQJAAAAATCyiIcwO+/eCCZvoDQ7794IMUNJUS5OQVNEQVE6Q0FMTS5J</t>
  </si>
  <si>
    <t>UV9HUF8zWVJfQU5OX0NBR1IuOTk2LjMxLzA3LzIwMjYBAAAAIHoFAAIAAAAHMTQuNzg2OAEIAAAABQAAAAExAQAAAAstMTk4NjcwODQzMwMAAAADMTYwAgAAAAQ0MjIxBAAAAAEwBwAAAAk3LzMxLzIwMjYIAAAACTUvMjgvMjAyMgkAAAABMLKIhzA7794I9vmfNDvv3ggtQ0lRLk5BU0RBUTpDQUxNLklRX1FVSUNLX1JBVElPLjk5Ny4zMS8wNy8yMDI2AQAAACB6BQACAAAACDQuNTcwMjUzAQgAAAAFAAAAATEBAAAACy0xOTM0OTc4NDIwAwAAAAMxNjACAAAABDQxMjEEAAAAATAHAAAACTcvMzEvMjAyNggAAAAINi8zLzIwMjMJAAAAATAhuI0wO+/eCE1EozQ7794IOUNJUS5OQVNEQVE6Q0FMTS5JUV9UT1RBTF9SRVZfNVlSX0FOTl9DQUdSLjEwMDAuMzEvMDcvMjAyNgEAAAAgegUAAgAAAAcxNi42MzQyAQgAAAAFAAAAATEBAAAACy0xODgxMDY4NjY4AwAAAAMxNjACAAAABDQyMzMEAAAAATAHAAAACTcvMzEvMjAyNggAAAAJNS8zMC8yMDI2CQAAAAEwsoiHMDvv3gjtcJ80O+/eCDFDSVEuTkFTREFROkNBTE0uSVFfTklfNVlSX0FOTl9DQUdSLjk5OC4zMS8wNy8yMDI2AQAAACB6BQACAAAABzM4LjY1MjUBCAAAAAUAAAABMQEAAAALLTE4ODEwNjg2NzYDAAAAAzE2MAIAAAAENDIzOAQAAAABMAcAAAAJNy8zMS8yMDI2CAAAAAg2LzEvMjAyNAkAAAABMLKIhzA7794I1yKfNDvv3ggsQ0lRLk5BU0RBUTpDQUxN</t>
  </si>
  <si>
    <t>LklRX0lOVl9NRVRIT0QuOTk3LjMxLzA3LzIwMjYBAAAAIHoFAAMAAAAERklGTwDgXJEwO+/eCFovpjQ7794IMUNJUS5OQVNEQVE6Q0FMTS5JUV9UT1RBTF9FTVBMT1lFRVMuOTk5LjMxLzA3LzIwMjYBAAAAIHoFAAIAAAAEMzc1NgDwVY0wO+/eCOOlpTQ7794IOUNJUS5OQVNEQVE6Q0FMTS5JUV9UT1RBTF9ERUJUX0VCSVREQV9DQVBFWC45OTUuMzEvMDcvMjAyNgEAAAAgegUAAwAAAAJOTQEIAAAABQAAAAExAQAAAAstMjAzNzI0MTcyMQMAAAADMTYwAgAAAAUyMzMxMwQAAAABMAcAAAAJNy8zMS8yMDI2CAAAAAk1LzI5LzIwMjEJAAAAATACdYcwO+/eCJELoTQ7794ILkNJUS5OQVNEQVE6Q0FMTS5JUV9DQUxDX1RZUEVfQlMuOTk5LjMxLzA3LzIwMjYBAAAAIHoFAAMAAAADUkVQACG4jTA7794IBR2lNDvv3ggwQ0lRLk5BU0RBUTpDQUxNLklRX1JFVFVSTl9DQVBJVEFMLjk5Ny4zMS8wNy8yMDI2AQAAACB6BQACAAAABzQ0LjQxMjEBCAAAAAUAAAABMQEAAAALLTE5MzQ5Nzg0MjADAAAAAzE2MAIAAAAENDM2MwQAAAABMAcAAAAJNy8zMS8yMDI2CAAAAAg2LzMvMjAyMwkAAAABMCG4jTA7794Ius6kNDvv3ggvQ0lRLk5BU0RBUTpDQUxNLklRX0VCSVREQV9NQVJHSU4uOTk1LjMxLzA3LzIwMjYBAAAAIHoFAAIAAAAGMi42ODMxAQgAAAAFAAAAATEBAAAACy0yMDM3MjQxNzIxAwAAAAMxNjACAAAABDQwNDcE</t>
  </si>
  <si>
    <t>AAAAATAHAAAACTcvMzEvMjAyNggAAAAJNS8yOS8yMDIxCQAAAAEwIbiNMDvv3gi/gKQ0O+/eCDNDSVEuTkFTREFROkNBTE0uSVFfRklYRURfQVNTRVRfVFVSTlMuOTk5LjMxLzA3LzIwMjYBAAAAIHoFAAIAAAAHNC41MjQ0OQEIAAAABQAAAAExAQAAAAstMTg4MTA2ODY3NQMAAAADMTYwAgAAAAQ0MDY2BAAAAAEwBwAAAAk3LzMxLzIwMjYIAAAACTUvMzEvMjAyNQkAAAABMCG4jTA7794IlZKjNDvv3ggzQ0lRLk5BU0RBUTpDQUxNLklRX0VCSVRfM1lSX0FOTl9DQUdSLjk5OS4zMS8wNy8yMDI2AQAAACB6BQACAAAACDEyNC4xMDQ4AQgAAAAFAAAAATEBAAAACy0xODgxMDY4Njc1AwAAAAMxNjACAAAABDQyMjMEAAAAATAHAAAACTcvMzEvMjAyNggAAAAJNS8zMS8yMDI1CQAAAAEwsoiHMDvv3gi50p80O+/eCDJDSVEuTkFTREFROkNBTE0uSVFfREFZU19QQVlBQkxFX09VVC45OTUuMzEvMDcvMjAyNgEAAAAgegUAAgAAAAkxNi4yMjA5MzIBCAAAAAUAAAABMQEAAAALLTIwMzcyNDE3MjEDAAAAAzE2MAIAAAAENDE4MwQAAAABMAcAAAAJNy8zMS8yMDI2CAAAAAk1LzI5LzIwMjEJAAAAATBL340wO+/eCPz1ojQ7794IMUNJUS5OQVNEQVE6Q0FMTS5JUV9MVF9ERUJUX0NBUElUQUwuOTk5LjMxLzA3LzIwMjYBAAAAIHoFAAMAAAAAAEvfjTA7794IsmyiNDvv3gg9Q0lRLk5BU0RBUTpDQUxNLklRX0VCSVREQV9F</t>
  </si>
  <si>
    <t>WENMX09QRVJfTEVBU0VTX0lOVC45OTcuMzEvMDcvMjAyNgEAAAAgegUAAgAAAAsxNzc3Ljg0NTYyNgEIAAAABQAAAAExAQAAAAstMTkzNDk3ODQyMAMAAAADMTYwAgAAAAU0OTE3MwQAAAABMAcAAAAJNy8zMS8yMDI2CAAAAAg2LzMvMjAyMwkAAAABMEvfjTA7794IowqiNDvv3ghEQ0lRLk5BU0RBUTpDQUxNLklRX1RPVEFMX0RFQlRfRUJJVERBX0VYQ0xfT1BFUl9MRUFTRVMuOTk1LjMxLzA3LzIwMjYBAAAAIHoFAAIAAAAIMC4wNjU2OTkBCAAAAAUAAAABMQEAAAALLTIwMzcyNDE3MjEDAAAAAzE2MAIAAAAFNDg5OTQEAAAAATAHAAAACTcvMzEvMjAyNggAAAAJNS8yOS8yMDIxCQAAAAEwAnWHMDvv3gh/qKE0O+/eCDdDSVEuTkFTREFROkNBTE0uSVFfUkVUVVJOX0NPTU1PTl9FUVVJVFkuMTAwMC4zMS8wNy8yMDI2AQAAACB6BQACAAAABzEyLjE5NTYBCAAAAAUAAAABMQEAAAALLTE4ODEwNjg2NjgDAAAAAzE2MAIAAAAFMzMzMjAEAAAAATAHAAAACTcvMzEvMjAyNggAAAAJNS8zMC8yMDI2CQAAAAEwIbiNMDvv3giwp6Q0O+/eCDdDSVEuTkFTREFROkNBTE0uSVFfTkVUX0RFQlRfRUJJVERBX0NBUEVYLjk5OS4zMS8wNy8yMDI2AQAAACB6BQADAAAAAk5NAQgAAAAFAAAAATEBAAAACy0xODgxMDY4Njc1AwAAAAMxNjACAAAABTIzMzE0BAAAAAEwBwAAAAk3LzMxLzIwMjYIAAAACTUvMzEvMjAyNQkAAAAB</t>
  </si>
  <si>
    <t>MLKIhzA7794IkQuhNDvv3gg6Q0lRLk5BU0RBUTpDQUxNLklRX1RPVEFMX1JFVl8xWVJfQU5OX0dST1dUSC45OTcuMzEvMDcvMjAyNgEAAAAgegUAAgAAAAc3Ny4wMzYzAQgAAAAFAAAAATEBAAAACy0xOTM0OTc4NDIwAwAAAAMxNjACAAAABDQxOTQEAAAAATAHAAAACTcvMzEvMjAyNggAAAAINi8zLzIwMjMJAAAAATCyiIcwO+/eCG+9oDQ7794INUNJUS5OQVNEQVE6Q0FMTS5JUV9FQklUXzFZUl9BTk5fR1JPV1RILjk5Ny4zMS8wNy8yMDI2AQAAACB6BQACAAAACDU5Ni41NzE1AQgAAAAFAAAAATEBAAAACy0xOTM0OTc4NDIwAwAAAAMxNjACAAAABDQxOTcEAAAAATAHAAAACTcvMzEvMjAyNggAAAAINi8zLzIwMjMJAAAAATCyiIcwO+/eCBlIoDQ7794IMUNJUS5OQVNEQVE6Q0FMTS5JUV9HUF8zWVJfQU5OX0NBR1IuOTk1LjMxLzA3LzIwMjYBAAAAIHoFAAIAAAAILTIzLjY1NDcBCAAAAAUAAAABMQEAAAALLTIwMzcyNDE3MjEDAAAAAzE2MAIAAAAENDIyMQQAAAABMAcAAAAJNy8zMS8yMDI2CAAAAAk1LzI5LzIwMjEJAAAAATCyiIcwO+/eCPb5nzQ7794IMUNJUS5OQVNEQVE6Q0FMTS5JUV9EQVlTX1NBTEVTX09VVC4xMDAwLjMxLzA3LzIwMjYBAAAAIHoFAAIAAAAJMjMuNzczMjA0AQgAAAAFAAAAATEBAAAACy0xODgxMDY4NjY4AwAAAAMxNjACAAAABDQwNDIEAAAAATAHAAAACTcvMzEvMjAyNggAAAAJ</t>
  </si>
  <si>
    <t>NS8zMC8yMDI2CQAAAAEwS9+NMDvv3gg7HaM0O+/eCDhDSVEuTkFTREFROkNBTE0uSVFfVE9UQUxfUkVWXzVZUl9BTk5fQ0FHUi45OTkuMzEvMDcvMjAyNgEAAAAgegUAAgAAAAcyNS44MjAxAQgAAAAFAAAAATEBAAAACy0xODgxMDY4Njc1AwAAAAMxNjACAAAABDQyMzMEAAAAATAHAAAACTcvMzEvMjAyNggAAAAJNS8zMS8yMDI1CQAAAAEwsoiHMDvv3gjtcJ80O+/eCDFDSVEuTkFTREFROkNBTE0uSVFfTklfNVlSX0FOTl9DQUdSLjk5Ny4zMS8wNy8yMDI2AQAAACB6BQACAAAABzQzLjE4ODkBCAAAAAUAAAABMQEAAAALLTE5MzQ5Nzg0MjADAAAAAzE2MAIAAAAENDIzOAQAAAABMAcAAAAJNy8zMS8yMDI2CAAAAAg2LzMvMjAyMwkAAAABMLKIhzA7794I1yKfNDvv3ggpQ0lRLk5BU0RBUTpDQUxNLklRX0dBQVBfQlMuOTk2LjMxLzA3LzIwMjYBAAAAIHoFAAMAAAAHVVMgR0FBUAAhuI0wO+/eCO71pDQ7794IMENJUS5OQVNEQVE6Q0FMTS5JUV9SRVRVUk5fQ0FQSVRBTC45OTYuMzEvMDcvMjAyNgEAAAAgegUAAgAAAAY4LjE2MzkBCAAAAAUAAAABMQEAAAALLTE5ODY3MDg0MzMDAAAAAzE2MAIAAAAENDM2MwQAAAABMAcAAAAJNy8zMS8yMDI2CAAAAAk1LzI4LzIwMjIJAAAAATAhuI0wO+/eCLrOpDQ7794IRENJUS5OQVNEQVE6Q0FMTS5JUV9UT1RBTF9ERUJUX0VCSVREQV9FWENMX09QRVJfTEVBU0VTLjk5</t>
  </si>
  <si>
    <t>NC4zMS8wNy8yMDI2AQAAACB6BQACAAAACDAuMDU2OTg1AQgAAAAFAAAAATEBAAAACy0yMDg4MzQ3NDY5AwAAAAMxNjACAAAABTQ4OTk0BAAAAAEwBwAAAAk3LzMxLzIwMjYIAAAACTUvMzAvMjAyMAkAAAABMAJ1hzA7794If6ihNDvv3ggvQ0lRLk5BU0RBUTpDQUxNLklRX0VCSVREQV9NQVJHSU4uOTk0LjMxLzA3LzIwMjYBAAAAIHoFAAIAAAAGNC4zOTg3AQgAAAAFAAAAATEBAAAACy0yMDg4MzQ3NDY5AwAAAAMxNjACAAAABDQwNDcEAAAAATAHAAAACTcvMzEvMjAyNggAAAAJNS8zMC8yMDIwCQAAAAEwIbiNMDvv3gi/gKQ0O+/eCCtDSVEuTkFTREFROkNBTE0uSVFfTklfTUFSR0lOLjk5OC4zMS8wNy8yMDI2AQAAACB6BQACAAAABzExLjk0NDcBCAAAAAUAAAABMQEAAAALLTE4ODEwNjg2NzYDAAAAAzE2MAIAAAAENDA5NAQAAAABMAcAAAAJNy8zMS8yMDI2CAAAAAg2LzEvMjAyNAkAAAABMCG4jTA7794I61WkNDvv3ggzQ0lRLk5BU0RBUTpDQUxNLklRX0ZJWEVEX0FTU0VUX1RVUk5TLjk5OC4zMS8wNy8yMDI2AQAAACB6BQACAAAACDIuOTA0ODMzAQgAAAAFAAAAATEBAAAACy0xODgxMDY4Njc2AwAAAAMxNjACAAAABDQwNjYEAAAAATAHAAAACTcvMzEvMjAyNggAAAAINi8xLzIwMjQJAAAAATAhuI0wO+/eCJWSozQ7794ILUNJUS5OQVNEQVE6Q0FMTS5JUV9RVUlDS19SQVRJTy45OTYuMzEvMDcvMjAy</t>
  </si>
  <si>
    <t>NgEAAAAgegUAAgAAAAgyLjEzMzAzOQEIAAAABQAAAAExAQAAAAstMTk4NjcwODQzMwMAAAADMTYwAgAAAAQ0MTIxBAAAAAEwBwAAAAk3LzMxLzIwMjYIAAAACTUvMjgvMjAyMgkAAAABMCG4jTA7794ITUSjNDvv3gg1Q0lRLk5BU0RBUTpDQUxNLklRX0VQU18xWVJfQU5OX0dST1dUSC4xMDAwLjMxLzA3LzIwMjYBAAAAIHoFAAIAAAAILTczLjQyNjkBCAAAAAUAAAABMQEAAAALLTE4ODEwNjg2NjgDAAAAAzE2MAIAAAAENDIwMAQAAAABMAcAAAAJNy8zMS8yMDI2CAAAAAk1LzMwLzIwMjYJAAAAATCyiIcwO+/eCAghoDQ7794IMkNJUS5OQVNEQVE6Q0FMTS5JUV9EQVlTX1BBWUFCTEVfT1VULjk5NC4zMS8wNy8yMDI2AQAAACB6BQACAAAACTE0LjU4MzI5NgEIAAAABQAAAAExAQAAAAstMjA4ODM0NzQ2OQMAAAADMTYwAgAAAAQ0MTgzBAAAAAEwBwAAAAk3LzMxLzIwMjYIAAAACTUvMzAvMjAyMAkAAAABMEvfjTA7794I/PWiNDvv3ggyQ0lRLk5BU0RBUTpDQUxNLklRX0NBU0hfQ09OVkVSU0lPTi4xMDAwLjMxLzA3LzIwMjYBAAAAIHoFAAIAAAAHNjIuODI2NAEIAAAABQAAAAExAQAAAAstMTg4MTA2ODY2OAMAAAADMTYwAgAAAAQ0MTg0BAAAAAEwBwAAAAk3LzMxLzIwMjYIAAAACTUvMzAvMjAyNgkAAAABMEvfjTA7794Ius6iNDvv3ggxQ0lRLk5BU0RBUTpDQUxNLklRX0xUX0RFQlRfQ0FQSVRBTC45OTgu</t>
  </si>
  <si>
    <t>MzEvMDcvMjAyNgEAAAAgegUAAwAAAAAAS9+NMDvv3giybKI0O+/eCD1DSVEuTkFTREFROkNBTE0uSVFfRUJJVERBX0VYQ0xfT1BFUl9MRUFTRVNfSU5ULjk5Ni4zMS8wNy8yMDI2AQAAACB6BQACAAAACjUxMy4yMDg0MzYBCAAAAAUAAAABMQEAAAALLTE5ODY3MDg0MzMDAAAAAzE2MAIAAAAFNDkxNzMEAAAAATAHAAAACTcvMzEvMjAyNggAAAAJNS8yOC8yMDIyCQAAAAEwS9+NMDvv3gijCqI0O+/eCDFDSVEuTkFTREFROkNBTE0uSVFfTFRfREVCVF9DQVBJVEFMLjk5Ny4zMS8wNy8yMDI2AQAAACB6BQADAAAAAABL340wO+/eCLJsojQ7794IMkNJUS5OQVNEQVE6Q0FMTS5JUV9ORVRfREVCVF9FQklUREEuMTAwMC4zMS8wNy8yMDI2AQAAACB6BQADAAAAAk5NAQgAAAAFAAAAATEBAAAACy0xODgxMDY4NjY4AwAAAAMxNjACAAAABDQxOTMEAAAAATAHAAAACTcvMzEvMjAyNggAAAAJNS8zMC8yMDI2CQAAAAEwAnWHMDvv3gimbaE0O+/eCDdDSVEuTkFTREFROkNBTE0uSVFfTkVUX0RFQlRfRUJJVERBX0NBUEVYLjk5OC4zMS8wNy8yMDI2AQAAACB6BQADAAAAAk5NAQgAAAAFAAAAATEBAAAACy0xODgxMDY4Njc2AwAAAAMxNjACAAAABTIzMzE0BAAAAAEwBwAAAAk3LzMxLzIwMjYIAAAACDYvMS8yMDI0CQAAAAEwsoiHMDvv3giRC6E0O+/eCDpDSVEuTkFTREFROkNBTE0uSVFfVE9UQUxfUkVWXzFZUl9BTk5f</t>
  </si>
  <si>
    <t>R1JPV1RILjk5Ni4zMS8wNy8yMDI2AQAAACB6BQACAAAABzMxLjc0MDIBCAAAAAUAAAABMQEAAAALLTE5ODY3MDg0MzMDAAAAAzE2MAIAAAAENDE5NAQAAAABMAcAAAAJNy8zMS8yMDI2CAAAAAk1LzI4LzIwMjIJAAAAATCyiIcwO+/eCG+9oDQ7794IM0NJUS5OQVNEQVE6Q0FMTS5JUV9OSV8xWVJfQU5OX0dST1dUSC45OTQuMzEvMDcvMjAyNgEAAAAgegUAAgAAAAgtNjYuMDg2NQEIAAAABQAAAAExAQAAAAstMjA4ODM0NzQ2OQMAAAADMTYwAgAAAAQ0MTk5BAAAAAEwBwAAAAk3LzMxLzIwMjYIAAAACTUvMzAvMjAyMAkAAAABMLKIhzA7794IGUigNDvv3gg6Q0lRLk5BU0RBUTpDQUxNLklRX1RPVEFMX1JFVl8xWVJfQU5OX0dST1dUSC45OTUuMzEvMDcvMjAyNgEAAAAgegUAAgAAAAYtMC4xOTQBCAAAAAUAAAABMQEAAAALLTIwMzcyNDE3MjEDAAAAAzE2MAIAAAAENDE5NAQAAAABMAcAAAAJNy8zMS8yMDI2CAAAAAk1LzI5LzIwMjEJAAAAATCyiIcwO+/eCG+9oDQ7794IMUNJUS5OQVNEQVE6Q0FMTS5JUV9HUF8zWVJfQU5OX0NBR1IuOTk0LjMxLzA3LzIwMjYBAAAAIHoFAAIAAAAHNTcuOTc3OQEIAAAABQAAAAExAQAAAAstMjA4ODM0NzQ2OQMAAAADMTYwAgAAAAQ0MjIxBAAAAAEwBwAAAAk3LzMxLzIwMjYIAAAACTUvMzAvMjAyMAkAAAABMLKIhzA7794I9vmfNDvv3ggzQ0lRLk5BU0RBUTpDQUxNLklR</t>
  </si>
  <si>
    <t>X0VCSVRfM1lSX0FOTl9DQUdSLjk5OC4zMS8wNy8yMDI2AQAAACB6BQADAAAAAk5NAQgAAAAFAAAAATEBAAAACy0xODgxMDY4Njc2AwAAAAMxNjACAAAABDQyMjMEAAAAATAHAAAACTcvMzEvMjAyNggAAAAINi8xLzIwMjQJAAAAATCyiIcwO+/eCLnSnzQ7794IMUNJUS5OQVNEQVE6Q0FMTS5JUV9HUF81WVJfQU5OX0NBR1IuOTk2LjMxLzA3LzIwMjYBAAAAIHoFAAIAAAAHNDkuMjI1NwEIAAAABQAAAAExAQAAAAstMTk4NjcwODQzMwMAAAADMTYwAgAAAAQ0MjM0BAAAAAEwBwAAAAk3LzMxLzIwMjYIAAAACTUvMjgvMjAyMgkAAAABMLKIhzA7794I7XCfNDvv3ggxQ0lRLk5BU0RBUTpDQUxNLklRX05JXzVZUl9BTk5fQ0FHUi45OTYuMzEvMDcvMjAyNgEAAAAgegUAAwAAAAJOTQEIAAAABQAAAAExAQAAAAstMTk4NjcwODQzMwMAAAADMTYwAgAAAAQ0MjM4BAAAAAEwBwAAAAk3LzMxLzIwMjYIAAAACTUvMjgvMjAyMgkAAAABMLKIhzA7794I1yKfNDvv3ggpQ0lRLk5BU0RBUTpDQUxNLklRX0dBQVBfQlMuOTk0LjMxLzA3LzIwMjYBAAAAIHoFAAMAAAAHVVMgR0FBUAAhuI0wO+/eCAUdpTQ7794IPUNJUS5OQVNEQVE6Q0FMTS5JUV9FQklUREFfRVhDTF9PUEVSX0xFQVNFU19JTlQuOTk1LjMxLzA3LzIwMjYBAAAAIHoFAAIAAAAKMTY5LjkyOTU3NwEIAAAABQAAAAExAQAAAAstMjAzNzI0MTcyMQMAAAADMTYw</t>
  </si>
  <si>
    <t>AgAAAAU0OTE3MwQAAAABMAcAAAAJNy8zMS8yMDI2CAAAAAk1LzI5LzIwMjEJAAAAATBL340wO+/eCKMKojQ7794IQ0NJUS5OQVNEQVE6Q0FMTS5JUV9FQklUREFfRVhDTF9PUEVSX0xFQVNFU19DQVBFWF9JTlQuOTk5LjMxLzA3LzIwMjYBAAAAIHoFAAIAAAAKMjQzNS45NTA5OAEIAAAABQAAAAExAQAAAAstMTg4MTA2ODY3NQMAAAADMTYwAgAAAAU0OTE3NAQAAAABMAcAAAAJNy8zMS8yMDI2CAAAAAk1LzMxLzIwMjUJAAAAATD9TYcwO+/eCNrPoTQ7794IMUNJUS5OQVNEQVE6Q0FMTS5JUV9ORVRfREVCVF9FQklUREEuOTk5LjMxLzA3LzIwMjYBAAAAIHoFAAMAAAACTk0BCAAAAAUAAAABMQEAAAALLTE4ODEwNjg2NzUDAAAAAzE2MAIAAAAENDE5MwQAAAABMAcAAAAJNy8zMS8yMDI2CAAAAAk1LzMxLzIwMjUJAAAAATACdYcwO+/eCFFGoTQ7794IN0NJUS5OQVNEQVE6Q0FMTS5JUV9ORVRfREVCVF9FQklUREFfQ0FQRVguOTk3LjMxLzA3LzIwMjYBAAAAIHoFAAMAAAACTk0BCAAAAAUAAAABMQEAAAALLTE5MzQ5Nzg0MjADAAAAAzE2MAIAAAAFMjMzMTQEAAAAATAHAAAACTcvMzEvMjAyNggAAAAINi8zLzIwMjMJAAAAATCyiIcwO+/eCITkoDQ7794IMENJUS5OQVNEQVE6Q0FMTS5JUV9EQVlTX1NBTEVTX09VVC45OTguMzEvMDcvMjAyNgEAAAAgegUAAgAAAAkxOS41MjA5NTYBCAAAAAUAAAABMQEAAAAL</t>
  </si>
  <si>
    <t>LTE4ODEwNjg2NzYDAAAAAzE2MAIAAAAENDA0MgQAAAABMAcAAAAJNy8zMS8yMDI2CAAAAAg2LzEvMjAyNAkAAAABMEvfjTA7794IOx2jNDvv3gg0Q0lRLk5BU0RBUTpDQUxNLklRX0VQU18xWVJfQU5OX0dST1dUSC45OTkuMzEvMDcvMjAyNgEAAAAgegUAAgAAAAgzMzguNDg4NQEIAAAABQAAAAExAQAAAAstMTg4MTA2ODY3NQMAAAADMTYwAgAAAAQ0MjAwBAAAAAEwBwAAAAk3LzMxLzIwMjYIAAAACTUvMzEvMjAyNQkAAAABMLKIhzA7794ICCGgNDvv3ggzQ0lRLk5BU0RBUTpDQUxNLklRX0VCSVRfM1lSX0FOTl9DQUdSLjk5Ny4zMS8wNy8yMDI2AQAAACB6BQACAAAACDc5My42NzE5AQgAAAAFAAAAATEBAAAACy0xOTM0OTc4NDIwAwAAAAMxNjACAAAABDQyMjMEAAAAATAHAAAACTcvMzEvMjAyNggAAAAINi8zLzIwMjMJAAAAATCyiIcwO+/eCLnSnzQ7794IMUNJUS5OQVNEQVE6Q0FMTS5JUV9HUF81WVJfQU5OX0NBR1IuOTk1LjMxLzA3LzIwMjYBAAAAIHoFAAIAAAAILTI0LjM0MTYBCAAAAAUAAAABMQEAAAALLTIwMzcyNDE3MjEDAAAAAzE2MAIAAAAENDIzNAQAAAABMAcAAAAJNy8zMS8yMDI2CAAAAAk1LzI5LzIwMjEJAAAAATCyiIcwO+/eCO1wnzQ7794IMUNJUS5OQVNEQVE6Q0FMTS5JUV9SRVNUQVRFTUVOVF9CUy4xMDAwLjMxLzA3LzIwMjYBAAAAIHoFAAMAAAABTwAhuI0wO+/eCAUdpTQ7794I</t>
  </si>
  <si>
    <t>Q0NJUS5OQVNEQVE6Q0FMTS5JUV9FQklUREFfRVhDTF9PUEVSX0xFQVNFU19DQVBFWF9JTlQuOTk4LjMxLzA3LzIwMjYBAAAAIHoFAAIAAAAKNDE0LjUxOTEyNQEIAAAABQAAAAExAQAAAAstMTg4MTA2ODY3NgMAAAADMTYwAgAAAAU0OTE3NAQAAAABMAcAAAAJNy8zMS8yMDI2CAAAAAg2LzEvMjAyNAkAAAABMP1NhzA7794I2s+hNDvv3gg2Q0lRLk5BU0RBUTpDQUxNLklRX1JFVFVSTl9DT01NT05fRVFVSVRZLjk5OC4zMS8wNy8yMDI2AQAAACB6BQACAAAABzE2LjI5MjUBCAAAAAUAAAABMQEAAAALLTE4ODEwNjg2NzYDAAAAAzE2MAIAAAAFMzMzMjAEAAAAATAHAAAACTcvMzEvMjAyNggAAAAINi8xLzIwMjQJAAAAATAhuI0wO+/eCLCnpDQ7794IK0NJUS5OQVNEQVE6Q0FMTS5JUV9OSV9NQVJHSU4uOTk2LjMxLzA3LzIwMjYBAAAAIHoFAAIAAAAGNy40NjQxAQgAAAAFAAAAATEBAAAACy0xOTg2NzA4NDMzAwAAAAMxNjACAAAABDQwOTQEAAAAATAHAAAACTcvMzEvMjAyNggAAAAJNS8yOC8yMDIyCQAAAAEwIbiNMDvv3ggIL6Q0O+/eCCpDSVEuTkFTREFROkNBTE0uSVFfQVJfVFVSTlMuOTk0LjMxLzA3LzIwMjYBAAAAIHoFAAIAAAAJMTkuMDMyMDU1AQgAAAAFAAAAATEBAAAACy0yMDg4MzQ3NDY5AwAAAAMxNjACAAAABDQwMDEEAAAAATAHAAAACTcvMzEvMjAyNggAAAAJNS8zMC8yMDIwCQAAAAEwIbiN</t>
  </si>
  <si>
    <t>MDvv3gjE4KM0O+/eCDJDSVEuTkFTREFROkNBTE0uSVFfSU5WRU5UT1JZX1RVUk5TLjEwMDAuMzEvMDcvMjAyNgEAAAAgegUAAgAAAAg2LjY3NjAwNQEIAAAABQAAAAExAQAAAAstMTg4MTA2ODY2OAMAAAADMTYwAgAAAAQ0MDgyBAAAAAEwBwAAAAk3LzMxLzIwMjYIAAAACTUvMzAvMjAyNgkAAAABMCG4jTA7794IlZKjNDvv3gg0Q0lRLk5BU0RBUTpDQUxNLklRX0VQU18xWVJfQU5OX0dST1dUSC45OTguMzEvMDcvMjAyNgEAAAAgegUAAgAAAAgtNjMuMzM3NwEIAAAABQAAAAExAQAAAAstMTg4MTA2ODY3NgMAAAADMTYwAgAAAAQ0MjAwBAAAAAEwBwAAAAk3LzMxLzIwMjYIAAAACDYvMS8yMDI0CQAAAAEwsoiHMDvv3ggIIaA0O+/eCDNDSVEuTkFTREFROkNBTE0uSVFfVE9UQUxfREVCVF9FUVVJVFkuOTk2LjMxLzA3LzIwMjYBAAAAIHoFAAMAAAAAAEvfjTA7794I+ZOiNDvv3gg5Q0lRLk5BU0RBUTpDQUxNLklRX1RPVEFMX0xJQUJfVE9UQUxfQVNTRVRTLjk5NC4zMS8wNy8yMDI2AQAAACB6BQACAAAABzE2LjMyNzEBCAAAAAUAAAABMQEAAAALLTIwODgzNDc0NjkDAAAAAzE2MAIAAAAENDE4OAQAAAABMAcAAAAJNy8zMS8yMDI2CAAAAAk1LzMwLzIwMjAJAAAAATBL340wO+/eCOUxojQ7794IK0NJUS5OQVNEQVE6Q0FMTS5JUV9FQklUX0lOVC4xMDAwLjMxLzA3LzIwMjYBAAAAIHoFAAIAAAAKNjE3LjUz</t>
  </si>
  <si>
    <t>OTU2OAEIAAAABQAAAAExAQAAAAstMTg4MTA2ODY2OAMAAAADMTYwAgAAAAQ0MTg5BAAAAAEwBwAAAAk3LzMxLzIwMjYIAAAACTUvMzAvMjAyNgkAAAABMEvfjTA7794I5TGiNDvv3gg9Q0lRLk5BU0RBUTpDQUxNLklRX0VCSVREQV9FWENMX09QRVJfTEVBU0VTX0lOVC45OTQuMzEvMDcvMjAyNgEAAAAgegUAAgAAAAoxMTkuMzg1NTQyAQgAAAAFAAAAATEBAAAACy0yMDg4MzQ3NDY5AwAAAAMxNjACAAAABTQ5MTczBAAAAAEwBwAAAAk3LzMxLzIwMjYIAAAACTUvMzAvMjAyMAkAAAABMEvfjTA7794IowqiNDvv3ggtQ0lRLk5BU0RBUTpDQUxNLklRX0FTU0VUX1RVUk5TLjk5OS4zMS8wNy8yMDI2AQAAACB6BQACAAAACDEuNjE3NjAzAQgAAAAFAAAAATEBAAAACy0xODgxMDY4Njc1AwAAAAMxNjACAAAABDQxNzcEAAAAATAHAAAACTcvMzEvMjAyNggAAAAJNS8zMS8yMDI1CQAAAAEwIbiNMDvv3gi6B6Q0O+/eCEJDSVEuTkFTREFROkNBTE0uSVFfTkVUX0RFQlRfRUJJVERBX0VYQ0xfT1BFUl9MRUFTRVMuOTk2LjMxLzA3LzIwMjYBAAAAIHoFAAMAAAACTk0BCAAAAAUAAAABMQEAAAALLTE5ODY3MDg0MzMDAAAAAzE2MAIAAAAFNDkxNzUEAAAAATAHAAAACTcvMzEvMjAyNggAAAAJNS8yOC8yMDIyCQAAAAEwAnWHMDvv3ghRRqE0O+/eCDdDSVEuTkFTREFROkNBTE0uSVFfTkVUX0RFQlRfRUJJVERBX0NBUEVY</t>
  </si>
  <si>
    <t>Ljk5Ni4zMS8wNy8yMDI2AQAAACB6BQADAAAAAk5NAQgAAAAFAAAAATEBAAAACy0xOTg2NzA4NDMzAwAAAAMxNjACAAAABTIzMzE0BAAAAAEwBwAAAAk3LzMxLzIwMjYIAAAACTUvMjgvMjAyMgkAAAABMLKIhzA7794IhOSgNDvv3gg6Q0lRLk5BU0RBUTpDQUxNLklRX1RPVEFMX1JFVl8xWVJfQU5OX0dST1dUSC45OTQuMzEvMDcvMjAyNgEAAAAgegUAAgAAAActMC43MDM4AQgAAAAFAAAAATEBAAAACy0yMDg4MzQ3NDY5AwAAAAMxNjACAAAABDQxOTQEAAAAATAHAAAACTcvMzEvMjAyNggAAAAJNS8zMC8yMDIwCQAAAAEwsoiHMDvv3ghvvaA0O+/eCDdDSVEuTkFTREFROkNBTE0uSVFfRUJJVERBXzFZUl9BTk5fR1JPV1RILjk5OC4zMS8wNy8yMDI2AQAAACB6BQACAAAACC02My44NTAyAQgAAAAFAAAAATEBAAAACy0xODgxMDY4Njc2AwAAAAMxNjACAAAABDQxOTYEAAAAATAHAAAACTcvMzEvMjAyNggAAAAINi8xLzIwMjQJAAAAATCyiIcwO+/eCCZvoDQ7794IQ0NJUS5OQVNEQVE6Q0FMTS5JUV9FQklUREFfRVhDTF9PUEVSX0xFQVNFU19DQVBFWF9JTlQuOTk3LjMxLzA3LzIwMjYBAAAAIHoFAAIAAAALMTU0My41OTM0ODEBCAAAAAUAAAABMQEAAAALLTE5MzQ5Nzg0MjADAAAAAzE2MAIAAAAFNDkxNzQEAAAAATAHAAAACTcvMzEvMjAyNggAAAAINi8zLzIwMjMJAAAAATD9TYcwO+/eCNrPoTQ7794IM0NJ</t>
  </si>
  <si>
    <t>US5OQVNEQVE6Q0FMTS5JUV9FQklUXzNZUl9BTk5fQ0FHUi45OTYuMzEvMDcvMjAyNgEAAAAgegUAAgAAAAY0NC41NjkBCAAAAAUAAAABMQEAAAALLTE5ODY3MDg0MzMDAAAAAzE2MAIAAAAENDIyMwQAAAABMAcAAAAJNy8zMS8yMDI2CAAAAAk1LzI4LzIwMjIJAAAAATCyiIcwO+/eCLnSnzQ7794IM0NJUS5OQVNEQVE6Q0FMTS5JUV9FUFNfM1lSX0FOTl9DQUdSLjEwMDAuMzEvMDcvMjAyNgEAAAAgegUAAgAAAAgtMjQuNjg2NAEIAAAABQAAAAExAQAAAAstMTg4MTA2ODY2OAMAAAADMTYwAgAAAAQ0MjI2BAAAAAEwBwAAAAk3LzMxLzIwMjYIAAAACTUvMzAvMjAyNgkAAAABMLKIhzA7794I/ZefNDvv3ggxQ0lRLk5BU0RBUTpDQUxNLklRX0dQXzVZUl9BTk5fQ0FHUi45OTQuMzEvMDcvMjAyNgEAAAAgegUAAgAAAAgtMTQuNjE1OAEIAAAABQAAAAExAQAAAAstMjA4ODM0NzQ2OQMAAAADMTYwAgAAAAQ0MjM0BAAAAAEwBwAAAAk3LzMxLzIwMjYIAAAACTUvMzAvMjAyMAkAAAABMLKIhzA7794I/ZefNDvv3gg2Q0lRLk5BU0RBUTpDQUxNLklRX0VCSVREQV81WVJfQU5OX0NBR1IuMTAwMC4zMS8wNy8yMDI2AQAAACB6BQACAAAABzY2LjgyNTYBCAAAAAUAAAABMQEAAAALLTE4ODEwNjg2NjgDAAAAAzE2MAIAAAAENDIzNQQAAAABMAcAAAAJNy8zMS8yMDI2CAAAAAk1LzMwLzIwMjYJAAAAATCyiIcwO+/eCORJ</t>
  </si>
  <si>
    <t>nzQ7794IMkNJUS5OQVNEQVE6Q0FMTS5JUV9FUFNfM1lSX0FOTl9DQUdSLjk5OS4zMS8wNy8yMDI2AQAAACB6BQACAAAACDEwOS4zMzEyAQgAAAAFAAAAATEBAAAACy0xODgxMDY4Njc1AwAAAAMxNjACAAAABDQyMjYEAAAAATAHAAAACTcvMzEvMjAyNggAAAAJNS8zMS8yMDI1CQAAAAEwsoiHMDvv3ggNv580O+/eCDFDSVEuTkFTREFROkNBTE0uSVFfSU5WRU5UT1JZX1RVUk5TLjk5OS4zMS8wNy8yMDI2AQAAACB6BQACAAAACDguNjUwMDcyAQgAAAAFAAAAATEBAAAACy0xODgxMDY4Njc1AwAAAAMxNjACAAAABDQwODIEAAAAATAHAAAACTcvMzEvMjAyNggAAAAJNS8zMS8yMDI1CQAAAAEwIbiNMDvv3giIa6M0O+/eCDBDSVEuTkFTREFROkNBTE0uSVFfREFZU19TQUxFU19PVVQuOTk3LjMxLzA3LzIwMjYBAAAAIHoFAAIAAAAJMTYuNTEzOTUyAQgAAAAFAAAAATEBAAAACy0xOTM0OTc4NDIwAwAAAAMxNjACAAAABDQwNDIEAAAAATAHAAAACTcvMzEvMjAyNggAAAAINi8zLzIwMjMJAAAAATBL340wO+/eCPz1ojQ7794IM0NJUS5OQVNEQVE6Q0FMTS5JUV9UT1RBTF9ERUJUX0VRVUlUWS45OTUuMzEvMDcvMjAyNgEAAAAgegUAAgAAAAYwLjIzNDcBCAAAAAUAAAABMQEAAAALLTIwMzcyNDE3MjEDAAAAAzE2MAIAAAAENDAzNAQAAAABMAcAAAAJNy8zMS8yMDI2CAAAAAk1LzI5LzIwMjEJAAAAATBL340wO+/e</t>
  </si>
  <si>
    <t>CPmTojQ7794IKkNJUS5OQVNEQVE6Q0FMTS5JUV9FQklUX0lOVC45OTkuMzEvMDcvMjAyNgEAAAAgegUAAgAAAAsyNTQ1LjgxMDQ1NwEIAAAABQAAAAExAQAAAAstMTg4MTA2ODY3NQMAAAADMTYwAgAAAAQ0MTg5BAAAAAEwBwAAAAk3LzMxLzIwMjYIAAAACTUvMzEvMjAyNQkAAAABMEvfjTA7794I5TGiNDvv3ggzQ0lRLk5BU0RBUTpDQUxNLklRX0VCSVRfNVlSX0FOTl9DQUdSLjk5Ny4zMS8wNy8yMDI2AQAAACB6BQACAAAABzM5LjYyMTYBCAAAAAUAAAABMQEAAAALLTE5MzQ5Nzg0MjADAAAAAzE2MAIAAAAENDIzNgQAAAABMAcAAAAJNy8zMS8yMDI2CAAAAAg2LzMvMjAyMwkAAAABMLKIhzA7794I5EmfNDvv3ghCQ0lRLk5BU0RBUTpDQUxNLklRX05FVF9ERUJUX0VCSVREQV9FWENMX09QRVJfTEVBU0VTLjk5NS4zMS8wNy8yMDI2AQAAACB6BQADAAAAAk5NAQgAAAAFAAAAATEBAAAACy0yMDM3MjQxNzIxAwAAAAMxNjACAAAABTQ5MTc1BAAAAAEwBwAAAAk3LzMxLzIwMjYIAAAACTUvMjkvMjAyMQkAAAABMAJ1hzA7794IUUahNDvv3gg3Q0lRLk5BU0RBUTpDQUxNLklRX0VCSVREQV8xWVJfQU5OX0dST1dUSC45OTcuMzEvMDcvMjAyNgEAAAAgegUAAgAAAAg0MDEuMTQ1NAEIAAAABQAAAAExAQAAAAstMTkzNDk3ODQyMAMAAAADMTYwAgAAAAQ0MTk2BAAAAAEwBwAAAAk3LzMxLzIwMjYIAAAACDYvMy8y</t>
  </si>
  <si>
    <t>MDIzCQAAAAEwsoiHMDvv3ggmb6A0O+/eCDhDSVEuTkFTREFROkNBTE0uSVFfVE9UQUxfUkVWXzNZUl9BTk5fQ0FHUi45OTUuMzEvMDcvMjAyNgEAAAAgegUAAgAAAAYtMy41MzgBCAAAAAUAAAABMQEAAAALLTIwMzcyNDE3MjEDAAAAAzE2MAIAAAAENDIyMAQAAAABMAcAAAAJNy8zMS8yMDI2CAAAAAk1LzI5LzIwMjEJAAAAATCyiIcwO+/eCAghoDQ7794IM0NJUS5OQVNEQVE6Q0FMTS5JUV9FQklUXzNZUl9BTk5fQ0FHUi45OTUuMzEvMDcvMjAyNgEAAAAgegUAAwAAAAJOTQEIAAAABQAAAAExAQAAAAstMjAzNzI0MTcyMQMAAAADMTYwAgAAAAQ0MjIzBAAAAAEwBwAAAAk3LzMxLzIwMjYIAAAACTUvMjkvMjAyMQkAAAABMLKIhzA7794IudKfNDvv3ggsQ0lRLk5BU0RBUTpDQUxNLklRX1BFUklPRERBVEUuOTk0LjMxLzA3LzIwMjYBAAAAIHoFAAUAAAAKMzAvMDUvMjAyMADASooxO+/eCErIqDQ7794ILENJUS5OQVNEQVE6Q0FMTS5JUV9QRVJJT0REQVRFLjk5My4zMS8wNy8yMDI2AQAAACB6BQAFAAAACjAxLzA2LzIwMTkAwEqKMTvv3ghKyKg0O+/eCCxDSVEuTkFTREFROkNBTE0uSVFfUEVSSU9EREFURS45OTIuMzEvMDcvMjAyNgEAAAAgegUABQAAAAowMi8wNi8yMDE4AMBKijE7794ISsioNDvv3ggsQ0lRLk5BU0RBUTpDQUxNLklRX1BFUklPRERBVEUuOTkxLjMxLzA3LzIwMjYBAAAAIHoFAAUAAAAK</t>
  </si>
  <si>
    <t>MDMvMDYvMjAxNwDASooxO+/eCMH68DI7794ILENJUS5OQVNEQVE6Q0FMTS5JUV9QRVJJT0REQVRFLjk5MC4zMS8wNy8yMDI2AQAAACB6BQAFAAAACjI4LzA1LzIwMTYAwEqKMTvv3gjzXtUyO+/eCCxDSVEuTkFTREFROkNBTE0uSVFfUEVSSU9EREFURS45OTkuMzEvMDcvMjAyNgEAAAAgegUABQAAAAozMS8wNS8yMDI1AMBKijE7794Ibo2oNDvv3ggsQ0lRLk5BU0RBUTpDQUxNLklRX1BFUklPRERBVEUuOTk4LjMxLzA3LzIwMjYBAAAAIHoFAAUAAAAKMDEvMDYvMjAyNADASooxO+/eCG6NqDQ7794ILENJUS5OQVNEQVE6Q0FMTS5JUV9QRVJJT0REQVRFLjk5Ny4zMS8wNy8yMDI2AQAAACB6BQAFAAAACjAzLzA2LzIwMjMAwEqKMTvv3ghujag0O+/eCCxDSVEuTkFTREFROkNBTE0uSVFfUEVSSU9EREFURS45OTYuMzEvMDcvMjAyNgEAAAAgegUABQAAAAoyOC8wNS8yMDIyAMBKijE7794Ibo2oNDvv3ggsQ0lRLk5BU0RBUTpDQUxNLklRX1BFUklPRERBVEUuOTk1LjMxLzA3LzIwMjYBAAAAIHoFAAUAAAAKMjkvMDUvMjAyMQDASooxO+/eCG6NqDQ7794IMUNJUS5OQVNEQVE6Q0FMTS5JUV9SVUFfTkVULjk5NC4zMS8wNy8yMDI2Li4uVVNELkgBAAAAIHoFAAMAAAAAAFr6kDA7794IcRu1NDvv3ghFQ0lRLk5BU0RBUTpDQUxNLklRX1JVQV9DQVBJVEFMX0xFQVNFX0FDQ1VNX0RFUC45OTUuMzEvMDcvMjAyNi4u</t>
  </si>
  <si>
    <t>LlVTRC5IAQAAACB6BQADAAAAAABa+pAwO+/eCFPgtDQ7794IQ0NJUS5OQVNEQVE6Q0FMTS5JUV9SVUFfT1BFUkFUSU5HX0xFQVNFX0dST1NTLjk5NS4zMS8wNy8yMDI2Li4uVVNELkgBAAAAIHoFAAIAAAAFMS43MjQBCAAAAAUAAAABMQEAAAALLTIwMzcyNDE3MjEDAAAAAzE2MAIAAAAFNDgzNzcEAAAAATAHAAAACTcvMzEvMjAyNggAAAAJNS8yOS8yMDIxCQAAAAEwWvqQMDvv3giPpbQ0O+/eCDlDSVEuTkFTREFROkNBTE0uSVFfTkVUX1dPUktJTkdfQ0FQLjk5NC4zMS8wNy8yMDI2Li4uVVNELkgBAAAAIHoFAAIAAAAHMTk3Ljc3NgEIAAAABQAAAAExAQAAAAstMjA4ODM0NzQ2OQMAAAADMTYwAgAAAAQxMzExBAAAAAEwBwAAAAk3LzMxLzIwMjYIAAAACTUvMzAvMjAyMAkAAAABMOBckTA7794I0R+xNDvv3gg9Q0lRLk5BU0RBUTpDQUxNLklRX0FEX0VYQ0xfT1BFUl9MRUFTRVMuOTk3LjMxLzA3LzIwMjYuLi5VU0QuSAEAAAAgegUAAgAAAAgtNzM5LjIxOAEIAAAABQAAAAExAQAAAAstMTkzNDk3ODQyMAMAAAADMTYwAgAAAAU0ODk3NQQAAAABMAcAAAAJNy8zMS8yMDI2CAAAAAg2LzMvMjAyMwkAAAABMFr6kDA7794IWDC0NDvv3ghAQ0lRLk5BU0RBUTpDQUxNLklRX0ZJTkFOQ0VfTEVBU0VTX0NVUlJFTlQuOTk4LjMxLzA3LzIwMjYuLi5VU0QuSAEAAAAgegUAAwAAAAAAYjWRMDvv3ghICbQ0O+/eCD5D</t>
  </si>
  <si>
    <t>SVEuTkFTREFROkNBTE0uSVFfVE9UQUxfRklOQU5DRV9MRUFTRVMuOTk3LjMxLzA3LzIwMjYuLi5VU0QuSAEAAAAgegUAAwAAAAAAYjWRMDvv3ggtu7M0O+/eCEtDSVEuTkFTREFROkNBTE0uSVFfTFRfUE9SVElPTl9PUEVSX0xFQVNFX0xJQUJJTElUSUVTLjk5OC4zMS8wNy8yMDI2Li4uVVNELkgBAAAAIHoFAAMAAAAAAGI1kTA7794IIlmzNDvv3ghLQ0lRLk5BU0RBUTpDQUxNLklRX0dFTkVSQUxfUEFSVE5FUl9NSU5PUklUWV9JTlRFUkVTVC45OTguMzEvMDcvMjAyNi4uLlVTRC5IAQAAACB6BQADAAAAAAD7g5EwO+/eCP3ArjQ7794IRUNJUS5OQVNEQVE6Q0FMTS5JUV9UT1RBTF9ERUJUX0VYQ0xfT1BFUl9MRUFTRVMuOTk2LjMxLzA3LzIwMjYuLi5VU0QuSAEAAAAgegUAAwAAAAAAYjWRMDvv3gj4CrM0O+/eCDRDSVEuTkFTREFROkNBTE0uSVFfVE9UQUxfREVCVC45OTkuMzEvMDcvMjAyNi4uLlVTRC5IAQAAACB6BQACAAAAATABCAAAAAUAAAABMQEAAAALLTE4ODEwNjg2NzUDAAAAAzE2MAIAAAAENDE3MwQAAAABMAcAAAAJNy8zMS8yMDI2CAAAAAk1LzMxLzIwMjUJAAAAATDgXJEwO+/eCNjjsTQ7794IQENJUS5OQVNEQVE6Q0FMTS5JUV9UT1RBTF9ERUJUX05PTl9DVVJSRU5ULjk5OC4zMS8wNy8yMDI2Li4uVVNELkgBAAAAIHoFAAMAAAAAAOBckTA7794I1YGxNDvv3ggzQ0lRLk5BU0RBUTpDQUxN</t>
  </si>
  <si>
    <t>LklRX1RPVEFMX0NBUC45OTUuMzEvMDcvMjAyNi4uLlVTRC5IAQAAACB6BQACAAAACDEwMTUuMTU5AQgAAAAFAAAAATEBAAAACy0yMDM3MjQxNzIxAwAAAAMxNjACAAAABDQxNzUEAAAAATAHAAAACTcvMzEvMjAyNggAAAAJNS8yOS8yMDIxCQAAAAEw4FyRMDvv3giUWrE0O+/eCDxDSVEuTkFTREFROkNBTE0uSVFfRklOX0RJVl9TVF9JTlZFU1QuMTAwMC4zMS8wNy8yMDI2Li4uVVNELkgBAAAAIHoFAAMAAAAAAPBVjTA7794I8a+rNDvv3ggxQ0lRLk5BU0RBUTpDQUxNLklRX1dJUF9JTlYuOTk2LjMxLzA3LzIwMjYuLi5VU0QuSAEAAAAgegUAAwAAAAAA4FyRMDvv3giJlrA0O+/eCDNDSVEuTkFTREFROkNBTE0uSVFfT1RIRVJfSU5WLjk5NC4zMS8wNy8yMDI2Li4uVVNELkgBAAAAIHoFAAMAAAAAAOBckTA7794Iw1uwNDvv3ghAQ0lRLk5BU0RBUTpDQUxNLklRX05BVFVSQUxfUkVTT1VSQ0VTX0NPU1QuOTk2LjMxLzA3LzIwMjYuLi5VU0QuSAEAAAAgegUAAwAAAAAA+4ORMDvv3giFv680O+/eCEFDSVEuTkFTREFROkNBTE0uSVFfTUlOT1JJVFlfSU5UX1JFREVFTV9UT1QuOTk4LjMxLzA3LzIwMjYuLi5VU0QuSAEAAAAgegUAAwAAAAAA+4ORMDvv3ghXSq80O+/eCEVDSVEuTkFTREFROkNBTE0uSVFfU0FMRV9QUk9DRUVEU19SRU5UQUxfQVNTRVRTLjk5Ny4zMS8wNy8yMDI2Li4uVVNELkgBAAAAIHoFAAMA</t>
  </si>
  <si>
    <t>AAAAAPaV9jA7794IhFi/NDvv3gg4Q0lRLk5BU0RBUTpDQUxNLklRX0FTU0VUU19MRVZFTF8xLjk5OC4zMS8wNy8yMDI2Li4uVVNELkgBAAAAIHoFAAMAAAAAAPuDkTA7794IGjiuNDvv3gg9Q0lRLk5BU0RBUTpDQUxNLklRX0xJQUJJTElUSUVTX0xFVkVMXzEuOTk3LjMxLzA3LzIwMjYuLi5VU0QuSAEAAAAgegUAAwAAAAAA8FWNMDvv3gi+16w0O+/eCElDSVEuTkFTREFROkNBTE0uSVFfRkFJUl9WQUxVRV9DSEFOR0VfSU5DTF9FQVJOSU5HUy45OTYuMzEvMDcvMjAyNi4uLlVTRC5IAQAAACB6BQADAAAAAADwVY0wO+/eCG5OrDQ7794IPENJUS5OQVNEQVE6Q0FMTS5JUV9GSU5fRElWX0RFQlRfVE9UQUwuOTk2LjMxLzA3LzIwMjYuLi5VU0QuSAEAAAAgegUAAwAAAAAA8FWNMDvv3ggg/qs0O+/eCDVDSVEuTkFTREFROkNBTE0uSVFfTUFJTlRfQ0FQRVguOTk1LjMxLzA3LzIwMjYuLi5VU0QuSAEAAAAgegUAAwAAAAAAbIf6MDvv3ghUb700O+/eCEBDSVEuTkFTREFROkNBTE0uSVFfUkVTVFJJQ1RFRF9DQVNIX1RPVEFMLjEwMDAuMzEvMDcvMjAyNi4uLlVTRC5IAQAAACB6BQACAAAAAzYuMwEIAAAABQAAAAExAQAAAAstMTg4MTA2ODY2OAMAAAADMTYwAgAAAAUyNDE5MgQAAAABMAcAAAAJNy8zMS8yMDI2CAAAAAk1LzMwLzIwMjYJAAAAATDwVY0wO+/eCNdhqzQ7794IMkNJUS5OQVNEQVE6Q0FMTS5JUV9H</t>
  </si>
  <si>
    <t>Uk9TU19HVy45OTguMzEvMDcvMjAyNi4uLlVTRC5IAQAAACB6BQADAAAAAADOkI0wO+/eCB7uqTQ7794IM0NJUS5OQVNEQVE6Q0FMTS5JUV9JTlRBTl9ORVQuOTk5LjMxLzA3LzIwMjYuLi5VU0QuSAEAAAAgegUAAgAAAAYxNS4xNTcBCAAAAAUAAAABMQEAAAALLTE4ODEwNjg2NzUDAAAAAzE2MAIAAAAFNDg5NjIEAAAAATAHAAAACTcvMzEvMjAyNggAAAAJNS8zMS8yMDI1CQAAAAEwzpCNMDvv3gjYKqk0O+/eCDlDSVEuTkFTREFROkNBTE0uSVFfSU5URVJDT01QQU5ZX0NMLjk5OS4zMS8wNy8yMDI2Li4uVVNELkgBAAAAIHoFAAMAAAAAACG4jTA7794Iiu+oNDvv3ghAQ0lRLk5BU0RBUTpDQUxNLklRX0RFRl9UQVhfQVNTRVRTX0NVUlJFTlQuOTk1LjMxLzA3LzIwMjYuLi5VU0QuSAEAAAAgegUAAwAAAAAAWa76MDvv3gghOLs0O+/eCDxDSVEuTkFTREFROkNBTE0uSVFfQ0FTSF9JTlRFUkVTVF9PUEVSLjk5NS4zMS8wNy8yMDI2Li4uVVNELkgBAAAAIHoFAAMAAAAAAGyH+jA7794Ij+O+NDvv3gg9Q0lRLk5BU0RBUTpDQUxNLklRX0NBU0hfSU5URVJFU1RfRklOQU4uOTk5LjMxLzA3LzIwMjYuLi5VU0QuSAEAAAAgegUAAwAAAAAAbIf6MDvv3ghBvL40O+/eCDtDSVEuTkFTREFROkNBTE0uSVFfQ0FTSF9UQVhFU19JTlZFU1QuOTk5LjMxLzA3LzIwMjYuLi5VU0QuSAEAAAAgegUAAwAAAAAAbIf6MDvv3ghJ</t>
  </si>
  <si>
    <t>br40O+/eCDVDSVEuTkFTREFROkNBTE0uSVFfTEVWRVJFRF9GQ0YuOTk3LjMxLzA3LzIwMjYuLi5VU0QuSAEAAAAgegUAAgAAAAo1NTAuMjEzODc1AQgAAAAFAAAAATEBAAAACy0xOTM0OTc4NDIwAwAAAAMxNjACAAAABDQ0MjIEAAAAATAHAAAACTcvMzEvMjAyNggAAAAINi8zLzIwMjMJAAAAATBsh/owO+/eCJ8LvjQ7794IOUNJUS5OQVNEQVE6Q0FMTS5JUV9MT0FOU19SRUNFSVZfTFQuOTk2LjMxLzA3LzIwMjYuLi5VU0QuSAEAAAAgegUAAwAAAAAAbNX6MDvv3ggG7Lk0O+/eCE1DSVEuTkFTREFROkNBTE0uSVFfT1BFUkFUSU5HX0xFQVNFX0xJQUJJTElUSUVTX05PTkNBU0guOTk5LjMxLzA3LzIwMjYuLi5VU0QuSAEAAAAgegUAAwAAAAAAWa76MDvv3ggK07w0O+/eCDRDSVEuTkFTREFROkNBTE0uSVFfQ0FTSF9FUVVJVi45OTUuMzEvMDcvMjAyNi4uLlVTRC5IAQAAACB6BQACAAAABjU3LjM1MgEIAAAABQAAAAExAQAAAAstMjAzNzI0MTcyMQMAAAADMTYwAgAAAAQxMDk2BAAAAAEwBwAAAAk3LzMxLzIwMjYIAAAACTUvMjkvMjAyMQkAAAABMFmu+jA7794I73C8NDvv3gg2Q0lRLk5BU0RBUTpDQUxNLklRX09USEVSX1JFQ0VJVi45OTkuMzEvMDcvMjAyNi4uLlVTRC5IAQAAACB6BQACAAAABjI4LjI4MgEIAAAABQAAAAExAQAAAAstMTg4MTA2ODY3NQMAAAADMTYwAgAAAAQxMjA2BAAAAAEwBwAAAAk3</t>
  </si>
  <si>
    <t>LzMxLzIwMjYIAAAACTUvMzEvMjAyNQkAAAABMFmu+jA7794Izvu7NDvv3gg1Q0lRLk5BU0RBUTpDQUxNLklRX1BSRVBBSURfRVhQLjk5Ny4zMS8wNy8yMDI2Li4uVVNELkgBAAAAIHoFAAIAAAAENS4zOAEIAAAABQAAAAExAQAAAAstMTkzNDk3ODQyMAMAAAADMTYwAgAAAAQxMjEyBAAAAAEwBwAAAAk3LzMxLzIwMjYIAAAACDYvMy8yMDIzCQAAAAEwWa76MDvv3gh0rbs0O+/eCD1DSVEuTkFTREFROkNBTE0uSVFfSU5DX1RBWF9QQVlfQ1VSUkVOVC45OTYuMzEvMDcvMjAyNi4uLlVTRC5IAQAAACB6BQACAAAABjI1LjY4NwEIAAAABQAAAAExAQAAAAstMTk4NjcwODQzMwMAAAADMTYwAgAAAAQxMDk0BAAAAAEwBwAAAAk3LzMxLzIwMjYIAAAACTUvMjgvMjAyMgkAAAABMGzV+jA7794ISZ+4NDvv3ggyQ0lRLk5BU0RBUTpDQUxNLklRX1RPVEFMX0NBLjk5NS4zMS8wNy8yMDI2Li4uVVNELkgBAAAAIHoFAAIAAAAHNTE5LjkzMQEIAAAABQAAAAExAQAAAAstMjAzNzI0MTcyMQMAAAADMTYwAgAAAAQxMDA4BAAAAAEwBwAAAAk3LzMxLzIwMjYIAAAACTUvMjkvMjAyMQkAAAABMGzV+jA7794IUta6NDvv3ggsQ0lRLk5BU0RBUTpDQUxNLklRX0FELjk5OC4zMS8wNy8yMDI2Li4uVVNELkgBAAAAIHoFAAIAAAAHLTgwNC45NAEIAAAABQAAAAExAQAAAAstMTg4MTA2ODY3NgMAAAADMTYwAgAAAAQxMDc1BAAAAAEw</t>
  </si>
  <si>
    <t>BwAAAAk3LzMxLzIwMjYIAAAACDYvMS8yMDI0CQAAAAEwbNX6MDvv3gg2r7o0O+/eCDRDSVEuTkFTREFROkNBTE0uSVFfTFRfSU5WRVNULjEwMDAuMzEvMDcvMjAyNi4uLlVTRC5IAQAAACB6BQADAAAAAABs1fowO+/eCDeIujQ7794IO0NJUS5OQVNEQVE6Q0FMTS5JUV9GSU5fRElWX0FTU0VUU19MVC45OTQuMzEvMDcvMjAyNi4uLlVTRC5IAQAAACB6BQADAAAAAABs1fowO+/eCIsTujQ7794IPUNJUS5OQVNEQVE6Q0FMTS5JUV9BRF9FWENMX09QRVJfTEVBU0VTLjk5Ni4zMS8wNy8yMDI2Li4uVVNELkgBAAAAIHoFAAIAAAAILTY3Ny43ODgBCAAAAAUAAAABMQEAAAALLTE5ODY3MDg0MzMDAAAAAzE2MAIAAAAFNDg5NzUEAAAAATAHAAAACTcvMzEvMjAyNggAAAAJNS8yOC8yMDIyCQAAAAEwWvqQMDvv3ghYMLQ0O+/eCDhDSVEuTkFTREFROkNBTE0uSVFfREVGX0NIQVJHRVNfTFQuOTk4LjMxLzA3LzIwMjYuLi5VU0QuSAEAAAAgegUAAwAAAAAAbNX6MDvv3gjLsLk0O+/eCDdDSVEuTkFTREFROkNBTE0uSVFfVE9UQUxfQVNTRVRTLjEwMDAuMzEvMDcvMjAyNi4uLlVTRC5IAQAAACB6BQACAAAABzMxMDcuNTcBCAAAAAUAAAABMQEAAAALLTE4ODEwNjg2NjgDAAAAAzE2MAIAAAAEMTAwNwQAAAABMAcAAAAJNy8zMS8yMDI2CAAAAAk1LzMwLzIwMjYJAAAAATBs1fowO+/eCJaJuTQ7794IO0NJUS5OQVNEQVE6</t>
  </si>
  <si>
    <t>Q0FMTS5JUV9DVVJSRU5UX1BPUlRfREVCVC45OTQuMzEvMDcvMjAyNi4uLlVTRC5IAQAAACB6BQADAAAAAABs1fowO+/eCIHtuDQ7794IPkNJUS5OQVNEQVE6Q0FMTS5JUV9GSU5fRElWX0RFQlRfQ1VSUkVOVC45OTUuMzEvMDcvMjAyNi4uLlVTRC5IAQAAACB6BQADAAAAAABs1fowO+/eCH7GuDQ7794IRUNJUS5OQVNEQVE6Q0FMTS5JUV9UT1RBTF9ERUJUX0VYQ0xfT1BFUl9MRUFTRVMuOTk0LjMxLzA3LzIwMjYuLi5VU0QuSAEAAAAgegUAAgAAAAUwLjg1NwEIAAAABQAAAAExAQAAAAstMjA4ODM0NzQ2OQMAAAADMTYwAgAAAAU0ODk4MgQAAAABMAcAAAAJNy8zMS8yMDI2CAAAAAk1LzMwLzIwMjAJAAAAATBiNZEwO+/eCPgKszQ7794IPkNJUS5OQVNEQVE6Q0FMTS5JUV9ERUZfVEFYX0xJQUJfQ1VSUkVOVC45OTguMzEvMDcvMjAyNi4uLlVTRC5IAQAAACB6BQADAAAAAAB6/PowO+/eCD1RuDQ7794IM0NJUS5OQVNEQVE6Q0FMTS5JUV9UT1RBTF9DTC4xMDAwLjMxLzA3LzIwMjYuLi5VU0QuSAEAAAAgegUAAgAAAAcyMDUuNTE2AQgAAAAFAAAAATEBAAAACy0xODgxMDY4NjY4AwAAAAMxNjACAAAABDEwMDkEAAAAATAHAAAACTcvMzEvMjAyNggAAAAJNS8zMC8yMDI2CQAAAAEwevz6MDvv3gjYKbg0O+/eCENDSVEuTkFTREFROkNBTE0uSVFfUlVBX09QRVJBVElOR19MRUFTRV9HUk9TUy45OTQuMzEvMDcv</t>
  </si>
  <si>
    <t>MjAyNi4uLlVTRC5IAQAAACB6BQACAAAABTIuNTMxAQgAAAAFAAAAATEBAAAACy0yMDg4MzQ3NDY5AwAAAAMxNjACAAAABTQ4Mzc3BAAAAAEwBwAAAAk3LzMxLzIwMjYIAAAACTUvMzAvMjAyMAkAAAABMFr6kDA7794Ij6W0NDvv3ghBQ0lRLk5BU0RBUTpDQUxNLklRX1JVQV9PUEVSQVRJTkdfTEVBU0VfTkVULjk5NS4zMS8wNy8yMDI2Li4uVVNELkgBAAAAIHoFAAMAAAAAAFr6kDA7794IZVe0NDvv3ggxQ0lRLk5BU0RBUTpDQUxNLklRX1dJUF9JTlYuOTk1LjMxLzA3LzIwMjYuLi5VU0QuSAEAAAAgegUAAwAAAAAA4FyRMDvv3giJlrA0O+/eCEBDSVEuTkFTREFROkNBTE0uSVFfRklOQU5DRV9MRUFTRVNfQ1VSUkVOVC45OTYuMzEvMDcvMjAyNi4uLlVTRC5IAQAAACB6BQADAAAAAABiNZEwO+/eCEgJtDQ7794IUENJUS5OQVNEQVE6Q0FMTS5JUV9DVVJSRU5UX1BPUlRJT05fT1BFUl9MRUFTRV9MSUFCSUxJVElFUy45OTQuMzEvMDcvMjAyNi4uLlVTRC5IAQAAACB6BQACAAAABTAuNzk2AQgAAAAFAAAAATEBAAAACy0yMDg4MzQ3NDY5AwAAAAMxNjACAAAABTQ4Mzg1BAAAAAEwBwAAAAk3LzMxLzIwMjYIAAAACTUvMzAvMjAyMAkAAAABMGI1kTA7794ILbuzNDvv3gg7Q0lRLk5BU0RBUTpDQUxNLklRX1RPVEFMX09QRVJfTEVBU0VTLjk5NS4zMS8wNy8yMDI2Li4uVVNELkgBAAAAIHoFAAIAAAAFMS43MjUB</t>
  </si>
  <si>
    <t>CAAAAAUAAAABMQEAAAALLTIwMzcyNDE3MjEDAAAAAzE2MAIAAAAFNDg5NzgEAAAAATAHAAAACTcvMzEvMjAyNggAAAAJNS8yOS8yMDIxCQAAAAEwYjWRMDvv3ggiWbM0O+/eCFJDSVEuTkFTREFROkNBTE0uSVFfRklOQU5DSU5HX09CTElHX0NVUlJFTlRfRVhDTF9PUEVSX0xFQVNFUy45OTUuMzEvMDcvMjAyNi4uLlVTRC5IAQAAACB6BQACAAAABTAuMjE1AQgAAAAFAAAAATEBAAAACy0yMDM3MjQxNzIxAwAAAAMxNjACAAAABTQ4OTgwBAAAAAEwBwAAAAk3LzMxLzIwMjYIAAAACTUvMjkvMjAyMQkAAAABMGI1kTA7794ICzKzNDvv3gg4Q0lRLk5BU0RBUTpDQUxNLklRX0FTU0VUU19MRVZFTF8xLjk5Ny4zMS8wNy8yMDI2Li4uVVNELkgBAAAAIHoFAAMAAAAAAPuDkTA7794IGjiuNDvv3ggyQ0lRLk5BU0RBUTpDQUxNLklRX0dXX0lOVEFOLjk5OS4zMS8wNy8yMDI2Li4uVVNELkgBAAAAIHoFAAIAAAAGNjEuOTMzAQgAAAAFAAAAATEBAAAACy0xODgxMDY4Njc1AwAAAAMxNjACAAAABTM1MzgxBAAAAAEwBwAAAAk3LzMxLzIwMjYIAAAACTUvMzEvMjAyNQkAAAABMGI1kTA7794IjUeyNDvv3gg0Q0lRLk5BU0RBUTpDQUxNLklRX1RPVEFMX0RFQlQuOTk4LjMxLzA3LzIwMjYuLi5VU0QuSAEAAAAgegUAAgAAAAEwAQgAAAAFAAAAATEBAAAACy0xODgxMDY4Njc2AwAAAAMxNjACAAAABDQxNzMEAAAAATAHAAAA</t>
  </si>
  <si>
    <t>CTcvMzEvMjAyNggAAAAINi8xLzIwMjQJAAAAATDgXJEwO+/eCNjjsTQ7794IQENJUS5OQVNEQVE6Q0FMTS5JUV9UT1RBTF9ERUJUX05PTl9DVVJSRU5ULjk5Ny4zMS8wNy8yMDI2Li4uVVNELkgBAAAAIHoFAAMAAAAAAOBckTA7794I1YGxNDvv3ggzQ0lRLk5BU0RBUTpDQUxNLklRX1RPVEFMX0NBUC45OTQuMzEvMDcvMjAyNi4uLlVTRC5IAQAAACB6BQACAAAACDEwMTMuMDYzAQgAAAAFAAAAATEBAAAACy0yMDg4MzQ3NDY5AwAAAAMxNjACAAAABDQxNzUEAAAAATAHAAAACTcvMzEvMjAyNggAAAAJNS8zMC8yMDIwCQAAAAEw4FyRMDvv3giUWrE0O+/eCD1DSVEuTkFTREFROkNBTE0uSVFfVE9UQUxfREVCVF9FWENMX0ZJTi45OTcuMzEvMDcvMjAyNi4uLlVTRC5IAQAAACB6BQADAAAAAADwVY0wO+/eCNdhqzQ7794INENJUS5OQVNEQVE6Q0FMTS5JUV9CVUlMRElOR1MuMTAwMC4zMS8wNy8yMDI2Li4uVVNELkgBAAAAIHoFAAIAAAAGODM1LjY3AQgAAAAFAAAAATEBAAAACy0xODgxMDY4NjY4AwAAAAMxNjACAAAABDMwMjMEAAAAATAHAAAACTcvMzEvMjAyNggAAAAJNS8zMC8yMDI2CQAAAAEw4FyRMDvv3gilDbA0O+/eCEBDSVEuTkFTREFROkNBTE0uSVFfTkFUVVJBTF9SRVNPVVJDRVNfQ09TVC45OTUuMzEvMDcvMjAyNi4uLlVTRC5IAQAAACB6BQADAAAAAADgXJEwO+/eCIW/rzQ7794IQUNJUS5OQVNE</t>
  </si>
  <si>
    <t>QVE6Q0FMTS5JUV9NSU5PUklUWV9JTlRfUkVERUVNX1RPVC45OTcuMzEvMDcvMjAyNi4uLlVTRC5IAQAAACB6BQADAAAAAAD7g5EwO+/eCFdKrzQ7794IS0NJUS5OQVNEQVE6Q0FMTS5JUV9HRU5FUkFMX1BBUlRORVJfTUlOT1JJVFlfSU5URVJFU1QuOTk3LjMxLzA3LzIwMjYuLi5VU0QuSAEAAAAgegUAAwAAAAAA+4ORMDvv3gj9wK40O+/eCDlDSVEuTkFTREFROkNBTE0uSVFfSU5URVJDT01QQU5ZX0NBLjk5NS4zMS8wNy8yMDI2Li4uVVNELkgBAAAAIHoFAAMAAAAAAM6QjTA7794I2CqpNDvv3gg9Q0lRLk5BU0RBUTpDQUxNLklRX0xJQUJJTElUSUVTX0xFVkVMXzEuOTk1LjMxLzA3LzIwMjYuLi5VU0QuSAEAAAAgegUAAwAAAAAA8FWNMDvv3gi+16w0O+/eCElDSVEuTkFTREFROkNBTE0uSVFfRkFJUl9WQUxVRV9DSEFOR0VfSU5DTF9FQVJOSU5HUy45OTUuMzEvMDcvMjAyNi4uLlVTRC5IAQAAACB6BQADAAAAAADwVY0wO+/eCG5OrDQ7794IPENJUS5OQVNEQVE6Q0FMTS5JUV9GSU5fRElWX0RFQlRfVE9UQUwuOTk1LjMxLzA3LzIwMjYuLi5VU0QuSAEAAAAgegUAAwAAAAAA8FWNMDvv3ggg/qs0O+/eCDxDSVEuTkFTREFROkNBTE0uSVFfREVCVF9FUVVJVl9ORVRfUEJPLjk5Ny4zMS8wNy8yMDI2Li4uVVNELkgBAAAAIHoFAAIAAAADNS42AQgAAAAFAAAAATEBAAAACy0xOTM0OTc4NDIwAwAAAAMxNjAC</t>
  </si>
  <si>
    <t>AAAABTIxNjc5BAAAAAEwBwAAAAk3LzMxLzIwMjYIAAAACDYvMy8yMDIzCQAAAAEw8FWNMDvv3gjxr6s0O+/eCDJDSVEuTkFTREFROkNBTE0uSVFfR1dfSU5UQU4uOTk4LjMxLzA3LzIwMjYuLi5VU0QuSAEAAAAgegUAAgAAAAY2MS43NzIBCAAAAAUAAAABMQEAAAALLTE4ODEwNjg2NzYDAAAAAzE2MAIAAAAFMzUzODEEAAAAATAHAAAACTcvMzEvMjAyNggAAAAINi8xLzIwMjQJAAAAATBiNZEwO+/eCI1HsjQ7794IQUNJUS5OQVNEQVE6Q0FMTS5JUV9DT05USU5HRU5UX0xJQUJJTElUSUVTLjEwMDAuMzEvMDcvMjAyNi4uLlVTRC5IAQAAACB6BQACAAAAAzUuOQEIAAAABQAAAAExAQAAAAstMTg4MTA2ODY2OAMAAAADMTYwAgAAAAUyNDY3MQQAAAABMAcAAAAJNy8zMS8yMDI2CAAAAAk1LzMwLzIwMjYJAAAAATDOkI0wO+/eCLwTqzQ7794IRUNJUS5OQVNEQVE6Q0FMTS5JUV9ERVJJVkFUSVZFX0xJQUJfTk9OX0NVUlJFTlQuOTk5LjMxLzA3LzIwMjYuLi5VU0QuSAEAAAAgegUAAwAAAAAAzpCNMDvv3gjsdqo0O+/eCD5DSVEuTkFTREFROkNBTE0uSVFfREVSSVZBVElWRV9BU1NFVFNfTFQuOTk3LjMxLzA3LzIwMjYuLi5VU0QuSAEAAAAgegUAAwAAAAAAzpCNMDvv3gggPKo0O+/eCDJDSVEuTkFTREFROkNBTE0uSVFfR1JPU1NfR1cuOTk3LjMxLzA3LzIwMjYuLi5VU0QuSAEAAAAgegUAAwAAAAAAzpCNMDvv</t>
  </si>
  <si>
    <t>3gge7qk0O+/eCDNDSVEuTkFTREFROkNBTE0uSVFfTUFDSElORVJZLjk5Ni4zMS8wNy8yMDI2Li4uVVNELkgBAAAAIHoFAAIAAAAHNjU1LjkyNQEIAAAABQAAAAExAQAAAAstMTk4NjcwODQzMwMAAAADMTYwAgAAAAQzMTE0BAAAAAEwBwAAAAk3LzMxLzIwMjYIAAAACTUvMjgvMjAyMgkAAAABMOBckTA7794IpQ2wNDvv3ghBQ0lRLk5BU0RBUTpDQUxNLklRX1JVQV9PUEVSQVRJTkdfTEVBU0VfTkVULjk5NC4zMS8wNy8yMDI2Li4uVVNELkgBAAAAIHoFAAMAAAAAAFr6kDA7794IZVe0NDvv3gg9Q0lRLk5BU0RBUTpDQUxNLklRX0FEX0VYQ0xfT1BFUl9MRUFTRVMuOTk1LjMxLzA3LzIwMjYuLi5VU0QuSAEAAAAgegUAAgAAAAgtNjIzLjc0NgEIAAAABQAAAAExAQAAAAstMjAzNzI0MTcyMQMAAAADMTYwAgAAAAU0ODk3NQQAAAABMAcAAAAJNy8zMS8yMDI2CAAAAAk1LzI5LzIwMjEJAAAAATBa+pAwO+/eCEgJtDQ7794IUkNJUS5OQVNEQVE6Q0FMTS5JUV9GSU5BTkNJTkdfT0JMSUdfQ1VSUkVOVF9FWENMX09QRVJfTEVBU0VTLjk5NC4zMS8wNy8yMDI2Li4uVVNELkgBAAAAIHoFAAIAAAAFMC4yMDUBCAAAAAUAAAABMQEAAAALLTIwODgzNDc0NjkDAAAAAzE2MAIAAAAFNDg5ODAEAAAAATAHAAAACTcvMzEvMjAyNggAAAAJNS8zMC8yMDIwCQAAAAEwYjWRMDvv3ggLMrM0O+/eCDxDSVEuTkFTREFROkNBTE0u</t>
  </si>
  <si>
    <t>SVFfVEJWX1NIQVJFX1JFUE9SVEVELjk5OC4zMS8wNy8yMDI2Li4uVVNELkgBAAAAIHoFAAMAAAAAAGI1kTA7794InZWyNDvv3gg5Q0lRLk5BU0RBUTpDQUxNLklRX0FTU0VUU19MRVZFTF8zLjEwMDAuMzEvMDcvMjAyNi4uLlVTRC5IAQAAACB6BQADAAAAAAD7g5EwO+/eCL3+rDQ7794INENJUS5OQVNEQVE6Q0FMTS5JUV9UT1RBTF9ERUJULjk5Ny4zMS8wNy8yMDI2Li4uVVNELkgBAAAAIHoFAAIAAAABMAEIAAAABQAAAAExAQAAAAstMTkzNDk3ODQyMAMAAAADMTYwAgAAAAQ0MTczBAAAAAEwBwAAAAk3LzMxLzIwMjYIAAAACDYvMy8yMDIzCQAAAAEw4FyRMDvv3giZvLE0O+/eCDhDSVEuTkFTREFROkNBTE0uSVFfRVFVSVRZX01FVEhPRC4xMDAwLjMxLzA3LzIwMjYuLi5VU0QuSAEAAAAgegUAAwAAAAAA4FyRMDvv3gjLvbA0O+/eCC9DSVEuTkFTREFROkNBTE0uSVFfTElGT1IuOTk1LjMxLzA3LzIwMjYuLi5VU0QuSAEAAAAgegUAAwAAAAAA4FyRMDvv3gjLvbA0O+/eCDRDSVEuTkFTREFROkNBTE0uSVFfT1RIRVJfSU5WLjEwMDAuMzEvMDcvMjAyNi4uLlVTRC5IAQAAACB6BQADAAAAAADgXJEwO+/eCLg0sDQ7794IPENJUS5OQVNEQVE6Q0FMTS5JUV9ERUJUX0VRVUlWX05FVF9QQk8uOTk2LjMxLzA3LzIwMjYuLi5VU0QuSAEAAAAgegUAAgAAAAM1LjYBCAAAAAUAAAABMQEAAAALLTE5ODY3MDg0MzMD</t>
  </si>
  <si>
    <t>AAAAAzE2MAIAAAAFMjE2NzkEAAAAATAHAAAACTcvMzEvMjAyNggAAAAJNS8yOC8yMDIyCQAAAAEw8FWNMDvv3gjxr6s0O+/eCEBDSVEuTkFTREFROkNBTE0uSVFfTkFUVVJBTF9SRVNPVVJDRVNfQ09TVC45OTQuMzEvMDcvMjAyNi4uLlVTRC5IAQAAACB6BQADAAAAAADgXJEwO+/eCJLmrzQ7794IQUNJUS5OQVNEQVE6Q0FMTS5JUV9NSU5PUklUWV9JTlRfUkVERUVNX1RPVC45OTYuMzEvMDcvMjAyNi4uLlVTRC5IAQAAACB6BQADAAAAAAD7g5EwO+/eCFdKrzQ7794IS0NJUS5OQVNEQVE6Q0FMTS5JUV9HRU5FUkFMX1BBUlRORVJfTUlOT1JJVFlfSU5URVJFU1QuOTk0LjMxLzA3LzIwMjYuLi5VU0QuSAEAAAAgegUAAwAAAAAA+4ORMDvv3gj9wK40O+/eCDhDSVEuTkFTREFROkNBTE0uSVFfQVNTRVRTX0xFVkVMXzEuOTk0LjMxLzA3LzIwMjYuLi5VU0QuSAEAAAAgegUAAgAAAAUyLjc0OQD7g5EwO+/eCBo4rjQ7794IQENJUS5OQVNEQVE6Q0FMTS5JUV9BRFZBTkNFU19GT1JfU1VQUExJRVMuMTAwMC4zMS8wNy8yMDI2Li4uVVNELkgBAAAAIHoFAAMAAAAAAM6QjTA7794I+p+pNDvv3gg9Q0lRLk5BU0RBUTpDQUxNLklRX0xJQUJJTElUSUVTX0xFVkVMXzEuOTk0LjMxLzA3LzIwMjYuLi5VU0QuSAEAAAAgegUAAwAAAAAA8FWNMDvv3gi+16w0O+/eCD5DSVEuTkFTREFROkNBTE0uSVFfTElBQklMSVRJRVNf</t>
  </si>
  <si>
    <t>TEVWRUxfMy4xMDAwLjMxLzA3LzIwMjYuLi5VU0QuSAEAAAAgegUAAgAAAAQyMS41APBVjTA7794IlXWsNDvv3ghJQ0lRLk5BU0RBUTpDQUxNLklRX0ZBSVJfVkFMVUVfQ0hBTkdFX0lOQ0xfRUFSTklOR1MuOTk0LjMxLzA3LzIwMjYuLi5VU0QuSAEAAAAgegUAAwAAAAAA8FWNMDvv3ghuTqw0O+/eCD9DSVEuTkFTREFROkNBTE0uSVFfRklOX0RJVl9MVF9ERUJUX1RPVEFMLjk5Ny4zMS8wNy8yMDI2Li4uVVNELkgBAAAAIHoFAAMAAAAAAPBVjTA7794Ibk6sNDvv3ghPQ0lRLk5BU0RBUTpDQUxNLklRX0xJQUJJTElUSUVTX05FVFRJTkdfT1RIRVJfQURKVVNUTUVOVFMuOTk3LjMxLzA3LzIwMjYuLi5VU0QuSAEAAAAgegUAAwAAAAAA8FWNMDvv3giVdaw0O+/eCD1DSVEuTkFTREFROkNBTE0uSVFfVE9UQUxfREVCVF9FWENMX0ZJTi45OTYuMzEvMDcvMjAyNi4uLlVTRC5IAQAAACB6BQADAAAAAADwVY0wO+/eCK86qzQ7794IQENJUS5OQVNEQVE6Q0FMTS5JUV9DT05USU5HRU5UX0xJQUJJTElUSUVTLjk5OS4zMS8wNy8yMDI2Li4uVVNELkgBAAAAIHoFAAMAAAAAAM6QjTA7794IvBOrNDvv3ghIQ0lRLk5BU0RBUTpDQUxNLklRX0NVUlJFTlRfUE9SVF9ERUJUX0RFUklWQVRJVkVTLjEwMDAuMzEvMDcvMjAyNi4uLlVTRC5IAQAAACB6BQADAAAAAADOkI0wO+/eCJ7FqjQ7794IRUNJUS5OQVNEQVE6Q0FMTS5J</t>
  </si>
  <si>
    <t>UV9ERVJJVkFUSVZFX0xJQUJfTk9OX0NVUlJFTlQuOTk4LjMxLzA3LzIwMjYuLi5VU0QuSAEAAAAgegUAAwAAAAAAzpCNMDvv3gjsdqo0O+/eCEdDSVEuTkFTREFROkNBTE0uSVFfQ1VSUkVOVF9QT1JUX0RFQlRfREVSSVZBVElWRVMuOTk5LjMxLzA3LzIwMjYuLi5VU0QuSAEAAAAgegUAAwAAAAAAzpCNMDvv3ghJnqo0O+/eCDlDSVEuTkFTREFROkNBTE0uSVFfSU5URVJDT01QQU5ZX0NBLjk5NC4zMS8wNy8yMDI2Li4uVVNELkgBAAAAIHoFAAMAAAAAAM6QjTA7794I2CqpNDvv3ghBQ0lRLk5BU0RBUTpDQUxNLklRX01JTk9SSVRZX0lOVF9SRURFRU1fVE9ULjk5NC4zMS8wNy8yMDI2Li4uVVNELkgBAAAAIHoFAAMAAAAAAPuDkTA7794IV0qvNDvv3ghQQ0lRLk5BU0RBUTpDQUxNLklRX0xJUVVJREFUSU9OX1ZBTFVFX1BSRUZFUlJFRF9OT05fUkVERUVNLjk5Ny4zMS8wNy8yMDI2Li4uVVNELkgBAAAAIHoFAAMAAAAAAPuDkTA7794IO4auNDvv3ghKQ0lRLk5BU0RBUTpDQUxNLklRX0FTU0VUU19ORVRUSU5HX09USEVSX0FESlVTVE1FTlRTLjk5Ny4zMS8wNy8yMDI2Li4uVVNELkgBAAAAIHoFAAMAAAAAAPyqkTA7794Ivf6sNDvv3gg5Q0lRLk5BU0RBUTpDQUxNLklRX05FVF9XT1JLSU5HX0NBUC45OTcuMzEvMDcvMjAyNi4uLlVTRC5IAQAAACB6BQACAAAABjI5NC4yOAEIAAAABQAAAAExAQAAAAstMTkz</t>
  </si>
  <si>
    <t>NDk3ODQyMAMAAAADMTYwAgAAAAQxMzExBAAAAAEwBwAAAAk3LzMxLzIwMjYIAAAACDYvMy8yMDIzCQAAAAEw4FyRMDvv3gjRH7E0O+/eCD9DSVEuTkFTREFROkNBTE0uSVFfRklOX0RJVl9MVF9ERUJUX1RPVEFMLjk5NS4zMS8wNy8yMDI2Li4uVVNELkgBAAAAIHoFAAMAAAAAAPBVjTA7794IdyesNDvv3gg8Q0lRLk5BU0RBUTpDQUxNLklRX0RFQlRfRVFVSVZfTkVUX1BCTy45OTUuMzEvMDcvMjAyNi4uLlVTRC5IAQAAACB6BQACAAAAAzUuNQEIAAAABQAAAAExAQAAAAstMjAzNzI0MTcyMQMAAAADMTYwAgAAAAUyMTY3OQQAAAABMAcAAAAJNy8zMS8yMDI2CAAAAAk1LzI5LzIwMjEJAAAAATDwVY0wO+/eCPGvqzQ7794IPUNJUS5OQVNEQVE6Q0FMTS5JUV9UT1RBTF9ERUJUX0VYQ0xfRklOLjk5NS4zMS8wNy8yMDI2Li4uVVNELkgBAAAAIHoFAAIAAAAFMi4zNzgBCAAAAAUAAAABMQEAAAALLTIwMzcyNDE3MjEDAAAAAzE2MAIAAAAFMjE4NjAEAAAAATAHAAAACTcvMzEvMjAyNggAAAAJNS8yOS8yMDIxCQAAAAEw8FWNMDvv3givOqs0O+/eCD5DSVEuTkFTREFROkNBTE0uSVFfV0FSUkFOVFlfTElBQklMSVRJRVMuOTk1LjMxLzA3LzIwMjYuLi5VU0QuSAEAAAAgegUAAwAAAAAAzpCNMDvv3gjD7Ko0O+/eCEJDSVEuTkFTREFROkNBTE0uSVFfTUlOT1JJVFlfSU5UX1JFREVFTV9UT1QuMTAwMC4zMS8wNy8y</t>
  </si>
  <si>
    <t>MDI2Li4uVVNELkgBAAAAIHoFAAMAAAAAAPuDkTA7794IEyOvNDvv3ghFQ0lRLk5BU0RBUTpDQUxNLklRX0RFUklWQVRJVkVfTElBQl9OT05fQ1VSUkVOVC45OTcuMzEvMDcvMjAyNi4uLlVTRC5IAQAAACB6BQADAAAAAADOkI0wO+/eCOx2qjQ7794IP0NJUS5OQVNEQVE6Q0FMTS5JUV9BRFZBTkNFU19GT1JfU1VQUExJRVMuOTk5LjMxLzA3LzIwMjYuLi5VU0QuSAEAAAAgegUAAwAAAAAAzpCNMDvv3gj6n6k0O+/eCDJDSVEuTkFTREFROkNBTE0uSVFfTkVUX0RFQlQuOTk5LjMxLzA3LzIwMjYuLi5VU0QuSAEAAAAgegUAAgAAAActMTM5Mi4xAQgAAAAFAAAAATEBAAAACy0xODgxMDY4Njc1AwAAAAMxNjACAAAABDQzNjQEAAAAATAHAAAACTcvMzEvMjAyNggAAAAJNS8zMS8yMDI1CQAAAAEw4FyRMDvv3gjVgbE0O+/eCDNDSVEuTkFTREFROkNBTE0uSVFfVE9UQUxfQ0FQLjk5OC4zMS8wNy8yMDI2Li4uVVNELkgBAAAAIHoFAAIAAAAIMTc5Ny4wNDMBCAAAAAUAAAABMQEAAAALLTE4ODEwNjg2NzYDAAAAAzE2MAIAAAAENDE3NQQAAAABMAcAAAAJNy8zMS8yMDI2CAAAAAg2LzEvMjAyNAkAAAABMOBckTA7794IlFqxNDvv3gg9Q0lRLk5BU0RBUTpDQUxNLklRX0xJQUJJTElUSUVTX0xFVkVMXzIuOTk2LjMxLzA3LzIwMjYuLi5VU0QuSAEAAAAgegUAAwAAAAAA8FWNMDvv3giOsKw0O+/eCDFDSVEuTkFTREFR</t>
  </si>
  <si>
    <t>OkNBTE0uSVFfV0lQX0lOVi45OTkuMzEvMDcvMjAyNi4uLlVTRC5IAQAAACB6BQADAAAAAADgXJEwO+/eCMNbsDQ7794ILkNJUS5OQVNEQVE6Q0FMTS5JUV9MQU5ELjk5NC4zMS8wNy8yMDI2Li4uVVNELkgBAAAAIHoFAAIAAAAGOTEuODY1AQgAAAAFAAAAATEBAAAACy0yMDg4MzQ3NDY5AwAAAAMxNjACAAAABDMwOTgEAAAAATAHAAAACTcvMzEvMjAyNggAAAAJNS8zMC8yMDIwCQAAAAEw4FyRMDvv3gjDW7A0O+/eCEBDSVEuTkFTREFROkNBTE0uSVFfTkFUVVJBTF9SRVNPVVJDRVNfQ09TVC45OTkuMzEvMDcvMjAyNi4uLlVTRC5IAQAAACB6BQADAAAAAAD7g5EwO+/eCIW/rzQ7794IPUNJUS5OQVNEQVE6Q0FMTS5JUV9NSU5PUklUWV9JTlRfUkVERUVNLjk5NC4zMS8wNy8yMDI2Li4uVVNELkgBAAAAIHoFAAMAAAAAAPuDkTA7794IcJivNDvv3gg8Q0lRLk5BU0RBUTpDQUxNLklRX0dST1NTX0lOVEFOX0FTU0VUUy45OTcuMzEvMDcvMjAyNi4uLlVTRC5IAQAAACB6BQACAAAABjQxLjQ5OAEIAAAABQAAAAExAQAAAAstMTkzNDk3ODQyMAMAAAADMTYwAgAAAAUyNDI5MwQAAAABMAcAAAAJNy8zMS8yMDI2CAAAAAg2LzMvMjAyMwkAAAABMM6QjTA7794IExWqNDvv3ghHQ0lRLk5BU0RBUTpDQUxNLklRX0dFTkVSQUxfUEFSVE5FUl9DT01NT05fRVFVSVRZLjk5NC4zMS8wNy8yMDI2Li4uVVNELkgBAAAAIHoF</t>
  </si>
  <si>
    <t>AAMAAAAAAPuDkTA7794IXg+vNDvv3ghMQ0lRLk5BU0RBUTpDQUxNLklRX0dFTkVSQUxfUEFSVE5FUl9NSU5PUklUWV9JTlRFUkVTVC4xMDAwLjMxLzA3LzIwMjYuLi5VU0QuSAEAAAAgegUAAwAAAAAA+4ORMDvv3gj9wK40O+/eCFBDSVEuTkFTREFROkNBTE0uSVFfTElRVUlEQVRJT05fVkFMVUVfUFJFRkVSUkVEX05PTl9SRURFRU0uOTk0LjMxLzA3LzIwMjYuLi5VU0QuSAEAAAAgegUAAwAAAAAA+4ORMDvv3gg7hq40O+/eCDhDSVEuTkFTREFROkNBTE0uSVFfQVNTRVRTX0xFVkVMXzIuOTk2LjMxLzA3LzIwMjYuLi5VU0QuSAEAAAAgegUAAgAAAAcxMTUuNDI5APuDkTA7794IGjiuNDvv3gg6Q0lRLk5BU0RBUTpDQUxNLklRX0FMTE9XX0RPVUJUX0FDQ1QuOTk0LjMxLzA3LzIwMjYuLi5VU0QuSAEAAAAgegUAAgAAAAUwLjc0NAEIAAAABQAAAAExAQAAAAstMjA4ODM0NzQ2OQMAAAADMTYwAgAAAAQzMDEyBAAAAAEwBwAAAAk3LzMxLzIwMjYIAAAACTUvMzAvMjAyMAkAAAABMOBckTA7794Ij/iwNDvv3gg8Q0lRLk5BU0RBUTpDQUxNLklRX0ZJTl9ESVZfQ0FTSF9FUVVJVi45OTQuMzEvMDcvMjAyNi4uLlVTRC5IAQAAACB6BQADAAAAAADwVY0wO+/eCPzWqzQ7794IRUNJUS5OQVNEQVE6Q0FMTS5JUV9SRVNUUklDVEVEX0NBU0hfTk9OX0NVUlJFTlQuOTk0LjMxLzA3LzIwMjYuLi5VU0QuSAEAAAAgegUA</t>
  </si>
  <si>
    <t>AwAAAAAA8FWNMDvv3gjOiKs0O+/eCD1DSVEuTkFTREFROkNBTE0uSVFfVE9UQUxfREVCVF9FWENMX0ZJTi45OTkuMzEvMDcvMjAyNi4uLlVTRC5IAQAAACB6BQADAAAAAADwVY0wO+/eCK86qzQ7794IPkNJUS5OQVNEQVE6Q0FMTS5JUV9MVF9ERUJUX0RFUklWQVRJVkVTLjEwMDAuMzEvMDcvMjAyNi4uLlVTRC5IAQAAACB6BQADAAAAAADOkI0wO+/eCEmeqjQ7794IQUNJUS5OQVNEQVE6Q0FMTS5JUV9NSU5PUklUWV9JTlRfUkVERUVNX1RPVC45OTkuMzEvMDcvMjAyNi4uLlVTRC5IAQAAACB6BQADAAAAAAD7g5EwO+/eCFdKrzQ7794IOUNJUS5OQVNEQVE6Q0FMTS5JUV9JTlRFUkNPTVBBTllfQ0EuOTk4LjMxLzA3LzIwMjYuLi5VU0QuSAEAAAAgegUAAwAAAAAAIbiNMDvv3gjYKqk0O+/eCDxDSVEuTkFTREFROkNBTE0uSVFfVE9UQUxfREVCVF9DVVJSRU5ULjk5OC4zMS8wNy8yMDI2Li4uVVNELkgBAAAAIHoFAAMAAAAAAOBckTA7794I2OOxNDvv3ggyQ0lRLk5BU0RBUTpDQUxNLklRX05FVF9ERUJULjk5Ny4zMS8wNy8yMDI2Li4uVVNELkgBAAAAIHoFAAIAAAAILTY0Ny45MTQBCAAAAAUAAAABMQEAAAALLTE5MzQ5Nzg0MjADAAAAAzE2MAIAAAAENDM2NAQAAAABMAcAAAAJNy8zMS8yMDI2CAAAAAg2LzMvMjAyMwkAAAABMOBckTA7794I1YGxNDvv3ggzQ0lRLk5BU0RBUTpDQUxNLklRX1RPVEFMX0NB</t>
  </si>
  <si>
    <t>UC45OTcuMzEvMDcvMjAyNi4uLlVTRC5IAQAAACB6BQACAAAACDE2MDkuNTgzAQgAAAAFAAAAATEBAAAACy0xOTM0OTc4NDIwAwAAAAMxNjACAAAABDQxNzUEAAAAATAHAAAACTcvMzEvMjAyNggAAAAINi8zLzIwMjMJAAAAATDgXJEwO+/eCNEfsTQ7794IPUNJUS5OQVNEQVE6Q0FMTS5JUV9UT1RBTF9ERUJUX0VYQ0xfRklOLjk5OC4zMS8wNy8yMDI2Li4uVVNELkgBAAAAIHoFAAMAAAAAAPBVjTA7794IrzqrNDvv3ggvQ0lRLk5BU0RBUTpDQUxNLklRX0xJRk9SLjk5OS4zMS8wNy8yMDI2Li4uVVNELkgBAAAAIHoFAAMAAAAAAOBckTA7794Iy72wNDvv3gg2Q0lRLk5BU0RBUTpDQUxNLklRX0ZJTklTSEVEX0lOVi45OTQuMzEvMDcvMjAyNi4uLlVTRC5IAQAAACB6BQACAAAABjc3LjAxOAEIAAAABQAAAAExAQAAAAstMjA4ODM0NzQ2OQMAAAADMTYwAgAAAAQzMDc1BAAAAAEwBwAAAAk3LzMxLzIwMjYIAAAACTUvMzAvMjAyMAkAAAABMOBckTA7794Iw1uwNDvv3gg0Q0lRLk5BU0RBUTpDQUxNLklRX01BQ0hJTkVSWS4xMDAwLjMxLzA3LzIwMjYuLi5VU0QuSAEAAAAgegUAAgAAAAgxMDg1Ljc4OQEIAAAABQAAAAExAQAAAAstMTg4MTA2ODY2OAMAAAADMTYwAgAAAAQzMTE0BAAAAAEwBwAAAAk3LzMxLzIwMjYIAAAACTUvMzAvMjAyNgkAAAABMOBckTA7794IkuavNDvv3ggtQ0lRLk5BU0RBUTpDQUxNLklR</t>
  </si>
  <si>
    <t>X0NJUC45OTYuMzEvMDcvMjAyNi4uLlVTRC5IAQAAACB6BQACAAAABjcxLjk2NwEIAAAABQAAAAExAQAAAAstMTk4NjcwODQzMwMAAAADMTYwAgAAAAQzMDMzBAAAAAEwBwAAAAk3LzMxLzIwMjYIAAAACTUvMjgvMjAyMgkAAAABMPuDkTA7794Ihb+vNDvv3gg5Q0lRLk5BU0RBUTpDQUxNLklRX0lOVEVSQ09NUEFOWV9DQS45OTcuMzEvMDcvMjAyNi4uLlVTRC5IAQAAACB6BQADAAAAAAAhuI0wO+/eCNgqqTQ7794ISENJUS5OQVNEQVE6Q0FMTS5JUV9UT1RBTF9HRU5FUkFMX1BBUlRORVJfSU5URVJFU1QuOTk2LjMxLzA3LzIwMjYuLi5VU0QuSAEAAAAgegUAAwAAAAAA+4ORMDvv3gj9wK40O+/eCDhDSVEuTkFTREFROkNBTE0uSVFfQVNTRVRTX0xFVkVMXzIuOTk1LjMxLzA3LzIwMjYuLi5VU0QuSAEAAAAgegUAAgAAAAcxMTIuMTU4APuDkTA7794IGjiuNDvv3gg9Q0lRLk5BU0RBUTpDQUxNLklRX0xJQUJJTElUSUVTX0xFVkVMXzIuOTk1LjMxLzA3LzIwMjYuLi5VU0QuSAEAAAAgegUAAwAAAAAA8FWNMDvv3giOsKw0O+/eCDxDSVEuTkFTREFROkNBTE0uSVFfREVCVF9FUVVJVl9ORVRfUEJPLjk5OS4zMS8wNy8yMDI2Li4uVVNELkgBAAAAIHoFAAMAAAAAAPBVjTA7794I8a+rNDvv3gg/Q0lRLk5BU0RBUTpDQUxNLklRX1JVQV9DQVBJVEFMX0xFQVNFX05FVC45OTQuMzEvMDcvMjAyNi4uLlVTRC5IAQAA</t>
  </si>
  <si>
    <t>ACB6BQADAAAAAABa+pAwO+/eCFPgtDQ7794IPUNJUS5OQVNEQVE6Q0FMTS5JUV9MVF9ERUJUX0RFUklWQVRJVkVTLjk5OC4zMS8wNy8yMDI2Li4uVVNELkgBAAAAIHoFAAMAAAAAAM6QjTA7794ISZ6qNDvv3ghDQ0lRLk5BU0RBUTpDQUxNLklRX0RFUklWQVRJVkVfVFJBRElOR19BU1NFVFMuOTk5LjMxLzA3LzIwMjYuLi5VU0QuSAEAAAAgegUAAwAAAAAAzpCNMDvv3gggPKo0O+/eCDxDSVEuTkFTREFROkNBTE0uSVFfR1JPU1NfSU5UQU5fQVNTRVRTLjk5Ni4zMS8wNy8yMDI2Li4uVVNELkgBAAAAIHoFAAIAAAAGMjAuMzUxAQgAAAAFAAAAATEBAAAACy0xOTg2NzA4NDMzAwAAAAMxNjACAAAABTI0MjkzBAAAAAEwBwAAAAk3LzMxLzIwMjYIAAAACTUvMjgvMjAyMgkAAAABMM6QjTA7794IExWqNDvv3gg3Q0lRLk5BU0RBUTpDQUxNLklRX0dXX0lOVEFOX05FVC4xMDAwLjMxLzA3LzIwMjYuLi5VU0QuSAEAAAAgegUAAwAAAAAAzpCNMDvv3ggBeak0O+/eCFBDSVEuTkFTREFROkNBTE0uSVFfQ1VSUkVOVF9QT1JUSU9OX09QRVJfTEVBU0VfTElBQklMSVRJRVMuOTk2LjMxLzA3LzIwMjYuLi5VU0QuSAEAAAAgegUAAwAAAAAAYjWRMDvv3ggtu7M0O+/eCDxDSVEuTkFTREFROkNBTE0uSVFfVE9UQUxfUkVWX0VNUExPWUVFLjk5OC4zMS8wNy8yMDI2Li4uVVNELkgBAAAAIHoFAAIAAAAHNzc1Ljk5OAEIAAAA</t>
  </si>
  <si>
    <t>BQAAAAExAQAAAAstMTg4MTA2ODY3NgMAAAADMTYwAgAAAAQ0MTIzBAAAAAEwBwAAAAk3LzMxLzIwMjYIAAAACDYvMS8yMDI0CQAAAAEwsoiHMDvv3ghujag0O+/eCDhDSVEuTkFTREFROkNBTE0uSVFfT1RIRVJfQ0xfU1VQUEwuOTk5LjMxLzA3LzIwMjYuLi5VU0QuSAEAAAAgegUAAgAAAAcxMTQuMTYzAQgAAAAFAAAAATEBAAAACy0xODgxMDY4Njc1AwAAAAMxNjACAAAABDEwNTcEAAAAATAHAAAACTcvMzEvMjAyNggAAAAJNS8zMS8yMDI1CQAAAAEwevz6MDvv3gg9Ubg0O+/eCDJDSVEuTkFTREFROkNBTE0uSVFfVFJFQVNVUlkuOTk0LjMxLzA3LzIwMjYuLi5VU0QuSAEAAAAgegUAAgAAAActMjYuNjc0AQgAAAAFAAAAATEBAAAACy0yMDg4MzQ3NDY5AwAAAAMxNjACAAAABDEyNDgEAAAAATAHAAAACTcvMzEvMjAyNggAAAAJNS8zMC8yMDIwCQAAAAEwWvqQMDvv3ghN37U0O+/eCDZDSVEuTkFTREFROkNBTE0uSVFfVE9UQUxfRVFVSVRZLjk5NC4zMS8wNy8yMDI2Li4uVVNELkgBAAAAIHoFAAIAAAAIMTAwOS42NzUBCAAAAAUAAAABMQEAAAALLTIwODgzNDc0NjkDAAAAAzE2MAIAAAAEMTI3NQQAAAABMAcAAAAJNy8zMS8yMDI2CAAAAAk1LzMwLzIwMjAJAAAAATBa+pAwO+/eCPBptTQ7794IMkNJUS5OQVNEQVE6Q0FMTS5JUV9ORVRfREVCVC45OTYuMzEvMDcvMjAyNi4uLlVTRC5IAQAAACB6BQACAAAA</t>
  </si>
  <si>
    <t>CC0xNzQuNTEzAQgAAAAFAAAAATEBAAAACy0xOTg2NzA4NDMzAwAAAAMxNjACAAAABDQzNjQEAAAAATAHAAAACTcvMzEvMjAyNggAAAAJNS8yOC8yMDIyCQAAAAEw4FyRMDvv3gjVgbE0O+/eCEdDSVEuTkFTREFROkNBTE0uSVFfUlVBX09QRVJBVElOR19MRUFTRV9BQ0NVTV9ERVAuOTk1LjMxLzA3LzIwMjYuLi5VU0QuSAEAAAAgegUAAwAAAAAAWvqQMDvv3gh2frQ0O+/eCD9DSVEuTkFTREFROkNBTE0uSVFfR1BQRV9FWENMX09QRVJfTEVBU0VTLjk5NS4zMS8wNy8yMDI2Li4uVVNELkgBAAAAIHoFAAIAAAAIMTIxMy42ODgBCAAAAAUAAAABMQEAAAALLTIwMzcyNDE3MjEDAAAAAzE2MAIAAAAFNDg5NzQEAAAAATAHAAAACTcvMzEvMjAyNggAAAAJNS8yOS8yMDIxCQAAAAEwWvqQMDvv3ghlV7Q0O+/eCD9DSVEuTkFTREFROkNBTE0uSVFfTlBQRV9FWENMX09QRVJfTEVBU0VTLjk5NS4zMS8wNy8yMDI2Li4uVVNELkgBAAAAIHoFAAIAAAAHNTg5Ljk0MgEIAAAABQAAAAExAQAAAAstMjAzNzI0MTcyMQMAAAADMTYwAgAAAAU0ODk3NgQAAAABMAcAAAAJNy8zMS8yMDI2CAAAAAk1LzI5LzIwMjEJAAAAATBa+pAwO+/eCEgJtDQ7794IQkNJUS5OQVNEQVE6Q0FMTS5JUV9GSU5BTkNFX0xFQVNFU19MT05HX1RFUk0uOTk1LjMxLzA3LzIwMjYuLi5VU0QuSAEAAAAgegUAAgAAAAUwLjQzOAEIAAAABQAAAAExAQAA</t>
  </si>
  <si>
    <t>AAstMjAzNzI0MTcyMQMAAAADMTYwAgAAAAU0ODk5MQQAAAABMAcAAAAJNy8zMS8yMDI2CAAAAAk1LzI5LzIwMjEJAAAAATBiNZEwO+/eCDjiszQ7794ILUNJUS5OQVNEQVE6Q0FMTS5JUV9DSVAuOTk1LjMxLzA3LzIwMjYuLi5VU0QuSAEAAAAgegUAAgAAAAY3Mi44NzkBCAAAAAUAAAABMQEAAAALLTIwMzcyNDE3MjEDAAAAAzE2MAIAAAAEMzAzMwQAAAABMAcAAAAJNy8zMS8yMDI2CAAAAAk1LzI5LzIwMjEJAAAAATD7g5EwO+/eCIW/rzQ7794IO0NJUS5OQVNEQVE6Q0FMTS5JUV9UT1RBTF9PUEVSX0xFQVNFUy45OTcuMzEvMDcvMjAyNi4uLlVTRC5IAQAAACB6BQADAAAAAABiNZEwO+/eCCJZszQ7794IUkNJUS5OQVNEQVE6Q0FMTS5JUV9GSU5BTkNJTkdfT0JMSUdfQ1VSUkVOVF9FWENMX09QRVJfTEVBU0VTLjk5Ny4zMS8wNy8yMDI2Li4uVVNELkgBAAAAIHoFAAMAAAAAAGI1kTA7794ICzKzNDvv3ggzQ0lRLk5BU0RBUTpDQUxNLklRX0dXX0lOVEFOLjEwMDAuMzEvMDcvMjAyNi4uLlVTRC5IAQAAACB6BQACAAAABzE3MC4xODkBCAAAAAUAAAABMQEAAAALLTE4ODEwNjg2NjgDAAAAAzE2MAIAAAAFMzUzODEEAAAAATAHAAAACTcvMzEvMjAyNggAAAAJNS8zMC8yMDI2CQAAAAEwYjWRMDvv3gifHrI0O+/eCDxDSVEuTkFTREFROkNBTE0uSVFfVE9UQUxfREVCVF9DVVJSRU5ULjk5Ny4zMS8wNy8yMDI2</t>
  </si>
  <si>
    <t>Li4uVVNELkgBAAAAIHoFAAMAAAAAAOBckTA7794ImbyxNDvv3gg4Q0lRLk5BU0RBUTpDQUxNLklRX0FTU0VUU19MRVZFTF8yLjk5NC4zMS8wNy8yMDI2Li4uVVNELkgBAAAAIHoFAAIAAAAHMTU0LjE2MwD7g5EwO+/eCBo4rjQ7794IM0NJUS5OQVNEQVE6Q0FMTS5JUV9UT1RBTF9DQVAuOTk2LjMxLzA3LzIwMjYuLi5VU0QuSAEAAAAgegUAAgAAAAgxMTA0LjM0NQEIAAAABQAAAAExAQAAAAstMTk4NjcwODQzMwMAAAADMTYwAgAAAAQ0MTc1BAAAAAEwBwAAAAk3LzMxLzIwMjYIAAAACTUvMjgvMjAyMgkAAAABMOBckTA7794I0R+xNDvv3gg2Q0lRLk5BU0RBUTpDQUxNLklRX0FSX1VOQklMTEVELjEwMDAuMzEvMDcvMjAyNi4uLlVTRC5IAQAAACB6BQADAAAAAADgXJEwO+/eCMu9sDQ7794IL0NJUS5OQVNEQVE6Q0FMTS5JUV9MSUZPUi45OTguMzEvMDcvMjAyNi4uLlVTRC5IAQAAACB6BQADAAAAAADgXJEwO+/eCMu9sDQ7794IM0NJUS5OQVNEQVE6Q0FMTS5JUV9NQUNISU5FUlkuOTk5LjMxLzA3LzIwMjYuLi5VU0QuSAEAAAAgegUAAgAAAAc4NzYuMDI0AQgAAAAFAAAAATEBAAAACy0xODgxMDY4Njc1AwAAAAMxNjACAAAABDMxMTQEAAAAATAHAAAACTcvMzEvMjAyNggAAAAJNS8zMS8yMDI1CQAAAAEw4FyRMDvv3gilDbA0O+/eCDxDSVEuTkFTREFROkNBTE0uSVFfREVCVF9FUVVJVl9ORVRfUEJPLjk5</t>
  </si>
  <si>
    <t>OC4zMS8wNy8yMDI2Li4uVVNELkgBAAAAIHoFAAMAAAAAAPBVjTA7794IzoirNDvv3ghDQ0lRLk5BU0RBUTpDQUxNLklRX0ZJTl9ESVZfTUlOT1JJVFlfSU5URVJFU1QuOTk2LjMxLzA3LzIwMjYuLi5VU0QuSAEAAAAgegUAAwAAAAAA+4ORMDvv3ghXSq80O+/eCEhDSVEuTkFTREFROkNBTE0uSVFfR0VORVJBTF9QQVJUTkVSX0NPTU1PTl9FUVVJVFkuMTAwMC4zMS8wNy8yMDI2Li4uVVNELkgBAAAAIHoFAAMAAAAAAPuDkTA7794IQOiuNDvv3ghIQ0lRLk5BU0RBUTpDQUxNLklRX1RPVEFMX0dFTkVSQUxfUEFSVE5FUl9JTlRFUkVTVC45OTUuMzEvMDcvMjAyNi4uLlVTRC5IAQAAACB6BQADAAAAAAD7g5EwO+/eCP3ArjQ7794IUUNJUS5OQVNEQVE6Q0FMTS5JUV9MSVFVSURBVElPTl9WQUxVRV9QUkVGRVJSRURfTk9OX1JFREVFTS4xMDAwLjMxLzA3LzIwMjYuLi5VU0QuSAEAAAAgegUAAwAAAAAA+4ORMDvv3ggrX640O+/eCDxDSVEuTkFTREFROkNBTE0uSVFfR1JPU1NfSU5UQU5fQVNTRVRTLjk5NS4zMS8wNy8yMDI2Li4uVVNELkgBAAAAIHoFAAMAAAAAAM6QjTA7794IExWqNDvv3ghLQ0lRLk5BU0RBUTpDQUxNLklRX0FTU0VUU19ORVRUSU5HX09USEVSX0FESlVTVE1FTlRTLjEwMDAuMzEvMDcvMjAyNi4uLlVTRC5IAQAAACB6BQADAAAAAAD8qpEwO+/eCL3+rDQ7794IPUNJUS5OQVNEQVE6Q0FMTS5J</t>
  </si>
  <si>
    <t>UV9MSUFCSUxJVElFU19MRVZFTF8yLjk5NC4zMS8wNy8yMDI2Li4uVVNELkgBAAAAIHoFAAMAAAAAAPBVjTA7794IjrCsNDvv3ghQQ0lRLk5BU0RBUTpDQUxNLklRX0xJQUJJTElUSUVTX05FVFRJTkdfT1RIRVJfQURKVVNUTUVOVFMuMTAwMC4zMS8wNy8yMDI2Li4uVVNELkgBAAAAIHoFAAMAAAAAAPBVjTA7794IlXWsNDvv3gg/Q0lRLk5BU0RBUTpDQUxNLklRX0ZJTl9ESVZfTFRfREVCVF9UT1RBTC45OTguMzEvMDcvMjAyNi4uLlVTRC5IAQAAACB6BQADAAAAAADwVY0wO+/eCHcnrDQ7794IPkNJUS5OQVNEQVE6Q0FMTS5JUV9EQV9TVVBQTF9QQVJUSUFMX0NGLjEwMDAuMzEvMDcvMjAyNi4uLlVTRC5IAQAAACB6BQADAAAAAAD2lfYwO+/eCNVDwDQ7794IN0NJUS5OQVNEQVE6Q0FMTS5JUV9PUkRFUl9CQUNLTE9HLjk5NC4zMS8wNy8yMDI2Li4uVVNELkgBAAAAIHoFAAMAAAAAAPBVjTA7794IrzqrNDvv3gg+Q0lRLk5BU0RBUTpDQUxNLklRX1dBUlJBTlRZX0xJQUJJTElUSUVTLjk5OC4zMS8wNy8yMDI2Li4uVVNELkgBAAAAIHoFAAMAAAAAAM6QjTA7794Iw+yqNDvv3gg9Q0lRLk5BU0RBUTpDQUxNLklRX0xUX0RFQlRfREVSSVZBVElWRVMuOTk3LjMxLzA3LzIwMjYuLi5VU0QuSAEAAAAgegUAAwAAAAAAzpCNMDvv3ghJnqo0O+/eCENDSVEuTkFTREFROkNBTE0uSVFfREVSSVZBVElWRV9UUkFESU5H</t>
  </si>
  <si>
    <t>X0FTU0VUUy45OTguMzEvMDcvMjAyNi4uLlVTRC5IAQAAACB6BQADAAAAAADOkI0wO+/eCCA8qjQ7794IQUNJUS5OQVNEQVE6Q0FMTS5JUV9DQVNIX0lOVEVSRVNUX1JFQ0VJVkVELjEwMDAuMzEvMDcvMjAyNi4uLlVTRC5IAQAAACB6BQADAAAAAABsh/owO+/eCFEKvzQ7794IOUNJUS5OQVNEQVE6Q0FMTS5JUV9BQ0NVTV9BTU9SVF9HVy4xMDAwLjMxLzA3LzIwMjYuLi5VU0QuSAEAAAAgegUAAwAAAAAAzpCNMDvv3ggJx6k0O+/eCDZDSVEuTkFTREFROkNBTE0uSVFfR1dfSU5UQU5fTkVULjk5OS4zMS8wNy8yMDI2Li4uVVNELkgBAAAAIHoFAAMAAAAAAM6QjTA7794IAXmpNDvv3gg5Q0lRLk5BU0RBUTpDQUxNLklRX0lOVEVSQ09NUEFOWV9DQS45OTYuMzEvMDcvMjAyNi4uLlVTRC5IAQAAACB6BQADAAAAAADOkI0wO+/eCKUDqTQ7794INENJUS5OQVNEQVE6Q0FMTS5JUV9ORVRfQ0hBTkdFLjk5Ni4zMS8wNy8yMDI2Li4uVVNELkgBAAAAIHoFAAIAAAAFMS43MzIBCAAAAAUAAAABMQEAAAALLTE5ODY3MDg0MzMDAAAAAzE2MAIAAAAEMjA5MwQAAAABMAcAAAAJNy8zMS8yMDI2CAAAAAk1LzI4LzIwMjIJAAAAATD2lfYwO+/eCGNrwDQ7794INkNJUS5OQVNEQVE6Q0FMTS5JUV9ET19JTlZFU1RfQ0YuOTk0LjMxLzA3LzIwMjYuLi5VU0QuSAEAAAAgegUAAwAAAAAAbIf6MDvv3ghUb700O+/eCDRDSVEuTkFT</t>
  </si>
  <si>
    <t>REFROkNBTE0uSVFfREVQUkVfU1VQUC45OTQuMzEvMDcvMjAyNi4uLlVTRC5IAQAAACB6BQADAAAAAAD2lfYwO+/eCAsJwDQ7794IMUNJUS5OQVNEQVE6Q0FMTS5JUV9ERVBfUlVBLjk5OC4zMS8wNy8yMDI2Li4uVVNELkgBAAAAIHoFAAMAAAAAAPaV9jA7794ICwnANDvv3gg+Q0lRLk5BU0RBUTpDQUxNLklRX05FR0FUSVZFX0dXX0FNT1JUX0NGLjk5OC4zMS8wNy8yMDI2Li4uVVNELkgBAAAAIHoFAAMAAAAAAPaV9jA7794IpX+/NDvv3gg3Q0lRLk5BU0RBUTpDQUxNLklRX0NBU0hfSU5URVJFU1QuOTk2LjMxLzA3LzIwMjYuLi5VU0QuSAEAAAAgegUAAwAAAAAAbIf6MDvv3gh9Mb80O+/eCCxDSVEuTkFTREFROkNBTE0uSVFfQVIuOTk0LjMxLzA3LzIwMjYuLi5VU0QuSAEAAAAgegUAAgAAAAY4NC45NzYBCAAAAAUAAAABMQEAAAALLTIwODgzNDc0NjkDAAAAAzE2MAIAAAAEMTAyMQQAAAABMAcAAAAJNy8zMS8yMDI2CAAAAAk1LzMwLzIwMjAJAAAAATBZrvowO+/eCM77uzQ7794IPkNJUS5OQVNEQVE6Q0FMTS5JUV9DQVNIX0lOVEVSRVNUX0lOVkVTVC45OTQuMzEvMDcvMjAyNi4uLlVTRC5IAQAAACB6BQADAAAAAABsh/owO+/eCI/jvjQ7794IPkNJUS5OQVNEQVE6Q0FMTS5JUV9DQVNIX0lOVEVSRVNUX0ZJTkFOLjEwMDAuMzEvMDcvMjAyNi4uLlVTRC5IAQAAACB6BQADAAAAAABsh/owO+/eCEG8vjQ7</t>
  </si>
  <si>
    <t>794IOkNJUS5OQVNEQVE6Q0FMTS5JUV9DQVNIX1RBWEVTX0ZJTkFOLjk5OC4zMS8wNy8yMDI2Li4uVVNELkgBAAAAIHoFAAMAAAAAAGyH+jA7794IwUa+NDvv3gg3Q0lRLk5BU0RBUTpDQUxNLklRX1VOTEVWRVJFRF9GQ0YuOTk2LjMxLzA3LzIwMjYuLi5VU0QuSAEAAAAgegUAAgAAAAc0NS40NzQ1AQgAAAAFAAAAATEBAAAACy0xOTg2NzA4NDMzAwAAAAMxNjACAAAABDQ0MjMEAAAAATAHAAAACTcvMzEvMjAyNggAAAAJNS8yOC8yMDIyCQAAAAEwbIf6MDvv3gizvb00O+/eCC5DSVEuTkFTREFROkNBTE0uSVFfR1BQRS45OTQuMzEvMDcvMjAyNi4uLlVTRC5IAQAAACB6BQACAAAACDExNDUuODc1AQgAAAAFAAAAATEBAAAACy0yMDg4MzQ3NDY5AwAAAAMxNjACAAAABDExNjkEAAAAATAHAAAACTcvMzEvMjAyNggAAAAJNS8zMC8yMDIwCQAAAAEwbNX6MDvv3gg2r7o0O+/eCDhDSVEuTkFTREFROkNBTE0uSVFfRE9fRklOQU5DRV9DRi4xMDAwLjMxLzA3LzIwMjYuLi5VU0QuSAEAAAAgegUAAwAAAAAAbIf6MDvv3giwIb00O+/eCEtDSVEuTkFTREFROkNBTE0uSVFfTE9OR19URVJNX0RFQlRfUkVQQUlEX0VYQ0xfTEVBU0VTLjk5OC4zMS8wNy8yMDI2Li4uVVNELkgBAAAAIHoFAAIAAAAGLTAuMjE0AQgAAAAFAAAAATEBAAAACy0xODgxMDY4Njc2AwAAAAMxNjACAAAABTQ4OTg0BAAAAAEwBwAAAAk3LzMxLzIw</t>
  </si>
  <si>
    <t>MjYIAAAACDYvMS8yMDI0CQAAAAEwWa76MDvv3ggK07w0O+/eCDNDSVEuTkFTREFROkNBTE0uSVFfU1RfSU5WRVNULjk5NC4zMS8wNy8yMDI2Li4uVVNELkgBAAAAIHoFAAIAAAAHMTU0LjE2MwEIAAAABQAAAAExAQAAAAstMjA4ODM0NzQ2OQMAAAADMTYwAgAAAAQxMDY5BAAAAAEwBwAAAAk3LzMxLzIwMjYIAAAACTUvMzAvMjAyMAkAAAABMFmu+jA7794I73C8NDvv3gg5Q0lRLk5BU0RBUTpDQUxNLklRX1RSQURJTkdfQVNTRVRTLjEwMDAuMzEvMDcvMjAyNi4uLlVTRC5IAQAAACB6BQADAAAAAABZrvowO+/eCNlJvDQ7794ILENJUS5OQVNEQVE6Q0FMTS5JUV9BUC45OTcuMzEvMDcvMjAyNi4uLlVTRC5IAQAAACB6BQACAAAABTgyLjU5AQgAAAAFAAAAATEBAAAACy0xOTM0OTc4NDIwAwAAAAMxNjACAAAABDEwMTgEAAAAATAHAAAACTcvMzEvMjAyNggAAAAINi8zLzIwMjMJAAAAATBs1fowO+/eCKViuTQ7794IOENJUS5OQVNEQVE6Q0FMTS5JUV9TVF9OT1RFX1JFQ0VJVi45OTguMzEvMDcvMjAyNi4uLlVTRC5IAQAAACB6BQADAAAAAABZrvowO+/eCJvUuzQ7794IP0NJUS5OQVNEQVE6Q0FMTS5JUV9GSU5fRElWX0xPQU5TX0NVUlJFTlQuOTk2LjMxLzA3LzIwMjYuLi5VU0QuSAEAAAAgegUAAwAAAAAAWa76MDvv3gh/hrs0O+/eCEBDSVEuTkFTREFROkNBTE0uSVFfREVGX1RBWF9BU1NFVFNfQ1VSUkVO</t>
  </si>
  <si>
    <t>VC45OTYuMzEvMDcvMjAyNi4uLlVTRC5IAQAAACB6BQADAAAAAABZrvowO+/eCCE4uzQ7794IOUNJUS5OQVNEQVE6Q0FMTS5JUV9PVEhFUl9DQV9TVVBQTC4xMDAwLjMxLzA3LzIwMjYuLi5VU0QuSAEAAAAgegUAAwAAAAAAbNX6MDvv3ghg/bo0O+/eCDpDSVEuTkFTREFROkNBTE0uSVFfRklOX0RJVl9ERUJUX0xULjEwMDAuMzEvMDcvMjAyNi4uLlVTRC5IAQAAACB6BQADAAAAAAB6/PowO+/eCPfutzQ7794ILkNJUS5OQVNEQVE6Q0FMTS5JUV9OUFBFLjk5Ny4zMS8wNy8yMDI2Li4uVVNELkgBAAAAIHoFAAIAAAAGNzQ0LjU0AQgAAAAFAAAAATEBAAAACy0xOTM0OTc4NDIwAwAAAAMxNjACAAAABDEwMDQEAAAAATAHAAAACTcvMzEvMjAyNggAAAAINi8zLzIwMjMJAAAAATBs1fowO+/eCDeIujQ7794ILENJUS5OQVNEQVE6Q0FMTS5JUV9HVy45OTkuMzEvMDcvMjAyNi4uLlVTRC5IAQAAACB6BQACAAAABjQ2Ljc3NgEIAAAABQAAAAExAQAAAAstMTg4MTA2ODY3NQMAAAADMTYwAgAAAAQxMTcxBAAAAAEwBwAAAAk3LzMxLzIwMjYIAAAACTUvMzEvMjAyNQkAAAABMGzV+jA7794IMWG6NDvv3gg7Q0lRLk5BU0RBUTpDQUxNLklRX0RFRl9UQVhfQVNTRVRTX0xULjk5NC4zMS8wNy8yMDI2Li4uVVNELkgBAAAAIHoFAAMAAAAAAGzV+jA7794IwMS5NDvv3gg5Q0lRLk5BU0RBUTpDQUxNLklRX09USEVSX0xUX0FT</t>
  </si>
  <si>
    <t>U0VUUy45OTUuMzEvMDcvMjAyNi4uLlVTRC5IAQAAACB6BQACAAAABTIuNjU0AQgAAAAFAAAAATEBAAAACy0yMDM3MjQxNzIxAwAAAAMxNjACAAAABDEwNjAEAAAAATAHAAAACTcvMzEvMjAyNggAAAAJNS8yOS8yMDIxCQAAAAEwbNX6MDvv3giWibk0O+/eCDxDSVEuTkFTREFROkNBTE0uSVFfVEJWX1NIQVJFX1JFUE9SVEVELjk5OS4zMS8wNy8yMDI2Li4uVVNELkgBAAAAIHoFAAMAAAAAAGI1kTA7794IlG6yNDvv3ggxQ0lRLk5BU0RBUTpDQUxNLklRX1NUX0RFQlQuOTk5LjMxLzA3LzIwMjYuLi5VU0QuSAEAAAAgegUAAwAAAAAAbNX6MDvv3gilFLk0O+/eCDxDSVEuTkFTREFROkNBTE0uSVFfVU5FQVJOX1JFVl9DVVJSRU5ULjk5NS4zMS8wNy8yMDI2Li4uVVNELkgBAAAAIHoFAAMAAAAAAGzV+jA7794INni4NDvv3gg4Q0lRLk5BU0RBUTpDQUxNLklRX09USEVSX0NMX1NVUFBMLjk5Ny4zMS8wNy8yMDI2Li4uVVNELkgBAAAAIHoFAAIAAAAFMzcuMTMBCAAAAAUAAAABMQEAAAALLTE5MzQ5Nzg0MjADAAAAAzE2MAIAAAAEMTA1NwQAAAABMAcAAAAJNy8zMS8yMDI2CAAAAAg2LzMvMjAyMwkAAAABMHr8+jA7794IPVG4NDvv3ggxQ0lRLk5BU0RBUTpDQUxNLklRX0xUX0RFQlQuOTk5LjMxLzA3LzIwMjYuLi5VU0QuSAEAAAAgegUAAwAAAAAAevz6MDvv3gjYKbg0O+/eCC5DSVEuTkFTREFROkNBTE0uSVFf</t>
  </si>
  <si>
    <t>TEFORC45OTguMzEvMDcvMjAyNi4uLlVTRC5IAQAAACB6BQACAAAABzEzMS4wNTEBCAAAAAUAAAABMQEAAAALLTE4ODEwNjg2NzYDAAAAAzE2MAIAAAAEMzA5OAQAAAABMAcAAAAJNy8zMS8yMDI2CAAAAAg2LzEvMjAyNAkAAAABMOBckTA7794IuDSwNDvv3gg3Q0lRLk5BU0RBUTpDQUxNLklRX1VORUFSTl9SRVZfTFQuOTk5LjMxLzA3LzIwMjYuLi5VU0QuSAEAAAAgegUAAwAAAAAAevz6MDvv3gjaoLc0O+/eCDpDSVEuTkFTREFROkNBTE0uSVFfREVGX1RBWF9MSUFCX0xULjEwMDAuMzEvMDcvMjAyNi4uLlVTRC5IAQAAACB6BQACAAAABzIyMS44NzIBCAAAAAUAAAABMQEAAAALLTE4ODEwNjg2NjgDAAAAAzE2MAIAAAAEMTAyNwQAAAABMAcAAAAJNy8zMS8yMDI2CAAAAAk1LzMwLzIwMjYJAAAAATB6/PowO+/eCLcrtzQ7794INUNJUS5OQVNEQVE6Q0FMTS5JUV9UT1RBTF9MSUFCLjEwMDAuMzEvMDcvMjAyNi4uLlVTRC5IAQAAACB6BQACAAAABzQ2Ny4wMzgBCAAAAAUAAAABMQEAAAALLTE4ODEwNjg2NjgDAAAAAzE2MAIAAAAEMTI3NgQAAAABMAcAAAAJNy8zMS8yMDI2CAAAAAk1LzMwLzIwMjYJAAAAATB6/PowO+/eCFG2tjQ7794IPENJUS5OQVNEQVE6Q0FMTS5JUV9CVl9TSEFSRV9SRVBPUlRFRC4xMDAwLjMxLzA3LzIwMjYuLi5VU0QuSAEAAAAgegUAAwAAAAAAYjWRMDvv3gidlbI0O+/eCEpDSVEu</t>
  </si>
  <si>
    <t>TkFTREFROkNBTE0uSVFfQVNTRVRTX05FVFRJTkdfT1RIRVJfQURKVVNUTUVOVFMuOTk4LjMxLzA3LzIwMjYuLi5VU0QuSAEAAAAgegUAAwAAAAAA/KqRMDvv3gi9/qw0O+/eCDRDSVEuTkFTREFROkNBTE0uSVFfQ0FTSF9TSEFSRS45OTUuMzEvMDcvMjAyNi4uLlVTRC5IAQAAACB6BQACAAAACDEuMTczODM5AQgAAAAFAAAAATEBAAAACy0yMDM3MjQxNzIxAwAAAAMxNjACAAAABDQzODEEAAAAATAHAAAACTcvMzEvMjAyNggAAAAJNS8yOS8yMDIxCQAAAAEw4FyRMDvv3gjY47E0O+/eCDxDSVEuTkFTREFROkNBTE0uSVFfVE9UQUxfREVCVF9DVVJSRU5ULjk5NS4zMS8wNy8yMDI2Li4uVVNELkgBAAAAIHoFAAIAAAAFMC45MDYBCAAAAAUAAAABMQEAAAALLTIwMzcyNDE3MjEDAAAAAzE2MAIAAAAFMjUyMjMEAAAAATAHAAAACTcvMzEvMjAyNggAAAAJNS8yOS8yMDIxCQAAAAEw4FyRMDvv3giZvLE0O+/eCDVDSVEuTkFTREFROkNBTE0uSVFfQVJfVU5CSUxMRUQuOTk4LjMxLzA3LzIwMjYuLi5VU0QuSAEAAAAgegUAAwAAAAAA4FyRMDvv3gjLvbA0O+/eCDFDSVEuTkFTREFROkNBTE0uSVFfUkFXX0lOVi45OTQuMzEvMDcvMjAyNi4uLlVTRC5IAQAAACB6BQACAAAABzExMC4xOTgBCAAAAAUAAAABMQEAAAALLTIwODgzNDc0NjkDAAAAAzE2MAIAAAAEMzE3MQQAAAABMAcAAAAJNy8zMS8yMDI2CAAAAAk1LzMw</t>
  </si>
  <si>
    <t>LzIwMjAJAAAAATDgXJEwO+/eCImWsDQ7794IP0NJUS5OQVNEQVE6Q0FMTS5JUV9ERUJUX0VRVUlWX09QRVJfTEVBU0UuOTk0LjMxLzA3LzIwMjYuLi5VU0QuSAEAAAAgegUAAwAAAAAA8FWNMDvv3gjxr6s0O+/eCDJDSVEuTkFTREFROkNBTE0uSVFfU09GVFdBUkUuOTk0LjMxLzA3LzIwMjYuLi5VU0QuSAEAAAAgegUAAwAAAAAA4FyRMDvv3giS5q80O+/eCD1DSVEuTkFTREFROkNBTE0uSVFfTUlOT1JJVFlfSU5UX1JFREVFTS45OTkuMzEvMDcvMjAyNi4uLlVTRC5IAQAAACB6BQADAAAAAAD7g5EwO+/eCGBxrzQ7794IR0NJUS5OQVNEQVE6Q0FMTS5JUV9HRU5FUkFMX1BBUlRORVJfQ09NTU9OX0VRVUlUWS45OTguMzEvMDcvMjAyNi4uLlVTRC5IAQAAACB6BQADAAAAAAD7g5EwO+/eCEDorjQ7794IUENJUS5OQVNEQVE6Q0FMTS5JUV9MSVFVSURBVElPTl9WQUxVRV9QUkVGRVJSRURfTk9OX1JFREVFTS45OTguMzEvMDcvMjAyNi4uLlVTRC5IAQAAACB6BQADAAAAAAD7g5EwO+/eCCtfrjQ7794IOUNJUS5OQVNEQVE6Q0FMTS5JUV9BU1NFVFNfTEVWRUxfMi4xMDAwLjMxLzA3LzIwMjYuLi5VU0QuSAEAAAAgegUAAgAAAAY4MTYuODQA+4ORMDvv3gjUEK40O+/eCD5DSVEuTkFTREFROkNBTE0uSVFfTElBQklMSVRJRVNfTEVWRUxfMi4xMDAwLjMxLzA3LzIwMjYuLi5VU0QuSAEAAAAgegUAAwAAAAAA8FWN</t>
  </si>
  <si>
    <t>MDvv3giOsKw0O+/eCEBDSVEuTkFTREFROkNBTE0uSVFfTElBQklMSVRJRVNfRkFJUl9WQUxVRS45OTUuMzEvMDcvMjAyNi4uLlVTRC5IAQAAACB6BQADAAAAAADwVY0wO+/eCJV1rDQ7794IP0NJUS5OQVNEQVE6Q0FMTS5JUV9GSU5fRElWX1NUX0RFQlRfVE9UQUwuOTk0LjMxLzA3LzIwMjYuLi5VU0QuSAEAAAAgegUAAwAAAAAA8FWNMDvv3gh3J6w0O+/eCD1DSVEuTkFTREFROkNBTE0uSVFfRklOX0RJVl9DQVNIX0VRVUlWLjEwMDAuMzEvMDcvMjAyNi4uLlVTRC5IAQAAACB6BQADAAAAAADwVY0wO+/eCPzWqzQ7794IOENJUS5OQVNEQVE6Q0FMTS5JUV9PUkRFUl9CQUNLTE9HLjEwMDAuMzEvMDcvMjAyNi4uLlVTRC5IAQAAACB6BQADAAAAAADwVY0wO+/eCK86qzQ7794IRUNJUS5OQVNEQVE6Q0FMTS5JUV9SRVNUUklDVEVEX0NBU0hfTk9OX0NVUlJFTlQuOTk4LjMxLzA3LzIwMjYuLi5VU0QuSAEAAAAgegUAAwAAAAAA8FWNMDvv3gjOiKs0O+/eCD1DSVEuTkFTREFROkNBTE0uSVFfU1RfREVCVF9ERVJJVkFUSVZFUy45OTQuMzEvMDcvMjAyNi4uLlVTRC5IAQAAACB6BQADAAAAAADOkI0wO+/eCMPsqjQ7794IPENJUS5OQVNEQVE6Q0FMTS5JUV9MVF9NQVJLX1NFQ1VSSVRJRVMuOTk1LjMxLzA3LzIwMjYuLi5VU0QuSAEAAAAgegUAAwAAAAAAzpCNMDvv3ggJx6k0O+/eCExDSVEuTkFTREFROkNBTE0u</t>
  </si>
  <si>
    <t>SVFfTElRVUlEQVRJT05fVkFMVUVfUFJFRkVSUkVEX1JFREVFTS45OTUuMzEvMDcvMjAyNi4uLlVTRC5IAQAAACB6BQADAAAAAAD7g5EwO+/eCDuGrjQ7794IQENJUS5OQVNEQVE6Q0FMTS5JUV9HUFBFX0VYQ0xfT1BFUl9MRUFTRVMuMTAwMC4zMS8wNy8yMDI2Li4uVVNELkgBAAAAIHoFAAIAAAAIMjMwNC43MDgBCAAAAAUAAAABMQEAAAALLTE4ODEwNjg2NjgDAAAAAzE2MAIAAAAFNDg5NzQEAAAAATAHAAAACTcvMzEvMjAyNggAAAAJNS8zMC8yMDI2CQAAAAEwWvqQMDvv3ghlV7Q0O+/eCDtDSVEuTkFTREFROkNBTE0uSVFfQVNTRVRTX0ZBSVJfVkFMVUUuOTk1LjMxLzA3LzIwMjYuLi5VU0QuSAEAAAAgegUAAgAAAAcxMTYuMjc0APBVjTA7794Ivf6sNDvv3gg9Q0lRLk5BU0RBUTpDQUxNLklRX0xJQUJJTElUSUVTX0xFVkVMXzIuOTk5LjMxLzA3LzIwMjYuLi5VU0QuSAEAAAAgegUAAwAAAAAA8FWNMDvv3giOsKw0O+/eCDxDSVEuTkFTREFROkNBTE0uSVFfRklOX0RJVl9DQVNIX0VRVUlWLjk5OC4zMS8wNy8yMDI2Li4uVVNELkgBAAAAIHoFAAMAAAAAAPBVjTA7794I/NarNDvv3ghFQ0lRLk5BU0RBUTpDQUxNLklRX1JFU1RSSUNURURfQ0FTSF9OT05fQ1VSUkVOVC45OTcuMzEvMDcvMjAyNi4uLlVTRC5IAQAAACB6BQADAAAAAADwVY0wO+/eCM6IqzQ7794ILUNJUS5OQVNEQVE6Q0FMTS5JUV9UQlYu</t>
  </si>
  <si>
    <t>OTk0LjMxLzA3LzIwMjYuLi5VU0QuSAEAAAAgegUAAgAAAAc5NTEuMzM0AQgAAAAFAAAAATEBAAAACy0yMDg4MzQ3NDY5AwAAAAMxNjACAAAABDEzMTAEAAAAATAHAAAACTcvMzEvMjAyNggAAAAJNS8zMC8yMDIwCQAAAAEwYjWRMDvv3giUbrI0O+/eCDxDSVEuTkFTREFROkNBTE0uSVFfR1JPU1NfSU5UQU5fQVNTRVRTLjk5OS4zMS8wNy8yMDI2Li4uVVNELkgBAAAAIHoFAAIAAAAGMzUuNjk1AQgAAAAFAAAAATEBAAAACy0xODgxMDY4Njc1AwAAAAMxNjACAAAABTI0MjkzBAAAAAEwBwAAAAk3LzMxLzIwMjYIAAAACTUvMzEvMjAyNQkAAAABMM6QjTA7794IExWqNDvv3gg8Q0lRLk5BU0RBUTpDQUxNLklRX0xUX01BUktfU0VDVVJJVElFUy45OTQuMzEvMDcvMjAyNi4uLlVTRC5IAQAAACB6BQADAAAAAADOkI0wO+/eCAnHqTQ7794IPUNJUS5OQVNEQVE6Q0FMTS5JUV9JTlRFUkNPTVBBTllfTk9OX0NBLjk5OC4zMS8wNy8yMDI2Li4uVVNELkgBAAAAIHoFAAMAAAAAACG4jTA7794I2CqpNDvv3ghHQ0lRLk5BU0RBUTpDQUxNLklRX1JVQV9PUEVSQVRJTkdfTEVBU0VfQUNDVU1fREVQLjk5OS4zMS8wNy8yMDI2Li4uVVNELkgBAAAAIHoFAAMAAAAAAFr6kDA7794Idn60NDvv3ghFQ0lRLk5BU0RBUTpDQUxNLklRX0ZJTl9ESVZfTUlOT1JJVFlfSU5UX1JFREVFTS45OTQuMzEvMDcvMjAyNi4uLlVTRC5IAQAA</t>
  </si>
  <si>
    <t>ACB6BQADAAAAAAD7g5EwO+/eCGBxrzQ7794IQENJUS5OQVNEQVE6Q0FMTS5JUV9OUFBFX0VYQ0xfT1BFUl9MRUFTRVMuMTAwMC4zMS8wNy8yMDI2Li4uVVNELkgBAAAAIHoFAAIAAAAIMTMxOC4zMzUBCAAAAAUAAAABMQEAAAALLTE4ODEwNjg2NjgDAAAAAzE2MAIAAAAFNDg5NzYEAAAAATAHAAAACTcvMzEvMjAyNggAAAAJNS8zMC8yMDI2CQAAAAEwWvqQMDvv3ghICbQ0O+/eCFZDSVEuTkFTREFROkNBTE0uSVFfRklOQU5DSU5HX09CTElHX05PTl9DVVJSRU5UX0VYQ0xfT1BFUl9MRUFTRVMuOTk5LjMxLzA3LzIwMjYuLi5VU0QuSAEAAAAgegUAAwAAAAAAYjWRMDvv3ggLMrM0O+/eCEBDSVEuTkFTREFROkNBTE0uSVFfVE9UQUxfREVCVF9FWENMX0xFQVNFUy45OTkuMzEvMDcvMjAyNi4uLlVTRC5IAQAAACB6BQADAAAAAABiNZEwO+/eCOzjsjQ7794IM0NJUS5OQVNEQVE6Q0FMTS5JUV9UQlZfU0hBUkUuOTk1LjMxLzA3LzIwMjYuLi5VU0QuSAEAAAAgegUAAgAAAAgxOS41ODU0NQEIAAAABQAAAAExAQAAAAstMjAzNzI0MTcyMQMAAAADMTYwAgAAAAQ0MTU2BAAAAAEwBwAAAAk3LzMxLzIwMjYIAAAACTUvMjkvMjAyMQkAAAABMGI1kTA7794I2ryyNDvv3gg9Q0lRLk5BU0RBUTpDQUxNLklRX0xJQUJJTElUSUVTX0xFVkVMXzIuOTk4LjMxLzA3LzIwMjYuLi5VU0QuSAEAAAAgegUAAwAAAAAA8FWNMDvv</t>
  </si>
  <si>
    <t>3giOsKw0O+/eCDpDSVEuTkFTREFROkNBTE0uSVFfQUxMT1dfRE9VQlRfQUNDVC45OTcuMzEvMDcvMjAyNi4uLlVTRC5IAQAAACB6BQACAAAABTAuNTc5AQgAAAAFAAAAATEBAAAACy0xOTM0OTc4NDIwAwAAAAMxNjACAAAABDMwMTIEAAAAATAHAAAACTcvMzEvMjAyNggAAAAINi8zLzIwMjMJAAAAATDgXJEwO+/eCI/4sDQ7794INkNJUS5OQVNEQVE6Q0FMTS5JUV9GSU5JU0hFRF9JTlYuOTk4LjMxLzA3LzIwMjYuLi5VU0QuSAEAAAAgegUAAgAAAAcxMTEuNzk3AQgAAAAFAAAAATEBAAAACy0xODgxMDY4Njc2AwAAAAMxNjACAAAABDMwNzUEAAAAATAHAAAACTcvMzEvMjAyNggAAAAINi8xLzIwMjQJAAAAATDgXJEwO+/eCMNbsDQ7794IM0NJUS5OQVNEQVE6Q0FMTS5JUV9CVUlMRElOR1MuOTk0LjMxLzA3LzIwMjYuLi5VU0QuSAEAAAAgegUAAgAAAAczOTMuMTk1AQgAAAAFAAAAATEBAAAACy0yMDg4MzQ3NDY5AwAAAAMxNjACAAAABDMwMjMEAAAAATAHAAAACTcvMzEvMjAyNggAAAAJNS8zMC8yMDIwCQAAAAEw4FyRMDvv3gi4NLA0O+/eCC1DSVEuTkFTREFROkNBTE0uSVFfQ0lQLjk5OS4zMS8wNy8yMDI2Li4uVVNELkgBAAAAIHoFAAIAAAAHMTQ4LjYyMQEIAAAABQAAAAExAQAAAAstMTg4MTA2ODY3NQMAAAADMTYwAgAAAAQzMDMzBAAAAAEwBwAAAAk3LzMxLzIwMjYIAAAACTUvMzEvMjAyNQkAAAAB</t>
  </si>
  <si>
    <t>MPuDkTA7794Ihb+vNDvv3gg3Q0lRLk5BU0RBUTpDQUxNLklRX09SREVSX0JBQ0tMT0cuOTk5LjMxLzA3LzIwMjYuLi5VU0QuSAEAAAAgegUAAwAAAAAA8FWNMDvv3givOqs0O+/eCERDSVEuTkFTREFROkNBTE0uSVFfRklOX0RJVl9NSU5PUklUWV9JTlRFUkVTVC4xMDAwLjMxLzA3LzIwMjYuLi5VU0QuSAEAAAAgegUAAwAAAAAA+4ORMDvv3ggTI680O+/eCEVDSVEuTkFTREFROkNBTE0uSVFfR0VORVJBTF9QQVJUTkVSX1BSRUZfRVFVSVRZLjk5NC4zMS8wNy8yMDI2Li4uVVNELkgBAAAAIHoFAAMAAAAAAPuDkTA7794IQOiuNDvv3ghJQ0lRLk5BU0RBUTpDQUxNLklRX1RPVEFMX0dFTkVSQUxfUEFSVE5FUl9JTlRFUkVTVC4xMDAwLjMxLzA3LzIwMjYuLi5VU0QuSAEAAAAgegUAAwAAAAAA+4ORMDvv3gg7hq40O+/eCDhDSVEuTkFTREFROkNBTE0uSVFfQVNTRVRTX0xFVkVMXzIuOTk5LjMxLzA3LzIwMjYuLi5VU0QuSAEAAAAgegUAAgAAAAc4OTIuNzA4APuDkTA7794IGjiuNDvv3gg9Q0lRLk5BU0RBUTpDQUxNLklRX0lOVEVSQ09NUEFOWV9OT05fQ0EuOTk3LjMxLzA3LzIwMjYuLi5VU0QuSAEAAAAgegUAAwAAAAAAIbiNMDvv3gjYKqk0O+/eCEBDSVEuTkFTREFROkNBTE0uSVFfRklOX0RJVl9TVF9ERUJUX1RPVEFMLjEwMDAuMzEvMDcvMjAyNi4uLlVTRC5IAQAAACB6BQADAAAAAADwVY0wO+/eCCD+</t>
  </si>
  <si>
    <t>qzQ7794IPENJUS5OQVNEQVE6Q0FMTS5JUV9GSU5fRElWX0NBU0hfRVFVSVYuOTk3LjMxLzA3LzIwMjYuLi5VU0QuSAEAAAAgegUAAwAAAAAA8FWNMDvv3gj81qs0O+/eCEBDSVEuTkFTREFROkNBTE0uSVFfREVCVF9FUVVJVl9PUEVSX0xFQVNFLjEwMDAuMzEvMDcvMjAyNi4uLlVTRC5IAQAAACB6BQADAAAAAADwVY0wO+/eCM6IqzQ7794IP0NJUS5OQVNEQVE6Q0FMTS5JUV9SRVNUUklDVEVEX0NBU0hfVE9UQUwuOTk0LjMxLzA3LzIwMjYuLi5VU0QuSAEAAAAgegUAAwAAAAAA8FWNMDvv3gjOiKs0O+/eCEFDSVEuTkFTREFROkNBTE0uSVFfTElBQklMSVRJRVNfRkFJUl9WQUxVRS4xMDAwLjMxLzA3LzIwMjYuLi5VU0QuSAEAAAAgegUAAgAAAAQyMS41APBVjTA7794IlXWsNDvv3gg9Q0lRLk5BU0RBUTpDQUxNLklRX1NUX0RFQlRfREVSSVZBVElWRVMuOTk5LjMxLzA3LzIwMjYuLi5VU0QuSAEAAAAgegUAAwAAAAAAzpCNMDvv3gjD7Ko0O+/eCERDSVEuTkFTREFROkNBTE0uSVFfREVSSVZBVElWRV9UUkFESU5HX0FTU0VUUy4xMDAwLjMxLzA3LzIwMjYuLi5VU0QuSAEAAAAgegUAAwAAAAAAzpCNMDvv3gggPKo0O+/eCEJDSVEuTkFTREFROkNBTE0uSVFfQUNDVU1fQU1PUlRfSU5UQU5fQVNTRVRTLjk5Ni4zMS8wNy8yMDI2Li4uVVNELkgBAAAAIHoFAAIAAAAFLTIuMjIBCAAAAAUAAAABMQEAAAALLTE5</t>
  </si>
  <si>
    <t>ODY3MDg0MzMDAAAAAzE2MAIAAAAFMjQzMzEEAAAAATAHAAAACTcvMzEvMjAyNggAAAAJNS8yOC8yMDIyCQAAAAEwzpCNMDvv3gge7qk0O+/eCDBDSVEuTkFTREFROkNBTE0uSVFfR1dfTkVULjk5OC4zMS8wNy8yMDI2Li4uVVNELkgBAAAAIHoFAAIAAAAGNDUuNzc2AQgAAAAFAAAAATEBAAAACy0xODgxMDY4Njc2AwAAAAMxNjACAAAABTQ4OTYwBAAAAAEwBwAAAAk3LzMxLzIwMjYIAAAACDYvMS8yMDI0CQAAAAEwzpCNMDvv3ggBeak0O+/eCEFDSVEuTkFTREFROkNBTE0uSVFfREVSSVZBVElWRV9MSUFCX0NVUlJFTlQuOTk2LjMxLzA3LzIwMjYuLi5VU0QuSAEAAAAgegUAAwAAAAAAzpCNMDvv3gjsdqo0O+/eCDBDSVEuTkFTREFROkNBTE0uSVFfR1dfTkVULjk5Ny4zMS8wNy8yMDI2Li4uVVNELkgBAAAAIHoFAAIAAAAGNDQuMDA2AQgAAAAFAAAAATEBAAAACy0xOTM0OTc4NDIwAwAAAAMxNjACAAAABTQ4OTYwBAAAAAEwBwAAAAk3LzMxLzIwMjYIAAAACDYvMy8yMDIzCQAAAAEwzpCNMDvv3ggBeak0O+/eCDhDSVEuTkFTREFROkNBTE0uSVFfQVNTRVRTX0xFVkVMXzMuOTk0LjMxLzA3LzIwMjYuLi5VU0QuSAEAAAAgegUAAwAAAAAA+4ORMDvv3gjUEK40O+/eCDxDSVEuTkFTREFROkNBTE0uSVFfQVNTRVRTX0ZBSVJfVkFMVUUuMTAwMC4zMS8wNy8yMDI2Li4uVVNELkgBAAAAIHoFAAIAAAAGODE2Ljg0</t>
  </si>
  <si>
    <t>APBVjTA7794IvtesNDvv3gg9Q0lRLk5BU0RBUTpDQUxNLklRX0xJQUJJTElUSUVTX0xFVkVMXzMuOTk0LjMxLzA3LzIwMjYuLi5VU0QuSAEAAAAgegUAAwAAAAAA8FWNMDvv3giOsKw0O+/eCDZDSVEuTkFTREFROkNBTE0uSVFfVE9UQUxfTEVBU0VTLjk5Ny4zMS8wNy8yMDI2Li4uVVNELkgBAAAAIHoFAAMAAAAAAGI1kTA7794IIlmzNDvv3gg/Q0lRLk5BU0RBUTpDQUxNLklRX0ZJTl9ESVZfU1RfREVCVF9UT1RBTC45OTguMzEvMDcvMjAyNi4uLlVTRC5IAQAAACB6BQADAAAAAADwVY0wO+/eCCD+qzQ7794IP0NJUS5OQVNEQVE6Q0FMTS5JUV9ERUJUX0VRVUlWX09QRVJfTEVBU0UuOTk4LjMxLzA3LzIwMjYuLi5VU0QuSAEAAAAgegUAAwAAAAAA8FWNMDvv3gjOiKs0O+/eCDdDSVEuTkFTREFROkNBTE0uSVFfT1JERVJfQkFDS0xPRy45OTcuMzEvMDcvMjAyNi4uLlVTRC5IAQAAACB6BQADAAAAAADwVY0wO+/eCK86qzQ7794IPUNJUS5OQVNEQVE6Q0FMTS5JUV9TVF9ERUJUX0RFUklWQVRJVkVTLjk5Ni4zMS8wNy8yMDI2Li4uVVNELkgBAAAAIHoFAAMAAAAAAM6QjTA7794InsWqNDvv3ghBQ0lRLk5BU0RBUTpDQUxNLklRX01JTk9SSVRZX0lOVEVSRVNUX1RPVEFMLjk5Ni4zMS8wNy8yMDI2Li4uVVNELkgBAAAAIHoFAAIAAAAGLTAuMjA2AQgAAAAFAAAAATEBAAAACy0xOTg2NzA4NDMzAwAAAAMxNjAC</t>
  </si>
  <si>
    <t>AAAABDEzMTIEAAAAATAHAAAACTcvMzEvMjAyNggAAAAJNS8yOC8yMDIyCQAAAAEw4FyRMDvv3gjVgbE0O+/eCENDSVEuTkFTREFROkNBTE0uSVFfREVSSVZBVElWRV9BU1NFVFNfQ1VSUkVOVC45OTUuMzEvMDcvMjAyNi4uLlVTRC5IAQAAACB6BQADAAAAAADOkI0wO+/eCCA8qjQ7794IMENJUS5OQVNEQVE6Q0FMTS5JUV9HV19ORVQuOTk1LjMxLzA3LzIwMjYuLi5VU0QuSAEAAAAgegUAAgAAAAYzNS41MjUBCAAAAAUAAAABMQEAAAALLTIwMzcyNDE3MjEDAAAAAzE2MAIAAAAFNDg5NjAEAAAAATAHAAAACTcvMzEvMjAyNggAAAAJNS8yOS8yMDIxCQAAAAEwzpCNMDvv3gg3Uqk0O+/eCD5DSVEuTkFTREFROkNBTE0uSVFfVE9UQUxfRklOQU5DRV9MRUFTRVMuOTk2LjMxLzA3LzIwMjYuLi5VU0QuSAEAAAAgegUAAwAAAAAAYjWRMDvv3gg44rM0O+/eCEtDSVEuTkFTREFROkNBTE0uSVFfTFRfUE9SVElPTl9PUEVSX0xFQVNFX0xJQUJJTElUSUVTLjk5Ny4zMS8wNy8yMDI2Li4uVVNELkgBAAAAIHoFAAMAAAAAAGI1kTA7794I5pOzNDvv3ghMQ0lRLk5BU0RBUTpDQUxNLklRX0xJUVVJREFUSU9OX1ZBTFVFX1BSRUZFUlJFRF9SRURFRU0uOTk5LjMxLzA3LzIwMjYuLi5VU0QuSAEAAAAgegUAAwAAAAAA+4ORMDvv3ggrX640O+/eCFZDSVEuTkFTREFROkNBTE0uSVFfRklOQU5DSU5HX09CTElHX05PTl9DVVJS</t>
  </si>
  <si>
    <t>RU5UX0VYQ0xfT1BFUl9MRUFTRVMuOTk2LjMxLzA3LzIwMjYuLi5VU0QuSAEAAAAgegUAAwAAAAAAYjWRMDvv3ggLMrM0O+/eCC5DSVEuTkFTREFROkNBTE0uSVFfVEJWLjEwMDAuMzEvMDcvMjAyNi4uLlVTRC5IAQAAACB6BQACAAAACDI0NjIuNTQzAQgAAAAFAAAAATEBAAAACy0xODgxMDY4NjY4AwAAAAMxNjACAAAABDEzMTAEAAAAATAHAAAACTcvMzEvMjAyNggAAAAJNS8zMC8yMDI2CQAAAAEwYjWRMDvv3giNR7I0O+/eCDRDSVEuTkFTREFROkNBTE0uSVFfQ0FTSF9TSEFSRS45OTkuMzEvMDcvMjAyNi4uLlVTRC5IAQAAACB6BQACAAAACTEwLjI5ODAxNgEIAAAABQAAAAExAQAAAAstMTg4MTA2ODY3NQMAAAADMTYwAgAAAAQ0MzgxBAAAAAEwBwAAAAk3LzMxLzIwMjYIAAAACTUvMzEvMjAyNQkAAAABMOBckTA7794I2OOxNDvv3gg8Q0lRLk5BU0RBUTpDQUxNLklRX1RPVEFMX0RFQlRfQ1VSUkVOVC45OTkuMzEvMDcvMjAyNi4uLlVTRC5IAQAAACB6BQADAAAAAADgXJEwO+/eCNWBsTQ7794IQUNJUS5OQVNEQVE6Q0FMTS5JUV9ERVJJVkFUSVZFX0xJQUJfQ1VSUkVOVC45OTUuMzEvMDcvMjAyNi4uLlVTRC5IAQAAACB6BQADAAAAAADOkI0wO+/eCOx2qjQ7794INUNJUS5OQVNEQVE6Q0FMTS5JUV9XT1JLSU5HX0NBUC45OTUuMzEvMDcvMjAyNi4uLlVTRC5IAQAAACB6BQACAAAABzQyOS44MzQBCAAA</t>
  </si>
  <si>
    <t>AAUAAAABMQEAAAALLTIwMzcyNDE3MjEDAAAAAzE2MAIAAAAENDE2NQQAAAABMAcAAAAJNy8zMS8yMDI2CAAAAAk1LzI5LzIwMjEJAAAAATDgXJEwO+/eCNEfsTQ7794IMUNJUS5OQVNEQVE6Q0FMTS5JUV9SQVdfSU5WLjk5Ny4zMS8wNy8yMDI2Li4uVVNELkgBAAAAIHoFAAIAAAAGMTY0LjU0AQgAAAAFAAAAATEBAAAACy0xOTM0OTc4NDIwAwAAAAMxNjACAAAABDMxNzEEAAAAATAHAAAACTcvMzEvMjAyNggAAAAINi8zLzIwMjMJAAAAATDgXJEwO+/eCImWsDQ7794IMkNJUS5OQVNEQVE6Q0FMTS5JUV9TT0ZUV0FSRS45OTcuMzEvMDcvMjAyNi4uLlVTRC5IAQAAACB6BQADAAAAAADgXJEwO+/eCJLmrzQ7794IRUNJUS5OQVNEQVE6Q0FMTS5JUV9HRU5FUkFMX1BBUlRORVJfUFJFRl9FUVVJVFkuOTk5LjMxLzA3LzIwMjYuLi5VU0QuSAEAAAAgegUAAwAAAAAA+4ORMDvv3ghA6K40O+/eCDRDSVEuTkFTREFROkNBTE0uSVFfQ09NTU9OX1JFUC45OTcuMzEvMDcvMjAyNi4uLlVTRC5IAQAAACB6BQACAAAABi0xLjY0MwEIAAAABQAAAAExAQAAAAstMTkzNDk3ODQyMAMAAAADMTYwAgAAAAQyMTY0BAAAAAEwBwAAAAk3LzMxLzIwMjYIAAAACDYvMy8yMDIzCQAAAAEw5m72MDvv3gj+ksE0O+/eCDtDSVEuTkFTREFROkNBTE0uSVFfQVNTRVRTX0ZBSVJfVkFMVUUuOTk5LjMxLzA3LzIwMjYuLi5VU0QuSAEAAAAg</t>
  </si>
  <si>
    <t>egUAAgAAAAc4OTIuNzA4APBVjTA7794Ivf6sNDvv3ghAQ0lRLk5BU0RBUTpDQUxNLklRX0xJQUJJTElUSUVTX0ZBSVJfVkFMVUUuOTk5LjMxLzA3LzIwMjYuLi5VU0QuSAEAAAAgegUAAgAAAAQyMS41APBVjTA7794IlXWsNDvv3gg/Q0lRLk5BU0RBUTpDQUxNLklRX0ZJTl9ESVZfU1RfREVCVF9UT1RBTC45OTcuMzEvMDcvMjAyNi4uLlVTRC5IAQAAACB6BQADAAAAAADwVY0wO+/eCCD+qzQ7794IP0NJUS5OQVNEQVE6Q0FMTS5JUV9ERUJUX0VRVUlWX09QRVJfTEVBU0UuOTk3LjMxLzA3LzIwMjYuLi5VU0QuSAEAAAAgegUAAwAAAAAA8FWNMDvv3gjOiKs0O+/eCDZDSVEuTkFTREFROkNBTE0uSVFfQU1PUlRfRElDX0NGLjk5OS4zMS8wNy8yMDI2Li4uVVNELkgBAAAAIHoFAAMAAAAAAPaV9jA7794IpX+/NDvv3ghCQ0lRLk5BU0RBUTpDQUxNLklRX0FDQ1VNX0FNT1JUX0lOVEFOX0FTU0VUUy45OTkuMzEvMDcvMjAyNi4uLlVTRC5IAQAAACB6BQACAAAABy0yMC41MzgBCAAAAAUAAAABMQEAAAALLTE4ODEwNjg2NzUDAAAAAzE2MAIAAAAFMjQzMzEEAAAAATAHAAAACTcvMzEvMjAyNggAAAAJNS8zMS8yMDI1CQAAAAEwzpCNMDvv3gge7qk0O+/eCDxDSVEuTkFTREFROkNBTE0uSVFfTFRfTUFSS19TRUNVUklUSUVTLjk5Ny4zMS8wNy8yMDI2Li4uVVNELkgBAAAAIHoFAAMAAAAAAM6QjTA7794I+p+pNDvv</t>
  </si>
  <si>
    <t>3gg+Q0lRLk5BU0RBUTpDQUxNLklRX0lOVEVSQ09NUEFOWV9OT05fQ0EuMTAwMC4zMS8wNy8yMDI2Li4uVVNELkgBAAAAIHoFAAMAAAAAACG4jTA7794IpQOpNDvv3gg4Q0lRLk5BU0RBUTpDQUxNLklRX1NUX0RFQlRfUkVQQUlELjk5OS4zMS8wNy8yMDI2Li4uVVNELkgBAAAAIHoFAAMAAAAAAOZu9jA7794I9gfCNDvv3gg3Q0lRLk5BU0RBUTpDQUxNLklRX1VOTEVWRVJFRF9GQ0YuOTk5LjMxLzA3LzIwMjYuLi5VU0QuSAEAAAAgegUAAgAAAAg4NDUuMTQ1NQEIAAAABQAAAAExAQAAAAstMTg4MTA2ODY3NQMAAAADMTYwAgAAAAQ0NDIzBAAAAAEwBwAAAAk3LzMxLzIwMjYIAAAACTUvMzEvMjAyNQkAAAABMGyH+jA7794Is729NDvv3gg1Q0lRLk5BU0RBUTpDQUxNLklRX1BSRUZfRElWX0NGLjk5NS4zMS8wNy8yMDI2Li4uVVNELkgBAAAAIHoFAAMAAAAAAOZu9jA7794IrzDBNDvv3gg0Q0lRLk5BU0RBUTpDQUxNLklRX0NBU0hfRklOQU4uOTk5LjMxLzA3LzIwMjYuLi5VU0QuSAEAAAAgegUAAgAAAAgtMzg2LjcyNAEIAAAABQAAAAExAQAAAAstMTg4MTA2ODY3NQMAAAADMTYwAgAAAAQyMDA0BAAAAAEwBwAAAAk3LzMxLzIwMjYIAAAACTUvMzEvMjAyNQkAAAABMPaV9jA7794Ip6bANDvv3ghHQ0lRLk5BU0RBUTpDQUxNLklRX0RFUFJFQ0lBVElPTl9SRU5UQUxfQVNTRVRTX0NGLjk5NS4zMS8wNy8yMDI2</t>
  </si>
  <si>
    <t>Li4uVVNELkgBAAAAIHoFAAMAAAAAAPaV9jA7794ICwnANDvv3ghAQ0lRLk5BU0RBUTpDQUxNLklRX0RBX0NGX0VYQ0xfT1BFUl9MRUFTRVMuOTk1LjMxLzA3LzIwMjYuLi5VU0QuSAEAAAAgegUAAgAAAAY1OS40NzcBCAAAAAUAAAABMQEAAAALLTIwMzcyNDE3MjEDAAAAAzE2MAIAAAAFNDg5ODUEAAAAATAHAAAACTcvMzEvMjAyNggAAAAJNS8yOS8yMDIxCQAAAAEw9pX2MDvv3giYpr80O+/eCD9DSVEuTkFTREFROkNBTE0uSVFfRklOX0RJVl9MT0FOU19DVVJSRU5ULjk5OS4zMS8wNy8yMDI2Li4uVVNELkgBAAAAIHoFAAMAAAAAAFmu+jA7794Ie1+7NDvv3gg7Q0lRLk5BU0RBUTpDQUxNLklRX0NBU0hfSU5URVJFU1RfTkVULjk5Ny4zMS8wNy8yMDI2Li4uVVNELkgBAAAAIHoFAAMAAAAAAGyH+jA7794IfTG/NDvv3gg+Q0lRLk5BU0RBUTpDQUxNLklRX0NBU0hfSU5URVJFU1RfSU5WRVNULjk5Ny4zMS8wNy8yMDI2Li4uVVNELkgBAAAAIHoFAAMAAAAAAGyH+jA7794Ij+O+NDvv3gg7Q0lRLk5BU0RBUTpDQUxNLklRX0NBU0hfVEFYRVNfSU5WRVNULjk5NS4zMS8wNy8yMDI2Li4uVVNELkgBAAAAIHoFAAMAAAAAAGyH+jA7794IwUa+NDvv3gg+Q0lRLk5BU0RBUTpDQUxNLklRX0NIQU5HRV9ERUZfVEFYX1RPVEFMLjk5OS4zMS8wNy8yMDI2Li4uVVNELkgBAAAAIHoFAAIAAAAFMTEuNTcBCAAAAAUAAAAB</t>
  </si>
  <si>
    <t>MQEAAAALLTE4ODEwNjg2NzUDAAAAAzE2MAIAAAAFMzA5MjQEAAAAATAHAAAACTcvMzEvMjAyNggAAAAJNS8zMS8yMDI1CQAAAAEwbIf6MDvv3gifC740O+/eCDZDSVEuTkFTREFROkNBTE0uSVFfVE9UQUxfQVNTRVRTLjk5Ni4zMS8wNy8yMDI2Li4uVVNELkgBAAAAIHoFAAIAAAAIMTQyNy40ODkBCAAAAAUAAAABMQEAAAALLTE5ODY3MDg0MzMDAAAAAzE2MAIAAAAEMTAwNwQAAAABMAcAAAAJNy8zMS8yMDI2CAAAAAk1LzI4LzIwMjIJAAAAATBs1fowO+/eCJaJuTQ7794INkNJUS5OQVNEQVE6Q0FMTS5JUV9ET19JTlZFU1RfQ0YuOTk3LjMxLzA3LzIwMjYuLi5VU0QuSAEAAAAgegUAAwAAAAAAbIf6MDvv3ghzSL00O+/eCE1DSVEuTkFTREFROkNBTE0uSVFfT1BFUkFUSU5HX0xFQVNFX0xJQUJJTElUSUVTX05PTkNBU0guOTk1LjMxLzA3LzIwMjYuLi5VU0QuSAEAAAAgegUAAwAAAAAAbIf6MDvv3ghF+rw0O+/eCDNDSVEuTkFTREFROkNBTE0uSVFfU1RfSU5WRVNULjk5Ny4zMS8wNy8yMDI2Li4uVVNELkgBAAAAIHoFAAIAAAAGMzU1LjA5AQgAAAAFAAAAATEBAAAACy0xOTM0OTc4NDIwAwAAAAMxNjACAAAABDEwNjkEAAAAATAHAAAACTcvMzEvMjAyNggAAAAINi8zLzIwMjMJAAAAATBZrvowO+/eCO9wvDQ7794INkNJUS5OQVNEQVE6Q0FMTS5JUV9PVEhFUl9SRUNFSVYuOTk1LjMxLzA3LzIwMjYuLi5V</t>
  </si>
  <si>
    <t>U0QuSAEAAAAgegUAAgAAAAY0Ny41NzMBCAAAAAUAAAABMQEAAAALLTIwMzcyNDE3MjEDAAAAAzE2MAIAAAAEMTIwNgQAAAABMAcAAAAJNy8zMS8yMDI2CAAAAAk1LzI5LzIwMjEJAAAAATBZrvowO+/eCM77uzQ7794IOkNJUS5OQVNEQVE6Q0FMTS5JUV9MT05HX1RFUk1fTEVBU0VTLjk5OC4zMS8wNy8yMDI2Li4uVVNELkgBAAAAIHoFAAMAAAAAAHr8+jA7794IEha4NDvv3gg5Q0lRLk5BU0RBUTpDQUxNLklRX1JFU1RSSUNURURfQ0FTSC45OTcuMzEvMDcvMjAyNi4uLlVTRC5IAQAAACB6BQADAAAAAABZrvowO+/eCGD9ujQ7794ILENJUS5OQVNEQVE6Q0FMTS5JUV9BRC45OTUuMzEvMDcvMjAyNi4uLlVTRC5IAQAAACB6BQACAAAACC02MjMuNzQ2AQgAAAAFAAAAATEBAAAACy0yMDM3MjQxNzIxAwAAAAMxNjACAAAABDEwNzUEAAAAATAHAAAACTcvMzEvMjAyNggAAAAJNS8yOS8yMDIxCQAAAAEwbNX6MDvv3gg2r7o0O+/eCC9DSVEuTkFTREFROkNBTE0uSVFfTlBQRS4xMDAwLjMxLzA3LzIwMjYuLi5VU0QuSAEAAAAgegUAAgAAAAgxMzE4LjMzNQEIAAAABQAAAAExAQAAAAstMTg4MTA2ODY2OAMAAAADMTYwAgAAAAQxMDA0BAAAAAEwBwAAAAk3LzMxLzIwMjYIAAAACTUvMzAvMjAyNgkAAAABMGzV+jA7794IN4i6NDvv3gg4Q0lRLk5BU0RBUTpDQUxNLklRX0RFRl9DSEFSR0VTX0xULjk5NC4zMS8wNy8y</t>
  </si>
  <si>
    <t>MDI2Li4uVVNELkgBAAAAIHoFAAMAAAAAAGzV+jA7794Iy7C5NDvv3ghLQ0lRLk5BU0RBUTpDQUxNLklRX0xUX1BPUlRJT05fT1BFUl9MRUFTRV9MSUFCSUxJVElFUy45OTQuMzEvMDcvMjAyNi4uLlVTRC5IAQAAACB6BQACAAAABTEuNzM1AQgAAAAFAAAAATEBAAAACy0yMDg4MzQ3NDY5AwAAAAMxNjACAAAABTQ4MzgzBAAAAAEwBwAAAAk3LzMxLzIwMjYIAAAACTUvMzAvMjAyMAkAAAABMGI1kTA7794I5pOzNDvv3ggtQ0lRLk5BU0RBUTpDQUxNLklRX0FQLjEwMDAuMzEvMDcvMjAyNi4uLlVTRC5IAQAAACB6BQACAAAABjk2LjEwNgEIAAAABQAAAAExAQAAAAstMTg4MTA2ODY2OAMAAAADMTYwAgAAAAQxMDE4BAAAAAEwBwAAAAk3LzMxLzIwMjYIAAAACTUvMzAvMjAyNgkAAAABMGzV+jA7794IlTu5NDvv3gg9Q0lRLk5BU0RBUTpDQUxNLklRX0lOQ19UQVhfUEFZX0NVUlJFTlQuOTk0LjMxLzA3LzIwMjYuLi5VU0QuSAEAAAAgegUAAwAAAAAAbNX6MDvv3ghJn7g0O+/eCD5DSVEuTkFTREFROkNBTE0uSVFfREVGX1RBWF9MSUFCX0NVUlJFTlQuOTk2LjMxLzA3LzIwMjYuLi5VU0QuSAEAAAAgegUAAwAAAAAAevz6MDvv3gg2eLg0O+/eCDJDSVEuTkFTREFROkNBTE0uSVFfVE9UQUxfQ0wuOTk3LjMxLzA3LzIwMjYuLi5VU0QuSAEAAAAgegUAAgAAAAcxODIuNzMxAQgAAAAFAAAAATEBAAAACy0xOTM0OTc4</t>
  </si>
  <si>
    <t>NDIwAwAAAAMxNjACAAAABDEwMDkEAAAAATAHAAAACTcvMzEvMjAyNggAAAAINi8zLzIwMjMJAAAAATB6/PowO+/eCD1RuDQ7794IQENJUS5OQVNEQVE6Q0FMTS5JUV9UT1RBTF9ERUJUX05PTl9DVVJSRU5ULjk5NC4zMS8wNy8yMDI2Li4uVVNELkgBAAAAIHoFAAIAAAAFMi4zODcBCAAAAAUAAAABMQEAAAALLTIwODgzNDc0NjkDAAAAAzE2MAIAAAAFMjUyMjQEAAAAATAHAAAACTcvMzEvMjAyNggAAAAJNS8zMC8yMDIwCQAAAAEw4FyRMDvv3giZvLE0O+/eCDlDSVEuTkFTREFROkNBTE0uSVFfRklOX0RJVl9MSUFCX0xULjk5OS4zMS8wNy8yMDI2Li4uVVNELkgBAAAAIHoFAAMAAAAAAHr8+jA7794I2qC3NDvv3ggxQ0lRLk5BU0RBUTpDQUxNLklRX1BFTlNJT04uOTk5LjMxLzA3LzIwMjYuLi5VU0QuSAEAAAAgegUAAwAAAAAAevz6MDvv3gi6Urc0O+/eCDhDSVEuTkFTREFROkNBTE0uSVFfT1RIRVJfTElBQl9MVC4xMDAwLjMxLzA3LzIwMjYuLi5VU0QuSAEAAAAgegUAAgAAAAUzOS42NQEIAAAABQAAAAExAQAAAAstMTg4MTA2ODY2OAMAAAADMTYwAgAAAAQxMDYyBAAAAAEwBwAAAAk3LzMxLzIwMjYIAAAACTUvMzAvMjAyNgkAAAABMHr8+jA7794Ityu3NDvv3gg+Q0lRLk5BU0RBUTpDQUxNLklRX1RPVEFMX0ZJTkFOQ0VfTEVBU0VTLjk5NC4zMS8wNy8yMDI2Li4uVVNELkgBAAAAIHoFAAIAAAAFMC44</t>
  </si>
  <si>
    <t>NTcBCAAAAAUAAAABMQEAAAALLTIwODgzNDc0NjkDAAAAAzE2MAIAAAAFNDkwMzEEAAAAATAHAAAACTcvMzEvMjAyNggAAAAJNS8zMC8yMDIwCQAAAAEwYjWRMDvv3ggtu7M0O+/eCExDSVEuTkFTREFROkNBTE0uSVFfTElRVUlEQVRJT05fVkFMVUVfUFJFRkVSUkVEX1JFREVFTS45OTYuMzEvMDcvMjAyNi4uLlVTRC5IAQAAACB6BQADAAAAAAD7g5EwO+/eCCtfrjQ7794INkNJUS5OQVNEQVE6Q0FMTS5JUV9UT1RBTF9MRUFTRVMuOTk0LjMxLzA3LzIwMjYuLi5VU0QuSAEAAAAgegUAAgAAAAUzLjM4OAEIAAAABQAAAAExAQAAAAstMjA4ODM0NzQ2OQMAAAADMTYwAgAAAAU0ODk3OQQAAAABMAcAAAAJNy8zMS8yMDI2CAAAAAk1LzMwLzIwMjAJAAAAATBiNZEwO+/eCCJZszQ7794IM0NJUS5OQVNEQVE6Q0FMTS5JUV9UQlZfU0hBUkUuOTk5LjMxLzA3LzIwMjYuLi5VU0QuSAEAAAAgegUAAgAAAAk1MS41MjU3NzYBCAAAAAUAAAABMQEAAAALLTE4ODEwNjg2NzUDAAAAAzE2MAIAAAAENDE1NgQAAAABMAcAAAAJNy8zMS8yMDI2CAAAAAk1LzMxLzIwMjUJAAAAATBiNZEwO+/eCJ2VsjQ7794ILUNJUS5OQVNEQVE6Q0FMTS5JUV9UQlYuOTk4LjMxLzA3LzIwMjYuLi5VU0QuSAEAAAAgegUAAgAAAAgxNzM4LjM3NQEIAAAABQAAAAExAQAAAAstMTg4MTA2ODY3NgMAAAADMTYwAgAAAAQxMzEwBAAAAAEwBwAAAAk3</t>
  </si>
  <si>
    <t>LzMxLzIwMjYIAAAACDYvMS8yMDI0CQAAAAEwYjWRMDvv3giUbrI0O+/eCDRDSVEuTkFTREFROkNBTE0uSVFfVE9UQUxfREVCVC45OTUuMzEvMDcvMjAyNi4uLlVTRC5IAQAAACB6BQACAAAABTIuMzc4AQgAAAAFAAAAATEBAAAACy0yMDM3MjQxNzIxAwAAAAMxNjACAAAABDQxNzMEAAAAATAHAAAACTcvMzEvMjAyNggAAAAJNS8yOS8yMDIxCQAAAAEw4FyRMDvv3gjY47E0O+/eCDlDSVEuTkFTREFROkNBTE0uSVFfSU5URVJDT01QQU5ZX0NMLjk5NS4zMS8wNy8yMDI2Li4uVVNELkgBAAAAIHoFAAMAAAAAACG4jTA7794IpQOpNDvv3ghBQ0lRLk5BU0RBUTpDQUxNLklRX01JTk9SSVRZX0lOVEVSRVNUX1RPVEFMLjk5NC4zMS8wNy8yMDI2Li4uVVNELkgBAAAAIHoFAAMAAAAAAOBckTA7794I1YGxNDvv3ggzQ0lRLk5BU0RBUTpDQUxNLklRX0JVSUxESU5HUy45OTguMzEvMDcvMjAyNi4uLlVTRC5IAQAAACB6BQACAAAABzYyNy4xMjEBCAAAAAUAAAABMQEAAAALLTE4ODEwNjg2NzYDAAAAAzE2MAIAAAAEMzAyMwQAAAABMAcAAAAJNy8zMS8yMDI2CAAAAAg2LzEvMjAyNAkAAAABMOBckTA7794IpQ2wNDvv3ghFQ0lRLk5BU0RBUTpDQUxNLklRX0ZJTl9ESVZfTUlOT1JJVFlfSU5UX1JFREVFTS45OTcuMzEvMDcvMjAyNi4uLlVTRC5IAQAAACB6BQADAAAAAAD7g5EwO+/eCFdKrzQ7794IRUNJUS5OQVNEQVE6</t>
  </si>
  <si>
    <t>Q0FMTS5JUV9HRU5FUkFMX1BBUlRORVJfUFJFRl9FUVVJVFkuOTk3LjMxLzA3LzIwMjYuLi5VU0QuSAEAAAAgegUAAwAAAAAA+4ORMDvv3gj9wK40O+/eCDRDSVEuTkFTREFROkNBTE0uSVFfQ0FTSF9GSU5BTi45OTguMzEvMDcvMjAyNi4uLlVTRC5IAQAAACB6BQACAAAABy05My43NTgBCAAAAAUAAAABMQEAAAALLTE4ODEwNjg2NzYDAAAAAzE2MAIAAAAEMjAwNAQAAAABMAcAAAAJNy8zMS8yMDI2CAAAAAg2LzEvMjAyNAkAAAABMPaV9jA7794Ip6bANDvv3gg9Q0lRLk5BU0RBUTpDQUxNLklRX0xJQUJJTElUSUVTX0xFVkVMXzMuOTk5LjMxLzA3LzIwMjYuLi5VU0QuSAEAAAAgegUAAgAAAAQyMS41APBVjTA7794IjrCsNDvv3gg7Q0lRLk5BU0RBUTpDQUxNLklRX0ZJTl9ESVZfU1RfSU5WRVNULjk5OS4zMS8wNy8yMDI2Li4uVVNELkgBAAAAIHoFAAMAAAAAAPBVjTA7794I/NarNDvv3gg/Q0lRLk5BU0RBUTpDQUxNLklRX1JFU1RSSUNURURfQ0FTSF9UT1RBTC45OTcuMzEvMDcvMjAyNi4uLlVTRC5IAQAAACB6BQADAAAAAADwVY0wO+/eCNdhqzQ7794IMkNJUS5OQVNEQVE6Q0FMTS5JUV9HUk9TU19HVy45OTQuMzEvMDcvMjAyNi4uLlVTRC5IAQAAACB6BQADAAAAAADOkI0wO+/eCB7uqTQ7794IPUNJUS5OQVNEQVE6Q0FMTS5JUV9DQVNIX0lOVEVSRVNUX0ZJTkFOLjk5NC4zMS8wNy8yMDI2Li4uVVNE</t>
  </si>
  <si>
    <t>LkgBAAAAIHoFAAMAAAAAAGyH+jA7794Ij+O+NDvv3gg0Q0lRLk5BU0RBUTpDQUxNLklRX0NPTU1PTl9SRVAuOTk2LjMxLzA3LzIwMjYuLi5VU0QuSAEAAAAgegUAAgAAAAYtMS4xMjcBCAAAAAUAAAABMQEAAAALLTE5ODY3MDg0MzMDAAAAAzE2MAIAAAAEMjE2NAQAAAABMAcAAAAJNy8zMS8yMDI2CAAAAAk1LzI4LzIwMjIJAAAAATDmbvYwO+/eCP6SwTQ7794IM0NJUS5OQVNEQVE6Q0FMTS5JUV9QUkVGX1JFUC4xMDAwLjMxLzA3LzIwMjYuLi5VU0QuSAEAAAAgegUAAwAAAAAA5m72MDvv3gi5a8E0O+/eCDVDSVEuTkFTREFROkNBTE0uSVFfUFJFRl9ESVZfQ0YuOTk0LjMxLzA3LzIwMjYuLi5VU0QuSAEAAAAgegUAAwAAAAAA5m72MDvv3givMME0O+/eCD1DSVEuTkFTREFROkNBTE0uSVFfQ09NTU9OX1BSRUZfRElWX0NGLjEwMDAuMzEvMDcvMjAyNi4uLlVTRC5IAQAAACB6BQADAAAAAADmbvYwO+/eCGEJwTQ7794INkNJUS5OQVNEQVE6Q0FMTS5JUV9ET19JTlZFU1RfQ0YuOTk2LjMxLzA3LzIwMjYuLi5VU0QuSAEAAAAgegUAAwAAAAAAbIf6MDvv3ghzSL00O+/eCEdDSVEuTkFTREFROkNBTE0uSVFfREVQUkVDSUFUSU9OX1JFTlRBTF9BU1NFVFNfQ0YuOTk0LjMxLzA3LzIwMjYuLi5VU0QuSAEAAAAgegUAAwAAAAAA9pX2MDvv3ggLCcA0O+/eCDJDSVEuTkFTREFROkNBTE0uSVFfREVQX1JVQS4xMDAw</t>
  </si>
  <si>
    <t>LjMxLzA3LzIwMjYuLi5VU0QuSAEAAAAgegUAAwAAAAAA9pX2MDvv3gjC4b80O+/eCDZDSVEuTkFTREFROkNBTE0uSVFfQU1PUlRfRElDX0NGLjk5OC4zMS8wNy8yMDI2Li4uVVNELkgBAAAAIHoFAAMAAAAAAPaV9jA7794IpX+/NDvv3gg7Q0lRLk5BU0RBUTpDQUxNLklRX0NBU0hfSU5URVJFU1RfTkVULjk5Ni4zMS8wNy8yMDI2Li4uVVNELkgBAAAAIHoFAAMAAAAAAGyH+jA7794IUQq/NDvv3gg5Q0lRLk5BU0RBUTpDQUxNLklRX0NBU0hfU1RfSU5WRVNULjEwMDAuMzEvMDcvMjAyNi4uLlVTRC5IAQAAACB6BQACAAAABzkyNC4wNTcBCAAAAAUAAAABMQEAAAALLTE4ODEwNjg2NjgDAAAAAzE2MAIAAAAEMTAwMgQAAAABMAcAAAAJNy8zMS8yMDI2CAAAAAk1LzMwLzIwMjYJAAAAATBZrvowO+/eCPQivDQ7794INUNJUS5OQVNEQVE6Q0FMTS5JUV9DQVNIX1RBWEVTLjEwMDAuMzEvMDcvMjAyNi4uLlVTRC5IAQAAACB6BQACAAAABzExOS45MjcBCAAAAAUAAAABMQEAAAALLTE4ODEwNjg2NjgDAAAAAzE2MAIAAAAEMzA1MwQAAAABMAcAAAAJNy8zMS8yMDI2CAAAAAk1LzMwLzIwMjYJAAAAATBsh/owO+/eCESVvjQ7794IO0NJUS5OQVNEQVE6Q0FMTS5JUV9DQVNIX1RBWEVTX0lOVkVTVC45OTQuMzEvMDcvMjAyNi4uLlVTRC5IAQAAACB6BQADAAAAAABsh/owO+/eCEluvjQ7794IPkNJUS5OQVNEQVE6Q0FM</t>
  </si>
  <si>
    <t>TS5JUV9DSEFOR0VfREVGX1RBWF9UT1RBTC45OTguMzEvMDcvMjAyNi4uLlVTRC5IAQAAACB6BQACAAAABi05LjY3MgEIAAAABQAAAAExAQAAAAstMTg4MTA2ODY3NgMAAAADMTYwAgAAAAUzMDkyNAQAAAABMAcAAAAJNy8zMS8yMDI2CAAAAAg2LzEvMjAyNAkAAAABMGyH+jA7794IwUa+NDvv3ggyQ0lRLk5BU0RBUTpDQUxNLklRX0NGX1NIQVJFLjk5Ni4zMS8wNy8yMDI2Li4uVVNELkgBAAAAIHoFAAIAAAAIMS4xMDc2MzQBCAAAAAUAAAABMQEAAAALLTE5ODY3MDg0MzMDAAAAAzE2MAIAAAAFNDM5MjMEAAAAATAHAAAACTcvMzEvMjAyNggAAAAJNS8yOC8yMDIyCQAAAAEwbIf6MDvv3ghnlr00O+/eCCxDSVEuTkFTREFROkNBTE0uSVFfQUQuOTk0LjMxLzA3LzIwMjYuLi5VU0QuSAEAAAAgegUAAgAAAAgtNTg1LjI5MQEIAAAABQAAAAExAQAAAAstMjA4ODM0NzQ2OQMAAAADMTYwAgAAAAQxMDc1BAAAAAEwBwAAAAk3LzMxLzIwMjYIAAAACTUvMzAvMjAyMAkAAAABMGzV+jA7794INq+6NDvv3ghDQ0lRLk5BU0RBUTpDQUxNLklRX09QRVJBVElOR19MRUFTRV9QQVlNRU5UUy4xMDAwLjMxLzA3LzIwMjYuLi5VU0QuSAEAAAAgegUAAwAAAAAAbIf6MDvv3ghF+rw0O+/eCE1DSVEuTkFTREFROkNBTE0uSVFfT1BFUkFUSU5HX0xFQVNFX0xJQUJJTElUSUVTX05PTkNBU0guOTk0LjMxLzA3LzIwMjYuLi5VU0Qu</t>
  </si>
  <si>
    <t>SAEAAAAgegUAAwAAAAAAbIf6MDvv3ghF+rw0O+/eCEdDSVEuTkFTREFROkNBTE0uSVFfVE9UQUxfREVCVF9SRVBBSURfRVhDTF9MRUFTRVMuOTk4LjMxLzA3LzIwMjYuLi5VU0QuSAEAAAAgegUAAgAAAAYtMC4yMTQBCAAAAAUAAAABMQEAAAALLTE4ODEwNjg2NzYDAAAAAzE2MAIAAAAFNDg5ODYEAAAAATAHAAAACTcvMzEvMjAyNggAAAAINi8xLzIwMjQJAAAAATBZrvowO+/eCArTvDQ7794IM0NJUS5OQVNEQVE6Q0FMTS5JUV9TVF9JTlZFU1QuOTk2LjMxLzA3LzIwMjYuLi5VU0QuSAEAAAAgegUAAgAAAAcxMTUuNDI5AQgAAAAFAAAAATEBAAAACy0xOTg2NzA4NDMzAwAAAAMxNjACAAAABDEwNjkEAAAAATAHAAAACTcvMzEvMjAyNggAAAAJNS8yOC8yMDIyCQAAAAEwWa76MDvv3gjvcLw0O+/eCD5DSVEuTkFTREFROkNBTE0uSVFfREVGX1RBWF9MSUFCX0NVUlJFTlQuOTk0LjMxLzA3LzIwMjYuLi5VU0QuSAEAAAAgegUAAwAAAAAAevz6MDvv3gg2eLg0O+/eCDZDSVEuTkFTREFROkNBTE0uSVFfT1RIRVJfUkVDRUlWLjk5NC4zMS8wNy8yMDI2Li4uVVNELkgBAAAAIHoFAAIAAAAGMTMuMzk5AQgAAAAFAAAAATEBAAAACy0yMDg4MzQ3NDY5AwAAAAMxNjACAAAABDEyMDYEAAAAATAHAAAACTcvMzEvMjAyNggAAAAJNS8zMC8yMDIwCQAAAAEwWa76MDvv3gjO+7s0O+/eCDlDSVEuTkFTREFROkNBTE0uSVFf</t>
  </si>
  <si>
    <t>U1RfTk9URV9SRUNFSVYuMTAwMC4zMS8wNy8yMDI2Li4uVVNELkgBAAAAIHoFAAMAAAAAAFmu+jA7794Im9S7NDvv3gg/Q0lRLk5BU0RBUTpDQUxNLklRX0ZJTl9ESVZfTE9BTlNfQ1VSUkVOVC45OTguMzEvMDcvMjAyNi4uLlVTRC5IAQAAACB6BQADAAAAAABZrvowO+/eCHtfuzQ7794IOUNJUS5OQVNEQVE6Q0FMTS5JUV9SRVNUUklDVEVEX0NBU0guOTk2LjMxLzA3LzIwMjYuLi5VU0QuSAEAAAAgegUAAwAAAAAAWa76MDvv3ghg/bo0O+/eCDdDSVEuTkFTREFROkNBTE0uSVFfT1RIRVJfTElBQl9MVC45OTkuMzEvMDcvMjAyNi4uLlVTRC5IAQAAACB6BQACAAAABjU1LjU4MgEIAAAABQAAAAExAQAAAAstMTg4MTA2ODY3NQMAAAADMTYwAgAAAAQxMDYyBAAAAAEwBwAAAAk3LzMxLzIwMjYIAAAACTUvMzEvMjAyNQkAAAABMHr8+jA7794Ik922NDvv3ggzQ0lRLk5BU0RBUTpDQUxNLklRX0xUX0lOVkVTVC45OTYuMzEvMDcvMjAyNi4uLlVTRC5IAQAAACB6BQACAAAABjE5LjI4MgEIAAAABQAAAAExAQAAAAstMTk4NjcwODQzMwMAAAADMTYwAgAAAAQxMDU0BAAAAAEwBwAAAAk3LzMxLzIwMjYIAAAACTUvMjgvMjAyMgkAAAABMGzV+jA7794IN4i6NDvv3gg1Q0lRLk5BU0RBUTpDQUxNLklRX09USEVSX0lOVEFOLjk5Ny4zMS8wNy8yMDI2Li4uVVNELkgBAAAAIHoFAAIAAAAGMTUuODk3AQgAAAAFAAAAATEB</t>
  </si>
  <si>
    <t>AAAACy0xOTM0OTc4NDIwAwAAAAMxNjACAAAABDEwNDAEAAAAATAHAAAACTcvMzEvMjAyNggAAAAINi8zLzIwMjMJAAAAATBs1fowO+/eCDFhujQ7794INkNJUS5OQVNEQVE6Q0FMTS5JUV9UT1RBTF9BU1NFVFMuOTk1LjMxLzA3LzIwMjYuLi5VU0QuSAEAAAAgegUAAgAAAAgxMjI5LjE3NAEIAAAABQAAAAExAQAAAAstMjAzNzI0MTcyMQMAAAADMTYwAgAAAAQxMDA3BAAAAAEwBwAAAAk3LzMxLzIwMjYIAAAACTUvMjkvMjAyMQkAAAABMGzV+jA7794IpWK5NDvv3ggsQ0lRLk5BU0RBUTpDQUxNLklRX0FFLjk5Ny4zMS8wNy8yMDI2Li4uVVNELkgBAAAAIHoFAAIAAAAGNTQuNzIzAQgAAAAFAAAAATEBAAAACy0xOTM0OTc4NDIwAwAAAAMxNjACAAAABDEwMTYEAAAAATAHAAAACTcvMzEvMjAyNggAAAAINi8zLzIwMjMJAAAAATBs1fowO+/eCJU7uTQ7794IPENJUS5OQVNEQVE6Q0FMTS5JUV9NSU5PUklUWV9JTlRFUkVTVC4xMDAwLjMxLzA3LzIwMjYuLi5VU0QuSAEAAAAgegUAAgAAAAM3LjgBCAAAAAUAAAABMQEAAAALLTE4ODEwNjg2NjgDAAAAAzE2MAIAAAAEMTA1MgQAAAABMAcAAAAJNy8zMS8yMDI2CAAAAAk1LzMwLzIwMjYJAAAAATBa+pAwO+/eCAORtTQ7794IMkNJUS5OQVNEQVE6Q0FMTS5JUV9UT1RBTF9DTC45OTUuMzEvMDcvMjAyNi4uLlVTRC5IAQAAACB6BQACAAAABjkwLjA5NwEIAAAABQAA</t>
  </si>
  <si>
    <t>AAExAQAAAAstMjAzNzI0MTcyMQMAAAADMTYwAgAAAAQxMDA5BAAAAAEwBwAAAAk3LzMxLzIwMjYIAAAACTUvMjkvMjAyMQkAAAABMHr8+jA7794I2Cm4NDvv3gg6Q0lRLk5BU0RBUTpDQUxNLklRX0xPTkdfVEVSTV9MRUFTRVMuOTk3LjMxLzA3LzIwMjYuLi5VU0QuSAEAAAAgegUAAwAAAAAAevz6MDvv3ggSFrg0O+/eCDlDSVEuTkFTREFROkNBTE0uSVFfRklOX0RJVl9MSUFCX0xULjk5Ny4zMS8wNy8yMDI2Li4uVVNELkgBAAAAIHoFAAMAAAAAAHr8+jA7794I2qC3NDvv3ggxQ0lRLk5BU0RBUTpDQUxNLklRX1BFTlNJT04uOTk4LjMxLzA3LzIwMjYuLi5VU0QuSAEAAAAgegUAAwAAAAAAevz6MDvv3gi6Urc0O+/eCDtDSVEuTkFTREFROkNBTE0uSVFfQUxMT1dfRE9VQlRfQUNDVC4xMDAwLjMxLzA3LzIwMjYuLi5VU0QuSAEAAAAgegUAAgAAAAUwLjcxOQEIAAAABQAAAAExAQAAAAstMTg4MTA2ODY2OAMAAAADMTYwAgAAAAQzMDEyBAAAAAEwBwAAAAk3LzMxLzIwMjYIAAAACTUvMzAvMjAyNgkAAAABMOBckTA7794Ij/iwNDvv3gg2Q0lRLk5BU0RBUTpDQUxNLklRX1BSRUZfUkVERUVNLjEwMDAuMzEvMDcvMjAyNi4uLlVTRC5IAQAAACB6BQADAAAAAAB6/PowO+/eCFG2tjQ7794IN0NJUS5OQVNEQVE6Q0FMTS5JUV9QUkVGX0NPTlZFUlQuMTAwMC4zMS8wNy8yMDI2Li4uVVNELkgBAAAAIHoFAAMAAAAA</t>
  </si>
  <si>
    <t>AFr6kDA7794IjHu2NDvv3gg2Q0lRLk5BU0RBUTpDQUxNLklRX1BSRUZfRVFVSVRZLjEwMDAuMzEvMDcvMjAyNi4uLlVTRC5IAQAAACB6BQADAAAAAABa+pAwO+/eCHMttjQ7794INkNJUS5OQVNEQVE6Q0FMTS5JUV9PVEhFUl9FUVVJVFkuOTk5LjMxLzA3LzIwMjYuLi5VU0QuSAEAAAAgegUAAgAAAAYtMS4wMDcBCAAAAAUAAAABMQEAAAALLTE4ODEwNjg2NzUDAAAAAzE2MAIAAAAEMTAyOAQAAAABMAcAAAAJNy8zMS8yMDI2CAAAAAk1LzMxLzIwMjUJAAAAATBa+pAwO+/eCES4tTQ7794ITUNJUS5OQVNEQVE6Q0FMTS5JUV9MSVFVSURBVElPTl9WQUxVRV9QUkVGRVJSRURfQ09OVkVSVC45OTguMzEvMDcvMjAyNi4uLlVTRC5IAQAAACB6BQADAAAAAAD7g5EwO+/eCDuGrjQ7794IMkNJUS5OQVNEQVE6Q0FMTS5JUV9CVl9TSEFSRS45OTkuMzEvMDcvMjAyNi4uLlVTRC5IAQAAACB6BQACAAAACTUyLjgwMjkwMwEIAAAABQAAAAExAQAAAAstMTg4MTA2ODY3NQMAAAADMTYwAgAAAAQ0MDIwBAAAAAEwBwAAAAk3LzMxLzIwMjYIAAAACTUvMzEvMjAyNQkAAAABMGI1kTA7794I7OOyNDvv3ggzQ0lRLk5BU0RBUTpDQUxNLklRX1RCVl9TSEFSRS45OTcuMzEvMDcvMjAyNi4uLlVTRC5IAQAAACB6BQACAAAACTMxLjY2NzAwMwEIAAAABQAAAAExAQAAAAstMTkzNDk3ODQyMAMAAAADMTYwAgAAAAQ0MTU2BAAAAAEw</t>
  </si>
  <si>
    <t>BwAAAAk3LzMxLzIwMjYIAAAACDYvMy8yMDIzCQAAAAEwYjWRMDvv3gidlbI0O+/eCC1DSVEuTkFTREFROkNBTE0uSVFfVEJWLjk5Ny4zMS8wNy8yMDI2Li4uVVNELkgBAAAAIHoFAAIAAAAIMTU1MS4xNzgBCAAAAAUAAAABMQEAAAALLTE5MzQ5Nzg0MjADAAAAAzE2MAIAAAAEMTMxMAQAAAABMAcAAAAJNy8zMS8yMDI2CAAAAAg2LzMvMjAyMwkAAAABMGI1kTA7794IlG6yNDvv3gg0Q0lRLk5BU0RBUTpDQUxNLklRX1RPVEFMX0RFQlQuOTk0LjMxLzA3LzIwMjYuLi5VU0QuSAEAAAAgegUAAgAAAAUzLjM4OAEIAAAABQAAAAExAQAAAAstMjA4ODM0NzQ2OQMAAAADMTYwAgAAAAQ0MTczBAAAAAEwBwAAAAk3LzMxLzIwMjYIAAAACTUvMzAvMjAyMAkAAAABMOBckTA7794I2OOxNDvv3gg+Q0lRLk5BU0RBUTpDQUxNLklRX1NUX0RFQlRfREVSSVZBVElWRVMuMTAwMC4zMS8wNy8yMDI2Li4uVVNELkgBAAAAIHoFAAMAAAAAAM6QjTA7794Iw+yqNDvv3ggzQ0lRLk5BU0RBUTpDQUxNLklRX0JVSUxESU5HUy45OTcuMzEvMDcvMjAyNi4uLlVTRC5IAQAAACB6BQACAAAABzU1Mi42NjkBCAAAAAUAAAABMQEAAAALLTE5MzQ5Nzg0MjADAAAAAzE2MAIAAAAEMzAyMwQAAAABMAcAAAAJNy8zMS8yMDI2CAAAAAg2LzMvMjAyMwkAAAABMOBckTA7794IpQ2wNDvv3gg/Q0lRLk5BU0RBUTpDQUxNLklRX0xFQVNFSE9MRF9J</t>
  </si>
  <si>
    <t>TVBST1ZFTUVOVC45OTkuMzEvMDcvMjAyNi4uLlVTRC5IAQAAACB6BQADAAAAAAD7g5EwO+/eCHCYrzQ7794IRUNJUS5OQVNEQVE6Q0FMTS5JUV9GSU5fRElWX01JTk9SSVRZX0lOVF9SRURFRU0uOTk2LjMxLzA3LzIwMjYuLi5VU0QuSAEAAAAgegUAAwAAAAAA+4ORMDvv3ghXSq80O+/eCEVDSVEuTkFTREFROkNBTE0uSVFfR0VORVJBTF9QQVJUTkVSX1BSRUZfRVFVSVRZLjk5Ni4zMS8wNy8yMDI2Li4uVVNELkgBAAAAIHoFAAMAAAAAAPuDkTA7794I/cCuNDvv3gg7Q0lRLk5BU0RBUTpDQUxNLklRX0RFRl9UQVhfQVNTRVRTX0xULjk5NS4zMS8wNy8yMDI2Li4uVVNELkgBAAAAIHoFAAMAAAAAAGzV+jA7794IwMS5NDvv3gg4Q0lRLk5BU0RBUTpDQUxNLklRX0FTU0VUU19MRVZFTF8zLjk5OC4zMS8wNy8yMDI2Li4uVVNELkgBAAAAIHoFAAMAAAAAAPuDkTA7794Ivf6sNDvv3gg9Q0lRLk5BU0RBUTpDQUxNLklRX0xJQUJJTElUSUVTX0xFVkVMXzMuOTk4LjMxLzA3LzIwMjYuLi5VU0QuSAEAAAAgegUAAgAAAAM2LjUA8FWNMDvv3giinKw0O+/eCDtDSVEuTkFTREFROkNBTE0uSVFfRklOX0RJVl9TVF9JTlZFU1QuOTk2LjMxLzA3LzIwMjYuLi5VU0QuSAEAAAAgegUAAwAAAAAA8FWNMDvv3gj81qs0O+/eCD9DSVEuTkFTREFROkNBTE0uSVFfUkVTVFJJQ1RFRF9DQVNIX1RPVEFMLjk5Ni4zMS8wNy8yMDI2</t>
  </si>
  <si>
    <t>Li4uVVNELkgBAAAAIHoFAAMAAAAAAPBVjTA7794I12GrNDvv3gg5Q0lRLk5BU0RBUTpDQUxNLklRX0RFRl9UQVhfTElBQl9MVC45OTcuMzEvMDcvMjAyNi4uLlVTRC5IAQAAACB6BQACAAAABzE1Mi4yMTIBCAAAAAUAAAABMQEAAAALLTE5MzQ5Nzg0MjADAAAAAzE2MAIAAAAEMTAyNwQAAAABMAcAAAAJNy8zMS8yMDI2CAAAAAg2LzMvMjAyMwkAAAABMHr8+jA7794IulK3NDvv3ghBQ0lRLk5BU0RBUTpDQUxNLklRX0RFUklWQVRJVkVfTElBQl9DVVJSRU5ULjk5OS4zMS8wNy8yMDI2Li4uVVNELkgBAAAAIHoFAAMAAAAAAM6QjTA7794ISZ6qNDvv3ghEQ0lRLk5BU0RBUTpDQUxNLklRX0RFUklWQVRJVkVfQVNTRVRTX0NVUlJFTlQuMTAwMC4zMS8wNy8yMDI2Li4uVVNELkgBAAAAIHoFAAMAAAAAAM6QjTA7794IIDyqNDvv3gguQ0lRLk5BU0RBUTpDQUxNLklRX05QUEUuOTk5LjMxLzA3LzIwMjYuLi5VU0QuSAEAAAAgegUAAgAAAAgxMDI2LjY4NAEIAAAABQAAAAExAQAAAAstMTg4MTA2ODY3NQMAAAADMTYwAgAAAAQxMDA0BAAAAAEwBwAAAAk3LzMxLzIwMjYIAAAACTUvMzEvMjAyNQkAAAABMGzV+jA7794IN4i6NDvv3gg6Q0lRLk5BU0RBUTpDQUxNLklRX0ZJTl9ESVZfTE9BTlNfTFQuOTk3LjMxLzA3LzIwMjYuLi5VU0QuSAEAAAAgegUAAwAAAAAAbNX6MDvv3giLE7o0O+/eCDtDSVEuTkFTREFROkNB</t>
  </si>
  <si>
    <t>TE0uSVFfVE9UQUxfTElBQl9FUVVJVFkuOTk3LjMxLzA3LzIwMjYuLi5VU0QuSAEAAAAgegUAAgAAAAgxOTU0LjUyNQEIAAAABQAAAAExAQAAAAstMTkzNDk3ODQyMAMAAAADMTYwAgAAAAQxMDEzBAAAAAEwBwAAAAk3LzMxLzIwMjYIAAAACDYvMy8yMDIzCQAAAAEwWvqQMDvv3gixQrU0O+/eCCxDSVEuTkFTREFROkNBTE0uSVFfQUUuOTk5LjMxLzA3LzIwMjYuLi5VU0QuSAEAAAAgegUAAgAAAAY5My4xNzUBCAAAAAUAAAABMQEAAAALLTE4ODEwNjg2NzUDAAAAAzE2MAIAAAAEMTAxNgQAAAABMAcAAAAJNy8zMS8yMDI2CAAAAAk1LzMxLzIwMjUJAAAAATBs1fowO+/eCJU7uTQ7794IPkNJUS5OQVNEQVE6Q0FMTS5JUV9GSU5fRElWX0RFQlRfQ1VSUkVOVC45OTcuMzEvMDcvMjAyNi4uLlVTRC5IAQAAACB6BQADAAAAAABs1fowO+/eCH7GuDQ7794IPkNJUS5OQVNEQVE6Q0FMTS5JUV9ERUZfVEFYX0xJQUJfQ1VSUkVOVC45OTUuMzEvMDcvMjAyNi4uLlVTRC5IAQAAACB6BQADAAAAAAB6/PowO+/eCDZ4uDQ7794IOUNJUS5OQVNEQVE6Q0FMTS5JUV9GSU5fRElWX0RFQlRfTFQuOTk5LjMxLzA3LzIwMjYuLi5VU0QuSAEAAAAgegUAAwAAAAAAevz6MDvv3gj/x7c0O+/eCEtDSVEuTkFTREFROkNBTE0uSVFfTFRfUE9SVElPTl9PUEVSX0xFQVNFX0xJQUJJTElUSUVTLjk5NS4zMS8wNy8yMDI2Li4uVVNELkgB</t>
  </si>
  <si>
    <t>AAAAIHoFAAIAAAAFMS4wMzQBCAAAAAUAAAABMQEAAAALLTIwMzcyNDE3MjEDAAAAAzE2MAIAAAAFNDgzODMEAAAAATAHAAAACTcvMzEvMjAyNggAAAAJNS8yOS8yMDIxCQAAAAEwYjWRMDvv3gjmk7M0O+/eCDlDSVEuTkFTREFROkNBTE0uSVFfUFJFRl9OT05fUkVERUVNLjk5NS4zMS8wNy8yMDI2Li4uVVNELkgBAAAAIHoFAAMAAAAAAHr8+jA7794IUba2NDvv3gg1Q0lRLk5BU0RBUTpDQUxNLklRX1BSRUZfRVFVSVRZLjk5NS4zMS8wNy8yMDI2Li4uVVNELkgBAAAAIHoFAAMAAAAAAFr6kDA7794Icy22NDvv3gguQ0lRLk5BU0RBUTpDQUxNLklRX0FQSUMuOTk5LjMxLzA3LzIwMjYuLi5VU0QuSAEAAAAgegUAAgAAAAY4MC44NDUBCAAAAAUAAAABMQEAAAALLTE4ODEwNjg2NzUDAAAAAzE2MAIAAAAEMTA4NAQAAAABMAcAAAAJNy8zMS8yMDI2CAAAAAk1LzMxLzIwMjUJAAAAATBa+pAwO+/eCF0GtjQ7794IPUNJUS5OQVNEQVE6Q0FMTS5JUV9UT1RBTF9DT01NT05fRVFVSVRZLjk5Ny4zMS8wNy8yMDI2Li4uVVNELkgBAAAAIHoFAAIAAAAIMTYxMS4wODEBCAAAAAUAAAABMQEAAAALLTE5MzQ5Nzg0MjADAAAAAzE2MAIAAAAEMTAwNgQAAAABMAcAAAAJNy8zMS8yMDI2CAAAAAg2LzMvMjAyMwkAAAABMFr6kDA7794IRLi1NDvv3gg1Q0lRLk5BU0RBUTpDQUxNLklRX1dPUktJTkdfQ0FQLjk5Ny4zMS8wNy8y</t>
  </si>
  <si>
    <t>MDI2Li4uVVNELkgBAAAAIHoFAAIAAAAHOTQyLjE5NAEIAAAABQAAAAExAQAAAAstMTkzNDk3ODQyMAMAAAADMTYwAgAAAAQ0MTY1BAAAAAEwBwAAAAk3LzMxLzIwMjYIAAAACDYvMy8yMDIzCQAAAAEw4FyRMDvv3gjRH7E0O+/eCEFDSVEuTkFTREFROkNBTE0uSVFfUlVBX0NBUElUQUxfTEVBU0VfR1JPU1MuOTk1LjMxLzA3LzIwMjYuLi5VU0QuSAEAAAAgegUAAgAAAAUwLjUyNQEIAAAABQAAAAExAQAAAAstMjAzNzI0MTcyMQMAAAADMTYwAgAAAAU0ODM3MQQAAAABMAcAAAAJNy8zMS8yMDI2CAAAAAk1LzI5LzIwMjEJAAAAATBa+pAwO+/eCFPgtDQ7794IP0NJUS5OQVNEQVE6Q0FMTS5JUV9SVUFfQ0FQSVRBTF9MRUFTRV9ORVQuOTk5LjMxLzA3LzIwMjYuLi5VU0QuSAEAAAAgegUAAwAAAAAAWvqQMDvv3giPpbQ0O+/eCEFDSVEuTkFTREFROkNBTE0uSVFfUlVBX09QRVJBVElOR19MRUFTRV9ORVQuOTk5LjMxLzA3LzIwMjYuLi5VU0QuSAEAAAAgegUAAwAAAAAAWvqQMDvv3ghlV7Q0O+/eCEBDSVEuTkFTREFROkNBTE0uSVFfRklOQU5DRV9MRUFTRVNfQ1VSUkVOVC45OTcuMzEvMDcvMjAyNi4uLlVTRC5IAQAAACB6BQADAAAAAABiNZEwO+/eCEgJtDQ7794ILUNJUS5OQVNEQVE6Q0FMTS5JUV9DSVAuOTk3LjMxLzA3LzIwMjYuLi5VU0QuSAEAAAAgegUAAgAAAAY5OC42MDUBCAAAAAUAAAABMQEAAAAL</t>
  </si>
  <si>
    <t>LTE5MzQ5Nzg0MjADAAAAAzE2MAIAAAAEMzAzMwQAAAABMAcAAAAJNy8zMS8yMDI2CAAAAAg2LzMvMjAyMwkAAAABMPuDkTA7794IcJivNDvv3ghFQ0lRLk5BU0RBUTpDQUxNLklRX1RPVEFMX0RFQlRfRVhDTF9PUEVSX0xFQVNFUy45OTkuMzEvMDcvMjAyNi4uLlVTRC5IAQAAACB6BQADAAAAAABiNZEwO+/eCPgKszQ7794IMkNJUS5OQVNEQVE6Q0FMTS5JUV9CVl9TSEFSRS45OTcuMzEvMDcvMjAyNi4uLlVTRC5IAQAAACB6BQACAAAACTMyLjg4OTkxMQEIAAAABQAAAAExAQAAAAstMTkzNDk3ODQyMAMAAAADMTYwAgAAAAQ0MDIwBAAAAAEwBwAAAAk3LzMxLzIwMjYIAAAACDYvMy8yMDIzCQAAAAEwYjWRMDvv3gjavLI0O+/eCC1DSVEuTkFTREFROkNBTE0uSVFfVEJWLjk5NS4zMS8wNy8yMDI2Li4uVVNELkgBAAAAIHoFAAIAAAAHOTU2LjkxNQEIAAAABQAAAAExAQAAAAstMjAzNzI0MTcyMQMAAAADMTYwAgAAAAQxMzEwBAAAAAEwBwAAAAk3LzMxLzIwMjYIAAAACTUvMjkvMjAyMQkAAAABMGI1kTA7794IlG6yNDvv3ghAQ0lRLk5BU0RBUTpDQUxNLklRX1RPVEFMX0RFQlRfTk9OX0NVUlJFTlQuOTk5LjMxLzA3LzIwMjYuLi5VU0QuSAEAAAAgegUAAwAAAAAA4FyRMDvv3gjVgbE0O+/eCEpDSVEuTkFTREFROkNBTE0uSVFfQVNTRVRTX05FVFRJTkdfT1RIRVJfQURKVVNUTUVOVFMuOTk1LjMxLzA3LzIw</t>
  </si>
  <si>
    <t>MjYuLi5VU0QuSAEAAAAgegUAAwAAAAAA/KqRMDvv3gi9/qw0O+/eCDVDSVEuTkFTREFROkNBTE0uSVFfQVJfVU5CSUxMRUQuOTk1LjMxLzA3LzIwMjYuLi5VU0QuSAEAAAAgegUAAwAAAAAA4FyRMDvv3giP+LA0O+/eCDFDSVEuTkFTREFROkNBTE0uSVFfUkFXX0lOVi45OTUuMzEvMDcvMjAyNi4uLlVTRC5IAQAAACB6BQACAAAABjEyMy44NgEIAAAABQAAAAExAQAAAAstMjAzNzI0MTcyMQMAAAADMTYwAgAAAAQzMTcxBAAAAAEwBwAAAAk3LzMxLzIwMjYIAAAACTUvMjkvMjAyMQkAAAABMOBckTA7794IiZawNDvv3gg2Q0lRLk5BU0RBUTpDQUxNLklRX0ZJTklTSEVEX0lOVi45OTkuMzEvMDcvMjAyNi4uLlVTRC5IAQAAACB6BQACAAAABjY1LjE5MgEIAAAABQAAAAExAQAAAAstMTg4MTA2ODY3NQMAAAADMTYwAgAAAAQzMDc1BAAAAAEwBwAAAAk3LzMxLzIwMjYIAAAACTUvMzEvMjAyNQkAAAABMOBckTA7794Iw1uwNDvv3ggzQ0lRLk5BU0RBUTpDQUxNLklRX01BQ0hJTkVSWS45OTcuMzEvMDcvMjAyNi4uLlVTRC5IAQAAACB6BQACAAAABzcxNS4yMDUBCAAAAAUAAAABMQEAAAALLTE5MzQ5Nzg0MjADAAAAAzE2MAIAAAAEMzExNAQAAAABMAcAAAAJNy8zMS8yMDI2CAAAAAg2LzMvMjAyMwkAAAABMOBckTA7794IpQ2wNDvv3gg9Q0lRLk5BU0RBUTpDQUxNLklRX0xUX0RFQlRfREVSSVZBVElWRVMuOTk5</t>
  </si>
  <si>
    <t>LjMxLzA3LzIwMjYuLi5VU0QuSAEAAAAgegUAAwAAAAAAzpCNMDvv3ghJnqo0O+/eCEFDSVEuTkFTREFROkNBTE0uSVFfTUlOT1JJVFlfSU5UX1JFREVFTV9UT1QuOTk1LjMxLzA3LzIwMjYuLi5VU0QuSAEAAAAgegUAAwAAAAAA+4ORMDvv3ghXSq80O+/eCEVDSVEuTkFTREFROkNBTE0uSVFfREVGX1RBWF9WQUxVQVRJT05fQUxMT1dBTkNFLjk5OS4zMS8wNy8yMDI2Li4uVVNELkgBAAAAIHoFAAMAAAAAAPuDkTA7794IEyOvNDvv3ghLQ0lRLk5BU0RBUTpDQUxNLklRX0dFTkVSQUxfUEFSVE5FUl9NSU5PUklUWV9JTlRFUkVTVC45OTkuMzEvMDcvMjAyNi4uLlVTRC5IAQAAACB6BQADAAAAAAD7g5EwO+/eCP3ArjQ7794ITENJUS5OQVNEQVE6Q0FMTS5JUV9MSVFVSURBVElPTl9WQUxVRV9QUkVGRVJSRURfUkVERUVNLjk5Ny4zMS8wNy8yMDI2Li4uVVNELkgBAAAAIHoFAAMAAAAAAPuDkTA7794IK1+uNDvv3gg9Q0lRLk5BU0RBUTpDQUxNLklRX0lOVEVSQ09NUEFOWV9OT05fQ0EuOTk5LjMxLzA3LzIwMjYuLi5VU0QuSAEAAAAgegUAAwAAAAAAIbiNMDvv3gilA6k0O+/eCE9DSVEuTkFTREFROkNBTE0uSVFfTElBQklMSVRJRVNfTkVUVElOR19PVEhFUl9BREpVU1RNRU5UUy45OTkuMzEvMDcvMjAyNi4uLlVTRC5IAQAAACB6BQADAAAAAADwVY0wO+/eCJV1rDQ7794IPENJUS5OQVNEQVE6Q0FMTS5JUV9G</t>
  </si>
  <si>
    <t>SU5fRElWX0NBU0hfRVFVSVYuOTk5LjMxLzA3LzIwMjYuLi5VU0QuSAEAAAAgegUAAwAAAAAA8FWNMDvv3gj81qs0O+/eCDdDSVEuTkFTREFROkNBTE0uSVFfT1JERVJfQkFDS0xPRy45OTUuMzEvMDcvMjAyNi4uLlVTRC5IAQAAACB6BQADAAAAAADwVY0wO+/eCK86qzQ7794IPUNJUS5OQVNEQVE6Q0FMTS5JUV9TVF9ERUJUX0RFUklWQVRJVkVTLjk5NS4zMS8wNy8yMDI2Li4uVVNELkgBAAAAIHoFAAMAAAAAAM6QjTA7794InsWqNDvv3ggvQ0lRLk5BU0RBUTpDQUxNLklRX0FSX0xULjk5OC4zMS8wNy8yMDI2Li4uVVNELkgBAAAAIHoFAAMAAAAAAGzV+jA7794IBuy5NDvv3ghDQ0lRLk5BU0RBUTpDQUxNLklRX0RFUklWQVRJVkVfQVNTRVRTX0NVUlJFTlQuOTk3LjMxLzA3LzIwMjYuLi5VU0QuSAEAAAAgegUAAwAAAAAAzpCNMDvv3gggPKo0O+/eCEJDSVEuTkFTREFROkNBTE0uSVFfQUNDVU1fQU1PUlRfSU5UQU5fQVNTRVRTLjk5Ny4zMS8wNy8yMDI2Li4uVVNELkgBAAAAIHoFAAIAAAAHLTI1LjYwMQEIAAAABQAAAAExAQAAAAstMTkzNDk3ODQyMAMAAAADMTYwAgAAAAUyNDMzMQQAAAABMAcAAAAJNy8zMS8yMDI2CAAAAAg2LzMvMjAyMwkAAAABMM6QjTA7794IHu6pNDvv3gg/Q0lRLk5BU0RBUTpDQUxNLklRX0FEVkFOQ0VTX0ZPUl9TVVBQTElFUy45OTUuMzEvMDcvMjAyNi4uLlVTRC5IAQAAACB6</t>
  </si>
  <si>
    <t>BQADAAAAAADOkI0wO+/eCAF5qTQ7794IMENJUS5OQVNEQVE6Q0FMTS5JUV9HV19ORVQuOTk5LjMxLzA3LzIwMjYuLi5VU0QuSAEAAAAgegUAAgAAAAY0Ni43NzYBCAAAAAUAAAABMQEAAAALLTE4ODEwNjg2NzUDAAAAAzE2MAIAAAAFNDg5NjAEAAAAATAHAAAACTcvMzEvMjAyNggAAAAJNS8zMS8yMDI1CQAAAAEwzpCNMDvv3gg3Uqk0O+/eCDJDSVEuTkFTREFROkNBTE0uSVFfVE9UQUxfQ0wuOTk2LjMxLzA3LzIwMjYuLi5VU0QuSAEAAAAgegUAAgAAAAcxODQuNjc0AQgAAAAFAAAAATEBAAAACy0xOTg2NzA4NDMzAwAAAAMxNjACAAAABDEwMDkEAAAAATAHAAAACTcvMzEvMjAyNggAAAAJNS8yOC8yMDIyCQAAAAEwevz6MDvv3gg9Ubg0O+/eCDxDSVEuTkFTREFROkNBTE0uSVFfVE9UQUxfUkVWX0VNUExPWUVFLjk5Ny4zMS8wNy8yMDI2Li4uVVNELkgBAAAAIHoFAAIAAAAGMTA4Ni40AQgAAAAFAAAAATEBAAAACy0xOTM0OTc4NDIwAwAAAAMxNjACAAAABDQxMjMEAAAAATAHAAAACTcvMzEvMjAyNggAAAAINi8zLzIwMjMJAAAAATCyiIcwO+/eCG6NqDQ7794ILUNJUS5OQVNEQVE6Q0FMTS5JUV9BRC4xMDAwLjMxLzA3LzIwMjYuLi5VU0QuSAEAAAAgegUAAgAAAAgtOTg2LjM3MwEIAAAABQAAAAExAQAAAAstMTg4MTA2ODY2OAMAAAADMTYwAgAAAAQxMDc1BAAAAAEwBwAAAAk3LzMxLzIwMjYIAAAACTUv</t>
  </si>
  <si>
    <t>MzAvMjAyNgkAAAABMGzV+jA7794INq+6NDvv3ggzQ0lRLk5BU0RBUTpDQUxNLklRX0xUX0lOVkVTVC45OTQuMzEvMDcvMjAyNi4uLlVTRC5IAQAAACB6BQACAAAABjYzLjczMQEIAAAABQAAAAExAQAAAAstMjA4ODM0NzQ2OQMAAAADMTYwAgAAAAQxMDU0BAAAAAEwBwAAAAk3LzMxLzIwMjYIAAAACTUvMzAvMjAyMAkAAAABMGzV+jA7794IN4i6NDvv3ggtQ0lRLk5BU0RBUTpDQUxNLklRX0dXLjEwMDAuMzEvMDcvMjAyNi4uLlVTRC5IAQAAACB6BQACAAAABjk3LjA1OQEIAAAABQAAAAExAQAAAAstMTg4MTA2ODY2OAMAAAADMTYwAgAAAAQxMTcxBAAAAAEwBwAAAAk3LzMxLzIwMjYIAAAACTUvMzAvMjAyNgkAAAABMGzV+jA7794IVTq6NDvv3gg0Q0lRLk5BU0RBUTpDQUxNLklRX1BSRUZfT1RIRVIuOTk2LjMxLzA3LzIwMjYuLi5VU0QuSAEAAAAgegUAAwAAAAAAWvqQMDvv3giMe7Y0O+/eCDlDSVEuTkFTREFROkNBTE0uSVFfT1RIRVJfTFRfQVNTRVRTLjk5Ni4zMS8wNy8yMDI2Li4uVVNELkgBAAAAIHoFAAIAAAAFNi43NTUBCAAAAAUAAAABMQEAAAALLTE5ODY3MDg0MzMDAAAAAzE2MAIAAAAEMTA2MAQAAAABMAcAAAAJNy8zMS8yMDI2CAAAAAk1LzI4LzIwMjIJAAAAATBs1fowO+/eCJaJuTQ7794IMUNJUS5OQVNEQVE6Q0FMTS5JUV9TVF9ERUJULjk5NC4zMS8wNy8yMDI2Li4uVVNELkgBAAAAIHoF</t>
  </si>
  <si>
    <t>AAMAAAAAAGzV+jA7794IlTu5NDvv3gg8Q0lRLk5BU0RBUTpDQUxNLklRX0NVUlJFTlRfUE9SVF9ERUJULjEwMDAuMzEvMDcvMjAyNi4uLlVTRC5IAQAAACB6BQADAAAAAABs1fowO+/eCIHtuDQ7794IPUNJUS5OQVNEQVE6Q0FMTS5JUV9JTkNfVEFYX1BBWV9DVVJSRU5ULjk5OC4zMS8wNy8yMDI2Li4uVVNELkgBAAAAIHoFAAIAAAAGNDMuMzQ4AQgAAAAFAAAAATEBAAAACy0xODgxMDY4Njc2AwAAAAMxNjACAAAABDEwOTQEAAAAATAHAAAACTcvMzEvMjAyNggAAAAINi8xLzIwMjQJAAAAATBs1fowO+/eCEmfuDQ7794IN0NJUS5OQVNEQVE6Q0FMTS5JUV9SVUFfQUNDVU1fREVQLjk5OC4zMS8wNy8yMDI2Li4uVVNELkgBAAAAIHoFAAMAAAAAAFr6kDA7794IcRu1NDvv3gg5Q0lRLk5BU0RBUTpDQUxNLklRX0ZJTl9ESVZfTElBQl9MVC45OTQuMzEvMDcvMjAyNi4uLlVTRC5IAQAAACB6BQADAAAAAAB6/PowO+/eCP/HtzQ7794IOENJUS5OQVNEQVE6Q0FMTS5JUV9VTkVBUk5fUkVWX0xULjEwMDAuMzEvMDcvMjAyNi4uLlVTRC5IAQAAACB6BQADAAAAAAB6/PowO+/eCNp5tzQ7794IOUNJUS5OQVNEQVE6Q0FMTS5JUV9ERUZfVEFYX0xJQUJfTFQuOTk0LjMxLzA3LzIwMjYuLi5VU0QuSAEAAAAgegUAAgAAAAY5Mi43NjgBCAAAAAUAAAABMQEAAAALLTIwODgzNDc0NjkDAAAAAzE2MAIAAAAEMTAyNwQAAAAB</t>
  </si>
  <si>
    <t>MAcAAAAJNy8zMS8yMDI2CAAAAAk1LzMwLzIwMjAJAAAAATB6/PowO+/eCLcrtzQ7794INENJUS5OQVNEQVE6Q0FMTS5JUV9UT1RBTF9MSUFCLjk5OC4zMS8wNy8yMDI2Li4uVVNELkgBAAAAIHoFAAIAAAAHMzg3LjcxOAEIAAAABQAAAAExAQAAAAstMTg4MTA2ODY3NgMAAAADMTYwAgAAAAQxMjc2BAAAAAEwBwAAAAk3LzMxLzIwMjYIAAAACDYvMS8yMDI0CQAAAAEwevz6MDvv3giT3bY0O+/eCD5DSVEuTkFTREFROkNBTE0uSVFfVE9UQUxfRklOQU5DRV9MRUFTRVMuOTk4LjMxLzA3LzIwMjYuLi5VU0QuSAEAAAAgegUAAwAAAAAAYjWRMDvv3ggtu7M0O+/eCC5DSVEuTkFTREFROkNBTE0uSVFfQVBJQy45OTYuMzEvMDcvMjAyNi4uLlVTRC5IAQAAACB6BQACAAAABjY3Ljk4OQEIAAAABQAAAAExAQAAAAstMTk4NjcwODQzMwMAAAADMTYwAgAAAAQxMDg0BAAAAAEwBwAAAAk3LzMxLzIwMjYIAAAACTUvMjgvMjAyMgkAAAABMFr6kDA7794Icy22NDvv3ggzQ0lRLk5BU0RBUTpDQUxNLklRX1RSRUFTVVJZLjEwMDAuMzEvMDcvMjAyNi4uLlVTRC5IAQAAACB6BQACAAAACC0yMTcuNzY3AQgAAAAFAAAAATEBAAAACy0xODgxMDY4NjY4AwAAAAMxNjACAAAABDEyNDgEAAAAATAHAAAACTcvMzEvMjAyNggAAAAJNS8zMC8yMDI2CQAAAAEwWvqQMDvv3ghN37U0O+/eCD1DSVEuTkFTREFROkNBTE0uSVFfVE9UQUxf</t>
  </si>
  <si>
    <t>Q09NTU9OX0VRVUlUWS45OTQuMzEvMDcvMjAyNi4uLlVTRC5IAQAAACB6BQACAAAACDEwMDkuNjc1AQgAAAAFAAAAATEBAAAACy0yMDg4MzQ3NDY5AwAAAAMxNjACAAAABDEwMDYEAAAAATAHAAAACTcvMzEvMjAyNggAAAAJNS8zMC8yMDIwCQAAAAEwWvqQMDvv3ghEuLU0O+/eCDZDSVEuTkFTREFROkNBTE0uSVFfVE9UQUxfRVFVSVRZLjk5OC4zMS8wNy8yMDI2Li4uVVNELkgBAAAAIHoFAAIAAAAIMTc5Ny4wNDMBCAAAAAUAAAABMQEAAAALLTE4ODEwNjg2NzYDAAAAAzE2MAIAAAAEMTI3NQQAAAABMAcAAAAJNy8zMS8yMDI2CAAAAAg2LzEvMjAyNAkAAAABMFr6kDA7794I8Gm1NDvv3ggyQ0lRLk5BU0RBUTpDQUxNLklRX05FVF9ERUJULjk5NC4zMS8wNy8yMDI2Li4uVVNELkgBAAAAIHoFAAIAAAAILTIyOC45MDUBCAAAAAUAAAABMQEAAAALLTIwODgzNDc0NjkDAAAAAzE2MAIAAAAENDM2NAQAAAABMAcAAAAJNy8zMS8yMDI2CAAAAAk1LzMwLzIwMjAJAAAAATDgXJEwO+/eCNWBsTQ7794IP0NJUS5OQVNEQVE6Q0FMTS5JUV9SVUFfQ0FQSVRBTF9MRUFTRV9ORVQuOTk2LjMxLzA3LzIwMjYuLi5VU0QuSAEAAAAgegUAAwAAAAAAWvqQMDvv3giPpbQ0O+/eCEhDSVEuTkFTREFROkNBTE0uSVFfUlVBX09QRVJBVElOR19MRUFTRV9BQ0NVTV9ERVAuMTAwMC4zMS8wNy8yMDI2Li4uVVNELkgBAAAAIHoFAAMA</t>
  </si>
  <si>
    <t>AAAAAFr6kDA7794Idn60NDvv3gg/Q0lRLk5BU0RBUTpDQUxNLklRX0dQUEVfRVhDTF9PUEVSX0xFQVNFUy45OTQuMzEvMDcvMjAyNi4uLlVTRC5IAQAAACB6BQACAAAACDExNDMuMzQ0AQgAAAAFAAAAATEBAAAACy0yMDg4MzQ3NDY5AwAAAAMxNjACAAAABTQ4OTc0BAAAAAEwBwAAAAk3LzMxLzIwMjYIAAAACTUvMzAvMjAyMAkAAAABMFr6kDA7794IZVe0NDvv3gg+Q0lRLk5BU0RBUTpDQUxNLklRX0FEX0VYQ0xfT1BFUl9MRUFTRVMuMTAwMC4zMS8wNy8yMDI2Li4uVVNELkgBAAAAIHoFAAIAAAAILTk4Ni4zNzMBCAAAAAUAAAABMQEAAAALLTE4ODEwNjg2NjgDAAAAAzE2MAIAAAAFNDg5NzUEAAAAATAHAAAACTcvMzEvMjAyNggAAAAJNS8zMC8yMDI2CQAAAAEwWvqQMDvv3ghYMLQ0O+/eCDZDSVEuTkFTREFROkNBTE0uSVFfRklOSVNIRURfSU5WLjk5Ni4zMS8wNy8yMDI2Li4uVVNELkgBAAAAIHoFAAIAAAAHMTE5LjI2NQEIAAAABQAAAAExAQAAAAstMTk4NjcwODQzMwMAAAADMTYwAgAAAAQzMDc1BAAAAAEwBwAAAAk3LzMxLzIwMjYIAAAACTUvMjgvMjAyMgkAAAABMOBckTA7794Iw1uwNDvv3gg2Q0lRLk5BU0RBUTpDQUxNLklRX1RPVEFMX0xFQVNFUy45OTYuMzEvMDcvMjAyNi4uLlVTRC5IAQAAACB6BQADAAAAAABiNZEwO+/eCCJZszQ7794IQENJUS5OQVNEQVE6Q0FMTS5JUV9UT1RBTF9ERUJU</t>
  </si>
  <si>
    <t>X0VYQ0xfTEVBU0VTLjk5NC4zMS8wNy8yMDI2Li4uVVNELkgBAAAAIHoFAAIAAAABMAEIAAAABQAAAAExAQAAAAstMjA4ODM0NzQ2OQMAAAADMTYwAgAAAAU0ODk5MgQAAAABMAcAAAAJNy8zMS8yMDI2CAAAAAk1LzMwLzIwMjAJAAAAATBiNZEwO+/eCPgKszQ7794IM0NJUS5OQVNEQVE6Q0FMTS5JUV9UQlZfU0hBUkUuOTk4LjMxLzA3LzIwMjYuLi5VU0QuSAEAAAAgegUAAgAAAAkzNS40NDg5OTUBCAAAAAUAAAABMQEAAAALLTE4ODEwNjg2NzYDAAAAAzE2MAIAAAAENDE1NgQAAAABMAcAAAAJNy8zMS8yMDI2CAAAAAg2LzEvMjAyNAkAAAABMGI1kTA7794InZWyNDvv3gg0Q0lRLk5BU0RBUTpDQUxNLklRX0NBU0hfU0hBUkUuOTk2LjMxLzA3LzIwMjYuLi5VU0QuSAEAAAAgegUAAgAAAAgxLjIwNzI3NAEIAAAABQAAAAExAQAAAAstMTk4NjcwODQzMwMAAAADMTYwAgAAAAQ0MzgxBAAAAAEwBwAAAAk3LzMxLzIwMjYIAAAACTUvMjgvMjAyMgkAAAABMOBckTA7794I2OOxNDvv3ghFQ0lRLk5BU0RBUTpDQUxNLklRX0RFRl9UQVhfVkFMVUFUSU9OX0FMTE9XQU5DRS45OTYuMzEvMDcvMjAyNi4uLlVTRC5IAQAAACB6BQADAAAAAAD7g5EwO+/eCF4PrzQ7794IQkNJUS5OQVNEQVE6Q0FMTS5JUV9NSU5PUklUWV9JTlRFUkVTVF9UT1RBTC4xMDAwLjMxLzA3LzIwMjYuLi5VU0QuSAEAAAAgegUAAgAAAAM3LjgB</t>
  </si>
  <si>
    <t>CAAAAAUAAAABMQEAAAALLTE4ODEwNjg2NjgDAAAAAzE2MAIAAAAEMTMxMgQAAAABMAcAAAAJNy8zMS8yMDI2CAAAAAk1LzMwLzIwMjYJAAAAATDgXJEwO+/eCJRasTQ7794INUNJUS5OQVNEQVE6Q0FMTS5JUV9XT1JLSU5HX0NBUC45OTQuMzEvMDcvMjAyNi4uLlVTRC5IAQAAACB6BQACAAAABzQyOS4wNjgBCAAAAAUAAAABMQEAAAALLTIwODgzNDc0NjkDAAAAAzE2MAIAAAAENDE2NQQAAAABMAcAAAAJNy8zMS8yMDI2CAAAAAk1LzMwLzIwMjAJAAAAATDgXJEwO+/eCNEfsTQ7794IOkNJUS5OQVNEQVE6Q0FMTS5JUV9BTExPV19ET1VCVF9BQ0NULjk5OC4zMS8wNy8yMDI2Li4uVVNELkgBAAAAIHoFAAIAAAAEMC40OQEIAAAABQAAAAExAQAAAAstMTg4MTA2ODY3NgMAAAADMTYwAgAAAAQzMDEyBAAAAAEwBwAAAAk3LzMxLzIwMjYIAAAACDYvMS8yMDI0CQAAAAEw4FyRMDvv3gjRH7E0O+/eCC9DSVEuTkFTREFROkNBTE0uSVFfTElGT1IuOTk2LjMxLzA3LzIwMjYuLi5VU0QuSAEAAAAgegUAAwAAAAAA4FyRMDvv3gjLvbA0O+/eCD1DSVEuTkFTREFROkNBTE0uSVFfTElBQklMSVRJRVNfTEVWRUxfMS45OTYuMzEvMDcvMjAyNi4uLlVTRC5IAQAAACB6BQADAAAAAADwVY0wO+/eCL7XrDQ7794IL0NJUS5OQVNEQVE6Q0FMTS5JUV9MQU5ELjEwMDAuMzEvMDcvMjAyNi4uLlVTRC5IAQAAACB6BQACAAAABzE3</t>
  </si>
  <si>
    <t>Ni4yNDMBCAAAAAUAAAABMQEAAAALLTE4ODEwNjg2NjgDAAAAAzE2MAIAAAAEMzA5OAQAAAABMAcAAAAJNy8zMS8yMDI2CAAAAAk1LzMwLzIwMjYJAAAAATDgXJEwO+/eCLg0sDQ7794IM0NJUS5OQVNEQVE6Q0FMTS5JUV9NQUNISU5FUlkuOTk0LjMxLzA3LzIwMjYuLi5VU0QuSAEAAAAgegUAAgAAAAc1MzEuNTQ1AQgAAAAFAAAAATEBAAAACy0yMDg4MzQ3NDY5AwAAAAMxNjACAAAABDMxMTQEAAAAATAHAAAACTcvMzEvMjAyNggAAAAJNS8zMC8yMDIwCQAAAAEw4FyRMDvv3gilDbA0O+/eCEBDSVEuTkFTREFROkNBTE0uSVFfTkFUVVJBTF9SRVNPVVJDRVNfQ09TVC45OTguMzEvMDcvMjAyNi4uLlVTRC5IAQAAACB6BQADAAAAAAD7g5EwO+/eCIW/rzQ7794IPUNJUS5OQVNEQVE6Q0FMTS5JUV9NSU5PUklUWV9JTlRfUkVERUVNLjk5OC4zMS8wNy8yMDI2Li4uVVNELkgBAAAAIHoFAAMAAAAAAPuDkTA7794IYHGvNDvv3gg9Q0lRLk5BU0RBUTpDQUxNLklRX0RFQlRfRVFVSVZfTkVUX1BCTy4xMDAwLjMxLzA3LzIwMjYuLi5VU0QuSAEAAAAgegUAAwAAAAAA8FWNMDvv3gjxr6s0O+/eCEZDSVEuTkFTREFROkNBTE0uSVFfR0VORVJBTF9QQVJUTkVSX1BSRUZfRVFVSVRZLjEwMDAuMzEvMDcvMjAyNi4uLlVTRC5IAQAAACB6BQADAAAAAAD7g5EwO+/eCEDorjQ7794ISENJUS5OQVNEQVE6Q0FMTS5JUV9UT1RB</t>
  </si>
  <si>
    <t>TF9HRU5FUkFMX1BBUlRORVJfSU5URVJFU1QuOTk0LjMxLzA3LzIwMjYuLi5VU0QuSAEAAAAgegUAAwAAAAAA+4ORMDvv3gj9wK40O+/eCE5DSVEuTkFTREFROkNBTE0uSVFfTElRVUlEQVRJT05fVkFMVUVfUFJFRkVSUkVEX0NPTlZFUlQuMTAwMC4zMS8wNy8yMDI2Li4uVVNELkgBAAAAIHoFAAMAAAAAAPuDkTA7794IO4auNDvv3gg4Q0lRLk5BU0RBUTpDQUxNLklRX0FTU0VUU19MRVZFTF8yLjk5OC4zMS8wNy8yMDI2Li4uVVNELkgBAAAAIHoFAAIAAAAHNTc0LjQ5OQD7g5EwO+/eCBo4rjQ7794IQ0NJUS5OQVNEQVE6Q0FMTS5JUV9ERVJJVkFUSVZFX0FTU0VUU19DVVJSRU5ULjk5NC4zMS8wNy8yMDI2Li4uVVNELkgBAAAAIHoFAAMAAAAAAM6QjTA7794IIDyqNDvv3ghAQ0lRLk5BU0RBUTpDQUxNLklRX0xJQUJJTElUSUVTX0ZBSVJfVkFMVUUuOTk0LjMxLzA3LzIwMjYuLi5VU0QuSAEAAAAgegUAAwAAAAAA8FWNMDvv3giVdaw0O+/eCEpDSVEuTkFTREFROkNBTE0uSVFfRkFJUl9WQUxVRV9DSEFOR0VfSU5DTF9FQVJOSU5HUy4xMDAwLjMxLzA3LzIwMjYuLi5VU0QuSAEAAAAgegUAAwAAAAAA8FWNMDvv3gh3J6w0O+/eCD9DSVEuTkFTREFROkNBTE0uSVFfRklOX0RJVl9MVF9ERUJUX1RPVEFMLjk5Ni4zMS8wNy8yMDI2Li4uVVNELkgBAAAAIHoFAAMAAAAAAPBVjTA7794Ibk6sNDvv3gg7Q0lRLk5B</t>
  </si>
  <si>
    <t>U0RBUTpDQUxNLklRX0ZJTl9ESVZfU1RfSU5WRVNULjk5NC4zMS8wNy8yMDI2Li4uVVNELkgBAAAAIHoFAAMAAAAAAPBVjTA7794I/NarNDvv3gg5Q0lRLk5BU0RBUTpDQUxNLklRX0lOVEVSQ09NUEFOWV9DTC45OTQuMzEvMDcvMjAyNi4uLlVTRC5IAQAAACB6BQADAAAAAAAhuI0wO+/eCKUDqTQ7794IP0NJUS5OQVNEQVE6Q0FMTS5JUV9SRVNUUklDVEVEX0NBU0hfVE9UQUwuOTk4LjMxLzA3LzIwMjYuLi5VU0QuSAEAAAAgegUAAwAAAAAA8FWNMDvv3gjXYas0O+/eCD5DSVEuTkFTREFROkNBTE0uSVFfV0FSUkFOVFlfTElBQklMSVRJRVMuOTk2LjMxLzA3LzIwMjYuLi5VU0QuSAEAAAAgegUAAwAAAAAAzpCNMDvv3gjD7Ko0O+/eCD1DSVEuTkFTREFROkNBTE0uSVFfTFRfREVCVF9ERVJJVkFUSVZFUy45OTYuMzEvMDcvMjAyNi4uLlVTRC5IAQAAACB6BQADAAAAAADOkI0wO+/eCEmeqjQ7794IRkNJUS5OQVNEQVE6Q0FMTS5JUV9ERVJJVkFUSVZFX0xJQUJfTk9OX0NVUlJFTlQuMTAwMC4zMS8wNy8yMDI2Li4uVVNELkgBAAAAIHoFAAMAAAAAAM6QjTA7794I7HaqNDvv3gg5Q0lRLk5BU0RBUTpDQUxNLklRX1BSRUZfTk9OX1JFREVFTS45OTYuMzEvMDcvMjAyNi4uLlVTRC5IAQAAACB6BQADAAAAAAB6/PowO+/eCKCitjQ7794IPENJUS5OQVNEQVE6Q0FMTS5JUV9HUk9TU19JTlRBTl9BU1NFVFMuOTk4</t>
  </si>
  <si>
    <t>LjMxLzA3LzIwMjYuLi5VU0QuSAEAAAAgegUAAgAAAAYzNy4wMjYBCAAAAAUAAAABMQEAAAALLTE4ODEwNjg2NzYDAAAAAzE2MAIAAAAFMjQyOTMEAAAAATAHAAAACTcvMzEvMjAyNggAAAAINi8xLzIwMjQJAAAAATDOkI0wO+/eCBMVqjQ7794IOENJUS5OQVNEQVE6Q0FMTS5JUV9BQ0NVTV9BTU9SVF9HVy45OTguMzEvMDcvMjAyNi4uLlVTRC5IAQAAACB6BQADAAAAAADOkI0wO+/eCAnHqTQ7794IMENJUS5OQVNEQVE6Q0FMTS5JUV9HV19ORVQuOTk2LjMxLzA3LzIwMjYuLi5VU0QuSAEAAAAgegUAAgAAAAY0NC4wMDYBCAAAAAUAAAABMQEAAAALLTE5ODY3MDg0MzMDAAAAAzE2MAIAAAAFNDg5NjAEAAAAATAHAAAACTcvMzEvMjAyNggAAAAJNS8yOC8yMDIyCQAAAAEwzpCNMDvv3gg3Uqk0O+/eCDpDSVEuTkFTREFROkNBTE0uSVFfSU5URVJDT01QQU5ZX0NBLjEwMDAuMzEvMDcvMjAyNi4uLlVTRC5IAQAAACB6BQADAAAAAAAhuI0wO+/eCNgqqTQ7794IM0NJUS5OQVNEQVE6Q0FMTS5JUV9SVUFfR1JPU1MuOTk2LjMxLzA3LzIwMjYuLi5VU0QuSAEAAAAgegUAAwAAAAAAWvqQMDvv3gixQrU0O+/eCD5DSVEuTkFTREFROkNBTE0uSVFfSU5URVJDT01QQU5ZX05PTl9DTC4xMDAwLjMxLzA3LzIwMjYuLi5VU0QuSAEAAAAgegUAAwAAAAAAIbiNMDvv3ghKyKg0O+/eCDpDSVEuTkFTREFROkNBTE0uSVFfTE9O</t>
  </si>
  <si>
    <t>R19URVJNX0xFQVNFUy45OTQuMzEvMDcvMjAyNi4uLlVTRC5IAQAAACB6BQACAAAABTIuMzg3AQgAAAAFAAAAATEBAAAACy0yMDg4MzQ3NDY5AwAAAAMxNjACAAAABDExODMEAAAAATAHAAAACTcvMzEvMjAyNggAAAAJNS8zMC8yMDIwCQAAAAEwevz6MDvv3gj37rc0O+/eCDlDSVEuTkFTREFROkNBTE0uSVFfRklOX0RJVl9MSUFCX0xULjk5OC4zMS8wNy8yMDI2Li4uVVNELkgBAAAAIHoFAAMAAAAAAHr8+jA7794I2qC3NDvv3gg3Q0lRLk5BU0RBUTpDQUxNLklRX09USEVSX0xJQUJfTFQuOTk2LjMxLzA3LzIwMjYuLi5VU0QuSAEAAAAgegUAAgAAAAYxMC4yNzQBCAAAAAUAAAABMQEAAAALLTE5ODY3MDg0MzMDAAAAAzE2MAIAAAAEMTA2MgQAAAABMAcAAAAJNy8zMS8yMDI2CAAAAAk1LzI4LzIwMjIJAAAAATB6/PowO+/eCLcrtzQ7794IQkNJUS5OQVNEQVE6Q0FMTS5JUV9GSU5BTkNFX0xFQVNFU19MT05HX1RFUk0uOTk2LjMxLzA3LzIwMjYuLi5VU0QuSAEAAAAgegUAAwAAAAAAYjWRMDvv3gg44rM0O+/eCDVDSVEuTkFTREFROkNBTE0uSVFfUFJFRl9PVEhFUi4xMDAwLjMxLzA3LzIwMjYuLi5VU0QuSAEAAAAgegUAAwAAAAAAWvqQMDvv3giMe7Y0O+/eCDBDSVEuTkFTREFROkNBTE0uSVFfQ09NTU9OLjk5NC4zMS8wNy8yMDI2Li4uVVNELkgBAAAAIHoFAAIAAAAFMC43NTEBCAAAAAUAAAABMQEAAAAL</t>
  </si>
  <si>
    <t>LTIwODgzNDc0NjkDAAAAAzE2MAIAAAAEMTEwMwQAAAABMAcAAAAJNy8zMS8yMDI2CAAAAAk1LzMwLzIwMjAJAAAAATBa+pAwO+/eCHMttjQ7794ILENJUS5OQVNEQVE6Q0FMTS5JUV9SRS45OTguMzEvMDcvMjAyNi4uLlVTRC5IAQAAACB6BQACAAAACDE3NTYuMzk1AQgAAAAFAAAAATEBAAAACy0xODgxMDY4Njc2AwAAAAMxNjACAAAABDEyMjIEAAAAATAHAAAACTcvMzEvMjAyNggAAAAINi8xLzIwMjQJAAAAATBa+pAwO+/eCF0GtjQ7794IPUNJUS5OQVNEQVE6Q0FMTS5JUV9UT1RBTF9DT01NT05fRVFVSVRZLjk5OC4zMS8wNy8yMDI2Li4uVVNELkgBAAAAIHoFAAIAAAAIMTgwMC4xNDcBCAAAAAUAAAABMQEAAAALLTE4ODEwNjg2NzYDAAAAAzE2MAIAAAAEMTAwNgQAAAABMAcAAAAJNy8zMS8yMDI2CAAAAAg2LzEvMjAyNAkAAAABMFr6kDA7794IA5G1NDvv3ggyQ0lRLk5BU0RBUTpDQUxNLklRX0dXX0lOVEFOLjk5NC4zMS8wNy8yMDI2Li4uVVNELkgBAAAAIHoFAAIAAAAGNTguMzQxAQgAAAAFAAAAATEBAAAACy0yMDg4MzQ3NDY5AwAAAAMxNjACAAAABTM1MzgxBAAAAAEwBwAAAAk3LzMxLzIwMjYIAAAACTUvMzAvMjAyMAkAAAABMGI1kTA7794IjUeyNDvv3ggyQ0lRLk5BU0RBUTpDQUxNLklRX1JVQV9ORVQuMTAwMC4zMS8wNy8yMDI2Li4uVVNELkgBAAAAIHoFAAMAAAAAAFr6kDA7794IU+C0NDvv</t>
  </si>
  <si>
    <t>3ghFQ0lRLk5BU0RBUTpDQUxNLklRX1JVQV9DQVBJVEFMX0xFQVNFX0FDQ1VNX0RFUC45OTQuMzEvMDcvMjAyNi4uLlVTRC5IAQAAACB6BQADAAAAAABa+pAwO+/eCFPgtDQ7794IQENJUS5OQVNEQVE6Q0FMTS5JUV9SVUFfQ0FQSVRBTF9MRUFTRV9ORVQuMTAwMC4zMS8wNy8yMDI2Li4uVVNELkgBAAAAIHoFAAMAAAAAAFr6kDA7794Ij6W0NDvv3gg/Q0lRLk5BU0RBUTpDQUxNLklRX0dQUEVfRVhDTF9PUEVSX0xFQVNFUy45OTguMzEvMDcvMjAyNi4uLlVTRC5IAQAAACB6BQACAAAACDE2NjIuMTc0AQgAAAAFAAAAATEBAAAACy0xODgxMDY4Njc2AwAAAAMxNjACAAAABTQ4OTc0BAAAAAEwBwAAAAk3LzMxLzIwMjYIAAAACDYvMS8yMDI0CQAAAAEwWvqQMDvv3ghYMLQ0O+/eCDVDSVEuTkFTREFROkNBTE0uSVFfQVJfVU5CSUxMRUQuOTk2LjMxLzA3LzIwMjYuLi5VU0QuSAEAAAAgegUAAwAAAAAA4FyRMDvv3gjLvbA0O+/eCDtDSVEuTkFTREFROkNBTE0uSVFfVE9UQUxfT1BFUl9MRUFTRVMuOTk0LjMxLzA3LzIwMjYuLi5VU0QuSAEAAAAgegUAAgAAAAUyLjUzMQEIAAAABQAAAAExAQAAAAstMjA4ODM0NzQ2OQMAAAADMTYwAgAAAAU0ODk3OAQAAAABMAcAAAAJNy8zMS8yMDI2CAAAAAk1LzMwLzIwMjAJAAAAATBiNZEwO+/eCCJZszQ7794IN0NJUS5OQVNEQVE6Q0FMTS5JUV9UT1RBTF9MRUFTRVMuMTAw</t>
  </si>
  <si>
    <t>MC4zMS8wNy8yMDI2Li4uVVNELkgBAAAAIHoFAAMAAAAAAGI1kTA7794IIlmzNDvv3ghAQ0lRLk5BU0RBUTpDQUxNLklRX1RPVEFMX0RFQlRfRVhDTF9MRUFTRVMuOTk4LjMxLzA3LzIwMjYuLi5VU0QuSAEAAAAgegUAAwAAAAAAYjWRMDvv3gjs47I0O+/eCDtDSVEuTkFTREFROkNBTE0uSVFfQlZfU0hBUkVfUkVQT1JURUQuOTk2LjMxLzA3LzIwMjYuLi5VU0QuSAEAAAAgegUAAwAAAAAAYjWRMDvv3gjavLI0O+/eCD9DSVEuTkFTREFROkNBTE0uSVFfTEVBU0VIT0xEX0lNUFJPVkVNRU5ULjk5Ni4zMS8wNy8yMDI2Li4uVVNELkgBAAAAIHoFAAMAAAAAAPuDkTA7794IcJivNDvv3gg1Q0lRLk5BU0RBUTpDQUxNLklRX0NBU0hfU0hBUkUuMTAwMC4zMS8wNy8yMDI2Li4uVVNELkgBAAAAIHoFAAIAAAAIMi4yODIxMzUBCAAAAAUAAAABMQEAAAALLTE4ODEwNjg2NjgDAAAAAzE2MAIAAAAENDM4MQQAAAABMAcAAAAJNy8zMS8yMDI2CAAAAAk1LzMwLzIwMjYJAAAAATDgXJEwO+/eCNjjsTQ7794IPENJUS5OQVNEQVE6Q0FMTS5JUV9UT1RBTF9ERUJUX0NVUlJFTlQuOTk0LjMxLzA3LzIwMjYuLi5VU0QuSAEAAAAgegUAAgAAAAUxLjAwMQEIAAAABQAAAAExAQAAAAstMjA4ODM0NzQ2OQMAAAADMTYwAgAAAAUyNTIyMwQAAAABMAcAAAAJNy8zMS8yMDI2CAAAAAk1LzMwLzIwMjAJAAAAATDgXJEwO+/eCJm8sTQ7</t>
  </si>
  <si>
    <t>794IMkNJUS5OQVNEQVE6Q0FMTS5JUV9ORVRfREVCVC45OTguMzEvMDcvMjAyNi4uLlVTRC5IAQAAACB6BQACAAAACC04MTIuMzc3AQgAAAAFAAAAATEBAAAACy0xODgxMDY4Njc2AwAAAAMxNjACAAAABDQzNjQEAAAAATAHAAAACTcvMzEvMjAyNggAAAAINi8xLzIwMjQJAAAAATDgXJEwO+/eCNWBsTQ7794IOUNJUS5OQVNEQVE6Q0FMTS5JUV9ORVRfV09SS0lOR19DQVAuOTk2LjMxLzA3LzIwMjYuLi5VU0QuSAEAAAAgegUAAgAAAAczMDIuMzMyAQgAAAAFAAAAATEBAAAACy0xOTg2NzA4NDMzAwAAAAMxNjACAAAABDEzMTEEAAAAATAHAAAACTcvMzEvMjAyNggAAAAJNS8yOC8yMDIyCQAAAAEw4FyRMDvv3gjRH7E0O+/eCDhDSVEuTkFTREFROkNBTE0uSVFfQVNTRVRTX0xFVkVMXzEuOTk2LjMxLzA3LzIwMjYuLi5VU0QuSAEAAAAgegUAAgAAAAUzLjc1MgD7g5EwO+/eCBo4rjQ7794IMENJUS5OQVNEQVE6Q0FMTS5JUV9MSUZPUi4xMDAwLjMxLzA3LzIwMjYuLi5VU0QuSAEAAAAgegUAAwAAAAAA4FyRMDvv3gjLvbA0O+/eCDFDSVEuTkFTREFROkNBTE0uSVFfV0lQX0lOVi45OTQuMzEvMDcvMjAyNi4uLlVTRC5IAQAAACB6BQADAAAAAADgXJEwO+/eCImWsDQ7794IM0NJUS5OQVNEQVE6Q0FMTS5JUV9PVEhFUl9JTlYuOTk4LjMxLzA3LzIwMjYuLi5VU0QuSAEAAAAgegUAAwAAAAAA4FyRMDvv3gjDW7A0</t>
  </si>
  <si>
    <t>O+/eCDNDSVEuTkFTREFROkNBTE0uSVFfTUFDSElORVJZLjk5OC4zMS8wNy8yMDI2Li4uVVNELkgBAAAAIHoFAAIAAAAHNzgyLjczNgEIAAAABQAAAAExAQAAAAstMTg4MTA2ODY3NgMAAAADMTYwAgAAAAQzMTE0BAAAAAEwBwAAAAk3LzMxLzIwMjYIAAAACDYvMS8yMDI0CQAAAAEw4FyRMDvv3gilDbA0O+/eCDxDSVEuTkFTREFROkNBTE0uSVFfRklOX0RJVl9ERUJUX1RPVEFMLjk5NC4zMS8wNy8yMDI2Li4uVVNELkgBAAAAIHoFAAMAAAAAAPBVjTA7794IIP6rNDvv3ghGQ0lRLk5BU0RBUTpDQUxNLklRX0ZJTl9ESVZfTUlOT1JJVFlfSU5UX1JFREVFTS4xMDAwLjMxLzA3LzIwMjYuLi5VU0QuSAEAAAAgegUAAwAAAAAA+4ORMDvv3ghgca80O+/eCENDSVEuTkFTREFROkNBTE0uSVFfRklOX0RJVl9NSU5PUklUWV9JTlRFUkVTVC45OTQuMzEvMDcvMjAyNi4uLlVTRC5IAQAAACB6BQADAAAAAAD7g5EwO+/eCFdKrzQ7794IRkNJUS5OQVNEQVE6Q0FMTS5JUV9ERUZfVEFYX1ZBTFVBVElPTl9BTExPV0FOQ0UuMTAwMC4zMS8wNy8yMDI2Li4uVVNELkgBAAAAIHoFAAMAAAAAAPuDkTA7794IQOiuNDvv3ghIQ0lRLk5BU0RBUTpDQUxNLklRX1RPVEFMX0dFTkVSQUxfUEFSVE5FUl9JTlRFUkVTVC45OTguMzEvMDcvMjAyNi4uLlVTRC5IAQAAACB6BQADAAAAAAD7g5EwO+/eCDuGrjQ7794IR0NJUS5OQVNEQVE6</t>
  </si>
  <si>
    <t>Q0FMTS5JUV9DVVJSRU5UX1BPUlRfREVCVF9ERVJJVkFUSVZFUy45OTQuMzEvMDcvMjAyNi4uLlVTRC5IAQAAACB6BQADAAAAAADOkI0wO+/eCJ7FqjQ7794IO0NJUS5OQVNEQVE6Q0FMTS5JUV9BU1NFVFNfRkFJUl9WQUxVRS45OTQuMzEvMDcvMjAyNi4uLlVTRC5IAQAAACB6BQACAAAABzE1Ni45MTIA8FWNMDvv3gi+16w0O+/eCD5DSVEuTkFTREFROkNBTE0uSVFfTElBQklMSVRJRVNfTEVWRUxfMS4xMDAwLjMxLzA3LzIwMjYuLi5VU0QuSAEAAAAgegUAAwAAAAAA8FWNMDvv3giOsKw0O+/eCEBDSVEuTkFTREFROkNBTE0uSVFfTElBQklMSVRJRVNfRkFJUl9WQUxVRS45OTguMzEvMDcvMjAyNi4uLlVTRC5IAQAAACB6BQACAAAAAzYuNQDwVY0wO+/eCG5OrDQ7794IQENJUS5OQVNEQVE6Q0FMTS5JUV9GSU5fRElWX0xUX0RFQlRfVE9UQUwuMTAwMC4zMS8wNy8yMDI2Li4uVVNELkgBAAAAIHoFAAMAAAAAAPBVjTA7794IdyesNDvv3gg2Q0lRLk5BU0RBUTpDQUxNLklRX0dXX0lOVEFOX05FVC45OTQuMzEvMDcvMjAyNi4uLlVTRC5IAQAAACB6BQADAAAAAADOkI0wO+/eCAF5qTQ7794IO0NJUS5OQVNEQVE6Q0FMTS5JUV9GSU5fRElWX1NUX0lOVkVTVC45OTguMzEvMDcvMjAyNi4uLlVTRC5IAQAAACB6BQADAAAAAADwVY0wO+/eCPzWqzQ7794IRUNJUS5OQVNEQVE6Q0FMTS5JUV9SRVNUUklDVEVEX0NB</t>
  </si>
  <si>
    <t>U0hfTk9OX0NVUlJFTlQuOTk2LjMxLzA3LzIwMjYuLi5VU0QuSAEAAAAgegUAAwAAAAAA8FWNMDvv3gjOiKs0O+/eCDdDSVEuTkFTREFROkNBTE0uSVFfT1JERVJfQkFDS0xPRy45OTYuMzEvMDcvMjAyNi4uLlVTRC5IAQAAACB6BQADAAAAAADwVY0wO+/eCLwTqzQ7794IP0NJUS5OQVNEQVE6Q0FMTS5JUV9XQVJSQU5UWV9MSUFCSUxJVElFUy4xMDAwLjMxLzA3LzIwMjYuLi5VU0QuSAEAAAAgegUAAwAAAAAAzpCNMDvv3gjD7Ko0O+/eCEhDSVEuTkFTREFROkNBTE0uSVFfVE9UQUxfR0VORVJBTF9QQVJUTkVSX0lOVEVSRVNULjk5Ny4zMS8wNy8yMDI2Li4uVVNELkgBAAAAIHoFAAMAAAAAAPuDkTA7794IO4auNDvv3ghBQ0lRLk5BU0RBUTpDQUxNLklRX0RFUklWQVRJVkVfTElBQl9DVVJSRU5ULjk5OC4zMS8wNy8yMDI2Li4uVVNELkgBAAAAIHoFAAMAAAAAAM6QjTA7794ISZ6qNDvv3ghDQ0lRLk5BU0RBUTpDQUxNLklRX0RFUklWQVRJVkVfQVNTRVRTX0NVUlJFTlQuOTk4LjMxLzA3LzIwMjYuLi5VU0QuSAEAAAAgegUAAwAAAAAAzpCNMDvv3gggPKo0O+/eCDJDSVEuTkFTREFROkNBTE0uSVFfR1JPU1NfR1cuOTk2LjMxLzA3LzIwMjYuLi5VU0QuSAEAAAAgegUAAwAAAAAAzpCNMDvv3ggJx6k0O+/eCD1DSVEuTkFTREFROkNBTE0uSVFfTFRfTUFSS19TRUNVUklUSUVTLjEwMDAuMzEvMDcvMjAyNi4u</t>
  </si>
  <si>
    <t>LlVTRC5IAQAAACB6BQADAAAAAADOkI0wO+/eCPqfqTQ7794IP0NJUS5OQVNEQVE6Q0FMTS5JUV9GSU5fRElWX0xUX0RFQlRfVE9UQUwuOTk5LjMxLzA3LzIwMjYuLi5VU0QuSAEAAAAgegUAAwAAAAAA8FWNMDvv3gh3J6w0O+/eCDFDSVEuTkFTREFROkNBTE0uSVFfR1dfTkVULjEwMDAuMzEvMDcvMjAyNi4uLlVTRC5IAQAAACB6BQACAAAABjk3LjA1OQEIAAAABQAAAAExAQAAAAstMTg4MTA2ODY2OAMAAAADMTYwAgAAAAU0ODk2MAQAAAABMAcAAAAJNy8zMS8yMDI2CAAAAAk1LzMwLzIwMjYJAAAAATDOkI0wO+/eCDdSqTQ7794IOUNJUS5OQVNEQVE6Q0FMTS5JUV9JTlRFUkNPTVBBTllfQ0wuOTk4LjMxLzA3LzIwMjYuLi5VU0QuSAEAAAAgegUAAwAAAAAAIbiNMDvv3giK76g0O+/eCEVDSVEuTkFTREFROkNBTE0uSVFfRklOX0RJVl9NSU5PUklUWV9JTlRfUkVERUVNLjk5OS4zMS8wNy8yMDI2Li4uVVNELkgBAAAAIHoFAAMAAAAAAPuDkTA7794IYHGvNDvv3ghHQ0lRLk5BU0RBUTpDQUxNLklRX0dFTkVSQUxfUEFSVE5FUl9DT01NT05fRVFVSVRZLjk5Ny4zMS8wNy8yMDI2Li4uVVNELkgBAAAAIHoFAAMAAAAAAPuDkTA7794IXg+vNDvv3gg+Q0lRLk5BU0RBUTpDQUxNLklRX0RFUklWQVRJVkVfQVNTRVRTX0xULjk5NS4zMS8wNy8yMDI2Li4uVVNELkgBAAAAIHoFAAMAAAAAAM6QjTA7794IIDyqNDvv</t>
  </si>
  <si>
    <t>3gg4Q0lRLk5BU0RBUTpDQUxNLklRX0FTU0VUU19MRVZFTF8xLjk5NS4zMS8wNy8yMDI2Li4uVVNELkgBAAAAIHoFAAIAAAAFNC4xMTYA+4ORMDvv3ggaOK40O+/eCDhDSVEuTkFTREFROkNBTE0uSVFfQVNTRVRTX0xFVkVMXzMuOTk5LjMxLzA3LzIwMjYuLi5VU0QuSAEAAAAgegUAAwAAAAAA+4ORMDvv3gjUEK40O+/eCD1DSVEuTkFTREFROkNBTE0uSVFfTElBQklMSVRJRVNfTEVWRUxfMS45OTkuMzEvMDcvMjAyNi4uLlVTRC5IAQAAACB6BQADAAAAAADwVY0wO+/eCI6wrDQ7794IQENJUS5OQVNEQVE6Q0FMTS5JUV9MSUFCSUxJVElFU19GQUlSX1ZBTFVFLjk5Ny4zMS8wNy8yMDI2Li4uVVNELkgBAAAAIHoFAAMAAAAAAPBVjTA7794Ibk6sNDvv3gg+Q0lRLk5BU0RBUTpDQUxNLklRX0RFUklWQVRJVkVfQVNTRVRTX0xULjk5NC4zMS8wNy8yMDI2Li4uVVNELkgBAAAAIHoFAAMAAAAAAM6QjTA7794IIDyqNDvv3gg7Q0lRLk5BU0RBUTpDQUxNLklRX0ZJTl9ESVZfU1RfSU5WRVNULjk5Ny4zMS8wNy8yMDI2Li4uVVNELkgBAAAAIHoFAAMAAAAAAPBVjTA7794I/NarNDvv3ghFQ0lRLk5BU0RBUTpDQUxNLklRX1JFU1RSSUNURURfQ0FTSF9OT05fQ1VSUkVOVC45OTUuMzEvMDcvMjAyNi4uLlVTRC5IAQAAACB6BQADAAAAAADwVY0wO+/eCM6IqzQ7794IPkNJUS5OQVNEQVE6Q0FMTS5JUV9XQVJSQU5UWV9M</t>
  </si>
  <si>
    <t>SUFCSUxJVElFUy45OTkuMzEvMDcvMjAyNi4uLlVTRC5IAQAAACB6BQADAAAAAADOkI0wO+/eCMPsqjQ7794IQUNJUS5OQVNEQVE6Q0FMTS5JUV9ERVJJVkFUSVZFX0xJQUJfQ1VSUkVOVC45OTcuMzEvMDcvMjAyNi4uLlVTRC5IAQAAACB6BQADAAAAAADOkI0wO+/eCEmeqjQ7794IPENJUS5OQVNEQVE6Q0FMTS5JUV9UT1RBTF9SRVZfRU1QTE9ZRUUuOTk2LjMxLzA3LzIwMjYuLi5VU0QuSAEAAAAgegUAAgAAAAY2MDkuNjYBCAAAAAUAAAABMQEAAAALLTE5ODY3MDg0MzMDAAAAAzE2MAIAAAAENDEyMwQAAAABMAcAAAAJNy8zMS8yMDI2CAAAAAk1LzI4LzIwMjIJAAAAATCyiIcwO+/eCErIqDQ7794IMkNJUS5OQVNEQVE6Q0FMTS5JUV9HUk9TU19HVy45OTUuMzEvMDcvMjAyNi4uLlVTRC5IAQAAACB6BQADAAAAAADOkI0wO+/eCAnHqTQ7794IPENJUS5OQVNEQVE6Q0FMTS5JUV9MVF9NQVJLX1NFQ1VSSVRJRVMuOTk5LjMxLzA3LzIwMjYuLi5VU0QuSAEAAAAgegUAAwAAAAAAzpCNMDvv3gj6n6k0O+/eCDNDSVEuTkFTREFROkNBTE0uSVFfSU5UQU5fTkVULjk5Ny4zMS8wNy8yMDI2Li4uVVNELkgBAAAAIHoFAAIAAAAGMTUuODk3AQgAAAAFAAAAATEBAAAACy0xOTM0OTc4NDIwAwAAAAMxNjACAAAABTQ4OTYyBAAAAAEwBwAAAAk3LzMxLzIwMjYIAAAACDYvMy8yMDIzCQAAAAEwzpCNMDvv3gg3Uqk0O+/e</t>
  </si>
  <si>
    <t>CDlDSVEuTkFTREFROkNBTE0uSVFfSU5URVJDT01QQU5ZX0NMLjk5Ny4zMS8wNy8yMDI2Li4uVVNELkgBAAAAIHoFAAMAAAAAACG4jTA7794IpQOpNDvv3ggzQ0lRLk5BU0RBUTpDQUxNLklRX1NPRlRXQVJFLjEwMDAuMzEvMDcvMjAyNi4uLlVTRC5IAQAAACB6BQADAAAAAADgXJEwO+/eCJLmrzQ7794IPUNJUS5OQVNEQVE6Q0FMTS5JUV9HUk9TU19JTlRBTl9BU1NFVFMuMTAwMC4zMS8wNy8yMDI2Li4uVVNELkgBAAAAIHoFAAIAAAAGOTkuMTI4AQgAAAAFAAAAATEBAAAACy0xODgxMDY4NjY4AwAAAAMxNjACAAAABTI0MjkzBAAAAAEwBwAAAAk3LzMxLzIwMjYIAAAACTUvMzAvMjAyNgkAAAABMM6QjTA7794IExWqNDvv3gg8Q0lRLk5BU0RBUTpDQUxNLklRX0xUX01BUktfU0VDVVJJVElFUy45OTguMzEvMDcvMjAyNi4uLlVTRC5IAQAAACB6BQADAAAAAADOkI0wO+/eCPqfqTQ7794IM0NJUS5OQVNEQVE6Q0FMTS5JUV9JTlRBTl9ORVQuOTk2LjMxLzA3LzIwMjYuLi5VU0QuSAEAAAAgegUAAgAAAAYxOC4xMzEBCAAAAAUAAAABMQEAAAALLTE5ODY3MDg0MzMDAAAAAzE2MAIAAAAFNDg5NjIEAAAAATAHAAAACTcvMzEvMjAyNggAAAAJNS8yOC8yMDIyCQAAAAEwzpCNMDvv3gjYKqk0O+/eCD1DSVEuTkFTREFROkNBTE0uSVFfSU5URVJDT01QQU5ZX05PTl9DTC45OTQuMzEvMDcvMjAyNi4uLlVTRC5IAQAA</t>
  </si>
  <si>
    <t>ACB6BQADAAAAAAAhuI0wO+/eCKUDqTQ7794ITENJUS5OQVNEQVE6Q0FMTS5JUV9MSVFVSURBVElPTl9WQUxVRV9QUkVGRVJSRURfUkVERUVNLjk5NC4zMS8wNy8yMDI2Li4uVVNELkgBAAAAIHoFAAMAAAAAAPuDkTA7794IK1+uNDvv3gg8Q0lRLk5BU0RBUTpDQUxNLklRX1RPVEFMX1JFVl9FTVBMT1lFRS45OTUuMzEvMDcvMjAyNi4uLlVTRC5IAQAAACB6BQACAAAABjQxOS4wNwEIAAAABQAAAAExAQAAAAstMjAzNzI0MTcyMQMAAAADMTYwAgAAAAQ0MTIzBAAAAAEwBwAAAAk3LzMxLzIwMjYIAAAACTUvMjkvMjAyMQkAAAABMLKIhzA7794ISsioNDvv3gg3Q0lRLk5BU0RBUTpDQUxNLklRX0VRVUlUWV9NRVRIT0QuOTk0LjMxLzA3LzIwMjYuLi5VU0QuSAEAAAAgegUAAgAAAAY2MC45ODIBCAAAAAUAAAABMQEAAAALLTIwODgzNDc0NjkDAAAAAzE2MAIAAAAEMzA2MwQAAAABMAcAAAAJNy8zMS8yMDI2CAAAAAk1LzMwLzIwMjAJAAAAATDgXJEwO+/eCI/4sDQ7794IMUNJUS5OQVNEQVE6Q0FMTS5JUV9XSVBfSU5WLjk5OC4zMS8wNy8yMDI2Li4uVVNELkgBAAAAIHoFAAMAAAAAAOBckTA7794Iw1uwNDvv3ggzQ0lRLk5BU0RBUTpDQUxNLklRX0JVSUxESU5HUy45OTYuMzEvMDcvMjAyNi4uLlVTRC5IAQAAACB6BQACAAAABzUxNy44NTkBCAAAAAUAAAABMQEAAAALLTE5ODY3MDg0MzMDAAAAAzE2MAIAAAAE</t>
  </si>
  <si>
    <t>MzAyMwQAAAABMAcAAAAJNy8zMS8yMDI2CAAAAAk1LzI4LzIwMjIJAAAAATDgXJEwO+/eCKUNsDQ7794IP0NJUS5OQVNEQVE6Q0FMTS5JUV9ERUJUX0VRVUlWX09QRVJfTEVBU0UuOTk2LjMxLzA3LzIwMjYuLi5VU0QuSAEAAAAgegUAAwAAAAAA8FWNMDvv3gjOiKs0O+/eCC1DSVEuTkFTREFROkNBTE0uSVFfQ0lQLjk5NC4zMS8wNy8yMDI2Li4uVVNELkgBAAAAIHoFAAIAAAAHMTI2LjA2MQEIAAAABQAAAAExAQAAAAstMjA4ODM0NzQ2OQMAAAADMTYwAgAAAAQzMDMzBAAAAAEwBwAAAAk3LzMxLzIwMjYIAAAACTUvMzAvMjAyMAkAAAABMPuDkTA7794Ihb+vNDvv3ghAQ0lRLk5BU0RBUTpDQUxNLklRX0xFQVNFSE9MRF9JTVBST1ZFTUVOVC4xMDAwLjMxLzA3LzIwMjYuLi5VU0QuSAEAAAAgegUAAwAAAAAA+4ORMDvv3ghgca80O+/eCENDSVEuTkFTREFROkNBTE0uSVFfRklOX0RJVl9NSU5PUklUWV9JTlRFUkVTVC45OTguMzEvMDcvMjAyNi4uLlVTRC5IAQAAACB6BQADAAAAAAD7g5EwO+/eCBMjrzQ7794IS0NJUS5OQVNEQVE6Q0FMTS5JUV9HRU5FUkFMX1BBUlRORVJfTUlOT1JJVFlfSU5URVJFU1QuOTk2LjMxLzA3LzIwMjYuLi5VU0QuSAEAAAAgegUAAwAAAAAA+4ORMDvv3gj9wK40O+/eCENDSVEuTkFTREFROkNBTE0uSVFfREVSSVZBVElWRV9UUkFESU5HX0FTU0VUUy45OTYuMzEvMDcvMjAyNi4u</t>
  </si>
  <si>
    <t>LlVTRC5IAQAAACB6BQADAAAAAADOkI0wO+/eCCA8qjQ7794IOUNJUS5OQVNEQVE6Q0FMTS5JUV9BU1NFVFNfTEVWRUxfMS4xMDAwLjMxLzA3LzIwMjYuLi5VU0QuSAEAAAAgegUAAwAAAAAA+4ORMDvv3ggaOK40O+/eCDtDSVEuTkFTREFROkNBTE0uSVFfQVNTRVRTX0ZBSVJfVkFMVUUuOTk4LjMxLzA3LzIwMjYuLi5VU0QuSAEAAAAgegUAAgAAAAc1NzQuNDk5APBVjTA7794IvtesNDvv3ghPQ0lRLk5BU0RBUTpDQUxNLklRX0xJQUJJTElUSUVTX05FVFRJTkdfT1RIRVJfQURKVVNUTUVOVFMuOTk2LjMxLzA3LzIwMjYuLi5VU0QuSAEAAAAgegUAAwAAAAAA8FWNMDvv3giVdaw0O+/eCDxDSVEuTkFTREFROkNBTE0uSVFfRklOX0RJVl9DQVNIX0VRVUlWLjk5Ni4zMS8wNy8yMDI2Li4uVVNELkgBAAAAIHoFAAMAAAAAAPBVjTA7794IIP6rNDvv3gg9Q0lRLk5BU0RBUTpDQUxNLklRX0lOVEVSQ09NUEFOWV9OT05fQ0EuOTk2LjMxLzA3LzIwMjYuLi5VU0QuSAEAAAAgegUAAwAAAAAAIbiNMDvv3gilA6k0O+/eCEZDSVEuTkFTREFROkNBTE0uSVFfUkVTVFJJQ1RFRF9DQVNIX05PTl9DVVJSRU5ULjEwMDAuMzEvMDcvMjAyNi4uLlVTRC5IAQAAACB6BQADAAAAAADwVY0wO+/eCNdhqzQ7794IPUNJUS5OQVNEQVE6Q0FMTS5JUV9UT1RBTF9ERUJUX0VYQ0xfRklOLjk5NC4zMS8wNy8yMDI2Li4uVVNELkgBAAAA</t>
  </si>
  <si>
    <t>IHoFAAIAAAAFMy4zODgBCAAAAAUAAAABMQEAAAALLTIwODgzNDc0NjkDAAAAAzE2MAIAAAAFMjE4NjAEAAAAATAHAAAACTcvMzEvMjAyNggAAAAJNS8zMC8yMDIwCQAAAAEw8FWNMDvv3givOqs0O+/eCEBDSVEuTkFTREFROkNBTE0uSVFfQ09OVElOR0VOVF9MSUFCSUxJVElFUy45OTguMzEvMDcvMjAyNi4uLlVTRC5IAQAAACB6BQADAAAAAADOkI0wO+/eCLwTqzQ7794IR0NJUS5OQVNEQVE6Q0FMTS5JUV9DVVJSRU5UX1BPUlRfREVCVF9ERVJJVkFUSVZFUy45OTguMzEvMDcvMjAyNi4uLlVTRC5IAQAAACB6BQADAAAAAADOkI0wO+/eCJ7FqjQ7794IQENJUS5OQVNEQVE6Q0FMTS5JUV9UT1RBTF9ERUJUX05PTl9DVVJSRU5ULjk5NS4zMS8wNy8yMDI2Li4uVVNELkgBAAAAIHoFAAIAAAAFMS40NzIBCAAAAAUAAAABMQEAAAALLTIwMzcyNDE3MjEDAAAAAzE2MAIAAAAFMjUyMjQEAAAAATAHAAAACTcvMzEvMjAyNggAAAAJNS8yOS8yMDIxCQAAAAEw4FyRMDvv3giZvLE0O+/eCD9DSVEuTkFTREFROkNBTE0uSVFfREVSSVZBVElWRV9BU1NFVFNfTFQuMTAwMC4zMS8wNy8yMDI2Li4uVVNELkgBAAAAIHoFAAMAAAAAAM6QjTA7794IExWqNDvv3ghCQ0lRLk5BU0RBUTpDQUxNLklRX0FDQ1VNX0FNT1JUX0lOVEFOX0FTU0VUUy45OTQuMzEvMDcvMjAyNi4uLlVTRC5IAQAAACB6BQACAAAABy0yOS43NzMBCAAA</t>
  </si>
  <si>
    <t>AAUAAAABMQEAAAALLTIwODgzNDc0NjkDAAAAAzE2MAIAAAAFMjQzMzEEAAAAATAHAAAACTcvMzEvMjAyNggAAAAJNS8zMC8yMDIwCQAAAAEwzpCNMDvv3gge7qk0O+/eCDNDSVEuTkFTREFROkNBTE0uSVFfR1JPU1NfR1cuMTAwMC4zMS8wNy8yMDI2Li4uVVNELkgBAAAAIHoFAAMAAAAAAM6QjTA7794ICcepNDvv3gg2Q0lRLk5BU0RBUTpDQUxNLklRX0dXX0lOVEFOX05FVC45OTguMzEvMDcvMjAyNi4uLlVTRC5IAQAAACB6BQADAAAAAADOkI0wO+/eCAF5qTQ7794IPUNJUS5OQVNEQVE6Q0FMTS5JUV9NSU5PUklUWV9JTlRfUkVERUVNLjk5Ny4zMS8wNy8yMDI2Li4uVVNELkgBAAAAIHoFAAMAAAAAAPuDkTA7794IYHGvNDvv3gg8Q0lRLk5BU0RBUTpDQUxNLklRX1RPVEFMX1JFVl9FTVBMT1lFRS45OTQuMzEvMDcvMjAyNi4uLlVTRC5IAQAAACB6BQACAAAABzM4MC44NDIBCAAAAAUAAAABMQEAAAALLTIwODgzNDc0NjkDAAAAAzE2MAIAAAAENDEyMwQAAAABMAcAAAAJNy8zMS8yMDI2CAAAAAk1LzMwLzIwMjAJAAAAATCyiIcwO+/eCErIqDQ7794IRUNJUS5OQVNEQVE6Q0FMTS5JUV9UT1RBTF9ERUJUX0VYQ0xfT1BFUl9MRUFTRVMuOTk1LjMxLzA3LzIwMjYuLi5VU0QuSAEAAAAgegUAAgAAAAUwLjY1MwEIAAAABQAAAAExAQAAAAstMjAzNzI0MTcyMQMAAAADMTYwAgAAAAU0ODk4MgQAAAABMAcAAAAJ</t>
  </si>
  <si>
    <t>Ny8zMS8yMDI2CAAAAAk1LzI5LzIwMjEJAAAAATBiNZEwO+/eCPgKszQ7794IO0NJUS5OQVNEQVE6Q0FMTS5JUV9CVl9TSEFSRV9SRVBPUlRFRC45OTkuMzEvMDcvMjAyNi4uLlVTRC5IAQAAACB6BQADAAAAAABiNZEwO+/eCJ2VsjQ7794IMkNJUS5OQVNEQVE6Q0FMTS5JUV9HV19JTlRBTi45OTcuMzEvMDcvMjAyNi4uLlVTRC5IAQAAACB6BQACAAAABjU5LjkwMwEIAAAABQAAAAExAQAAAAstMTkzNDk3ODQyMAMAAAADMTYwAgAAAAUzNTM4MQQAAAABMAcAAAAJNy8zMS8yMDI2CAAAAAg2LzMvMjAyMwkAAAABMGI1kTA7794Inx6yNDvv3gg7Q0lRLk5BU0RBUTpDQUxNLklRX0FTU0VUU19GQUlSX1ZBTFVFLjk5Ny4zMS8wNy8yMDI2Li4uVVNELkgBAAAAIHoFAAIAAAAGMzU1LjA5APBVjTA7794IvtesNDvv3gg5Q0lRLk5BU0RBUTpDQUxNLklRX05FVF9XT1JLSU5HX0NBUC45OTkuMzEvMDcvMjAyNi4uLlVTRC5IAQAAACB6BQACAAAABzI2Ny42MzkBCAAAAAUAAAABMQEAAAALLTE4ODEwNjg2NzUDAAAAAzE2MAIAAAAEMTMxMQQAAAABMAcAAAAJNy8zMS8yMDI2CAAAAAk1LzMxLzIwMjUJAAAAATDgXJEwO+/eCNEfsTQ7794INkNJUS5OQVNEQVE6Q0FMTS5JUV9GSU5JU0hFRF9JTlYuOTk1LjMxLzA3LzIwMjYuLi5VU0QuSAEAAAAgegUAAgAAAAY5NC41MTUBCAAAAAUAAAABMQEAAAALLTIwMzcyNDE3MjED</t>
  </si>
  <si>
    <t>AAAAAzE2MAIAAAAEMzA3NQQAAAABMAcAAAAJNy8zMS8yMDI2CAAAAAk1LzI5LzIwMjEJAAAAATDgXJEwO+/eCImWsDQ7794IM0NJUS5OQVNEQVE6Q0FMTS5JUV9CVUlMRElOR1MuOTk1LjMxLzA3LzIwMjYuLi5VU0QuSAEAAAAgegUAAgAAAAc0NTQuMzMyAQgAAAAFAAAAATEBAAAACy0yMDM3MjQxNzIxAwAAAAMxNjACAAAABDMwMjMEAAAAATAHAAAACTcvMzEvMjAyNggAAAAJNS8yOS8yMDIxCQAAAAEw4FyRMDvv3gilDbA0O+/eCDJDSVEuTkFTREFROkNBTE0uSVFfU09GVFdBUkUuOTk5LjMxLzA3LzIwMjYuLi5VU0QuSAEAAAAgegUAAwAAAAAA4FyRMDvv3giS5q80O+/eCD1DSVEuTkFTREFROkNBTE0uSVFfTFRfREVCVF9ERVJJVkFUSVZFUy45OTUuMzEvMDcvMjAyNi4uLlVTRC5IAQAAACB6BQADAAAAAADOkI0wO+/eCJ7FqjQ7794IQ0NJUS5OQVNEQVE6Q0FMTS5JUV9GSU5fRElWX01JTk9SSVRZX0lOVEVSRVNULjk5Ny4zMS8wNy8yMDI2Li4uVVNELkgBAAAAIHoFAAMAAAAAAPuDkTA7794IEyOvNDvv3ghLQ0lRLk5BU0RBUTpDQUxNLklRX0dFTkVSQUxfUEFSVE5FUl9NSU5PUklUWV9JTlRFUkVTVC45OTUuMzEvMDcvMjAyNi4uLlVTRC5IAQAAACB6BQADAAAAAAD7g5EwO+/eCP3ArjQ7794ITUNJUS5OQVNEQVE6Q0FMTS5JUV9MSVFVSURBVElPTl9WQUxVRV9QUkVGRVJSRURfQ09OVkVSVC45OTku</t>
  </si>
  <si>
    <t>MzEvMDcvMjAyNi4uLlVTRC5IAQAAACB6BQADAAAAAAD7g5EwO+/eCDuGrjQ7794IOENJUS5OQVNEQVE6Q0FMTS5JUV9BU1NFVFNfTEVWRUxfMS45OTkuMzEvMDcvMjAyNi4uLlVTRC5IAQAAACB6BQADAAAAAAD7g5EwO+/eCBo4rjQ7794IPUNJUS5OQVNEQVE6Q0FMTS5JUV9JTlRFUkNPTVBBTllfTk9OX0NBLjk5NS4zMS8wNy8yMDI2Li4uVVNELkgBAAAAIHoFAAMAAAAAACG4jTA7794IpQOpNDvv3ghPQ0lRLk5BU0RBUTpDQUxNLklRX0xJQUJJTElUSUVTX05FVFRJTkdfT1RIRVJfQURKVVNUTUVOVFMuOTk1LjMxLzA3LzIwMjYuLi5VU0QuSAEAAAAgegUAAwAAAAAA8FWNMDvv3giVdaw0O+/eCDxDSVEuTkFTREFROkNBTE0uSVFfRklOX0RJVl9DQVNIX0VRVUlWLjk5NS4zMS8wNy8yMDI2Li4uVVNELkgBAAAAIHoFAAMAAAAAAPBVjTA7794I/NarNDvv3ghFQ0lRLk5BU0RBUTpDQUxNLklRX1JFU1RSSUNURURfQ0FTSF9OT05fQ1VSUkVOVC45OTkuMzEvMDcvMjAyNi4uLlVTRC5IAQAAACB6BQADAAAAAADwVY0wO+/eCNdhqzQ7794IQENJUS5OQVNEQVE6Q0FMTS5JUV9DT05USU5HRU5UX0xJQUJJTElUSUVTLjk5Ny4zMS8wNy8yMDI2Li4uVVNELkgBAAAAIHoFAAMAAAAAAM6QjTA7794IvBOrNDvv3gg4Q0lRLk5BU0RBUTpDQUxNLklRX0FDQ1VNX0FNT1JUX0dXLjk5Ni4zMS8wNy8yMDI2Li4uVVNELkgB</t>
  </si>
  <si>
    <t>AAAAIHoFAAMAAAAAAM6QjTA7794ICcepNDvv3ghDQ0lRLk5BU0RBUTpDQUxNLklRX0RFUklWQVRJVkVfVFJBRElOR19BU1NFVFMuOTk1LjMxLzA3LzIwMjYuLi5VU0QuSAEAAAAgegUAAwAAAAAAzpCNMDvv3gggPKo0O+/eCD5DSVEuTkFTREFROkNBTE0uSVFfREVSSVZBVElWRV9BU1NFVFNfTFQuOTk5LjMxLzA3LzIwMjYuLi5VU0QuSAEAAAAgegUAAwAAAAAAzpCNMDvv3gggPKo0O+/eCDhDSVEuTkFTREFROkNBTE0uSVFfQUNDVU1fQU1PUlRfR1cuOTk3LjMxLzA3LzIwMjYuLi5VU0QuSAEAAAAgegUAAwAAAAAAzpCNMDvv3ggJx6k0O+/eCDZDSVEuTkFTREFROkNBTE0uSVFfR1dfSU5UQU5fTkVULjk5Ny4zMS8wNy8yMDI2Li4uVVNELkgBAAAAIHoFAAMAAAAAAM6QjTA7794IAXmpNDvv3gg+Q0lRLk5BU0RBUTpDQUxNLklRX1RPVEFMX0RFQlRfRVhDTF9GSU4uMTAwMC4zMS8wNy8yMDI2Li4uVVNELkgBAAAAIHoFAAMAAAAAAPBVjTA7794IrzqrNDvv3gg9Q0lRLk5BU0RBUTpDQUxNLklRX0lOVEVSQ09NUEFOWV9OT05fQ0wuOTk5LjMxLzA3LzIwMjYuLi5VU0QuSAEAAAAgegUAAwAAAAAAIbiNMDvv3giK76g0O+/eCD1DSVEuTkFTREFROkNBTE0uSVFfTFRfREVCVF9ERVJJVkFUSVZFUy45OTQuMzEvMDcvMjAyNi4uLlVTRC5IAQAAACB6BQADAAAAAADOkI0wO+/eCJ7FqjQ7794IQkNJUS5OQVNEQVE6</t>
  </si>
  <si>
    <t>Q0FMTS5JUV9ERVJJVkFUSVZFX0xJQUJfQ1VSUkVOVC4xMDAwLjMxLzA3LzIwMjYuLi5VU0QuSAEAAAAgegUAAwAAAAAAzpCNMDvv3ghJnqo0O+/eCD5DSVEuTkFTREFROkNBTE0uSVFfREVSSVZBVElWRV9BU1NFVFNfTFQuOTk4LjMxLzA3LzIwMjYuLi5VU0QuSAEAAAAgegUAAwAAAAAAzpCNMDvv3gggPKo0O+/eCENDSVEuTkFTREFROkNBTE0uSVFfQUNDVU1fQU1PUlRfSU5UQU5fQVNTRVRTLjEwMDAuMzEvMDcvMjAyNi4uLlVTRC5IAQAAACB6BQACAAAABy0yNS45OTgBCAAAAAUAAAABMQEAAAALLTE4ODEwNjg2NjgDAAAAAzE2MAIAAAAFMjQzMzEEAAAAATAHAAAACTcvMzEvMjAyNggAAAAJNS8zMC8yMDI2CQAAAAEwzpCNMDvv3gge7qk0O+/eCDBDSVEuTkFTREFROkNBTE0uSVFfR1dfTkVULjk5NC4zMS8wNy8yMDI2Li4uVVNELkgBAAAAIHoFAAIAAAAGMzUuNTI1AQgAAAAFAAAAATEBAAAACy0yMDg4MzQ3NDY5AwAAAAMxNjACAAAABTQ4OTYwBAAAAAEwBwAAAAk3LzMxLzIwMjYIAAAACTUvMzAvMjAyMAkAAAABMM6QjTA7794IAXmpNDvv3gg0Q0lRLk5BU0RBUTpDQUxNLklRX0lOVEFOX05FVC4xMDAwLjMxLzA3LzIwMjYuLi5VU0QuSAEAAAAgegUAAgAAAAU3My4xMwEIAAAABQAAAAExAQAAAAstMTg4MTA2ODY2OAMAAAADMTYwAgAAAAU0ODk2MgQAAAABMAcAAAAJNy8zMS8yMDI2CAAAAAk1LzMw</t>
  </si>
  <si>
    <t>LzIwMjYJAAAAATDOkI0wO+/eCDdSqTQ7794IPUNJUS5OQVNEQVE6Q0FMTS5JUV9JTlRFUkNPTVBBTllfTk9OX0NBLjk5NC4zMS8wNy8yMDI2Li4uVVNELkgBAAAAIHoFAAMAAAAAACG4jTA7794IpQOpNDvv3gg9Q0lRLk5BU0RBUTpDQUxNLklRX0lOVEVSQ09NUEFOWV9OT05fQ0wuOTk4LjMxLzA3LzIwMjYuLi5VU0QuSAEAAAAgegUAAwAAAAAAIbiNMDvv3giK76g0O+/eCD1DSVEuTkFTREFROkNBTE0uSVFfVE9UQUxfUkVWX0VNUExPWUVFLjEwMDAuMzEvMDcvMjAyNi4uLlVTRC5IAQAAACB6BQACAAAABzYwMi4wNzQBCAAAAAUAAAABMQEAAAALLTE4ODEwNjg2NjgDAAAAAzE2MAIAAAAENDEyMwQAAAABMAcAAAAJNy8zMS8yMDI2CAAAAAk1LzMwLzIwMjYJAAAAATCyiIcwO+/eCErIqDQ7794IQENJUS5OQVNEQVE6Q0FMTS5JUV9DT05USU5HRU5UX0xJQUJJTElUSUVTLjk5NC4zMS8wNy8yMDI2Li4uVVNELkgBAAAAIHoFAAMAAAAAAPBVjTA7794IvBOrNDvv3gg9Q0lRLk5BU0RBUTpDQUxNLklRX1NUX0RFQlRfREVSSVZBVElWRVMuOTk4LjMxLzA3LzIwMjYuLi5VU0QuSAEAAAAgegUAAwAAAAAAzpCNMDvv3gjD7Ko0O+/eCEVDSVEuTkFTREFROkNBTE0uSVFfREVSSVZBVElWRV9MSUFCX05PTl9DVVJSRU5ULjk5Ni4zMS8wNy8yMDI2Li4uVVNELkgBAAAAIHoFAAMAAAAAAM6QjTA7794I7HaqNDvv3gg+</t>
  </si>
  <si>
    <t>Q0lRLk5BU0RBUTpDQUxNLklRX0RFUklWQVRJVkVfQVNTRVRTX0xULjk5Ni4zMS8wNy8yMDI2Li4uVVNELkgBAAAAIHoFAAMAAAAAAM6QjTA7794IExWqNDvv3ggxQ0lRLk5BU0RBUTpDQUxNLklRX1BFUklPRExFTkdUSF9JUy45OTQuMzEvMDcvMjAyNgEAAAAgegUAAQAAAAIxMgDq5ooxO+/eCDzxpzQ7794IOENJUS5OQVNEQVE6Q0FMTS5JUV9BQ0NVTV9BTU9SVF9HVy45OTQuMzEvMDcvMjAyNi4uLlVTRC5IAQAAACB6BQADAAAAAADOkI0wO+/eCAnHqTQ7794IP0NJUS5OQVNEQVE6Q0FMTS5JUV9BRFZBTkNFU19GT1JfU1VQUExJRVMuOTk4LjMxLzA3LzIwMjYuLi5VU0QuSAEAAAAgegUAAwAAAAAAzpCNMDvv3gj6n6k0O+/eCDNDSVEuTkFTREFROkNBTE0uSVFfSU5UQU5fTkVULjk5OC4zMS8wNy8yMDI2Li4uVVNELkgBAAAAIHoFAAIAAAAGMTUuOTk2AQgAAAAFAAAAATEBAAAACy0xODgxMDY4Njc2AwAAAAMxNjACAAAABTQ4OTYyBAAAAAEwBwAAAAk3LzMxLzIwMjYIAAAACDYvMS8yMDI0CQAAAAEwzpCNMDvv3gjYKqk0O+/eCD1DSVEuTkFTREFROkNBTE0uSVFfSU5URVJDT01QQU5ZX05PTl9DTC45OTYuMzEvMDcvMjAyNi4uLlVTRC5IAQAAACB6BQADAAAAAAAhuI0wO+/eCErIqDQ7794ILkNJUS5OQVNEQVE6Q0FMTS5JUV9CQVNJQ19XRUlHSFQuOTk5LjMxLzA3LzIwMjYBAAAAIHoFAAIAAAAGNDgu</t>
  </si>
  <si>
    <t>NzE5ANO/ijE7794Ibo2oNDvv3gg8Q0lRLk5BU0RBUTpDQUxNLklRX1RPVEFMX1JFVl9FTVBMT1lFRS45OTkuMzEvMDcvMjAyNi4uLlVTRC5IAQAAACB6BQACAAAACDExMzQuNjg3AQgAAAAFAAAAATEBAAAACy0xODgxMDY4Njc1AwAAAAMxNjACAAAABDQxMjMEAAAAATAHAAAACTcvMzEvMjAyNggAAAAJNS8zMS8yMDI1CQAAAAEwsoiHMDvv3ghKyKg0O+/eCC9DSVEuTkFTREFROkNBTE0uSVFfQkFTSUNfV0VJR0hULjEwMDAuMzEvMDcvMjAyNgEAAAAgegUAAgAAAAU0Ny42NQDTv4oxO+/eCG6NqDQ7794IMUNJUS5OQVNEQVE6Q0FMTS5JUV9QRVJJT0RMRU5HVEhfSVMuOTk1LjMxLzA3LzIwMjYBAAAAIHoFAAEAAAACMTIA6uaKMTvv3gg88ac0O+/eCCxDSVEuTkFTREFROkNBTE0uSVFfU0FNRV9TVE9SRS45OTguMzEvMDcvMjAyNgEAAAAgegUAAwAAAAAAvbQXMTvv3gg88ac0O+/eCEFDSVEuTkFTREFROkNBTE0uSVFfRElTVFJJQlVUQUJMRV9DQVNIX1NIQVJFU19CQVNJQy45OTYuMzEvMDcvMjAyNgEAAAAgegUAAwAAAAAA07+KMTvv3gg9Zqg0O+/eCCxDSVEuTkFTREFROkNBTE0uSVFfU0FNRV9TVE9SRS45OTYuMzEvMDcvMjAyNgEAAAAgegUAAwAAAAAAvbQXMTvv3gg88ac0O+/eCClDSVEuTkFTREFROkNBTE0uSVFfR0FBUF9JUy45OTYuMzEvMDcvMjAyNgEAAAAgegUAAwAAAAdVUyBHQUFQAOkCGDE7</t>
  </si>
  <si>
    <t>794ItvKmNDvv3ggsQ0lRLk5BU0RBUTpDQUxNLklRX1NBTUVfU1RPUkUuOTk5LjMxLzA3LzIwMjYBAAAAIHoFAAMAAAAAAL20FzE7794IYMqnNDvv3ggpQ0lRLk5BU0RBUTpDQUxNLklRX0dBQVBfSVMuOTk4LjMxLzA3LzIwMjYBAAAAIHoFAAMAAAAHVVMgR0FBUADpAhgxO+/eCLbypjQ7794IO0NJUS5OQVNEQVE6Q0FMTS5JUV9ESVNUUklCVVRBQkxFX0NBU0hfUEFZT1VULjk5OS4zMS8wNy8yMDI2AQAAACB6BQADAAAAAADM2xcxO+/eCA+jpzQ7794IM0NJUS5OQVNEQVE6Q0FMTS5JUV9EUl9SQVRJT19QUklNQVJZLjEwMDAuMzEvMDcvMjAyNgEAAAAgegUAAwAAAAAA07+KMTvv3ggxGKg0O+/eCDJDSVEuTkFTREFROkNBTE0uSVFfRFJfUkFUSU9fUFJJTUFSWS45OTguMzEvMDcvMjAyNgEAAAAgegUAAwAAAAAA07+KMTvv3ggxGKg0O+/eCC1DSVEuTkFTREFROkNBTE0uSVFfUEVSSU9EREFURS4xMDAwLjMxLzA3LzIwMjYBAAAAIHoFAAUAAAAKMzAvMDUvMjAyNgDAcYoxO+/eCG6NqDQ7794IPENJUS5OQVNEQVE6Q0FMTS5JUV9ESVNUUklCVVRBQkxFX0NBU0hfUEFZT1VULjEwMDAuMzEvMDcvMjAyNgEAAAAgegUAAwAAAAAAzNsXMTvv3gjUe6c0O+/eCERDSVEuTkFTREFROkNBTE0uSVFfRElTVFJJQlVUQUJMRV9DQVNIX1NIQVJFU19ESUxVVEVELjEwMDAuMzEvMDcvMjAyNgEAAAAgegUAAwAAAAAA07+K</t>
  </si>
  <si>
    <t>MTvv3ghBP6g0O+/eCC5DSVEuTkFTREFROkNBTE0uSVFfRElMVVRfV0VJR0hULjk5Ni4zMS8wNy8yMDI2AQAAACB6BQACAAAABjQ4LjczNADTv4oxO+/eCD1mqDQ7794IL0NJUS5OQVNEQVE6Q0FMTS5JUV9ESUxVVF9XRUlHSFQuMTAwMC4zMS8wNy8yMDI2AQAAACB6BQACAAAABjQ3Ljc4MQDTv4oxO+/eCD1mqDQ7794IQ0NJUS5OQVNEQVE6Q0FMTS5JUV9ESVNUUklCVVRBQkxFX0NBU0hfU0hBUkVTX0RJTFVURUQuOTk2LjMxLzA3LzIwMjYBAAAAIHoFAAMAAAAAANO/ijE7794IPWaoNDvv3ggyQ0lRLk5BU0RBUTpDQUxNLklRX0VGRkVDVF9UQVhfUkFURS4xMDAwLjMxLzA3LzIwMjYBAAAAIHoFAAIAAAAHMjIuNjAxMgEIAAAABQAAAAExAQAAAAstMTg4MTA2ODY2OAMAAAADMTYwAgAAAAQ0Mzc2BAAAAAEwBwAAAAk3LzMxLzIwMjYIAAAACTUvMzAvMjAyNgkAAAABMMzbFzE7794I1HunNDvv3ghBQ0lRLk5BU0RBUTpDQUxNLklRX0RJU1RSSUJVVEFCTEVfQ0FTSF9TSEFSRVNfQkFTSUMuOTk0LjMxLzA3LzIwMjYBAAAAIHoFAAMAAAAAANO/ijE7794IQT+oNDvv3gguQ0lRLk5BU0RBUTpDQUxNLklRX0RJTFVUX1dFSUdIVC45OTguMzEvMDcvMjAyNgEAAAAgegUAAgAAAAY0OC44NzMA07+KMTvv3gg9Zqg0O+/eCENDSVEuTkFTREFROkNBTE0uSVFfRElTVFJJQlVUQUJMRV9DQVNIX1NIQVJFU19ESUxVVEVE</t>
  </si>
  <si>
    <t>Ljk5NS4zMS8wNy8yMDI2AQAAACB6BQADAAAAAADTv4oxO+/eCD1mqDQ7794IQ0NJUS5OQVNEQVE6Q0FMTS5JUV9ESVNUUklCVVRBQkxFX0NBU0hfU0hBUkVTX0RJTFVURUQuOTk0LjMxLzA3LzIwMjYBAAAAIHoFAAMAAAAAANO/ijE7794IQT+oNDvv3gg7Q0lRLk5BU0RBUTpDQUxNLklRX0RJU1RSSUJVVEFCTEVfQ0FTSF9QQVlPVVQuOTk3LjMxLzA3LzIwMjYBAAAAIHoFAAMAAAAAAMzbFzE7794ID6OnNDvv3ggvQ0lRLk5BU0RBUTpDQUxNLklRX0ZJTElOR0RBVEVfSVMuOTk4LjMxLzA3LzIwMjYBAAAAIHoFAAUAAAAKMjIvMDcvMjAyNgDq5ooxO+/eCDEYqDQ7794IQ0NJUS5OQVNEQVE6Q0FMTS5JUV9ESVNUUklCVVRBQkxFX0NBU0hfU0hBUkVTX0RJTFVURUQuOTk3LjMxLzA3LzIwMjYBAAAAIHoFAAMAAAAAANO/ijE7794IQT+oNDvv3ggvQ0lRLk5BU0RBUTpDQUxNLklRX0ZJTElOR0RBVEVfSVMuOTk2LjMxLzA3LzIwMjYBAAAAIHoFAAUAAAAKMjMvMDcvMjAyNADq5ooxO+/eCDEYqDQ7794IQUNJUS5OQVNEQVE6Q0FMTS5JUV9ESVNUUklCVVRBQkxFX0NBU0hfU0hBUkVTX0JBU0lDLjk5OC4zMS8wNy8yMDI2AQAAACB6BQADAAAAAADTv4oxO+/eCD1mqDQ7794IMENJUS5OQVNEQVE6Q0FMTS5JUV9SRVNUQVRFTUVOVF9JUy45OTQuMzEvMDcvMjAyNgEAAAAgegUAAwAAAAJSQwDpAhgxO+/eCLZApzQ7</t>
  </si>
  <si>
    <t>794IMUNJUS5OQVNEQVE6Q0FMTS5JUV9QRVJJT0RMRU5HVEhfQ0YuOTk5LjMxLzA3LzIwMjYBAAAAIHoFAAEAAAACMTIA9pX2MDvv3gjby6Y0O+/eCC5DSVEuTkFTREFROkNBTE0uSVFfUEFZT1VUX1JBVElPLjk5Ny4zMS8wNy8yMDI2AQAAACB6BQACAAAABzMzLjI4MjgBCAAAAAUAAAABMQEAAAALLTE5MzQ5Nzg0MjADAAAAAzE2MAIAAAAENDM3NwQAAAABMAcAAAAJNy8zMS8yMDI2CAAAAAg2LzMvMjAyMwkAAAABMMzbFzE7794IymenNDvv3ghBQ0lRLk5BU0RBUTpDQUxNLklRX0RJU1RSSUJVVEFCTEVfQ0FTSF9TSEFSRVNfQkFTSUMuOTk5LjMxLzA3LzIwMjYBAAAAIHoFAAMAAAAAANO/ijE7794IQT+oNDvv3ggvQ0lRLk5BU0RBUTpDQUxNLklRX0ZJTElOR0RBVEVfSVMuOTk5LjMxLzA3LzIwMjYBAAAAIHoFAAUAAAAKMjIvMDcvMjAyNgDq5ooxO+/eCDEYqDQ7794ILkNJUS5OQVNEQVE6Q0FMTS5JUV9QQVlPVVRfUkFUSU8uOTk2LjMxLzA3LzIwMjYBAAAAIHoFAAIAAAAGNC42MTEzAQgAAAAFAAAAATEBAAAACy0xOTg2NzA4NDMzAwAAAAMxNjACAAAABDQzNzcEAAAAATAHAAAACTcvMzEvMjAyNggAAAAJNS8yOC8yMDIyCQAAAAEwzNsXMTvv3gjKZ6c0O+/eCDBDSVEuTkFTREFROkNBTE0uSVFfUkVTVEFURU1FTlRfSVMuOTk5LjMxLzA3LzIwMjYBAAAAIHoFAAMAAAACUkMA6QIYMTvv3gjJGac0O+/e</t>
  </si>
  <si>
    <t>CC5DSVEuTkFTREFROkNBTE0uSVFfQkFTSUNfV0VJR0hULjk5Ni4zMS8wNy8yMDI2AQAAACB6BQACAAAABjQ4LjU4MQDTv4oxO+/eCG6NqDQ7794ILkNJUS5OQVNEQVE6Q0FMTS5JUV9CQVNJQ19XRUlHSFQuOTk1LjMxLzA3LzIwMjYBAAAAIHoFAAIAAAAGNDguNTIyANO/ijE7794Ibo2oNDvv3gguQ0lRLk5BU0RBUTpDQUxNLklRX1BBWU9VVF9SQVRJTy45OTkuMzEvMDcvMjAyNgEAAAAgegUAAgAAAAcyNy4wNzE4AQgAAAAFAAAAATEBAAAACy0xODgxMDY4Njc1AwAAAAMxNjACAAAABDQzNzcEAAAAATAHAAAACTcvMzEvMjAyNggAAAAJNS8zMS8yMDI1CQAAAAEwzNsXMTvv3gi2QKc0O+/eCC5DSVEuTkFTREFROkNBTE0uSVFfUEFZT1VUX1JBVElPLjk5NS4zMS8wNy8yMDI2AQAAACB6BQACAAAABzgwLjE5NDEBCAAAAAUAAAABMQEAAAALLTIwMzcyNDE3MjEDAAAAAzE2MAIAAAAENDM3NwQAAAABMAcAAAAJNy8zMS8yMDI2CAAAAAk1LzI5LzIwMjEJAAAAATDM2xcxO+/eCMpnpzQ7794IMENJUS5OQVNEQVE6Q0FMTS5JUV9SRVNUQVRFTUVOVF9JUy45OTcuMzEvMDcvMjAyNgEAAAAgegUAAwAAAAJOQwDpAhgxO+/eCMkZpzQ7794ILkNJUS5OQVNEQVE6Q0FMTS5JUV9CQVNJQ19XRUlHSFQuOTk0LjMxLzA3LzIwMjYBAAAAIHoFAAIAAAAGNDguNDY3ANO/ijE7794Ibo2oNDvv3ggsQ0lRLk5BU0RBUTpDQUxN</t>
  </si>
  <si>
    <t>LklRX1NBTUVfU1RPUkUuOTk1LjMxLzA3LzIwMjYBAAAAIHoFAAMAAAAAAL20FzE7794IPPGnNDvv3ghBQ0lRLk5BU0RBUTpDQUxNLklRX0RJU1RSSUJVVEFCTEVfQ0FTSF9TSEFSRVNfQkFTSUMuOTk3LjMxLzA3LzIwMjYBAAAAIHoFAAMAAAAAANO/ijE7794IPWaoNDvv3gguQ0lRLk5BU0RBUTpDQUxNLklRX1BBWU9VVF9SQVRJTy45OTQuMzEvMDcvMjAyNgEAAAAgegUAAwAAAAAAzNsXMTvv3gjKZ6c0O+/eCC5DSVEuTkFTREFROkNBTE0uSVFfQ0FMQ19UWVBFX0lTLjk5NC4zMS8wNy8yMDI2AQAAACB6BQADAAAAA1JFUADpAhgxO+/eCMkZpzQ7794ILENJUS5OQVNEQVE6Q0FMTS5JUV9TQU1FX1NUT1JFLjk5Ny4zMS8wNy8yMDI2AQAAACB6BQADAAAAAAC9tBcxO+/eCDzxpzQ7794IQkNJUS5OQVNEQVE6Q0FMTS5JUV9ESVNUUklCVVRBQkxFX0NBU0hfU0hBUkVTX0JBU0lDLjEwMDAuMzEvMDcvMjAyNgEAAAAgegUAAwAAAAAA07+KMTvv3ghBP6g0O+/eCC5DSVEuTkFTREFROkNBTE0uSVFfUEFZT1VUX1JBVElPLjk5OC4zMS8wNy8yMDI2AQAAACB6BQACAAAABjMzLjA1NQEIAAAABQAAAAExAQAAAAstMTg4MTA2ODY3NgMAAAADMTYwAgAAAAQ0Mzc3BAAAAAEwBwAAAAk3LzMxLzIwMjYIAAAACDYvMS8yMDI0CQAAAAEwzNsXMTvv3gi2QKc0O+/eCC5DSVEuTkFTREFROkNBTE0uSVFfQ0FMQ19UWVBFX0lT</t>
  </si>
  <si>
    <t>Ljk5OS4zMS8wNy8yMDI2AQAAACB6BQADAAAAA1JFUADpAhgxO+/eCMkZpzQ7794IMkNJUS5OQVNEQVE6Q0FMTS5JUV9EUl9SQVRJT19QUklNQVJZLjk5NC4zMS8wNy8yMDI2AQAAACB6BQADAAAAAADTv4oxO+/eCDEYqDQ7794ILENJUS5OQVNEQVE6Q0FMTS5JUV9TQU1FX1NUT1JFLjk5NC4zMS8wNy8yMDI2AQAAACB6BQADAAAAAAC9tBcxO+/eCGDKpzQ7794ILkNJUS5OQVNEQVE6Q0FMTS5JUV9DQUxDX1RZUEVfSVMuOTk4LjMxLzA3LzIwMjYBAAAAIHoFAAMAAAADUkVQAOkCGDE7794IyRmnNDvv3gguQ0lRLk5BU0RBUTpDQUxNLklRX0JBU0lDX1dFSUdIVC45OTguMzEvMDcvMjAyNgEAAAAgegUAAgAAAAY0OC43MTcA07+KMTvv3ghujag0O+/eCC5DSVEuTkFTREFROkNBTE0uSVFfRElMVVRfV0VJR0hULjk5NS4zMS8wNy8yMDI2AQAAACB6BQACAAAABjQ4LjY1NgDTv4oxO+/eCG6NqDQ7794ILUNJUS5OQVNEQVE6Q0FMTS5JUV9TQU1FX1NUT1JFLjEwMDAuMzEvMDcvMjAyNgEAAAAgegUAAwAAAAAAvbQXMTvv3ghgyqc0O+/eCDJDSVEuTkFTREFROkNBTE0uSVFfRFJfUkFUSU9fUFJJTUFSWS45OTcuMzEvMDcvMjAyNgEAAAAgegUAAwAAAAAA07+KMTvv3ghBP6g0O+/eCDBDSVEuTkFTREFROkNBTE0uSVFfRklMSU5HREFURV9JUy4xMDAwLjMxLzA3LzIwMjYBAAAAIHoFAAUAAAAKMjIvMDcvMjAyNgDq</t>
  </si>
  <si>
    <t>5ooxO+/eCDzxpzQ7794ILkNJUS5OQVNEQVE6Q0FMTS5JUV9ESUxVVF9XRUlHSFQuOTk0LjMxLzA3LzIwMjYBAAAAIHoFAAIAAAAGNDguNTg0ANO/ijE7794Ibo2oNDvv3ggxQ0lRLk5BU0RBUTpDQUxNLklRX1BFUklPRExFTkdUSF9JUy45OTcuMzEvMDcvMjAyNgEAAAAgegUAAQAAAAIxMgDq5ooxO+/eCDzxpzQ7794IQ0NJUS5OQVNEQVE6Q0FMTS5JUV9ESVNUUklCVVRBQkxFX0NBU0hfU0hBUkVTX0RJTFVURUQuOTk5LjMxLzA3LzIwMjYBAAAAIHoFAAMAAAAAANO/ijE7794IQT+oNDvv3gguQ0lRLk5BU0RBUTpDQUxNLklRX0NBTENfVFlQRV9JUy45OTcuMzEvMDcvMjAyNgEAAAAgegUAAwAAAANSRVAA6QIYMTvv3gjJGac0O+/eCDFDSVEuTkFTREFROkNBTE0uSVFfUEVSSU9ETEVOR1RIX0lTLjk5Ni4zMS8wNy8yMDI2AQAAACB6BQABAAAAAjEyAOrmijE7794IPPGnNDvv3ggxQ0lRLk5BU0RBUTpDQUxNLklRX0ZJTElOR19DVVJSRU5DWS45OTcuMzEvMDcvMjAyNgEAAAAgegUAAwAAAANVU0QA6QIYMTvv3gi2QKc0O+/eCENDSVEuTkFTREFROkNBTE0uSVFfRElTVFJJQlVUQUJMRV9DQVNIX1NIQVJFU19ESUxVVEVELjk5OC4zMS8wNy8yMDI2AQAAACB6BQADAAAAAADTv4oxO+/eCEE/qDQ7794IMUNJUS5OQVNEQVE6Q0FMTS5JUV9FRkZFQ1RfVEFYX1JBVEUuOTk0LjMxLzA3LzIwMjYBAAAAIHoFAAIA</t>
  </si>
  <si>
    <t>AAAGOC42Mjk1AQgAAAAFAAAAATEBAAAACy0yMDg4MzQ3NDY5AwAAAAMxNjACAAAABDQzNzYEAAAAATAHAAAACTcvMzEvMjAyNggAAAAJNS8zMC8yMDIwCQAAAAEwzNsXMTvv3gjUe6c0O+/eCCpDSVEuTkFTREFROkNBTE0uSVFfR0FBUF9JUy4xMDAwLjMxLzA3LzIwMjYBAAAAIHoFAAMAAAAHVVMgR0FBUADpAhgxO+/eCLbypjQ7794IMUNJUS5OQVNEQVE6Q0FMTS5JUV9FRkZFQ1RfVEFYX1JBVEUuOTk3LjMxLzA3LzIwMjYBAAAAIHoFAAIAAAAHMjQuMjE2OQEIAAAABQAAAAExAQAAAAstMTkzNDk3ODQyMAMAAAADMTYwAgAAAAQ0Mzc2BAAAAAEwBwAAAAk3LzMxLzIwMjYIAAAACDYvMy8yMDIzCQAAAAEwzNsXMTvv3gjUe6c0O+/eCDFDSVEuTkFTREFROkNBTE0uSVFfRklMSU5HX0NVUlJFTkNZLjk5NC4zMS8wNy8yMDI2AQAAACB6BQADAAAAA1VTRADpAhgxO+/eCLZApzQ7794IMUNJUS5OQVNEQVE6Q0FMTS5JUV9QRVJJT0RMRU5HVEhfSVMuOTk4LjMxLzA3LzIwMjYBAAAAIHoFAAEAAAACMTIA6uaKMTvv3gg88ac0O+/eCDFDSVEuTkFTREFROkNBTE0uSVFfRUZGRUNUX1RBWF9SQVRFLjk5NS4zMS8wNy8yMDI2AQAAACB6BQADAAAAAk5NAQgAAAAFAAAAATEBAAAACy0yMDM3MjQxNzIxAwAAAAMxNjACAAAABDQzNzYEAAAAATAHAAAACTcvMzEvMjAyNggAAAAJNS8yOS8yMDIxCQAAAAEwzNsXMTvv3gjU</t>
  </si>
  <si>
    <t>e6c0O+/eCEFDSVEuTkFTREFROkNBTE0uSVFfRElTVFJJQlVUQUJMRV9DQVNIX1NIQVJFU19CQVNJQy45OTUuMzEvMDcvMjAyNgEAAAAgegUAAwAAAAAA07+KMTvv3gg9Zqg0O+/eCDFDSVEuTkFTREFROkNBTE0uSVFfRklMSU5HX0NVUlJFTkNZLjk5Ni4zMS8wNy8yMDI2AQAAACB6BQADAAAAA1VTRADpAhgxO+/eCLZApzQ7794IKUNJUS5OQVNEQVE6Q0FMTS5JUV9HQUFQX0NGLjk5OS4zMS8wNy8yMDI2AQAAACB6BQADAAAAB1VTIEdBQVAAWa76MDvv3ghqfaY0O+/eCDFDSVEuTkFTREFROkNBTE0uSVFfRklMSU5HX0NVUlJFTkNZLjk5NS4zMS8wNy8yMDI2AQAAACB6BQADAAAAA1VTRADpAhgxO+/eCLZApzQ7794IMENJUS5OQVNEQVE6Q0FMTS5JUV9SRVNUQVRFTUVOVF9JUy45OTYuMzEvMDcvMjAyNgEAAAAgegUAAwAAAAJOQwDpAhgxO+/eCLZApzQ7794ILkNJUS5OQVNEQVE6Q0FMTS5JUV9DQUxDX1RZUEVfSVMuOTk2LjMxLzA3LzIwMjYBAAAAIHoFAAMAAAADUkVQAOkCGDE7794IyRmnNDvv3ggyQ0lRLk5BU0RBUTpDQUxNLklRX0RSX1JBVElPX1BSSU1BUlkuOTk2LjMxLzA3LzIwMjYBAAAAIHoFAAMAAAAAANO/ijE7794IQT+oNDvv3ggvQ0lRLk5BU0RBUTpDQUxNLklRX0ZJTElOR0RBVEVfSVMuOTk0LjMxLzA3LzIwMjYBAAAAIHoFAAUAAAAKMTkvMDcvMjAyMgDq5ooxO+/eCDEYqDQ7794IMkNJ</t>
  </si>
  <si>
    <t>US5OQVNEQVE6Q0FMTS5JUV9QRVJJT0RMRU5HVEhfSVMuMTAwMC4zMS8wNy8yMDI2AQAAACB6BQABAAAAAjEyAOrmijE7794IPPGnNDvv3ggwQ0lRLk5BU0RBUTpDQUxNLklRX1JFU1RBVEVNRU5UX0NGLjk5Ny4zMS8wNy8yMDI2AQAAACB6BQADAAAAAk5DAFmu+jA7794I28umNDvv3gguQ0lRLk5BU0RBUTpDQUxNLklRX0NBTENfVFlQRV9JUy45OTUuMzEvMDcvMjAyNgEAAAAgegUAAwAAAANSRVAA6QIYMTvv3gjJGac0O+/eCDJDSVEuTkFTREFROkNBTE0uSVFfRFJfUkFUSU9fUFJJTUFSWS45OTUuMzEvMDcvMjAyNgEAAAAgegUAAwAAAAAA07+KMTvv3ggxGKg0O+/eCDFDSVEuTkFTREFROkNBTE0uSVFfUEVSSU9ETEVOR1RIX0lTLjk5OS4zMS8wNy8yMDI2AQAAACB6BQABAAAAAjEyAOrmijE7794IPPGnNDvv3ggvQ0lRLk5BU0RBUTpDQUxNLklRX1BBWU9VVF9SQVRJTy4xMDAwLjMxLzA3LzIwMjYBAAAAIHoFAAIAAAAHNzMuMTQwMgEIAAAABQAAAAExAQAAAAstMTg4MTA2ODY2OAMAAAADMTYwAgAAAAQ0Mzc3BAAAAAEwBwAAAAk3LzMxLzIwMjYIAAAACTUvMzAvMjAyNgkAAAABMMzbFzE7794ItkCnNDvv3ggvQ0lRLk5BU0RBUTpDQUxNLklRX0NBTENfVFlQRV9JUy4xMDAwLjMxLzA3LzIwMjYBAAAAIHoFAAMAAAADUkVQAOkCGDE7794ItvKmNDvv3ggwQ0lRLk5BU0RBUTpDQUxNLklRX1JFU1RBVEVN</t>
  </si>
  <si>
    <t>RU5UX0lTLjk5NS4zMS8wNy8yMDI2AQAAACB6BQADAAAAAlJDAOkCGDE7794ItkCnNDvv3ggpQ0lRLk5BU0RBUTpDQUxNLklRX0dBQVBfSVMuOTk3LjMxLzA3LzIwMjYBAAAAIHoFAAMAAAAHVVMgR0FBUADpAhgxO+/eCLbypjQ7794IMUNJUS5OQVNEQVE6Q0FMTS5JUV9QRVJJT0RMRU5HVEhfQ0YuOTk1LjMxLzA3LzIwMjYBAAAAIHoFAAEAAAACMTIA9pX2MDvv3gi28qY0O+/eCClDSVEuTkFTREFROkNBTE0uSVFfR0FBUF9JUy45OTUuMzEvMDcvMjAyNgEAAAAgegUAAwAAAAdVUyBHQUFQAOkCGDE7794ItvKmNDvv3ggyQ0lRLk5BU0RBUTpDQUxNLklRX0RSX1JBVElPX1BSSU1BUlkuOTk5LjMxLzA3LzIwMjYBAAAAIHoFAAMAAAAAANO/ijE7794IQT+oNDvv3ggvQ0lRLk5BU0RBUTpDQUxNLklRX0ZJTElOR0RBVEVfSVMuOTk3LjMxLzA3LzIwMjYBAAAAIHoFAAUAAAAKMjIvMDcvMjAyNQDq5ooxO+/eCDEYqDQ7794IO0NJUS5OQVNEQVE6Q0FMTS5JUV9ESVNUUklCVVRBQkxFX0NBU0hfUEFZT1VULjk5NC4zMS8wNy8yMDI2AQAAACB6BQADAAAAAADM2xcxO+/eCNR7pzQ7794IO0NJUS5OQVNEQVE6Q0FMTS5JUV9ESVNUUklCVVRBQkxFX0NBU0hfUEFZT1VULjk5OC4zMS8wNy8yMDI2AQAAACB6BQADAAAAAADM2xcxO+/eCA+jpzQ7794IMUNJUS5OQVNEQVE6Q0FMTS5JUV9FRkZFQ1RfVEFYX1JBVEUuOTk4</t>
  </si>
  <si>
    <t>LjMxLzA3LzIwMjYBAAAAIHoFAAIAAAAHMjMuMjQ4OAEIAAAABQAAAAExAQAAAAstMTg4MTA2ODY3NgMAAAADMTYwAgAAAAQ0Mzc2BAAAAAEwBwAAAAk3LzMxLzIwMjYIAAAACDYvMS8yMDI0CQAAAAEwzNsXMTvv3gjUe6c0O+/eCClDSVEuTkFTREFROkNBTE0uSVFfR0FBUF9JUy45OTQuMzEvMDcvMjAyNgEAAAAgegUAAwAAAAdVUyBHQUFQAOkCGDE7794IyRmnNDvv3ggxQ0lRLk5BU0RBUTpDQUxNLklRX1BFUklPRExFTkdUSF9DRi45OTguMzEvMDcvMjAyNgEAAAAgegUAAQAAAAIxMgD2lfYwO+/eCLbypjQ7794ILkNJUS5OQVNEQVE6Q0FMTS5JUV9CQVNJQ19XRUlHSFQuOTk3LjMxLzA3LzIwMjYBAAAAIHoFAAIAAAAGNDguNjQ4ANO/ijE7794Ibo2oNDvv3gguQ0lRLk5BU0RBUTpDQUxNLklRX0RJTFVUX1dFSUdIVC45OTkuMzEvMDcvMjAyNgEAAAAgegUAAgAAAAY0OC44OTEA07+KMTvv3gg9Zqg0O+/eCC9DSVEuTkFTREFROkNBTE0uSVFfRklMSU5HREFURV9JUy45OTUuMzEvMDcvMjAyNgEAAAAgegUABQAAAAoyNS8wNy8yMDIzAOrmijE7794IMRioNDvv3ggpQ0lRLk5BU0RBUTpDQUxNLklRX0dBQVBfSVMuOTk5LjMxLzA3LzIwMjYBAAAAIHoFAAMAAAAHVVMgR0FBUADpAhgxO+/eCLbypjQ7794IMUNJUS5OQVNEQVE6Q0FMTS5JUV9FRkZFQ1RfVEFYX1JBVEUuOTk2LjMxLzA3LzIwMjYBAAAAIHoF</t>
  </si>
  <si>
    <t>AAIAAAAHMjAuMjIzNAEIAAAABQAAAAExAQAAAAstMTk4NjcwODQzMwMAAAADMTYwAgAAAAQ0Mzc2BAAAAAEwBwAAAAk3LzMxLzIwMjYIAAAACTUvMjgvMjAyMgkAAAABMMzbFzE7794I1HunNDvv3ggxQ0lRLk5BU0RBUTpDQUxNLklRX1JFU1RBVEVNRU5UX0lTLjEwMDAuMzEvMDcvMjAyNgEAAAAgegUAAwAAAAFPAOkCGDE7794IyRmnNDvv3ggxQ0lRLk5BU0RBUTpDQUxNLklRX1BFUklPRExFTkdUSF9DRi45OTQuMzEvMDcvMjAyNgEAAAAgegUAAQAAAAIxMgD2lfYwO+/eCNvLpjQ7794ILkNJUS5OQVNEQVE6Q0FMTS5JUV9DQUxDX1RZUEVfQ0YuOTk2LjMxLzA3LzIwMjYBAAAAIHoFAAMAAAADUkVQAFmu+jA7794ItqSmNDvv3gguQ0lRLk5BU0RBUTpDQUxNLklRX0dST1NTX01BUkdJTi45OTQuMzEvMDcvMjAyNgEAAAAgegUAAgAAAAcxMy4yODY5AQgAAAAFAAAAATEBAAAACy0yMDg4MzQ3NDY5AwAAAAMxNjACAAAABDQwNzQEAAAAATAHAAAACTcvMzEvMjAyNggAAAAJNS8zMC8yMDIwCQAAAAEwIbiNMDvv3gi/gKQ0O+/eCC5DSVEuTkFTREFROkNBTE0uSVFfRElMVVRfV0VJR0hULjk5Ny4zMS8wNy8yMDI2AQAAACB6BQACAAAABjQ4LjgzNADTv4oxO+/eCD1mqDQ7794IMENJUS5OQVNEQVE6Q0FMTS5JUV9SRVNUQVRFTUVOVF9JUy45OTguMzEvMDcvMjAyNgEAAAAgegUAAwAAAAJSQwDpAhgxO+/eCLZA</t>
  </si>
  <si>
    <t>pzQ7794ILkNJUS5OQVNEQVE6Q0FMTS5JUV9BU1NFVF9UVVJOUy4xMDAwLjMxLzA3LzIwMjYBAAAAIHoFAAIAAAAHMC45NDA0MgEIAAAABQAAAAExAQAAAAstMTg4MTA2ODY2OAMAAAADMTYwAgAAAAQ0MTc3BAAAAAEwBwAAAAk3LzMxLzIwMjYIAAAACTUvMzAvMjAyNgkAAAABMCG4jTA7794IugekNDvv3ggyQ0lRLk5BU0RBUTpDQUxNLklRX1BFUklPRExFTkdUSF9DRi4xMDAwLjMxLzA3LzIwMjYBAAAAIHoFAAEAAAACMTIA9pX2MDvv3gjby6Y0O+/eCClDSVEuTkFTREFROkNBTE0uSVFfR0FBUF9DRi45OTUuMzEvMDcvMjAyNgEAAAAgegUAAwAAAAdVUyBHQUFQAFmu+jA7794Ian2mNDvv3ggpQ0lRLk5BU0RBUTpDQUxNLklRX0dBQVBfQ0YuOTk2LjMxLzA3LzIwMjYBAAAAIHoFAAMAAAAHVVMgR0FBUABZrvowO+/eCGp9pjQ7794INkNJUS5OQVNEQVE6Q0FMTS5JUV9SRVRVUk5fQ09NTU9OX0VRVUlUWS45OTcuMzEvMDcvMjAyNgEAAAAgegUAAgAAAAc1NS44MjY3AQgAAAAFAAAAATEBAAAACy0xOTM0OTc4NDIwAwAAAAMxNjACAAAABTMzMzIwBAAAAAEwBwAAAAk3LzMxLzIwMjYIAAAACDYvMy8yMDIzCQAAAAEwIbiNMDvv3giwp6Q0O+/eCC9DSVEuTkFTREFROkNBTE0uSVFfQ1VSUkVOVF9SQVRJTy45OTcuMzEvMDcvMjAyNgEAAAAgegUAAgAAAAc2LjE1NjE4AQgAAAAFAAAAATEBAAAACy0xOTM0OTc4</t>
  </si>
  <si>
    <t>NDIwAwAAAAMxNjACAAAABDQwMzAEAAAAATAHAAAACTcvMzEvMjAyNggAAAAINi8zLzIwMjMJAAAAATAhuI0wO+/eCIhrozQ7794IKUNJUS5OQVNEQVE6Q0FMTS5JUV9HQUFQX0NGLjk5NC4zMS8wNy8yMDI2AQAAACB6BQADAAAAB1VTIEdBQVAAWa76MDvv3ghqfaY0O+/eCDBDSVEuTkFTREFROkNBTE0uSVFfUkVTVEFURU1FTlRfQ0YuOTk1LjMxLzA3LzIwMjYBAAAAIHoFAAMAAAACTkMAWa76MDvv3gi2pKY0O+/eCDBDSVEuTkFTREFROkNBTE0uSVFfUkVTVEFURU1FTlRfQ0YuOTk0LjMxLzA3LzIwMjYBAAAAIHoFAAMAAAACTkMAWa76MDvv3gi2pKY0O+/eCDFDSVEuTkFTREFROkNBTE0uSVFfRUZGRUNUX1RBWF9SQVRFLjk5OS4zMS8wNy8yMDI2AQAAACB6BQACAAAABzI0LjAwOTcBCAAAAAUAAAABMQEAAAALLTE4ODEwNjg2NzUDAAAAAzE2MAIAAAAENDM3NgQAAAABMAcAAAAJNy8zMS8yMDI2CAAAAAk1LzMxLzIwMjUJAAAAATDM2xcxO+/eCNR7pzQ7794IM0NJUS5OQVNEQVE6Q0FMTS5JUV9GSVhFRF9BU1NFVF9UVVJOUy45OTcuMzEvMDcvMjAyNgEAAAAgegUAAgAAAAg0LjQyNDAxMwEIAAAABQAAAAExAQAAAAstMTkzNDk3ODQyMAMAAAADMTYwAgAAAAQ0MDY2BAAAAAEwBwAAAAk3LzMxLzIwMjYIAAAACDYvMy8yMDIzCQAAAAEwIbiNMDvv3gjE4KM0O+/eCDFDSVEuTkFTREFROkNBTE0uSVFfUkVT</t>
  </si>
  <si>
    <t>VEFURU1FTlRfQ0YuMTAwMC4zMS8wNy8yMDI2AQAAACB6BQADAAAAAU8AWa76MDvv3gi2pKY0O+/eCC9DSVEuTkFTREFROkNBTE0uSVFfQ1VSUkVOVF9SQVRJTy45OTguMzEvMDcvMjAyNgEAAAAgegUAAgAAAAg1LjQ1MjgwOAEIAAAABQAAAAExAQAAAAstMTg4MTA2ODY3NgMAAAADMTYwAgAAAAQ0MDMwBAAAAAEwBwAAAAk3LzMxLzIwMjYIAAAACDYvMS8yMDI0CQAAAAEwIbiNMDvv3giIa6M0O+/eCCtDSVEuTkFTREFROkNBTE0uSVFfRlVMTF9USU1FLjk5Ny4zMS8wNy8yMDI2AQAAACB6BQACAAAABDI4MTUA8FWNMDvv3ggTCKY0O+/eCC5DSVEuTkFTREFROkNBTE0uSVFfQ0FMQ19UWVBFX0NGLjk5OC4zMS8wNy8yMDI2AQAAACB6BQADAAAAA1JFUABZrvowO+/eCLakpjQ7794IO0NJUS5OQVNEQVE6Q0FMTS5JUV9ESVNUUklCVVRBQkxFX0NBU0hfUEFZT1VULjk5Ni4zMS8wNy8yMDI2AQAAACB6BQADAAAAAADM2xcxO+/eCNR7pzQ7794IL0NJUS5OQVNEQVE6Q0FMTS5JUV9DQUxDX1RZUEVfQ0YuMTAwMC4zMS8wNy8yMDI2AQAAACB6BQADAAAAA1JFUABZrvowO+/eCGp9pjQ7794IO0NJUS5OQVNEQVE6Q0FMTS5JUV9ESVNUUklCVVRBQkxFX0NBU0hfUEFZT1VULjk5NS4zMS8wNy8yMDI2AQAAACB6BQADAAAAAADM2xcxO+/eCNR7pzQ7794IQUNJUS5OQVNEQVE6Q0FMTS5JUV9FTVBMT1lFRVNfVU5ERVJf</t>
  </si>
  <si>
    <t>VU5JT05fQ09OVFJBQ1RTLjk5NS4zMS8wNy8yMDI2AQAAACB6BQADAAAAAADwVY0wO+/eCKrgpTQ7794ILkNJUS5OQVNEQVE6Q0FMTS5JUV9DQUxDX1RZUEVfQ0YuOTk5LjMxLzA3LzIwMjYBAAAAIHoFAAMAAAADUkVQAFmu+jA7794ItqSmNDvv3ggxQ0lRLk5BU0RBUTpDQUxNLklRX1RPVEFMX0VNUExPWUVFUy45OTQuMzEvMDcvMjAyNgEAAAAgegUAAgAAAAQzNTQ5APBVjTA7794IquClNDvv3gg0Q0lRLk5BU0RBUTpDQUxNLklRX0RBWVNfSU5WRU5UT1JZX09VVC45OTYuMzEvMDcvMjAyNgEAAAAgegUAAgAAAAk2MC44NzYwODgBCAAAAAUAAAABMQEAAAALLTE5ODY3MDg0MzMDAAAAAzE2MAIAAAAENDAzNQQAAAABMAcAAAAJNy8zMS8yMDI2CAAAAAk1LzI4LzIwMjIJAAAAATBL340wO+/eCPz1ojQ7794IMENJUS5OQVNEQVE6Q0FMTS5JUV9SRVNUQVRFTUVOVF9CUy45OTUuMzEvMDcvMjAyNgEAAAAgegUAAwAAAAJOQwAhuI0wO+/eCNlDpTQ7794IP0NJUS5OQVNEQVE6Q0FMTS5JUV9UT1RBTF9PVVRTVEFORElOR19GSUxJTkdfREFURS45OTkuMzEvMDcvMjAyNgEAAAAgegUAAgAAAAk0OC40OTc0NzcBBAAAAAUAAAABNQEAAAALLTE4ODEwNjg2NzUCAAAABTI0MTUzBgAAAAEwYjWRMDvv3ghbVqY0O+/eCDRDSVEuTkFTREFROkNBTE0uSVFfREFZU19JTlZFTlRPUllfT1VULjk5NS4zMS8wNy8yMDI2AQAA</t>
  </si>
  <si>
    <t>ACB6BQACAAAACTYyLjExODc4NAEIAAAABQAAAAExAQAAAAstMjAzNzI0MTcyMQMAAAADMTYwAgAAAAQ0MDM1BAAAAAEwBwAAAAk3LzMxLzIwMjYIAAAACTUvMjkvMjAyMQkAAAABMEvfjTA7794I/PWiNDvv3gguQ0lRLk5BU0RBUTpDQUxNLklRX0NBTENfVFlQRV9DRi45OTcuMzEvMDcvMjAyNgEAAAAgegUAAwAAAANSRVAAWa76MDvv3gi2pKY0O+/eCDtDSVEuTkFTREFROkNBTE0uSVFfVE9UQUxfT1VUU1RBTkRJTkdfQlNfREFURS45OTYuMzEvMDcvMjAyNgEAAAAgegUAAgAAAAU0OC45NAEEAAAABQAAAAE1AQAAAAstMTk4NjcwODQzMwIAAAAFMjQxNTIGAAAAATBiNZEwO+/eCFtWpjQ7794INENJUS5OQVNEQVE6Q0FMTS5JUV9UT1RBTF9ERUJUX0NBUElUQUwuOTk5LjMxLzA3LzIwMjYBAAAAIHoFAAMAAAAAAEvfjTA7794I+ZOiNDvv3ggxQ0lRLk5BU0RBUTpDQUxNLklRX0NBU0hfQ09OVkVSU0lPTi45OTkuMzEvMDcvMjAyNgEAAAAgegUAAgAAAAk0NS4yNTE3NTIBCAAAAAUAAAABMQEAAAALLTE4ODEwNjg2NzUDAAAAAzE2MAIAAAAENDE4NAQAAAABMAcAAAAJNy8zMS8yMDI2CAAAAAk1LzMxLzIwMjUJAAAAATBL340wO+/eCLrOojQ7794IO0NJUS5OQVNEQVE6Q0FMTS5JUV9UT1RBTF9PVVRTVEFORElOR19CU19EQVRFLjk5NS4zMS8wNy8yMDI2AQAAACB6BQACAAAACTQ4Ljg1ODQ2MwEEAAAABQAA</t>
  </si>
  <si>
    <t>AAE1AQAAAAstMjAzNzI0MTcyMQIAAAAFMjQxNTIGAAAAATBiNZEwO+/eCFtWpjQ7794IQkNJUS5OQVNEQVE6Q0FMTS5JUV9FTVBMT1lFRVNfVU5ERVJfVU5JT05fQ09OVFJBQ1RTLjEwMDAuMzEvMDcvMjAyNgEAAAAgegUAAgAAAAI0MADwVY0wO+/eCOOlpTQ7794IMUNJUS5OQVNEQVE6Q0FMTS5JUV9DT1NUX0JPUlJPV0lORy4xMDAwLjMxLzA3LzIwMjYBAAAAIHoFAAMAAAAAAPBVjTA7794I2UOlNDvv3ggvQ0lRLk5BU0RBUTpDQUxNLklRX0FWR19FTVBMT1lFRVMuOTk5LjMxLzA3LzIwMjYBAAAAIHoFAAMAAAAAAPBVjTA7794I46WlNDvv3ghBQ0lRLk5BU0RBUTpDQUxNLklRX0VNUExPWUVFU19VTkRFUl9VTklPTl9DT05UUkFDVFMuOTk2LjMxLzA3LzIwMjYBAAAAIHoFAAMAAAAAAPBVjTA7794I46WlNDvv3ggwQ0lRLk5BU0RBUTpDQUxNLklRX0NPU1RfQk9SUk9XSU5HLjk5OS4zMS8wNy8yMDI2AQAAACB6BQADAAAAAADwVY0wO+/eCARrpTQ7794ILkNJUS5OQVNEQVE6Q0FMTS5JUV9DQUxDX1RZUEVfQlMuOTk3LjMxLzA3LzIwMjYBAAAAIHoFAAMAAAADUlVQACG4jTA7794IBR2lNDvv3ggwQ0lRLk5BU0RBUTpDQUxNLklRX1JFVFVSTl9BU1NFVFMuMTAwMC4zMS8wNy8yMDI2AQAAACB6BQACAAAABjYuOTMxMQEIAAAABQAAAAExAQAAAAstMTg4MTA2ODY2OAMAAAADMTYwAgAAAAQ0MTc4BAAAAAEw</t>
  </si>
  <si>
    <t>BwAAAAk3LzMxLzIwMjYIAAAACTUvMzAvMjAyNgkAAAABMCG4jTA7794Ius6kNDvv3gg7Q0lRLk5BU0RBUTpDQUxNLklRX1RPVEFMX09VVFNUQU5ESU5HX0JTX0RBVEUuOTk5LjMxLzA3LzIwMjYBAAAAIHoFAAIAAAAGNDguNDk0AQQAAAAFAAAAATUBAAAACy0xODgxMDY4Njc1AgAAAAUyNDE1MgYAAAABMGI1kTA7794IW1amNDvv3ggwQ0lRLk5BU0RBUTpDQUxNLklRX0FWR19FTVBMT1lFRVMuMTAwMC4zMS8wNy8yMDI2AQAAACB6BQADAAAAAADwVY0wO+/eCOOlpTQ7794IO0NJUS5OQVNEQVE6Q0FMTS5JUV9UT1RBTF9PVVRTVEFORElOR19CU19EQVRFLjk5Ny4zMS8wNy8yMDI2AQAAACB6BQACAAAACTQ4Ljk4NDA0OAEEAAAABQAAAAE1AQAAAAstMTkzNDk3ODQyMAIAAAAFMjQxNTIGAAAAATBiNZEwO+/eCFovpjQ7794ILkNJUS5OQVNEQVE6Q0FMTS5JUV9DQUxDX1RZUEVfQ0YuOTk1LjMxLzA3LzIwMjYBAAAAIHoFAAMAAAADUkVQAFmu+jA7794ItqSmNDvv3ggtQ0lRLk5BU0RBUTpDQUxNLklRX0VCSVREQV9JTlQuMTAwMC4zMS8wNy8yMDI2AQAAACB6BQACAAAACjg0MS4xNzYyNTgBCAAAAAUAAAABMQEAAAALLTE4ODEwNjg2NjgDAAAAAzE2MAIAAAAENDE5MAQAAAABMAcAAAAJNy8zMS8yMDI2CAAAAAk1LzMwLzIwMjYJAAAAATBL340wO+/eCOUxojQ7794IKUNJUS5OQVNEQVE6Q0FMTS5JUV9HQUFQ</t>
  </si>
  <si>
    <t>X0NGLjk5OC4zMS8wNy8yMDI2AQAAACB6BQADAAAAB1VTIEdBQVAAWa76MDvv3ghqfaY0O+/eCDRDSVEuTkFTREFROkNBTE0uSVFfQVZHX1RFTVBfRU1QTE9ZRUVTLjk5Ny4zMS8wNy8yMDI2AQAAACB6BQADAAAAAADwVY0wO+/eCOOlpTQ7794IMENJUS5OQVNEQVE6Q0FMTS5JUV9SRVNUQVRFTUVOVF9CUy45OTguMzEvMDcvMjAyNgEAAAAgegUAAwAAAAJOQwAhuI0wO+/eCNlDpTQ7794IRENJUS5OQVNEQVE6Q0FMTS5JUV9UT1RBTF9ERUJUX0VCSVREQV9FWENMX09QRVJfTEVBU0VTLjk5OC4zMS8wNy8yMDI2AQAAACB6BQADAAAAAAACdYcwO+/eCH+ooTQ7794IKUNJUS5OQVNEQVE6Q0FMTS5JUV9HQUFQX0NGLjk5Ny4zMS8wNy8yMDI2AQAAACB6BQADAAAAB1VTIEdBQVAAWa76MDvv3ghqfaY0O+/eCC9DSVEuTkFTREFROkNBTE0uSVFfUkVUVVJOX0VRVUlUWS45OTcuMzEvMDcvMjAyNgEAAAAgegUAAgAAAAc1NS43NjY1AQgAAAAFAAAAATEBAAAACy0xOTM0OTc4NDIwAwAAAAMxNjACAAAABDQxMjgEAAAAATAHAAAACTcvMzEvMjAyNggAAAAINi8zLzIwMjMJAAAAATAhuI0wO+/eCLCnpDQ7794IRENJUS5OQVNEQVE6Q0FMTS5JUV9UT1RBTF9ERUJUX0VCSVREQV9FWENMX09QRVJfTEVBU0VTLjk5Ny4zMS8wNy8yMDI2AQAAACB6BQADAAAAAAACdYcwO+/eCKZtoTQ7794IOUNJUS5OQVNEQVE6Q0FMTS5J</t>
  </si>
  <si>
    <t>UV9UT1RBTF9MSUFCX1RPVEFMX0FTU0VUUy45OTYuMzEvMDcvMjAyNgEAAAAgegUAAgAAAAcyMi42MzcyAQgAAAAFAAAAATEBAAAACy0xOTg2NzA4NDMzAwAAAAMxNjACAAAABDQxODgEAAAAATAHAAAACTcvMzEvMjAyNggAAAAJNS8yOC8yMDIyCQAAAAEwS9+NMDvv3gjlMaI0O+/eCD9DSVEuTkFTREFROkNBTE0uSVFfVE9UQUxfT1VUU1RBTkRJTkdfRklMSU5HX0RBVEUuOTk4LjMxLzA3LzIwMjYBAAAAIHoFAAIAAAAJNDkuMDM4NzY2AQQAAAAFAAAAATUBAAAACy0xODgxMDY4Njc2AgAAAAUyNDE1MwYAAAABMGI1kTA7794Ian2mNDvv3ggsQ0lRLk5BU0RBUTpDQUxNLklRX0lOVl9NRVRIT0QuOTk0LjMxLzA3LzIwMjYBAAAAIHoFAAMAAAAERklGTwDgXJEwO+/eCFovpjQ7794IK0NJUS5OQVNEQVE6Q0FMTS5JUV9QQVJUX1RJTUUuOTk2LjMxLzA3LzIwMjYBAAAAIHoFAAIAAAADMTQwAPBVjTA7794IquClNDvv3ggzQ0lRLk5BU0RBUTpDQUxNLklRX05VTUJFUl9BRFJIT0xERVJTLjk5NS4zMS8wNy8yMDI2AQAAACB6BQADAAAAAADwVY0wO+/eCARrpTQ7794IP0NJUS5OQVNEQVE6Q0FMTS5JUV9UT1RBTF9PVVRTVEFORElOR19GSUxJTkdfREFURS45OTcuMzEvMDcvMjAyNgEAAAAgegUAAgAAAAk0OC45ODQwNDkBBAAAAAUAAAABNQEAAAALLTE5MzQ5Nzg0MjACAAAABTI0MTUzBgAAAAEwYjWRMDvv3ghq</t>
  </si>
  <si>
    <t>faY0O+/eCC9DSVEuTkFTREFROkNBTE0uSVFfRUJJVERBX01BUkdJTi45OTguMzEvMDcvMjAyNgEAAAAgegUAAgAAAAcxNi4xMDU1AQgAAAAFAAAAATEBAAAACy0xODgxMDY4Njc2AwAAAAMxNjACAAAABDQwNDcEAAAAATAHAAAACTcvMzEvMjAyNggAAAAINi8xLzIwMjQJAAAAATAhuI0wO+/eCOtVpDQ7794IL0NJUS5OQVNEQVE6Q0FMTS5JUV9DQVBFWF9QQ1RfUkVWLjk5Ny4zMS8wNy8yMDI2AQAAACB6BQACAAAABjQuMzQwNwEIAAAABQAAAAExAQAAAAstMTkzNDk3ODQyMAMAAAADMTYwAgAAAAUzNTM4MAQAAAABMAcAAAAJNy8zMS8yMDI2CAAAAAg2LzMvMjAyMwkAAAABMCG4jTA7794ICC+kNDvv3ggxQ0lRLk5BU0RBUTpDQUxNLklRX0lOVkVOVE9SWV9UVVJOUy45OTUuMzEvMDcvMjAyNgEAAAAgegUAAgAAAAg1Ljg1OTcyNQEIAAAABQAAAAExAQAAAAstMjAzNzI0MTcyMQMAAAADMTYwAgAAAAQ0MDgyBAAAAAEwBwAAAAk3LzMxLzIwMjYIAAAACTUvMjkvMjAyMQkAAAABMCG4jTA7794IiGujNDvv3ggzQ0lRLk5BU0RBUTpDQUxNLklRX1RPVEFMX0RFQlRfRVFVSVRZLjk5Ny4zMS8wNy8yMDI2AQAAACB6BQADAAAAAABL340wO+/eCPmTojQ7794ILUNJUS5OQVNEQVE6Q0FMTS5JUV9FQklUX01BUkdJTi45OTUuMzEvMDcvMjAyNgEAAAAgegUAAgAAAActMS43MjU4AQgAAAAFAAAAATEBAAAACy0yMDM3</t>
  </si>
  <si>
    <t>MjQxNzIxAwAAAAMxNjACAAAABDQwNTMEAAAAATAHAAAACTcvMzEvMjAyNggAAAAJNS8yOS8yMDIxCQAAAAEwIbiNMDvv3gjrVaQ0O+/eCEpDSVEuTkFTREFROkNBTE0uSVFfVE9UQUxfREVCVF9FQklUREFfRVhDTF9PUEVSX0xFQVNFU19DQVBFWC45OTUuMzEvMDcvMjAyNgEAAAAgegUAAwAAAAJOTQEIAAAABQAAAAExAQAAAAstMjAzNzI0MTcyMQMAAAADMTYwAgAAAAU0OTE4MwQAAAABMAcAAAAJNy8zMS8yMDI2CAAAAAk1LzI5LzIwMjEJAAAAATCyiIcwO+/eCJELoTQ7794IN0NJUS5OQVNEQVE6Q0FMTS5JUV9FQklUREFfMVlSX0FOTl9HUk9XVEguOTk0LjMxLzA3LzIwMjYBAAAAIHoFAAIAAAAILTQwLjgyMDYBCAAAAAUAAAABMQEAAAALLTIwODgzNDc0NjkDAAAAAzE2MAIAAAAENDE5NgQAAAABMAcAAAAJNy8zMS8yMDI2CAAAAAk1LzMwLzIwMjAJAAAAATCyiIcwO+/eCDaWoDQ7794ILkNJUS5OQVNEQVE6Q0FMTS5JUV9DQUxDX1RZUEVfQ0YuOTk0LjMxLzA3LzIwMjYBAAAAIHoFAAMAAAADUkVQAFmu+jA7794ItqSmNDvv3ggqQ0lRLk5BU0RBUTpDQUxNLklRX0dBQVBfQ0YuMTAwMC4zMS8wNy8yMDI2AQAAACB6BQADAAAAB1VTIEdBQVAAWa76MDvv3ghqfaY0O+/eCC9DSVEuTkFTREFROkNBTE0uSVFfQVZHX0VNUExPWUVFUy45OTcuMzEvMDcvMjAyNgEAAAAgegUAAwAAAAAA8FWNMDvv3gjjpaU0</t>
  </si>
  <si>
    <t>O+/eCCtDSVEuTkFTREFROkNBTE0uSVFfUEFSVF9USU1FLjk5NS4zMS8wNy8yMDI2AQAAACB6BQACAAAAAzEzNQDwVY0wO+/eCKrgpTQ7794IL0NJUS5OQVNEQVE6Q0FMTS5JUV9BVkdfRU1QTE9ZRUVTLjk5OC4zMS8wNy8yMDI2AQAAACB6BQADAAAAAADwVY0wO+/eCOOlpTQ7794IMENJUS5OQVNEQVE6Q0FMTS5JUV9DT1NUX0JPUlJPV0lORy45OTguMzEvMDcvMjAyNgEAAAAgegUAAwAAAAAA8FWNMDvv3ggEa6U0O+/eCDBDSVEuTkFTREFROkNBTE0uSVFfUkVTVEFURU1FTlRfQlMuOTk2LjMxLzA3LzIwMjYBAAAAIHoFAAMAAAACUkQAIbiNMDvv3ggFHaU0O+/eCERDSVEuTkFTREFROkNBTE0uSVFfRUJJVERBX0VYQ0xfT1BFUl9MRUFTRVNfQ0FQRVhfSU5ULjEwMDAuMzEvMDcvMjAyNgEAAAAgegUAAgAAAAo1NjkuMTk3ODQxAQgAAAAFAAAAATEBAAAACy0xODgxMDY4NjY4AwAAAAMxNjACAAAABTQ5MTc0BAAAAAEwBwAAAAk3LzMxLzIwMjYIAAAACTUvMzAvMjAyNgkAAAABMP1NhzA7794I2s+hNDvv3ggwQ0lRLk5BU0RBUTpDQUxNLklRX0RBWVNfU0FMRVNfT1VULjk5OS4zMS8wNy8yMDI2AQAAACB6BQACAAAACTE2LjMzOTU5NgEIAAAABQAAAAExAQAAAAstMTg4MTA2ODY3NQMAAAADMTYwAgAAAAQ0MDQyBAAAAAEwBwAAAAk3LzMxLzIwMjYIAAAACTUvMzEvMjAyNQkAAAABMEvfjTA7794IOx2jNDvv</t>
  </si>
  <si>
    <t>3ggzQ0lRLk5BU0RBUTpDQUxNLklRX1RPVEFMX0RFQlRfRVFVSVRZLjk5NC4zMS8wNy8yMDI2AQAAACB6BQACAAAABjAuMzM1NQEIAAAABQAAAAExAQAAAAstMjA4ODM0NzQ2OQMAAAADMTYwAgAAAAQ0MDM0BAAAAAEwBwAAAAk3LzMxLzIwMjYIAAAACTUvMzAvMjAyMAkAAAABMEvfjTA7794I+ZOiNDvv3gg5Q0lRLk5BU0RBUTpDQUxNLklRX1RPVEFMX0xJQUJfVE9UQUxfQVNTRVRTLjk5NS4zMS8wNy8yMDI2AQAAACB6BQACAAAABzE3LjYwNDcBCAAAAAUAAAABMQEAAAALLTIwMzcyNDE3MjEDAAAAAzE2MAIAAAAENDE4OAQAAAABMAcAAAAJNy8zMS8yMDI2CAAAAAk1LzI5LzIwMjEJAAAAATBL340wO+/eCOUxojQ7794IP0NJUS5OQVNEQVE6Q0FMTS5JUV9UT1RBTF9PVVRTVEFORElOR19GSUxJTkdfREFURS45OTYuMzEvMDcvMjAyNgEAAAAgegUAAgAAAAk0OC45Mzk1MjQBBAAAAAUAAAABNQEAAAALLTE5ODY3MDg0MzMCAAAABTI0MTUzBgAAAAEwYjWRMDvv3ghqfaY0O+/eCC1DSVEuTkFTREFROkNBTE0uSVFfSU5WX01FVEhPRC4xMDAwLjMxLzA3LzIwMjYBAAAAIHoFAAMAAAAERklGTwDgXJEwO+/eCFovpjQ7794IMENJUS5OQVNEQVE6Q0FMTS5JUV9DT1NUX0JPUlJPV0lORy45OTYuMzEvMDcvMjAyNgEAAAAgegUAAwAAAAAA8FWNMDvv3ggEa6U0O+/eCC1DSVEuTkFTREFROkNBTE0uSVFfQVNTRVRf</t>
  </si>
  <si>
    <t>VFVSTlMuOTk4LjMxLzA3LzIwMjYBAAAAIHoFAAIAAAAIMS4xMjQwNzkBCAAAAAUAAAABMQEAAAALLTE4ODEwNjg2NzYDAAAAAzE2MAIAAAAENDE3NwQAAAABMAcAAAAJNy8zMS8yMDI2CAAAAAg2LzEvMjAyNAkAAAABMCG4jTA7794IugekNDvv3ggvQ0lRLk5BU0RBUTpDQUxNLklRX0NVUlJFTlRfUkFUSU8uOTk2LjMxLzA3LzIwMjYBAAAAIHoFAAIAAAAHMy41ODIwOQEIAAAABQAAAAExAQAAAAstMTk4NjcwODQzMwMAAAADMTYwAgAAAAQ0MDMwBAAAAAEwBwAAAAk3LzMxLzIwMjYIAAAACTUvMjgvMjAyMgkAAAABMCG4jTA7794IiGujNDvv3ggwQ0lRLk5BU0RBUTpDQUxNLklRX0RBWVNfU0FMRVNfT1VULjk5Ni4zMS8wNy8yMDI2AQAAACB6BQACAAAACTI1LjQxNTU3MgEIAAAABQAAAAExAQAAAAstMTk4NjcwODQzMwMAAAADMTYwAgAAAAQ0MDQyBAAAAAEwBwAAAAk3LzMxLzIwMjYIAAAACTUvMjgvMjAyMgkAAAABMEvfjTA7794I/PWiNDvv3ggtQ0lRLk5BU0RBUTpDQUxNLklRX0FTU0VUX1RVUk5TLjk5Ni4zMS8wNy8yMDI2AQAAACB6BQACAAAACDEuMzM3ODg4AQgAAAAFAAAAATEBAAAACy0xOTg2NzA4NDMzAwAAAAMxNjACAAAABDQxNzcEAAAAATAHAAAACTcvMzEvMjAyNggAAAAJNS8yOC8yMDIyCQAAAAEwIbiNMDvv3gi6B6Q0O+/eCEtDSVEuTkFTREFROkNBTE0uSVFfVE9UQUxfREVCVF9FQklU</t>
  </si>
  <si>
    <t>REFfRVhDTF9PUEVSX0xFQVNFU19DQVBFWC4xMDAwLjMxLzA3LzIwMjYBAAAAIHoFAAMAAAAAALKIhzA7794IkQuhNDvv3gg1Q0lRLk5BU0RBUTpDQUxNLklRX0VCSVRfMVlSX0FOTl9HUk9XVEguOTk2LjMxLzA3LzIwMjYBAAAAIHoFAAMAAAACTk0BCAAAAAUAAAABMQEAAAALLTE5ODY3MDg0MzMDAAAAAzE2MAIAAAAENDE5NwQAAAABMAcAAAAJNy8zMS8yMDI2CAAAAAk1LzI4LzIwMjIJAAAAATCyiIcwO+/eCCZvoDQ7794IP0NJUS5OQVNEQVE6Q0FMTS5JUV9UT1RBTF9PVVRTVEFORElOR19GSUxJTkdfREFURS45OTUuMzEvMDcvMjAyNgEAAAAgegUAAgAAAAk0OC44NTg0NjMBBAAAAAUAAAABNQEAAAALLTIwMzcyNDE3MjECAAAABTI0MTUzBgAAAAEwYjWRMDvv3ghqfaY0O+/eCCxDSVEuTkFTREFROkNBTE0uSVFfSU5WX01FVEhPRC45OTkuMzEvMDcvMjAyNgEAAAAgegUAAwAAAARGSUZPAOBckTA7794IWi+mNDvv3ggvQ0lRLk5BU0RBUTpDQUxNLklRX0FWR19FTVBMT1lFRVMuOTk2LjMxLzA3LzIwMjYBAAAAIHoFAAMAAAAAAPBVjTA7794I46WlNDvv3ggwQ0lRLk5BU0RBUTpDQUxNLklRX0NPU1RfQk9SUk9XSU5HLjk5NS4zMS8wNy8yMDI2AQAAACB6BQACAAAABjcuMzg4MQEIAAAABQAAAAExAQAAAAstMjAzNzI0MTcyMQMAAAADMTYwAgAAAAUyMTY4MQQAAAABMAcAAAAJNy8zMS8yMDI2CAAAAAk1</t>
  </si>
  <si>
    <t>LzI5LzIwMjEJAAAAATDwVY0wO+/eCARrpTQ7794IL0NJUS5OQVNEQVE6Q0FMTS5JUV9SRVRVUk5fQVNTRVRTLjk5Ny4zMS8wNy8yMDI2AQAAACB6BQACAAAABzM1LjYzODgBCAAAAAUAAAABMQEAAAALLTE5MzQ5Nzg0MjADAAAAAzE2MAIAAAAENDE3OAQAAAABMAcAAAAJNy8zMS8yMDI2CAAAAAg2LzMvMjAyMwkAAAABMCG4jTA7794I7vWkNDvv3gg2Q0lRLk5BU0RBUTpDQUxNLklRX1JFVFVSTl9DT01NT05fRVFVSVRZLjk5NS4zMS8wNy8yMDI2AQAAACB6BQACAAAABjAuMjAzNwEIAAAABQAAAAExAQAAAAstMjAzNzI0MTcyMQMAAAADMTYwAgAAAAUzMzMyMAQAAAABMAcAAAAJNy8zMS8yMDI2CAAAAAk1LzI5LzIwMjEJAAAAATAhuI0wO+/eCLCnpDQ7794ILUNJUS5OQVNEQVE6Q0FMTS5JUV9BU1NFVF9UVVJOUy45OTUuMzEvMDcvMjAyNgEAAAAgegUAAgAAAAgxLjEwNzYwMgEIAAAABQAAAAExAQAAAAstMjAzNzI0MTcyMQMAAAADMTYwAgAAAAQ0MTc3BAAAAAEwBwAAAAk3LzMxLzIwMjYIAAAACTUvMjkvMjAyMQkAAAABMCG4jTA7794IugekNDvv3ggvQ0lRLk5BU0RBUTpDQUxNLklRX0NVUlJFTlRfUkFUSU8uOTk0LjMxLzA3LzIwMjYBAAAAIHoFAAIAAAAINS42MDQ1NzMBCAAAAAUAAAABMQEAAAALLTIwODgzNDc0NjkDAAAAAzE2MAIAAAAENDAzMAQAAAABMAcAAAAJNy8zMS8yMDI2CAAAAAk1LzMw</t>
  </si>
  <si>
    <t>LzIwMjAJAAAAATAhuI0wO+/eCIhrozQ7794IM0NJUS5OQVNEQVE6Q0FMTS5JUV9UT1RBTF9ERUJUX0VCSVREQS45OTcuMzEvMDcvMjAyNgEAAAAgegUAAwAAAAAAAnWHMDvv3gh/qKE0O+/eCD9DSVEuTkFTREFROkNBTE0uSVFfVE9UQUxfT1VUU1RBTkRJTkdfRklMSU5HX0RBVEUuOTk0LjMxLzA3LzIwMjYBAAAAIHoFAAIAAAAJNDguMzAwNzE4AQQAAAAFAAAAATUBAAAACy0yMDg4MzQ3NDY5AgAAAAUyNDE1MwYAAAABMGI1kTA7794IW1amNDvv3ggsQ0lRLk5BU0RBUTpDQUxNLklRX1BBUlRfVElNRS4xMDAwLjMxLzA3LzIwMjYBAAAAIHoFAAIAAAADMTQ3APBVjTA7794IquClNDvv3ggvQ0lRLk5BU0RBUTpDQUxNLklRX0FWR19FTVBMT1lFRVMuOTk1LjMxLzA3LzIwMjYBAAAAIHoFAAMAAAAAAPBVjTA7794I46WlNDvv3gg0Q0lRLk5BU0RBUTpDQUxNLklRX05VTUJFUl9BRFJIT0xERVJTLjEwMDAuMzEvMDcvMjAyNgEAAAAgegUAAwAAAAAA8FWNMDvv3ggEa6U0O+/eCC9DSVEuTkFTREFROkNBTE0uSVFfUkVUVVJOX0FTU0VUUy45OTYuMzEvMDcvMjAyNgEAAAAgegUAAgAAAAY2LjUxMzIBCAAAAAUAAAABMQEAAAALLTE5ODY3MDg0MzMDAAAAAzE2MAIAAAAENDE3OAQAAAABMAcAAAAJNy8zMS8yMDI2CAAAAAk1LzI4LzIwMjIJAAAAATAhuI0wO+/eCO71pDQ7794INkNJUS5OQVNEQVE6Q0FMTS5JUV9S</t>
  </si>
  <si>
    <t>RVRVUk5fQ09NTU9OX0VRVUlUWS45OTQuMzEvMDcvMjAyNgEAAAAgegUAAgAAAAYxLjg0MjUBCAAAAAUAAAABMQEAAAALLTIwODgzNDc0NjkDAAAAAzE2MAIAAAAFMzMzMjAEAAAAATAHAAAACTcvMzEvMjAyNggAAAAJNS8zMC8yMDIwCQAAAAEwIbiNMDvv3giwp6Q0O+/eCDRDSVEuTkFTREFROkNBTE0uSVFfVE9UQUxfREVCVF9DQVBJVEFMLjk5NS4zMS8wNy8yMDI2AQAAACB6BQACAAAABjAuMjM0MgEIAAAABQAAAAExAQAAAAstMjAzNzI0MTcyMQMAAAADMTYwAgAAAAQ0MTg2BAAAAAEwBwAAAAk3LzMxLzIwMjYIAAAACTUvMjkvMjAyMQkAAAABMEvfjTA7794I+ZOiNDvv3ggzQ0lRLk5BU0RBUTpDQUxNLklRX1RPVEFMX0RFQlRfRVFVSVRZLjk5OC4zMS8wNy8yMDI2AQAAACB6BQADAAAAAABL340wO+/eCPmTojQ7794IKkNJUS5OQVNEQVE6Q0FMTS5JUV9FQklUX0lOVC45OTcuMzEvMDcvMjAyNgEAAAAgegUAAgAAAAsxNjUzLjk0NTExMQEIAAAABQAAAAExAQAAAAstMTkzNDk3ODQyMAMAAAADMTYwAgAAAAQ0MTg5BAAAAAEwBwAAAAk3LzMxLzIwMjYIAAAACDYvMy8yMDIzCQAAAAEwS9+NMDvv3gjlMaI0O+/eCDNDSVEuTkFTREFROkNBTE0uSVFfVE9UQUxfREVCVF9FQklUREEuOTk2LjMxLzA3LzIwMjYBAAAAIHoFAAMAAAAAAAJ1hzA7794If6ihNDvv3ggzQ0lRLk5BU0RBUTpDQUxNLklRX05JXzFZ</t>
  </si>
  <si>
    <t>Ul9BTk5fR1JPV1RILjk5OC4zMS8wNy8yMDI2AQAAACB6BQACAAAACC02My4zNDA1AQgAAAAFAAAAATEBAAAACy0xODgxMDY4Njc2AwAAAAMxNjACAAAABDQxOTkEAAAAATAHAAAACTcvMzEvMjAyNggAAAAINi8xLzIwMjQJAAAAATCyiIcwO+/eCBlIoDQ7794INkNJUS5OQVNEQVE6Q0FMTS5JUV9SRVRVUk5fQ09NTU9OX0VRVUlUWS45OTkuMzEvMDcvMjAyNgEAAAAgegUAAgAAAAc1NS45NTU2AQgAAAAFAAAAATEBAAAACy0xODgxMDY4Njc1AwAAAAMxNjACAAAABTMzMzIwBAAAAAEwBwAAAAk3LzMxLzIwMjYIAAAACTUvMzEvMjAyNQkAAAABMCG4jTA7794IsKekNDvv3ggvQ0lRLk5BU0RBUTpDQUxNLklRX1JFVFVSTl9BU1NFVFMuOTk0LjMxLzA3LzIwMjYBAAAAIHoFAAIAAAAGMC4wNzE0AQgAAAAFAAAAATEBAAAACy0yMDg4MzQ3NDY5AwAAAAMxNjACAAAABDQxNzgEAAAAATAHAAAACTcvMzEvMjAyNggAAAAJNS8zMC8yMDIwCQAAAAEwIbiNMDvv3gju9aQ0O+/eCC5DSVEuTkFTREFROkNBTE0uSVFfRUJJVF9NQVJHSU4uMTAwMC4zMS8wNy8yMDI2AQAAACB6BQACAAAABzExLjc5MjQBCAAAAAUAAAABMQEAAAALLTE4ODEwNjg2NjgDAAAAAzE2MAIAAAAENDA1MwQAAAABMAcAAAAJNy8zMS8yMDI2CAAAAAk1LzMwLzIwMjYJAAAAATAhuI0wO+/eCOtVpDQ7794IMENJUS5OQVNEQVE6Q0FMTS5JUV9DVVJS</t>
  </si>
  <si>
    <t>RU5UX1JBVElPLjEwMDAuMzEvMDcvMjAyNgEAAAAgegUAAgAAAAg3LjY5NTQ2OAEIAAAABQAAAAExAQAAAAstMTg4MTA2ODY2OAMAAAADMTYwAgAAAAQ0MDMwBAAAAAEwBwAAAAk3LzMxLzIwMjYIAAAACTUvMzAvMjAyNgkAAAABMCG4jTA7794IiGujNDvv3gg0Q0lRLk5BU0RBUTpDQUxNLklRX0RBWVNfSU5WRU5UT1JZX09VVC45OTguMzEvMDcvMjAyNgEAAAAgegUAAgAAAAk1NS42OTQ5MTIBCAAAAAUAAAABMQEAAAALLTE4ODEwNjg2NzYDAAAAAzE2MAIAAAAENDAzNQQAAAABMAcAAAAJNy8zMS8yMDI2CAAAAAg2LzEvMjAyNAkAAAABMEvfjTA7794IOx2jNDvv3ggsQ0lRLk5BU0RBUTpDQUxNLklRX0VCSVREQV9JTlQuOTk0LjMxLzA3LzIwMjYBAAAAIHoFAAIAAAAKMTI4LjgyMzI5MwEIAAAABQAAAAExAQAAAAstMjA4ODM0NzQ2OQMAAAADMTYwAgAAAAQ0MTkwBAAAAAEwBwAAAAk3LzMxLzIwMjYIAAAACTUvMzAvMjAyMAkAAAABMEvfjTA7794I5TGiNDvv3ggqQ0lRLk5BU0RBUTpDQUxNLklRX0VCSVRfSU5ULjk5OC4zMS8wNy8yMDI2AQAAACB6BQACAAAACjUzNi4zMzE1MTEBCAAAAAUAAAABMQEAAAALLTE4ODEwNjg2NzYDAAAAAzE2MAIAAAAENDE4OQQAAAABMAcAAAAJNy8zMS8yMDI2CAAAAAg2LzEvMjAyNAkAAAABMEvfjTA7794I5TGiNDvv3ggzQ0lRLk5BU0RBUTpDQUxNLklRX05JXzFZUl9B</t>
  </si>
  <si>
    <t>Tk5fR1JPV1RILjk5Ny4zMS8wNy8yMDI2AQAAACB6BQACAAAACDQ3MS40NDY2AQgAAAAFAAAAATEBAAAACy0xOTM0OTc4NDIwAwAAAAMxNjACAAAABDQxOTkEAAAAATAHAAAACTcvMzEvMjAyNggAAAAINi8zLzIwMjMJAAAAATCyiIcwO+/eCBlIoDQ7794IMUNJUS5OQVNEQVE6Q0FMTS5JUV9UT1RBTF9FTVBMT1lFRVMuOTk3LjMxLzA3LzIwMjYBAAAAIHoFAAIAAAAEMjg5NgDwVY0wO+/eCKrgpTQ7794ILkNJUS5OQVNEQVE6Q0FMTS5JUV9DQUxDX1RZUEVfQlMuOTk4LjMxLzA3LzIwMjYBAAAAIHoFAAMAAAADUlVQACG4jTA7794IBR2lNDvv3ggrQ0lRLk5BU0RBUTpDQUxNLklRX0ZVTExfVElNRS45OTYuMzEvMDcvMjAyNgEAAAAgegUAAgAAAAQyODQ1APBVjTA7794IWi+mNDvv3ggtQ0lRLk5BU0RBUTpDQUxNLklRX0VCSVRfTUFSR0lOLjk5OS4zMS8wNy8yMDI2AQAAACB6BQACAAAABzM2LjU1NzQBCAAAAAUAAAABMQEAAAALLTE4ODEwNjg2NzUDAAAAAzE2MAIAAAAENDA1MwQAAAABMAcAAAAJNy8zMS8yMDI2CAAAAAk1LzMxLzIwMjUJAAAAATAhuI0wO+/eCOtVpDQ7794IL0NJUS5OQVNEQVE6Q0FMTS5JUV9DVVJSRU5UX1JBVElPLjk5OS4zMS8wNy8yMDI2AQAAACB6BQACAAAACDYuMzgyMjc5AQgAAAAFAAAAATEBAAAACy0xODgxMDY4Njc1AwAAAAMxNjACAAAABDQwMzAEAAAAATAHAAAACTcvMzEv</t>
  </si>
  <si>
    <t>MjAyNggAAAAJNS8zMS8yMDI1CQAAAAEwIbiNMDvv3giIa6M0O+/eCDRDSVEuTkFTREFROkNBTE0uSVFfREFZU19JTlZFTlRPUllfT1VULjk5Ny4zMS8wNy8yMDI2AQAAACB6BQACAAAACTUyLjExMTAzMQEIAAAABQAAAAExAQAAAAstMTkzNDk3ODQyMAMAAAADMTYwAgAAAAQ0MDM1BAAAAAEwBwAAAAk3LzMxLzIwMjYIAAAACDYvMy8yMDIzCQAAAAEwS9+NMDvv3gj89aI0O+/eCDRDSVEuTkFTREFROkNBTE0uSVFfVE9UQUxfREVCVF9DQVBJVEFMLjk5NC4zMS8wNy8yMDI2AQAAACB6BQACAAAABjAuMzM0NAEIAAAABQAAAAExAQAAAAstMjA4ODM0NzQ2OQMAAAADMTYwAgAAAAQ0MTg2BAAAAAEwBwAAAAk3LzMxLzIwMjYIAAAACTUvMzAvMjAyMAkAAAABMEvfjTA7794I+ZOiNDvv3ghIQ0lRLk5BU0RBUTpDQUxNLklRX05FVF9ERUJUX0VCSVREQV9FWENMX09QRVJfTEVBU0VTX0NBUEVYLjk5OS4zMS8wNy8yMDI2AQAAACB6BQADAAAAAk5NAQgAAAAFAAAAATEBAAAACy0xODgxMDY4Njc1AwAAAAMxNjACAAAABTQ5MTgyBAAAAAEwBwAAAAk3LzMxLzIwMjYIAAAACTUvMzEvMjAyNQkAAAABMLKIhzA7794Ib72gNDvv3ghFQ0lRLk5BU0RBUTpDQUxNLklRX1RPVEFMX0RFQlRfRUJJVERBX0VYQ0xfT1BFUl9MRUFTRVMuMTAwMC4zMS8wNy8yMDI2AQAAACB6BQADAAAAAAACdYcwO+/eCH+ooTQ7794ISENJUS5O</t>
  </si>
  <si>
    <t>QVNEQVE6Q0FMTS5JUV9ORVRfREVCVF9FQklUREFfRVhDTF9PUEVSX0xFQVNFU19DQVBFWC45OTUuMzEvMDcvMjAyNgEAAAAgegUAAwAAAAJOTQEIAAAABQAAAAExAQAAAAstMjAzNzI0MTcyMQMAAAADMTYwAgAAAAU0OTE4MgQAAAABMAcAAAAJNy8zMS8yMDI2CAAAAAk1LzI5LzIwMjEJAAAAATCyiIcwO+/eCITkoDQ7794IOENJUS5OQVNEQVE6Q0FMTS5JUV9UT1RBTF9SRVZfM1lSX0FOTl9DQUdSLjk5NC4zMS8wNy8yMDI2AQAAACB6BQACAAAABjcuOTQ3NgEIAAAABQAAAAExAQAAAAstMjA4ODM0NzQ2OQMAAAADMTYwAgAAAAQ0MjIwBAAAAAEwBwAAAAk3LzMxLzIwMjYIAAAACTUvMzAvMjAyMAkAAAABMLKIhzA7794ICCGgNDvv3ghIQ0lRLk5BU0RBUTpDQUxNLklRX05FVF9ERUJUX0VCSVREQV9FWENMX09QRVJfTEVBU0VTX0NBUEVYLjk5NC4zMS8wNy8yMDI2AQAAACB6BQADAAAAAk5NAQgAAAAFAAAAATEBAAAACy0yMDg4MzQ3NDY5AwAAAAMxNjACAAAABTQ5MTgyBAAAAAEwBwAAAAk3LzMxLzIwMjYIAAAACTUvMzAvMjAyMAkAAAABMLKIhzA7794IhOSgNDvv3ggrQ0lRLk5BU0RBUTpDQUxNLklRX05JX01BUkdJTi45OTcuMzEvMDcvMjAyNgEAAAAgegUAAgAAAAcyNC4wOTMxAQgAAAAFAAAAATEBAAAACy0xOTM0OTc4NDIwAwAAAAMxNjACAAAABDQwOTQEAAAAATAHAAAACTcvMzEvMjAyNggAAAAI</t>
  </si>
  <si>
    <t>Ni8zLzIwMjMJAAAAATAhuI0wO+/eCAgvpDQ7794INENJUS5OQVNEQVE6Q0FMTS5JUV9BVkdfVEVNUF9FTVBMT1lFRVMuOTk2LjMxLzA3LzIwMjYBAAAAIHoFAAMAAAAAAPBVjTA7794I46WlNDvv3ggvQ0lRLk5BU0RBUTpDQUxNLklRX1JFVFVSTl9BU1NFVFMuOTk5LjMxLzA3LzIwMjYBAAAAIHoFAAIAAAAHMzYuOTU5NgEIAAAABQAAAAExAQAAAAstMTg4MTA2ODY3NQMAAAADMTYwAgAAAAQ0MTc4BAAAAAEwBwAAAAk3LzMxLzIwMjYIAAAACTUvMzEvMjAyNQkAAAABMCG4jTA7794Ius6kNDvv3gg0Q0lRLk5BU0RBUTpDQUxNLklRX1RPVEFMX0RFQlRfQ0FQSVRBTC45OTcuMzEvMDcvMjAyNgEAAAAgegUAAwAAAAAAS9+NMDvv3gj5k6I0O+/eCCxDSVEuTkFTREFROkNBTE0uSVFfRUJJVERBX0lOVC45OTkuMzEvMDcvMjAyNgEAAAAgegUAAgAAAAsyNjk5LjQzOTU0MgEIAAAABQAAAAExAQAAAAstMTg4MTA2ODY3NQMAAAADMTYwAgAAAAQ0MTkwBAAAAAEwBwAAAAk3LzMxLzIwMjYIAAAACTUvMzEvMjAyNQkAAAABMEvfjTA7794I5TGiNDvv3ggxQ0lRLk5BU0RBUTpDQUxNLklRX1RPVEFMX0VNUExPWUVFUy45OTguMzEvMDcvMjAyNgEAAAAgegUAAgAAAAQyOTk4APBVjTA7794IquClNDvv3gg7Q0lRLk5BU0RBUTpDQUxNLklRX1RPVEFMX09VVFNUQU5ESU5HX0JTX0RBVEUuOTk0LjMxLzA3LzIwMjYBAAAA</t>
  </si>
  <si>
    <t>IHoFAAIAAAAGNDguNzc0AQQAAAAFAAAAATUBAAAACy0yMDg4MzQ3NDY5AgAAAAUyNDE1MgYAAAABMGI1kTA7794IW1amNDvv3ggrQ0lRLk5BU0RBUTpDQUxNLklRX0ZVTExfVElNRS45OTUuMzEvMDcvMjAyNgEAAAAgegUAAgAAAAQzMTUxAPBVjTA7794IWi+mNDvv3gg0Q0lRLk5BU0RBUTpDQUxNLklRX0FWR19URU1QX0VNUExPWUVFUy45OTQuMzEvMDcvMjAyNgEAAAAgegUAAwAAAAAA8FWNMDvv3gjjpaU0O+/eCC9DSVEuTkFTREFROkNBTE0uSVFfUkVUVVJOX0FTU0VUUy45OTguMzEvMDcvMjAyNgEAAAAgegUAAgAAAAY4Ljg5MTgBCAAAAAUAAAABMQEAAAALLTE4ODEwNjg2NzYDAAAAAzE2MAIAAAAENDE3OAQAAAABMAcAAAAJNy8zMS8yMDI2CAAAAAg2LzEvMjAyNAkAAAABMCG4jTA7794I7vWkNDvv3ggtQ0lRLk5BU0RBUTpDQUxNLklRX1FVSUNLX1JBVElPLjk5OS4zMS8wNy8yMDI2AQAAACB6BQACAAAACDUuMzk3NTkyAQgAAAAFAAAAATEBAAAACy0xODgxMDY4Njc1AwAAAAMxNjACAAAABDQxMjEEAAAAATAHAAAACTcvMzEvMjAyNggAAAAJNS8zMS8yMDI1CQAAAAEwIbiNMDvv3ghNRKM0O+/eCDVDSVEuTkFTREFROkNBTE0uSVFfREFZU19JTlZFTlRPUllfT1VULjEwMDAuMzEvMDcvMjAyNgEAAAAgegUAAgAAAAg1NC41MjM1NgEIAAAABQAAAAExAQAAAAstMTg4MTA2ODY2OAMAAAADMTYwAgAA</t>
  </si>
  <si>
    <t>AAQ0MDM1BAAAAAEwBwAAAAk3LzMxLzIwMjYIAAAACTUvMzAvMjAyNgkAAAABMEvfjTA7794I/PWiNDvv3ggsQ0lRLk5BU0RBUTpDQUxNLklRX0VCSVREQV9JTlQuOTk4LjMxLzA3LzIwMjYBAAAAIHoFAAIAAAAKNjgyLjQ4OTk4MQEIAAAABQAAAAExAQAAAAstMTg4MTA2ODY3NgMAAAADMTYwAgAAAAQ0MTkwBAAAAAEwBwAAAAk3LzMxLzIwMjYIAAAACDYvMS8yMDI0CQAAAAEwS9+NMDvv3gjlMaI0O+/eCDhDSVEuTkFTREFROkNBTE0uSVFfVE9UQUxfUkVWXzNZUl9BTk5fQ0FHUi45OTYuMzEvMDcvMjAyNgEAAAAgegUAAgAAAAY5LjI5NTYBCAAAAAUAAAABMQEAAAALLTE5ODY3MDg0MzMDAAAAAzE2MAIAAAAENDIyMAQAAAABMAcAAAAJNy8zMS8yMDI2CAAAAAk1LzI4LzIwMjIJAAAAATCyiIcwO+/eCAghoDQ7794IK0NJUS5OQVNEQVE6Q0FMTS5JUV9GVUxMX1RJTUUuOTk0LjMxLzA3LzIwMjYBAAAAIHoFAAIAAAAEMzQ2MQDwVY0wO+/eCFovpjQ7794IMkNJUS5OQVNEQVE6Q0FMTS5JUV9HUF8zWVJfQU5OX0NBR1IuMTAwMC4zMS8wNy8yMDI2AQAAACB6BQACAAAABy0xNy40OTEBCAAAAAUAAAABMQEAAAALLTE4ODEwNjg2NjgDAAAAAzE2MAIAAAAENDIyMQQAAAABMAcAAAAJNy8zMS8yMDI2CAAAAAk1LzMwLzIwMjYJAAAAATCyiIcwO+/eCPb5nzQ7794IKUNJUS5OQVNEQVE6Q0FMTS5JUV9HQUFQX0JT</t>
  </si>
  <si>
    <t>Ljk5NS4zMS8wNy8yMDI2AQAAACB6BQADAAAAB1VTIEdBQVAAIbiNMDvv3gju9aQ0O+/eCDBDSVEuTkFTREFROkNBTE0uSVFfUkVUVVJOX0NBUElUQUwuOTk1LjMxLzA3LzIwMjYBAAAAIHoFAAIAAAAHLTEuNDM0OAEIAAAABQAAAAExAQAAAAstMjAzNzI0MTcyMQMAAAADMTYwAgAAAAQ0MzYzBAAAAAEwBwAAAAk3LzMxLzIwMjYIAAAACTUvMjkvMjAyMQkAAAABMCG4jTA7794I7vWkNDvv3gguQ0lRLk5BU0RBUTpDQUxNLklRX0dST1NTX01BUkdJTi45OTkuMzEvMDcvMjAyNgEAAAAgegUAAgAAAAc0My40Mjg3AQgAAAAFAAAAATEBAAAACy0xODgxMDY4Njc1AwAAAAMxNjACAAAABDQwNzQEAAAAATAHAAAACTcvMzEvMjAyNggAAAAJNS8zMS8yMDI1CQAAAAEwIbiNMDvv3gi/gKQ0O+/eCCtDSVEuTkFTREFROkNBTE0uSVFfTklfTUFSR0lOLjk5NS4zMS8wNy8yMDI2AQAAACB6BQACAAAABjAuMTUyNwEIAAAABQAAAAExAQAAAAstMjAzNzI0MTcyMQMAAAADMTYwAgAAAAQ0MDk0BAAAAAEwBwAAAAk3LzMxLzIwMjYIAAAACTUvMjkvMjAyMQkAAAABMCG4jTA7794ICC+kNDvv3ggtQ0lRLk5BU0RBUTpDQUxNLklRX1FVSUNLX1JBVElPLjk5NS4zMS8wNy8yMDI2AQAAACB6BQACAAAACDMuMjg3MDAxAQgAAAAFAAAAATEBAAAACy0yMDM3MjQxNzIxAwAAAAMxNjACAAAABDQxMjEEAAAAATAHAAAACTcvMzEvMjAy</t>
  </si>
  <si>
    <t>NggAAAAJNS8yOS8yMDIxCQAAAAEwIbiNMDvv3ghNRKM0O+/eCDRDSVEuTkFTREFROkNBTE0uSVFfREFZU19JTlZFTlRPUllfT1VULjk5OS4zMS8wNy8yMDI2AQAAACB6BQACAAAACDQyLjA4MDIyAQgAAAAFAAAAATEBAAAACy0xODgxMDY4Njc1AwAAAAMxNjACAAAABDQwMzUEAAAAATAHAAAACTcvMzEvMjAyNggAAAAJNS8zMS8yMDI1CQAAAAEwS9+NMDvv3gj89aI0O+/eCDBDSVEuTkFTREFROkNBTE0uSVFfTFRfREVCVF9FUVVJVFkuOTk4LjMxLzA3LzIwMjYBAAAAIHoFAAMAAAAAAEvfjTA7794I+ZOiNDvv3ggsQ0lRLk5BU0RBUTpDQUxNLklRX0VCSVREQV9JTlQuOTk3LjMxLzA3LzIwMjYBAAAAIHoFAAIAAAALMTc3Ny44NDU2MjYBCAAAAAUAAAABMQEAAAALLTE5MzQ5Nzg0MjADAAAAAzE2MAIAAAAENDE5MAQAAAABMAcAAAAJNy8zMS8yMDI2CAAAAAg2LzMvMjAyMwkAAAABMEvfjTA7794IowqiNDvv3ggpQ0lRLk5BU0RBUTpDQUxNLklRX1pfU0NPUkUuOTk0LjMxLzA3LzIwMjYBAAAAIHoFAAIAAAAIOC43MTQ4ODUBCAAAAAUAAAABMQEAAAALLTIwODgzNDc0NjkDAAAAAzE2MAIAAAAGMTAwMTIzBAAAAAEwBwAAAAk3LzMxLzIwMjYIAAAACTUvMzAvMjAyMAkAAAABMLKIhzA7794Ib72gNDvv3gg8Q0lRLk5BU0RBUTpDQUxNLklRX1RPVEFMX09VVFNUQU5ESU5HX0JTX0RBVEUuMTAwMC4zMS8wNy8y</t>
  </si>
  <si>
    <t>MDI2AQAAACB6BQACAAAABjQ2Ljk4MQEEAAAABQAAAAE1AQAAAAstMTg4MTA2ODY2OAIAAAAFMjQxNTIGAAAAATBiNZEwO+/eCFtWpjQ7794ILkNJUS5OQVNEQVE6Q0FMTS5JUV9HUk9TU19NQVJHSU4uOTk4LjMxLzA3LzIwMjYBAAAAIHoFAAIAAAAHMjMuMjc4OQEIAAAABQAAAAExAQAAAAstMTg4MTA2ODY3NgMAAAADMTYwAgAAAAQ0MDc0BAAAAAEwBwAAAAk3LzMxLzIwMjYIAAAACDYvMS8yMDI0CQAAAAEwIbiNMDvv3giwp6Q0O+/eCCtDSVEuTkFTREFROkNBTE0uSVFfTklfTUFSR0lOLjk5NC4zMS8wNy8yMDI2AQAAACB6BQACAAAABjEuMzYwNgEIAAAABQAAAAExAQAAAAstMjA4ODM0NzQ2OQMAAAADMTYwAgAAAAQ0MDk0BAAAAAEwBwAAAAk3LzMxLzIwMjYIAAAACTUvMzAvMjAyMAkAAAABMCG4jTA7794ICC+kNDvv3ggqQ0lRLk5BU0RBUTpDQUxNLklRX0FSX1RVUk5TLjk5NS4zMS8wNy8yMDI2AQAAACB6BQACAAAACTE2LjQ0Njg0OAEIAAAABQAAAAExAQAAAAstMjAzNzI0MTcyMQMAAAADMTYwAgAAAAQ0MDAxBAAAAAEwBwAAAAk3LzMxLzIwMjYIAAAACTUvMjkvMjAyMQkAAAABMCG4jTA7794IxOCjNDvv3ggxQ0lRLk5BU0RBUTpDQUxNLklRX1JFVFVSTl9DQVBJVEFMLjEwMDAuMzEvMDcvMjAyNgEAAAAgegUAAgAAAAY4LjI0MzIBCAAAAAUAAAABMQEAAAALLTE4ODEwNjg2NjgDAAAAAzE2MAIA</t>
  </si>
  <si>
    <t>AAAENDM2MwQAAAABMAcAAAAJNy8zMS8yMDI2CAAAAAk1LzMwLzIwMjYJAAAAATAhuI0wO+/eCLrOpDQ7794IMENJUS5OQVNEQVE6Q0FMTS5JUV9MVF9ERUJUX0VRVUlUWS45OTYuMzEvMDcvMjAyNgEAAAAgegUAAwAAAAAAS9+NMDvv3giybKI0O+/eCDFDSVEuTkFTREFROkNBTE0uSVFfTkVUX0RFQlRfRUJJVERBLjk5NS4zMS8wNy8yMDI2AQAAACB6BQADAAAAAk5NAQgAAAAFAAAAATEBAAAACy0yMDM3MjQxNzIxAwAAAAMxNjACAAAABDQxOTMEAAAAATAHAAAACTcvMzEvMjAyNggAAAAJNS8yOS8yMDIxCQAAAAEwAnWHMDvv3gimbaE0O+/eCDVDSVEuTkFTREFROkNBTE0uSVFfRUJJVERBXzNZUl9BTk5fQ0FHUi45OTYuMzEvMDcvMjAyNgEAAAAgegUAAgAAAAcyNy4yMTI0AQgAAAAFAAAAATEBAAAACy0xOTg2NzA4NDMzAwAAAAMxNjACAAAABDQyMjIEAAAAATAHAAAACTcvMzEvMjAyNggAAAAJNS8yOC8yMDIyCQAAAAEwsoiHMDvv3gj2+Z80O+/eCDBDSVEuTkFTREFROkNBTE0uSVFfUkVTVEFURU1FTlRfQ0YuOTk2LjMxLzA3LzIwMjYBAAAAIHoFAAMAAAACTkMAWa76MDvv3gjby6Y0O+/eCClDSVEuTkFTREFROkNBTE0uSVFfWl9TQ09SRS45OTkuMzEvMDcvMjAyNgEAAAAgegUAAgAAAAc5Ljc1MjM4AQgAAAAFAAAAATEBAAAACy0xODgxMDY4Njc1AwAAAAMxNjACAAAABjEwMDEyMwQAAAABMAcAAAAJ</t>
  </si>
  <si>
    <t>Ny8zMS8yMDI2CAAAAAk1LzMxLzIwMjUJAAAAATCyiIcwO+/eCITkoDQ7794ILENJUS5OQVNEQVE6Q0FMTS5JUV9GVUxMX1RJTUUuMTAwMC4zMS8wNy8yMDI2AQAAACB6BQACAAAABDQ3NjIA8FWNMDvv3ggTCKY0O+/eCEFDSVEuTkFTREFROkNBTE0uSVFfRU1QTE9ZRUVTX1VOREVSX1VOSU9OX0NPTlRSQUNUUy45OTQuMzEvMDcvMjAyNgEAAAAgegUAAwAAAAAA8FWNMDvv3giq4KU0O+/eCDVDSVEuTkFTREFROkNBTE0uSVFfQVZHX1RFTVBfRU1QTE9ZRUVTLjEwMDAuMzEvMDcvMjAyNgEAAAAgegUAAwAAAAAA8FWNMDvv3ggHkqU0O+/eCCpDSVEuTkFTREFROkNBTE0uSVFfR0FBUF9CUy4xMDAwLjMxLzA3LzIwMjYBAAAAIHoFAAMAAAAHVVMgR0FBUAAhuI0wO+/eCO71pDQ7794ILkNJUS5OQVNEQVE6Q0FMTS5JUV9HUk9TU19NQVJHSU4uOTk3LjMxLzA3LzIwMjYBAAAAIHoFAAIAAAAHMzguMDI4NAEIAAAABQAAAAExAQAAAAstMTkzNDk3ODQyMAMAAAADMTYwAgAAAAQ0MDc0BAAAAAEwBwAAAAk3LzMxLzIwMjYIAAAACDYvMy8yMDIzCQAAAAEwIbiNMDvv3gi/gKQ0O+/eCDNDSVEuTkFTREFROkNBTE0uSVFfREFZU19QQVlBQkxFX09VVC4xMDAwLjMxLzA3LzIwMjYBAAAAIHoFAAIAAAAJMTUuNDcwMzY0AQgAAAAFAAAAATEBAAAACy0xODgxMDY4NjY4AwAAAAMxNjACAAAABDQxODMEAAAAATAHAAAACTcv</t>
  </si>
  <si>
    <t>MzEvMjAyNggAAAAJNS8zMC8yMDI2CQAAAAEwS9+NMDvv3gi6zqI0O+/eCDBDSVEuTkFTREFROkNBTE0uSVFfTFRfREVCVF9FUVVJVFkuOTk1LjMxLzA3LzIwMjYBAAAAIHoFAAIAAAAGMC4xNDUzAQgAAAAFAAAAATEBAAAACy0yMDM3MjQxNzIxAwAAAAMxNjACAAAABDQwODUEAAAAATAHAAAACTcvMzEvMjAyNggAAAAJNS8yOS8yMDIxCQAAAAEwS9+NMDvv3gj5k6I0O+/eCEJDSVEuTkFTREFROkNBTE0uSVFfTkVUX0RFQlRfRUJJVERBX0VYQ0xfT1BFUl9MRUFTRVMuOTk0LjMxLzA3LzIwMjYBAAAAIHoFAAMAAAACTk0BCAAAAAUAAAABMQEAAAALLTIwODgzNDc0NjkDAAAAAzE2MAIAAAAFNDkxNzUEAAAAATAHAAAACTcvMzEvMjAyNggAAAAJNS8zMC8yMDIwCQAAAAEwAnWHMDvv3gimbaE0O+/eCDJDSVEuTkFTREFROkNBTE0uSVFfREFZU19QQVlBQkxFX09VVC45OTguMzEvMDcvMjAyNgEAAAAgegUAAgAAAAkxNi4zNjQzNDgBCAAAAAUAAAABMQEAAAALLTE4ODEwNjg2NzYDAAAAAzE2MAIAAAAENDE4MwQAAAABMAcAAAAJNy8zMS8yMDI2CAAAAAg2LzEvMjAyNAkAAAABMEvfjTA7794I/PWiNDvv3gg1Q0lRLk5BU0RBUTpDQUxNLklRX0VCSVREQV8zWVJfQU5OX0NBR1IuOTk1LjMxLzA3LzIwMjYBAAAAIHoFAAIAAAAILTQ2LjQ1MzgBCAAAAAUAAAABMQEAAAALLTIwMzcyNDE3MjEDAAAAAzE2MAIAAAAE</t>
  </si>
  <si>
    <t>NDIyMgQAAAABMAcAAAAJNy8zMS8yMDI2CAAAAAk1LzI5LzIwMjEJAAAAATCyiIcwO+/eCPb5nzQ7794IK0NJUS5OQVNEQVE6Q0FMTS5JUV9GVUxMX1RJTUUuOTk5LjMxLzA3LzIwMjYBAAAAIHoFAAIAAAAEMzY4MwDwVY0wO+/eCBMIpjQ7794INENJUS5OQVNEQVE6Q0FMTS5JUV9BVkdfVEVNUF9FTVBMT1lFRVMuOTk5LjMxLzA3LzIwMjYBAAAAIHoFAAMAAAAAAPBVjTA7794IB5KlNDvv3ggrQ0lRLk5BU0RBUTpDQUxNLklRX0ZVTExfVElNRS45OTguMzEvMDcvMjAyNgEAAAAgegUAAgAAAAQyOTI5APBVjTA7794IEwimNDvv3ggwQ0lRLk5BU0RBUTpDQUxNLklRX1JFVFVSTl9DQVBJVEFMLjk5OS4zMS8wNy8yMDI2AQAAACB6BQACAAAABzQ0LjYzNzEBCAAAAAUAAAABMQEAAAALLTE4ODEwNjg2NzUDAAAAAzE2MAIAAAAENDM2MwQAAAABMAcAAAAJNy8zMS8yMDI2CAAAAAk1LzMxLzIwMjUJAAAAATAhuI0wO+/eCLrOpDQ7794ILkNJUS5OQVNEQVE6Q0FMTS5JUV9HUk9TU19NQVJHSU4uOTk2LjMxLzA3LzIwMjYBAAAAIHoFAAIAAAAHMTguOTY2MQEIAAAABQAAAAExAQAAAAstMTk4NjcwODQzMwMAAAADMTYwAgAAAAQ0MDc0BAAAAAEwBwAAAAk3LzMxLzIwMjYIAAAACTUvMjgvMjAyMgkAAAABMCG4jTA7794Iv4CkNDvv3ggrQ0lRLk5BU0RBUTpDQUxNLklRX0FSX1RVUk5TLjEwMDAuMzEvMDcvMjAyNgEA</t>
  </si>
  <si>
    <t>AAAgegUAAgAAAAkxNS4zMTExNjIBCAAAAAUAAAABMQEAAAALLTE4ODEwNjg2NjgDAAAAAzE2MAIAAAAENDAwMQQAAAABMAcAAAAJNy8zMS8yMDI2CAAAAAk1LzMwLzIwMjYJAAAAATAhuI0wO+/eCJWSozQ7794ILkNJUS5OQVNEQVE6Q0FMTS5JUV9RVUlDS19SQVRJTy4xMDAwLjMxLzA3LzIwMjYBAAAAIHoFAAIAAAAINS43ODI5NDYBCAAAAAUAAAABMQEAAAALLTE4ODEwNjg2NjgDAAAAAzE2MAIAAAAENDEyMQQAAAABMAcAAAAJNy8zMS8yMDI2CAAAAAk1LzMwLzIwMjYJAAAAATAhuI0wO+/eCE1EozQ7794IK0NJUS5OQVNEQVE6Q0FMTS5JUV9OSV9NQVJHSU4uOTk5LjMxLzA3LzIwMjYBAAAAIHoFAAIAAAAHMjguNjI2OQEIAAAABQAAAAExAQAAAAstMTg4MTA2ODY3NQMAAAADMTYwAgAAAAQ0MDk0BAAAAAEwBwAAAAk3LzMxLzIwMjYIAAAACTUvMzEvMjAyNQkAAAABMCG4jTA7794ICC+kNDvv3gg+Q0lRLk5BU0RBUTpDQUxNLklRX0VCSVREQV9FWENMX09QRVJfTEVBU0VTX0lOVC4xMDAwLjMxLzA3LzIwMjYBAAAAIHoFAAIAAAAKODQxLjE3NjI1OAEIAAAABQAAAAExAQAAAAstMTg4MTA2ODY2OAMAAAADMTYwAgAAAAU0OTE3MwQAAAABMAcAAAAJNy8zMS8yMDI2CAAAAAk1LzMwLzIwMjYJAAAAATBL340wO+/eCKMKojQ7794IKUNJUS5OQVNEQVE6Q0FMTS5JUV9aX1NDT1JFLjk5OC4zMS8wNy8yMDI2</t>
  </si>
  <si>
    <t>AQAAACB6BQACAAAACDcuMTM4NDczAQgAAAAFAAAAATEBAAAACy0xODgxMDY4Njc2AwAAAAMxNjACAAAABjEwMDEyMwQAAAABMAcAAAAJNy8zMS8yMDI2CAAAAAg2LzEvMjAyNAkAAAABMLKIhzA7794Ib72gNDvv3gg2Q0lRLk5BU0RBUTpDQUxNLklRX0VCSVREQV8zWVJfQU5OX0NBR1IuMTAwMC4zMS8wNy8yMDI2AQAAACB6BQACAAAACC0yMy4yOTkyAQgAAAAFAAAAATEBAAAACy0xODgxMDY4NjY4AwAAAAMxNjACAAAABDQyMjIEAAAAATAHAAAACTcvMzEvMjAyNggAAAAJNS8zMC8yMDI2CQAAAAEwsoiHMDvv3gj2+Z80O+/eCDtDSVEuTkFTREFROkNBTE0uSVFfVE9UQUxfT1VUU1RBTkRJTkdfQlNfREFURS45OTguMzEvMDcvMjAyNgEAAAAgegUAAgAAAAk0OS4wMzg3NjYBBAAAAAUAAAABNQEAAAALLTE4ODEwNjg2NzYCAAAABTI0MTUyBgAAAAEwYjWRMDvv3ghaL6Y0O+/eCClDSVEuTkFTREFROkNBTE0uSVFfR0FBUF9CUy45OTcuMzEvMDcvMjAyNgEAAAAgegUAAwAAAAdVUyBHQUFQACG4jTA7794I7vWkNDvv3gg0Q0lRLk5BU0RBUTpDQUxNLklRX0FWR19URU1QX0VNUExPWUVFUy45OTguMzEvMDcvMjAyNgEAAAAgegUAAwAAAAAA8FWNMDvv3ggHkqU0O+/eCClDSVEuTkFTREFROkNBTE0uSVFfR0FBUF9CUy45OTkuMzEvMDcvMjAyNgEAAAAgegUAAwAAAAdVUyBHQUFQACG4jTA7794I7vWkNDvv3ggu</t>
  </si>
  <si>
    <t>Q0lRLk5BU0RBUTpDQUxNLklRX0dST1NTX01BUkdJTi45OTUuMzEvMDcvMjAyNgEAAAAgegUAAgAAAAcxMS45MDk3AQgAAAAFAAAAATEBAAAACy0yMDM3MjQxNzIxAwAAAAMxNjACAAAABDQwNzQEAAAAATAHAAAACTcvMzEvMjAyNggAAAAJNS8yOS8yMDIxCQAAAAEwIbiNMDvv3gi/gKQ0O+/eCDJDSVEuTkFTREFROkNBTE0uSVFfRUJJVERBX0NBUEVYX0lOVC45OTQuMzEvMDcvMjAyNgEAAAAgegUAAwAAAAJOTQEIAAAABQAAAAExAQAAAAstMjA4ODM0NzQ2OQMAAAADMTYwAgAAAAQ0MTkxBAAAAAEwBwAAAAk3LzMxLzIwMjYIAAAACTUvMzAvMjAyMAkAAAABMEvfjTA7794IowqiNDvv3ggqQ0lRLk5BU0RBUTpDQUxNLklRX0FSX1RVUk5TLjk5OS4zMS8wNy8yMDI2AQAAACB6BQACAAAACTIyLjI3Njg1MwEIAAAABQAAAAExAQAAAAstMTg4MTA2ODY3NQMAAAADMTYwAgAAAAQ0MDAxBAAAAAEwBwAAAAk3LzMxLzIwMjYIAAAACTUvMzEvMjAyNQkAAAABMCG4jTA7794IlZKjNDvv3ggyQ0lRLk5BU0RBUTpDQUxNLklRX0NGT19DVVJSRU5UX0xJQUIuOTk3LjMxLzA3LzIwMjYBAAAAIHoFAAIAAAAINC43MjI4NDMBCAAAAAUAAAABMQEAAAALLTE5MzQ5Nzg0MjADAAAAAzE2MAIAAAAENDE4NQQAAAABMAcAAAAJNy8zMS8yMDI2CAAAAAg2LzMvMjAyMwkAAAABMCG4jTA7794ITUSjNDvv3ggyQ0lRLk5BU0RBUTpD</t>
  </si>
  <si>
    <t>QUxNLklRX0RBWVNfUEFZQUJMRV9PVVQuOTk3LjMxLzA3LzIwMjYBAAAAIHoFAAIAAAAJMTUuNDk1OTI4AQgAAAAFAAAAATEBAAAACy0xOTM0OTc4NDIwAwAAAAMxNjACAAAABDQxODMEAAAAATAHAAAACTcvMzEvMjAyNggAAAAINi8zLzIwMjMJAAAAATBL340wO+/eCPz1ojQ7794IPUNJUS5OQVNEQVE6Q0FMTS5JUV9FQklUREFfRVhDTF9PUEVSX0xFQVNFU19JTlQuOTk5LjMxLzA3LzIwMjYBAAAAIHoFAAIAAAALMjY5OS40Mzk1NDIBCAAAAAUAAAABMQEAAAALLTE4ODEwNjg2NzUDAAAAAzE2MAIAAAAFNDkxNzMEAAAAATAHAAAACTcvMzEvMjAyNggAAAAJNS8zMS8yMDI1CQAAAAEwS9+NMDvv3gjaz6E0O+/eCC9DSVEuTkFTREFROkNBTE0uSVFfQ0FQRVhfUENUX1JFVi45OTUuMzEvMDcvMjAyNgEAAAAgegUAAgAAAAY3LjA0NzQBCAAAAAUAAAABMQEAAAALLTIwMzcyNDE3MjEDAAAAAzE2MAIAAAAFMzUzODAEAAAAATAHAAAACTcvMzEvMjAyNggAAAAJNS8yOS8yMDIxCQAAAAEwIbiNMDvv3ggIL6Q0O+/eCC9DSVEuTkFTREFROkNBTE0uSVFfQ0FQRVhfUENUX1JFVi45OTYuMzEvMDcvMjAyNgEAAAAgegUAAgAAAAY0LjA3MzgBCAAAAAUAAAABMQEAAAALLTE5ODY3MDg0MzMDAAAAAzE2MAIAAAAFMzUzODAEAAAAATAHAAAACTcvMzEvMjAyNggAAAAJNS8yOC8yMDIyCQAAAAEwIbiNMDvv3ggIL6Q0O+/e</t>
  </si>
  <si>
    <t>CCpDSVEuTkFTREFROkNBTE0uSVFfQVJfVFVSTlMuOTk2LjMxLzA3LzIwMjYBAAAAIHoFAAIAAAAJMTQuMzIxODIxAQgAAAAFAAAAATEBAAAACy0xOTg2NzA4NDMzAwAAAAMxNjACAAAABDQwMDEEAAAAATAHAAAACTcvMzEvMjAyNggAAAAJNS8yOC8yMDIyCQAAAAEwIbiNMDvv3giVkqM0O+/eCDRDSVEuTkFTREFROkNBTE0uSVFfQ0FTSF9UQVhFUy45OTguMzEvMDcvMjAyNi4uLlVTRC5IAQAAACB6BQACAAAABDM1LjEBCAAAAAUAAAABMQEAAAALLTE4ODEwNjg2NzYDAAAAAzE2MAIAAAAEMzA1MwQAAAABMAcAAAAJNy8zMS8yMDI2CAAAAAg2LzEvMjAyNAkAAAABMGyH+jA7794IRJW+NDvv3gg1Q0lRLk5BU0RBUTpDQUxNLklRX0xFVkVSRURfRkNGLjk5Ni4zMS8wNy8yMDI2Li4uVVNELkgBAAAAIHoFAAIAAAAJNDUuMjIyNjI1AQgAAAAFAAAAATEBAAAACy0xOTg2NzA4NDMzAwAAAAMxNjACAAAABDQ0MjIEAAAAATAHAAAACTcvMzEvMjAyNggAAAAJNS8yOC8yMDIyCQAAAAEwbIf6MDvv3gizvb00O+/eCDdDSVEuTkFTREFROkNBTE0uSVFfRE9fRklOQU5DRV9DRi45OTkuMzEvMDcvMjAyNi4uLlVTRC5IAQAAACB6BQADAAAAAABsh/owO+/eCHNIvTQ7794ILENJUS5OQVNEQVE6Q0FMTS5JUV9BRC45OTYuMzEvMDcvMjAyNi4uLlVTRC5IAQAAACB6BQACAAAACC02NzcuNzg4AQgAAAAFAAAAATEBAAAACy0x</t>
  </si>
  <si>
    <t>OTg2NzA4NDMzAwAAAAMxNjACAAAABDEwNzUEAAAAATAHAAAACTcvMzEvMjAyNggAAAAJNS8yOC8yMDIyCQAAAAEwbNX6MDvv3gg2r7o0O+/eCC5DSVEuTkFTREFROkNBTE0uSVFfRUJJVC45OTcuMzEvMDcvMjAyNi4uLlVTRC5IAQAAACB6BQACAAAABjk2NC4yNQEIAAAABQAAAAExAQAAAAstMTkzNDk3ODQyMAMAAAADMTYwAgAAAAM0MDAEAAAAATAHAAAACTcvMzEvMjAyNggAAAAINi8zLzIwMjMJAAAAATDq5ooxO+/eCKJX0DQ7794IPENJUS5OQVNEQVE6Q0FMTS5JUV9UT1RBTF9ERUJUX0NVUlJFTlQuOTk2LjMxLzA3LzIwMjYuLi5VU0QuSAEAAAAgegUAAwAAAAAA4FyRMDvv3giZvLE0O+/eCDVDSVEuTkFTREFROkNBTE0uSVFfR0FJTl9BU1NFVFMuOTk3LjMxLzA3LzIwMjYuLi5VU0QuSAEAAAAgegUAAgAAAAUwLjEzMQEIAAAABQAAAAExAQAAAAstMTkzNDk3ODQyMAMAAAADMTYwAgAAAAI1NgQAAAABMAcAAAAJNy8zMS8yMDI2CAAAAAg2LzMvMjAyMwkAAAABMMOYijE7794IfkrUNDvv3gg2Q0lRLk5BU0RBUTpDQUxNLklRX0xFR0FMX1NFVFRMRS45OTUuMzEvMDcvMjAyNi4uLlVTRC5IAQAAACB6BQADAAAAAADDmIoxO+/eCCDV0zQ7794ILENJUS5OQVNEQVE6Q0FMTS5JUV9ETy45OTkuMzEvMDcvMjAyNi4uLlVTRC5IAQAAACB6BQADAAAAAADDmIoxO+/eCFY40zQ7794ITENJUS5OQVNEQVE6Q0FM</t>
  </si>
  <si>
    <t>TS5JUV9QUk9WX0JBRF9ERUJUU19QQVRJRU5UX1NFUlZJQ0VfUkVWLjk5NS4zMS8wNy8yMDI2Li4uVVNELkgBAAAAIHoFAAMAAAAAAL20FzE7794IoyXONDvv3gg4Q0lRLk5BU0RBUTpDQUxNLklRX0JBU0lDX0VQU19JTkNMLjk5NS4zMS8wNy8yMDI2Li4uVVNELkgBAAAAIHoFAAIAAAAIMC4wNDI0NTQBCAAAAAUAAAABMQEAAAALLTIwMzcyNDE3MjEDAAAAAzE2MAIAAAABOQQAAAABMAcAAAAJNy8zMS8yMDI2CAAAAAk1LzI5LzIwMjEJAAAAATDTv4oxO+/eCCCc0jQ7794IOUNJUS5OQVNEQVE6Q0FMTS5JUV9UT1RBTF9SRVZfU0hBUkUuOTk1LjMxLzA3LzIwMjYuLi5VU0QuSAEAAAAgegUAAgAAAAkyNy44MDE1NTMBCAAAAAUAAAABMQEAAAALLTIwMzcyNDE3MjEDAAAAAzE2MAIAAAAENDM4MgQAAAABMAcAAAAJNy8zMS8yMDI2CAAAAAk1LzI5LzIwMjEJAAAAATDTv4oxO+/eCATF0TQ7794IMENJUS5OQVNEQVE6Q0FMTS5JUV9FQklUREEuOTk5LjMxLzA3LzIwMjYuLi5VU0QuSAEAAAAgegUAAgAAAAgxNjUyLjA1NwEIAAAABQAAAAExAQAAAAstMTg4MTA2ODY3NQMAAAADMTYwAgAAAAQ0MDUxBAAAAAEwBwAAAAk3LzMxLzIwMjYIAAAACTUvMzEvMjAyNQkAAAABMOrmijE7794IMlDRNDvv3gg/Q0lRLk5BU0RBUTpDQUxNLklRX0VCSVREQV9MRUFTRV9BREpVU1RFRC45OTcuMzEvMDcvMjAyNi4uLlVTRC5I</t>
  </si>
  <si>
    <t>AQAAACB6BQACAAAACDEwMzYuNDg0AQgAAAAFAAAAATEBAAAACy0xOTM0OTc4NDIwAwAAAAMxNjACAAAABTQ4OTkzBAAAAAEwBwAAAAk3LzMxLzIwMjYIAAAACDYvMy8yMDIzCQAAAAEw6uaKMTvv3giI2tA0O+/eCDVDSVEuTkFTREFROkNBTE0uSVFfSU5UX0VYUF9MVEQuOTk2LjMxLzA3LzIwMjYuLi5VU0QuSAEAAAAgegUAAgAAAAUwLjQwMwEIAAAABQAAAAExAQAAAAstMTk4NjcwODQzMwMAAAADMTYwAgAAAAQzMTAxBAAAAAEwBwAAAAk3LzMxLzIwMjYIAAAACTUvMjgvMjAyMgkAAAABMMzbFzE7794IAj3MNDvv3ggvQ0lRLk5BU0RBUTpDQUxNLklRX0VCSVRBLjk5NS4zMS8wNy8yMDI2Li4uVVNELkgBAAAAIHoFAAIAAAAHLTIzLjI4MgEIAAAABQAAAAExAQAAAAstMjAzNzI0MTcyMQMAAAADMTYwAgAAAAYxMDA2ODkEAAAAATAHAAAACTcvMzEvMjAyNggAAAAJNS8yOS8yMDIxCQAAAAEwqo0XMTvv3ghql880O+/eCD9DSVEuTkFTREFROkNBTE0uSVFfRUJJVEFfRVFfSU5DX0VYQ0xfU0JDLjk5OS4zMS8wNy8yMDI2Li4uVVNELkgBAAAAIHoFAAIAAAAIMTU3MC45MjEBCAAAAAUAAAABMQEAAAALLTE4ODEwNjg2NzUDAAAAAzE2MAIAAAAFMjQxMzIEAAAAATAHAAAACTcvMzEvMjAyNggAAAAJNS8zMS8yMDI1CQAAAAEwqo0XMTvv3ghecM80O+/eCDhDSVEuTkFTREFROkNBTE0uSVFfRUJJVERBUl9FUV9J</t>
  </si>
  <si>
    <t>TkMuOTk5LjMxLzA3LzIwMjYuLi5VU0QuSAEAAAAgegUAAwAAAAAAqo0XMTvv3gi+1c40O+/eCDtDSVEuTkFTREFROkNBTE0uSVFfRkVFU19PVEhFUl9JTkNPTUUuOTk3LjMxLzA3LzIwMjYuLi5VU0QuSAEAAAAgegUAAwAAAAAAqo0XMTvv3gimh840O+/eCDxDSVEuTkFTREFROkNBTE0uSVFfUkVTVFJVQ1RVUkVfU1VQUExFLjk5NS4zMS8wNy8yMDI2Li4uVVNELkgBAAAAIHoFAAMAAAAAAPEpGDE7794IM0HJNDvv3ghBQ0lRLk5BU0RBUTpDQUxNLklRX0VYQ0lTRV9UQVhFU19FWENMX1NBTEVTLjk5OS4zMS8wNy8yMDI2Li4uVVNELkgBAAAAIHoFAAMAAAAAAL20FzE7794INYnNNDvv3gg0Q0lRLk5BU0RBUTpDQUxNLklRX0NVUlJfVEFYRVMuOTk2LjMxLzA3LzIwMjYuLi5VU0QuSAEAAAAgegUAAgAAAAYyNy44OTgBCAAAAAUAAAABMQEAAAALLTE5ODY3MDg0MzMDAAAAAzE2MAIAAAAFMzUzODMEAAAAATAHAAAACTcvMzEvMjAyNggAAAAJNS8yOC8yMDIyCQAAAAEwvbQXMTvv3ghTJ800O+/eCEBDSVEuTkFTREFROkNBTE0uSVFfREVGRVJSRURfRk9SRUlHTl9UQVhFUy45OTkuMzEvMDcvMjAyNi4uLlVTRC5IAQAAACB6BQADAAAAAAC9tBcxO+/eCEEAzTQ7794IMkNJUS5OQVNEQVE6Q0FMTS5JUV9ESUxVVF9OSS45OTQuMzEvMDcvMjAyNi4uLlVTRC5IAQAAACB6BQACAAAACDE4LjQ2MTkyAQgAAAAFAAAA</t>
  </si>
  <si>
    <t>ATEBAAAACy0yMDg4MzQ3NDY5AwAAAAMxNjACAAAABDM1MjIEAAAAATAHAAAACTcvMzEvMjAyNggAAAAJNS8zMC8yMDIwCQAAAAEwvbQXMTvv3gg3i8w0O+/eCENDSVEuTkFTREFROkNBTE0uSVFfU1RPQ0tfQkFTRURfRVhQTE9SRV9EUklMTC45OTkuMzEvMDcvMjAyNi4uLlVTRC5IAQAAACB6BQADAAAAAADOIPYwO+/eCI52xzQ7794IOkNJUS5OQVNEQVE6Q0FMTS5JUV9JTlRfRVhQX0lOQ0xfQ0FQLjk5OC4zMS8wNy8yMDI2Li4uVVNELkgBAAAAIHoFAAIAAAAFMC41NDkBCAAAAAUAAAABMQEAAAALLTE4ODEwNjg2NzYDAAAAAzE2MAIAAAAFMjE4NjEEAAAAATAHAAAACTcvMzEvMjAyNggAAAAINi8xLzIwMjQJAAAAATDM2xcxO+/eCOgVzDQ7794INENJUS5OQVNEQVE6Q0FMTS5JUV9EQV9FQklUREEuMTAwMC4zMS8wNy8yMDI2Li4uVVNELkgBAAAAIHoFAAIAAAAHMTI0LjM0MgEIAAAABQAAAAExAQAAAAstMTg4MTA2ODY2OAMAAAADMTYwAgAAAAQyMjA2BAAAAAEwBwAAAAk3LzMxLzIwMjYIAAAACTUvMzAvMjAyNgkAAAABMMzbFzE7794I6NrLNDvv3ggtQ0lRLk5BU0RBUTpDQUxNLklRX0RJQy45OTguMzEvMDcvMjAyNi4uLlVTRC5IAQAAACB6BQADAAAAAADpAhgxO+/eCN9lyzQ7794IP0NJUS5OQVNEQVE6Q0FMTS5JUV9JTVBVVF9PUEVSX0xFQVNFX0RFUFIuOTk0LjMxLzA3LzIwMjYuLi5VU0QuSAEA</t>
  </si>
  <si>
    <t>AAAgegUAAwAAAAAA8SkYMTvv3ghJj8k0O+/eCDZDSVEuTkFTREFROkNBTE0uSVFfT1RIRVJfQU1PUlQuMTAwMC4zMS8wNy8yMDI2Li4uVVNELkgBAAAAIHoFAAMAAAAAAM4g9jA7794IAaDFNDvv3gg8Q0lRLk5BU0RBUTpDQUxNLklRX0lOU19TRVRUTEVfU1VQUExFLjEwMDAuMzEvMDcvMjAyNi4uLlVTRC5IAQAAACB6BQADAAAAAADxKRgxO+/eCPW3yDQ7794IP0NJUS5OQVNEQVE6Q0FMTS5JUV9PVEhFUl9VTlVTVUFMX1NVUFBMRS4xMDAwLjMxLzA3LzIwMjYuLi5VU0QuSAEAAAAgegUAAwAAAAAA8SkYMTvv3gjwkMg0O+/eCDtDSVEuTkFTREFROkNBTE0uSVFfTkVHQVRJVkVfR1dfQU1PUlQuOTk5LjMxLzA3LzIwMjYuLi5VU0QuSAEAAAAgegUAAwAAAAAAGlEYMTvv3gjYQsg0O+/eCDlDSVEuTkFTREFROkNBTE0uSVFfU1RPQ0tfQkFTRURfR0EuMTAwMC4zMS8wNy8yMDI2Li4uVVNELkgBAAAAIHoFAAMAAAAAAMH59TA7794I5sTHNDvv3gg4Q0lRLk5BU0RBUTpDQUxNLklRX0NIQU5HRV9JTkNfVEFYLjk5OC4zMS8wNy8yMDI2Li4uVVNELkgBAAAAIHoFAAIAAAAGOTEuNTY3AQgAAAAFAAAAATEBAAAACy0xODgxMDY4Njc2AwAAAAMxNjACAAAABDIxMDEEAAAAATAHAAAACTcvMzEvMjAyNggAAAAINi8xLzIwMjQJAAAAATDWR/YwO+/eCMu2wzQ7794IOkNJUS5OQVNEQVE6Q0FMTS5JUV9SRVNUUl9TVE9D</t>
  </si>
  <si>
    <t>S19DT01QLjk5Ni4zMS8wNy8yMDI2Li4uVVNELkgBAAAAIHoFAAMAAAAAAM4g9jA7794IhwDHNDvv3ghAQ0lRLk5BU0RBUTpDQUxNLklRX1NUT0NLX09QVElPTlNfQ09NUF9UQVguOTk0LjMxLzA3LzIwMjYuLi5VU0QuSAEAAAAgegUAAwAAAAAAziD2MDvv3ghaxcY0O+/eCD5DSVEuTkFTREFROkNBTE0uSVFfU1RPQ0tfQkFTRURfQ09NUF9UQVguOTk0LjMxLzA3LzIwMjYuLi5VU0QuSAEAAAAgegUAAwAAAAAAziD2MDvv3ggoUMY0O+/eCDRDSVEuTkFTREFROkNBTE0uSVFfT0lMX0lNUEFJUi45OTQuMzEvMDcvMjAyNi4uLlVTRC5IAQAAACB6BQADAAAAAADOIPYwO+/eCA/HxTQ7794IN0NJUS5OQVNEQVE6Q0FMTS5JUV9DT01NT05fSVNTVUVELjk5NS4zMS8wNy8yMDI2Li4uVVNELkgBAAAAIHoFAAIAAAAFMC4wMDUBCAAAAAUAAAABMQEAAAALLTIwMzcyNDE3MjEDAAAAAzE2MAIAAAAEMjE2OQQAAAABMAcAAAAJNy8zMS8yMDI2CAAAAAk1LzI5LzIwMjEJAAAAATDmbvYwO+/eCFa6wTQ7794IOENJUS5OQVNEQVE6Q0FMTS5JUV9HQUlOX0lOVkVTVF9DRi45OTYuMzEvMDcvMjAyNi4uLlVTRC5IAQAAACB6BQADAAAAAADWR/YwO+/eCAB5xTQ7794IM0NJUS5OQVNEQVE6Q0FMTS5JUV9MT0FOU19DRi4xMDAwLjMxLzA3LzIwMjYuLi5VU0QuSAEAAAAgegUAAwAAAAAA1kf2MDvv3gjVKsU0O+/eCDhDSVEuTkFT</t>
  </si>
  <si>
    <t>REFROkNBTE0uSVFfU1RPQ0tfQkFTRURfQ0YuOTk0LjMxLzA3LzIwMjYuLi5VU0QuSAEAAAAgegUAAgAAAAUzLjYxNwEIAAAABQAAAAExAQAAAAstMjA4ODM0NzQ2OQMAAAADMTYwAgAAAAQyMTI3BAAAAAEwBwAAAAk3LzMxLzIwMjYIAAAACTUvMzAvMjAyMAkAAAABMNZH9jA7794Iu9zENDvv3gg6Q0lRLk5BU0RBUTpDQUxNLklRX0NIQU5HRV9JTlZFTlRPUlkuOTk4LjMxLzA3LzIwMjYuLi5VU0QuSAEAAAAgegUAAgAAAAQyOC44AQgAAAAFAAAAATEBAAAACy0xODgxMDY4Njc2AwAAAAMxNjACAAAABDIwOTkEAAAAATAHAAAACTcvMzEvMjAyNggAAAAINi8xLzIwMjQJAAAAATDWR/YwO+/eCBYFxDQ7794IOkNJUS5OQVNEQVE6Q0FMTS5JUV9ORVRfV09SS0lOR19DQVAuMTAwMC4zMS8wNy8yMDI2Li4uVVNELkgBAAAAIHoFAAIAAAAHNDUxLjk2OQEIAAAABQAAAAExAQAAAAstMTg4MTA2ODY2OAMAAAADMTYwAgAAAAQxMzExBAAAAAEwBwAAAAk3LzMxLzIwMjYIAAAACTUvMzAvMjAyNgkAAAABMOBckTA7794I0R+xNDvv3gg9Q0lRLk5BU0RBUTpDQUxNLklRX1NBTEVfUkVBTF9FU1RBVEVfQ0YuOTk3LjMxLzA3LzIwMjYuLi5VU0QuSAEAAAAgegUAAwAAAAAA5m72MDvv3giaBsM0O+/eCDlDSVEuTkFTREFROkNBTE0uSVFfSU5WRVNUX0xPQU5TX0NGLjk5Ny4zMS8wNy8yMDI2Li4uVVNELkgBAAAAIHoFAAMA</t>
  </si>
  <si>
    <t>AAAAAOZu9jA7794IRqTCNDvv3gg4Q0lRLk5BU0RBUTpDQUxNLklRX1NUX0RFQlRfSVNTVUVELjk5Ny4zMS8wNy8yMDI2Li4uVVNELkgBAAAAIHoFAAMAAAAAAOZu9jA7794IdFbCNDvv3gg4Q0lRLk5BU0RBUTpDQUxNLklRX1NUX0RFQlRfUkVQQUlELjk5Ni4zMS8wNy8yMDI2Li4uVVNELkgBAAAAIHoFAAMAAAAAAOZu9jA7794I9gfCNDvv3ggxQ0lRLk5BU0RBUTpDQUxNLklRX1JBV19JTlYuOTk2LjMxLzA3LzIwMjYuLi5VU0QuSAEAAAAgegUAAgAAAAcxNDQuMDUxAQgAAAAFAAAAATEBAAAACy0xOTg2NzA4NDMzAwAAAAMxNjACAAAABDMxNzEEAAAAATAHAAAACTcvMzEvMjAyNggAAAAJNS8yOC8yMDIyCQAAAAEw4FyRMDvv3giJlrA0O+/eCDJDSVEuTkFTREFROkNBTE0uSVFfUFJFRl9SRVAuOTk4LjMxLzA3LzIwMjYuLi5VU0QuSAEAAAAgegUAAwAAAAAA5m72MDvv3gi5a8E0O+/eCDZDSVEuTkFTREFROkNBTE0uSVFfQU1PUlRfRElDX0NGLjk5NS4zMS8wNy8yMDI2Li4uVVNELkgBAAAAIHoFAAMAAAAAAPaV9jA7794IpX+/NDvv3ghAQ0lRLk5BU0RBUTpDQUxNLklRX0NBU0hfSU5URVJFU1RfUkVDRUlWRUQuOTk0LjMxLzA3LzIwMjYuLi5VU0QuSAEAAAAgegUAAwAAAAAAbIf6MDvv3ghRCr80O+/eCDZDSVEuTkFTREFROkNBTE0uSVFfVE9UQUxfUkVDRUlWLjk5OS4zMS8wNy8yMDI2Li4uVVNELkgB</t>
  </si>
  <si>
    <t>AAAAIHoFAAIAAAAHMjcyLjM2MQEIAAAABQAAAAExAQAAAAstMTg4MTA2ODY3NQMAAAADMTYwAgAAAAQxMDAxBAAAAAEwBwAAAAk3LzMxLzIwMjYIAAAACTUvMzEvMjAyNQkAAAABMFmu+jA7794Im9S7NDvv3gg3Q0lRLk5BU0RBUTpDQUxNLklRX05JX0FWQUlMX0lOQ0wuOTk5LjMxLzA3LzIwMjYuLi5VU0QuSAEAAAAgegUAAgAAAAgxMjIwLjA0OAEIAAAABQAAAAExAQAAAAstMTg4MTA2ODY3NQMAAAADMTYwAgAAAAIxNgQAAAABMAcAAAAJNy8zMS8yMDI2CAAAAAk1LzMxLzIwMjUJAAAAATDTv4oxO+/eCCnD0jQ7794IQENJUS5OQVNEQVE6Q0FMTS5JUV9DQVNIX0lOVEVSRVNUX1JFQ0VJVkVELjk5OS4zMS8wNy8yMDI2Li4uVVNELkgBAAAAIHoFAAMAAAAAAGyH+jA7794IUQq/NDvv3gg5Q0lRLk5BU0RBUTpDQUxNLklRX0NBU0hfVEFYRVNfT1BFUi45OTguMzEvMDcvMjAyNi4uLlVTRC5IAQAAACB6BQADAAAAAABsh/owO+/eCEluvjQ7794IM0NJUS5OQVNEQVE6Q0FMTS5JUV9JTlZFTlRPUlkuOTk1LjMxLzA3LzIwMjYuLi5VU0QuSAEAAAAgegUAAgAAAAcyMTguMzc1AQgAAAAFAAAAATEBAAAACy0yMDM3MjQxNzIxAwAAAAMxNjACAAAABDEwNDMEAAAAATAHAAAACTcvMzEvMjAyNggAAAAJNS8yOS8yMDIxCQAAAAEwWa76MDvv3gh0rbs0O+/eCC5DSVEuTkFTREFROkNBTE0uSVFfTlBQRS45OTYuMzEv</t>
  </si>
  <si>
    <t>MDcvMjAyNi4uLlVTRC5IAQAAACB6BQACAAAABzY3Ny43OTYBCAAAAAUAAAABMQEAAAALLTE5ODY3MDg0MzMDAAAAAzE2MAIAAAAEMTAwNAQAAAABMAcAAAAJNy8zMS8yMDI2CAAAAAk1LzI4LzIwMjIJAAAAATBs1fowO+/eCDeIujQ7794IPkNJUS5OQVNEQVE6Q0FMTS5JUV9FQklUX0VRX0lOQ19FWENMX1NCQy45OTkuMzEvMDcvMjAyNi4uLlVTRC5IAQAAACB6BQACAAAACDE1NjguNzYzAQgAAAAFAAAAATEBAAAACy0xODgxMDY4Njc1AwAAAAMxNjACAAAABTI0MTMwBAAAAAEwBwAAAAk3LzMxLzIwMjYIAAAACTUvMzEvMjAyNQkAAAABMIz6ijE7794IgCTQNDvv3gguQ0lRLk5BU0RBUTpDQUxNLklRX0lQUkQuOTk5LjMxLzA3LzIwMjYuLi5VU0QuSAEAAAAgegUAAwAAAAAAw5iKMTvv3ghQ/NM0O+/eCC1DSVEuTkFTREFROkNBTE0uSVFfRUJULjk5Ny4zMS8wNy8yMDI2Li4uVVNELkgBAAAAIHoFAAIAAAAGOTk4LjU1AQgAAAAFAAAAATEBAAAACy0xOTM0OTc4NDIwAwAAAAMxNjACAAAAAzEzOQQAAAABMAcAAAAJNy8zMS8yMDI2CAAAAAg2LzMvMjAyMwkAAAABMMOYijE7794IBXPTNDvv3gg5Q0lRLk5BU0RBUTpDQUxNLklRX0VYVFJBX0FDQ19JVEVNUy45OTUuMzEvMDcvMjAyNi4uLlVTRC5IAQAAACB6BQADAAAAAADDmIoxO+/eCFY40zQ7794ILENJUS5OQVNEQVE6Q0FMTS5JUV9OSS45OTUuMzEvMDcv</t>
  </si>
  <si>
    <t>MjAyNi4uLlVTRC5IAQAAACB6BQACAAAABDIuMDYBCAAAAAUAAAABMQEAAAALLTIwMzcyNDE3MjEDAAAAAzE2MAIAAAACMTUEAAAAATAHAAAACTcvMzEvMjAyNggAAAAJNS8yOS8yMDIxCQAAAAEw07+KMTvv3gg26tI0O+/eCEFDSVEuTkFTREFROkNBTE0uSVFfRVhDSVNFX1RBWEVTX0lOQ0xfU0FMRVMuOTk1LjMxLzA3LzIwMjYuLi5VU0QuSAEAAAAgegUAAwAAAAAAvbQXMTvv3gg1ic00O+/eCDNDSVEuTkFTREFROkNBTE0uSVFfRElWX1NIQVJFLjk5OS4zMS8wNy8yMDI2Li4uVVNELkgBAAAAIHoFAAIAAAAFOC4zNTcBCAAAAAUAAAABMQEAAAALLTE4ODEwNjg2NzUDAAAAAzE2MAIAAAAEMzA1OAQAAAABMAcAAAAJNy8zMS8yMDI2CAAAAAk1LzMxLzIwMjUJAAAAATDTv4oxO+/eCATF0TQ7794IQkNJUS5OQVNEQVE6Q0FMTS5JUV9ESVNUUklCVVRBQkxFX0NBU0hfU0hBUkUuOTk5LjMxLzA3LzIwMjYuLi5VU0QuSAEAAAAgegUAAwAAAAAA07+KMTvv3ggbd9E0O+/eCDBDSVEuTkFTREFROkNBTE0uSVFfRUJJVERBLjk5Ny4zMS8wNy8yMDI2Li4uVVNELkgBAAAAIHoFAAIAAAAIMTAzNi40ODQBCAAAAAUAAAABMQEAAAALLTE5MzQ5Nzg0MjADAAAAAzE2MAIAAAAENDA1MQQAAAABMAcAAAAJNy8zMS8yMDI2CAAAAAg2LzMvMjAyMwkAAAABMOrmijE7794IMlDRNDvv3gg/Q0lRLk5BU0RBUTpDQUxNLklRX0VC</t>
  </si>
  <si>
    <t>SVREQV9MRUFTRV9BREpVU1RFRC45OTUuMzEvMDcvMjAyNi4uLlVTRC5IAQAAACB6BQACAAAACTQwLjc1MDk5OQEIAAAABQAAAAExAQAAAAstMjAzNzI0MTcyMQMAAAADMTYwAgAAAAU0ODk5MwQAAAABMAcAAAAJNy8zMS8yMDI2CAAAAAk1LzI5LzIwMjEJAAAAATDq5ooxO+/eCIja0DQ7794IM0NJUS5OQVNEQVE6Q0FMTS5JUV9EQV9FQklUREEuOTk4LjMxLzA3LzIwMjYuLi5VU0QuSAEAAAAgegUAAgAAAAY4MC4yNDEBCAAAAAUAAAABMQEAAAALLTE4ODEwNjg2NzYDAAAAAzE2MAIAAAAEMjIwNgQAAAABMAcAAAAJNy8zMS8yMDI2CAAAAAg2LzEvMjAyNAkAAAABMMzbFzE7794I6NrLNDvv3gg/Q0lRLk5BU0RBUTpDQUxNLklRX0VCSVRBX0VRX0lOQ19FWENMX1NCQy45OTcuMzEvMDcvMjAyNi4uLlVTRC5IAQAAACB6BQACAAAABzk3MS40MzUBCAAAAAUAAAABMQEAAAALLTE5MzQ5Nzg0MjADAAAAAzE2MAIAAAAFMjQxMzIEAAAAATAHAAAACTcvMzEvMjAyNggAAAAINi8zLzIwMjMJAAAAATCqjRcxO+/eCF5wzzQ7794IQUNJUS5OQVNEQVE6Q0FMTS5JUV9FQklUREFSX0VRX0lOQ19FWENMX1NCQy45OTUuMzEvMDcvMjAyNi4uLlVTRC5IAQAAACB6BQADAAAAAACqjRcxO+/eCL7VzjQ7794IP0NJUS5OQVNEQVE6Q0FMTS5JUV9UT1RBTF9SRVZfQVNfUkVQT1JURUQuOTk5LjMxLzA3LzIwMjYuLi5VU0QuSAEA</t>
  </si>
  <si>
    <t>AAAgegUAAwAAAAAAvbQXMTvv3gjBTM40O+/eCDFDSVEuTkFTREFROkNBTE0uSVFfTklfU0ZBUy45OTcuMzEvMDcvMjAyNi4uLlVTRC5IAQAAACB6BQADAAAAAAC9tBcxO+/eCJP+zTQ7794IO0NJUS5OQVNEQVE6Q0FMTS5JUV9DT05USU5HRU5UX1JFTlRBTC45OTkuMzEvMDcvMjAyNi4uLlVTRC5IAQAAACB6BQADAAAAAADpAhgxO+/eCKd5yjQ7794IQENJUS5OQVNEQVE6Q0FMTS5JUV9ERUZFUlJFRF9GT1JFSUdOX1RBWEVTLjk5Ny4zMS8wNy8yMDI2Li4uVVNELkgBAAAAIHoFAAMAAAAAAL20FzE7794IQQDNNDvv3ghEQ0lRLk5BU0RBUTpDQUxNLklRX05PTlJFQ1VSUklOR19JTkNPTUVfVEFYRVMuMTAwMC4zMS8wNy8yMDI2Li4uVVNELkgBAAAAIHoFAAMAAAAAAL20FzE7794ILbLMNDvv3gg1Q0lRLk5BU0RBUTpDQUxNLklRX0lOVF9FWFBfTFRELjk5NC4zMS8wNy8yMDI2Li4uVVNELkgBAAAAIHoFAAMAAAAAAMzbFzE7794IAj3MNDvv3gg6Q0lRLk5BU0RBUTpDQUxNLklRX0lOVF9FWFBfSU5DTF9DQVAuOTk2LjMxLzA3LzIwMjYuLi5VU0QuSAEAAAAgegUAAgAAAAUwLjQwMwEIAAAABQAAAAExAQAAAAstMTk4NjcwODQzMwMAAAADMTYwAgAAAAUyMTg2MQQAAAABMAcAAAAJNy8zMS8yMDI2CAAAAAk1LzI4LzIwMjIJAAAAATDM2xcxO+/eCOgVzDQ7794IPkNJUS5OQVNEQVE6Q0FMTS5JUV9PVEhFUl9V</t>
  </si>
  <si>
    <t>TlVTVUFMX1NVUFBMRS45OTguMzEvMDcvMjAyNi4uLlVTRC5IAQAAACB6BQADAAAAAADxKRgxO+/eCN9pyDQ7794ISkNJUS5OQVNEQVE6Q0FMTS5JUV9ESVNUUklCVVRBQkxFX0NBU0hfU1RBTkRBUkRJWkVELjEwMDAuMzEvMDcvMjAyNi4uLlVTRC5IAQAAACB6BQADAAAAAADM2xcxO+/eCMSzyzQ7794ILUNJUS5OQVNEQVE6Q0FMTS5JUV9ESUMuOTk2LjMxLzA3LzIwMjYuLi5VU0QuSAEAAAAgegUAAwAAAAAA6QIYMTvv3gjfZcs0O+/eCDRDSVEuTkFTREFROkNBTE0uSVFfTUFSS0VUSU5HLjEwMDAuMzEvMDcvMjAyNi4uLlVTRC5IAQAAACB6BQADAAAAAADpAhgxO+/eCJw+yzQ7794IOENJUS5OQVNEQVE6Q0FMTS5JUV9ORVRfUkVOVEFMX0VYUC45OTguMzEvMDcvMjAyNi4uLlVTRC5IAQAAACB6BQADAAAAAADpAhgxO+/eCGrJyjQ7794IOkNJUS5OQVNEQVE6Q0FMTS5JUV9SRVNUUl9TVE9DS19DT01QLjk5NC4zMS8wNy8yMDI2Li4uVVNELkgBAAAAIHoFAAMAAAAAAM4g9jA7794IhwDHNDvv3gg3Q0lRLk5BU0RBUTpDQUxNLklRX09USEVSX1JFTlRBTC4xMDAwLjMxLzA3LzIwMjYuLi5VU0QuSAEAAAAgegUAAwAAAAAA6QIYMTvv3giTUso0O+/eCEVDSVEuTkFTREFROkNBTE0uSVFfREVQUkVDSUFUSU9OX1JFTlRBTF9BU1NFVFMuMTAwMC4zMS8wNy8yMDI2Li4uVVNELkgBAAAAIHoFAAMAAAAAAOkCGDE7</t>
  </si>
  <si>
    <t>794IdyvKNDvv3gg6Q0lRLk5BU0RBUTpDQUxNLklRX0dBSU5fQkFSR0FJTl9BQ1EuOTk4LjMxLzA3LzIwMjYuLi5VU0QuSAEAAAAgegUAAwAAAAAA8SkYMTvv3gjE8sg0O+/eCDtDSVEuTkFTREFROkNBTE0uSVFfSU5TX1NFVFRMRV9TVVBQTEUuOTk4LjMxLzA3LzIwMjYuLi5VU0QuSAEAAAAgegUAAwAAAAAA8SkYMTvv3gj1t8g0O+/eCDhDSVEuTkFTREFROkNBTE0uSVFfQ1JFRElUX0xPU1NfQ0YuOTk0LjMxLzA3LzIwMjYuLi5VU0QuSAEAAAAgegUAAwAAAAAA1kf2MDvv3gjIA8U0O+/eCDhDSVEuTkFTREFROkNBTE0uSVFfU1RPQ0tfQkFTRURfUkQuOTk5LjMxLzA3LzIwMjYuLi5VU0QuSAEAAAAgegUAAwAAAAAAGlEYMTvv3ghu9Mc0O+/eCDhDSVEuTkFTREFROkNBTE0uSVFfU1RPQ0tfQkFTRURfR0EuOTk4LjMxLzA3LzIwMjYuLi5VU0QuSAEAAAAgegUAAwAAAAAAGlEYMTvv3gj2ncc0O+/eCDtDSVEuTkFTREFROkNBTE0uSVFfU1RPQ0tfQkFTRURfT1RIRVIuOTk1LjMxLzA3LzIwMjYuLi5VU0QuSAEAAAAgegUAAwAAAAAAziD2MDvv3giOdsc0O+/eCDtDSVEuTkFTREFROkNBTE0uSVFfU1RPQ0tfQkFTRURfVE9UQUwuOTk4LjMxLzA3LzIwMjYuLi5VU0QuSAEAAAAgegUAAgAAAAU0LjM1OAEIAAAABQAAAAExAQAAAAstMTg4MTA2ODY3NgMAAAADMTYwAgAAAAUyNDAzNAQAAAABMAcAAAAJNy8zMS8y</t>
  </si>
  <si>
    <t>MDI2CAAAAAg2LzEvMjAyNAkAAAABMM4g9jA7794IiifHNDvv3gg5Q0lRLk5BU0RBUTpDQUxNLklRX0NBU0hfQUNRVUlSRV9DRi45OTguMzEvMDcvMjAyNi4uLlVTRC5IAQAAACB6BQACAAAABy01My43NDYBCAAAAAUAAAABMQEAAAALLTE4ODEwNjg2NzYDAAAAAzE2MAIAAAAEMjA1NwQAAAABMAcAAAAJNy8zMS8yMDI2CAAAAAg2LzEvMjAyNAkAAAABMNZH9jA7794IhS3DNDvv3ghAQ0lRLk5BU0RBUTpDQUxNLklRX1NUT0NLX09QVElPTlNfQ09NUF9UQVguOTk4LjMxLzA3LzIwMjYuLi5VU0QuSAEAAAAgegUAAwAAAAAAziD2MDvv3ghWnsY0O+/eCDBDSVEuTkFTREFROkNBTE0uSVFfTklfQ0YuMTAwMC4zMS8wNy8yMDI2Li4uVVNELkgBAAAAIHoFAAIAAAAHMzE2LjY4MgEIAAAABQAAAAExAQAAAAstMTg4MTA2ODY2OAMAAAADMTYwAgAAAAQyMTUwBAAAAAEwBwAAAAk3LzMxLzIwMjYIAAAACTUvMzAvMjAyNgkAAAABMM4g9jA7794IHCnGNDvv3gg1Q0lRLk5BU0RBUTpDQUxNLklRX09USEVSX0FNT1JULjk5OC4zMS8wNy8yMDI2Li4uVVNELkgBAAAAIHoFAAMAAAAAAM4g9jA7794IAaDFNDvv3gg4Q0lRLk5BU0RBUTpDQUxNLklRX0dBSU5fSU5WRVNUX0NGLjk5NC4zMS8wNy8yMDI2Li4uVVNELkgBAAAAIHoFAAIAAAAFMC40NDkBCAAAAAUAAAABMQEAAAALLTIwODgzNDc0NjkDAAAAAzE2MAIAAAAEMjA5</t>
  </si>
  <si>
    <t>MAQAAAABMAcAAAAJNy8zMS8yMDI2CAAAAAk1LzMwLzIwMjAJAAAAATDWR/YwO+/eCORRxTQ7794IQENJUS5OQVNEQVE6Q0FMTS5JUV9DQVNIX0lOVEVSRVNUX1JFQ0VJVkVELjk5OC4zMS8wNy8yMDI2Li4uVVNELkgBAAAAIHoFAAMAAAAAAGyH+jA7794IUQq/NDvv3ggvQ0lRLk5BU0RBUTpDQUxNLklRX0RPX0NGLjk5NC4zMS8wNy8yMDI2Li4uVVNELkgBAAAAIHoFAAMAAAAAANZH9jA7794IZY7ENDvv3ghAQ0lRLk5BU0RBUTpDQUxNLklRX0NIQU5HRV9UUkFESU5HX0FTU0VUUy4xMDAwLjMxLzA3LzIwMjYuLi5VU0QuSAEAAAAgegUAAwAAAAAA1kf2MDvv3ggVZ8Q0O+/eCDNDSVEuTkFTREFROkNBTE0uSVFfQ0hBTkdFX0FQLjk5NC4zMS8wNy8yMDI2Li4uVVNELkgBAAAAIHoFAAIAAAAGMTcuNjc5AQgAAAAFAAAAATEBAAAACy0yMDg4MzQ3NDY5AwAAAAMxNjACAAAABDIwMTcEAAAAATAHAAAACTcvMzEvMjAyNggAAAAJNS8zMC8yMDIwCQAAAAEw1kf2MDvv3ggWBcQ0O+/eCDNDSVEuTkFTREFROkNBTE0uSVFfQ0FTSF9PUEVSLjk5OS4zMS8wNy8yMDI2Li4uVVNELkgBAAAAIHoFAAIAAAAIMTIyNC43MzQBCAAAAAUAAAABMQEAAAALLTE4ODEwNjg2NzUDAAAAAzE2MAIAAAAEMjAwNgQAAAABMAcAAAAJNy8zMS8yMDI2CAAAAAk1LzMxLzIwMjUJAAAAATDWR/YwO+/eCMB7wzQ7794IPENJUS5OQVNEQVE6</t>
  </si>
  <si>
    <t>Q0FMTS5JUV9UT1RBTF9ESVZfUEFJRF9DRi4xMDAwLjMxLzA3LzIwMjYuLi5VU0QuSAEAAAAgegUAAgAAAAgtMjMxLjYyMgEIAAAABQAAAAExAQAAAAstMTg4MTA2ODY2OAMAAAADMTYwAgAAAAQyMDIyBAAAAAEwBwAAAAk3LzMxLzIwMjYIAAAACTUvMzAvMjAyNgkAAAABMOZu9jA7794IYQnBNDvv3gg4Q0lRLk5BU0RBUTpDQUxNLklRX1NUX0RFQlRfSVNTVUVELjk5NS4zMS8wNy8yMDI2Li4uVVNELkgBAAAAIHoFAAMAAAAAAOZu9jA7794IES/CNDvv3gg7Q0lRLk5BU0RBUTpDQUxNLklRX1RPVEFMX0RJVl9QQUlEX0NGLjk5Ni4zMS8wNy8yMDI2Li4uVVNELkgBAAAAIHoFAAIAAAAGLTYuMTE3AQgAAAAFAAAAATEBAAAACy0xOTg2NzA4NDMzAwAAAAMxNjACAAAABDIwMjIEAAAAATAHAAAACTcvMzEvMjAyNggAAAAJNS8yOC8yMDIyCQAAAAEw5m72MDvv3ghhCcE0O+/eCDVDSVEuTkFTREFROkNBTE0uSVFfQ0FTSF9GSU5BTi4xMDAwLjMxLzA3LzIwMjYuLi5VU0QuSAEAAAAgegUAAgAAAAgtMzYyLjc0NgEIAAAABQAAAAExAQAAAAstMTg4MTA2ODY2OAMAAAADMTYwAgAAAAQyMDA0BAAAAAEwBwAAAAk3LzMxLzIwMjYIAAAACTUvMzAvMjAyNgkAAAABMPaV9jA7794Ias7ANDvv3gg3Q0lRLk5BU0RBUTpDQUxNLklRX0FNT1JUX0RJQ19DRi4xMDAwLjMxLzA3LzIwMjYuLi5VU0QuSAEAAAAgegUAAwAAAAAA</t>
  </si>
  <si>
    <t>9pX2MDvv3gilf780O+/eCDlDSVEuTkFTREFROkNBTE0uSVFfQ0FTSF9UQVhFU19PUEVSLjk5OS4zMS8wNy8yMDI2Li4uVVNELkgBAAAAIHoFAAMAAAAAAGyH+jA7794ISW6+NDvv3gg5Q0lRLk5BU0RBUTpDQUxNLklRX0NBU0hfVEFYRVNfT1BFUi45OTcuMzEvMDcvMjAyNi4uLlVTRC5IAQAAACB6BQADAAAAAABsh/owO+/eCEluvjQ7794IRUNJUS5OQVNEQVE6Q0FMTS5JUV9PUEVSQVRJTkdfTEVBU0VfTElBQklMSVRJRVMuOTk2LjMxLzA3LzIwMjYuLi5VU0QuSAEAAAAgegUAAwAAAAAAbIf6MDvv3ghF+rw0O+/eCC5DSVEuTkFTREFROkNBTE0uSVFfTlBQRS45OTQuMzEvMDcvMjAyNi4uLlVTRC5IAQAAACB6BQACAAAABzU2MC41ODQBCAAAAAUAAAABMQEAAAALLTIwODgzNDc0NjkDAAAAAzE2MAIAAAAEMTAwNAQAAAABMAcAAAAJNy8zMS8yMDI2CAAAAAk1LzMwLzIwMjAJAAAAATBs1fowO+/eCDeIujQ7794INUNJUS5OQVNEQVE6Q0FMTS5JUV9QUkVGX0RJVl9DRi45OTkuMzEvMDcvMjAyNi4uLlVTRC5IAQAAACB6BQADAAAAAADmbvYwO+/eCK8wwTQ7794IOENJUS5OQVNEQVE6Q0FMTS5JUV9UUkFESU5HX0FTU0VUUy45OTUuMzEvMDcvMjAyNi4uLlVTRC5IAQAAACB6BQADAAAAAABZrvowO+/eCNlJvDQ7794IQ0NJUS5OQVNEQVE6Q0FMTS5JUV9HV19JTlRBTl9BTU9SVF9QQVJUSUFMX0NGLjk5Ny4z</t>
  </si>
  <si>
    <t>MS8wNy8yMDI2Li4uVVNELkgBAAAAIHoFAAMAAAAAAPaV9jA7794I1UPANDvv3ghHQ0lRLk5BU0RBUTpDQUxNLklRX0RFUFJFQ0lBVElPTl9SRU5UQUxfQVNTRVRTX0NGLjk5Ni4zMS8wNy8yMDI2Li4uVVNELkgBAAAAIHoFAAMAAAAAAPaV9jA7794IwuG/NDvv3ghAQ0lRLk5BU0RBUTpDQUxNLklRX0RBX0NGX0VYQ0xfT1BFUl9MRUFTRVMuOTk0LjMxLzA3LzIwMjYuLi5VU0QuSAEAAAAgegUAAgAAAAY1OC4xMDMBCAAAAAUAAAABMQEAAAALLTIwODgzNDc0NjkDAAAAAzE2MAIAAAAFNDg5ODUEAAAAATAHAAAACTcvMzEvMjAyNggAAAAJNS8zMC8yMDIwCQAAAAEw9pX2MDvv3gjC4b80O+/eCD5DSVEuTkFTREFROkNBTE0uSVFfQ0FTSF9JTlRFUkVTVF9JTlZFU1QuOTk4LjMxLzA3LzIwMjYuLi5VU0QuSAEAAAAgegUAAwAAAAAAbIf6MDvv3ghBvL40O+/eCCxDSVEuTkFTREFROkNBTE0uSVFfR1cuOTk4LjMxLzA3LzIwMjYuLi5VU0QuSAEAAAAgegUAAgAAAAY0NS43NzYBCAAAAAUAAAABMQEAAAALLTE4ODEwNjg2NzYDAAAAAzE2MAIAAAAEMTE3MQQAAAABMAcAAAAJNy8zMS8yMDI2CAAAAAg2LzEvMjAyNAkAAAABMGzV+jA7794IMWG6NDvv3gg+Q0lRLk5BU0RBUTpDQUxNLklRX0NIQU5HRV9ERUZfVEFYX1RPVEFMLjk5NC4zMS8wNy8yMDI2Li4uVVNELkgBAAAAIHoFAAIAAAAGMTAuMjgxAQgAAAAFAAAA</t>
  </si>
  <si>
    <t>ATEBAAAACy0yMDg4MzQ3NDY5AwAAAAMxNjACAAAABTMwOTI0BAAAAAEwBwAAAAk3LzMxLzIwMjYIAAAACTUvMzAvMjAyMAkAAAABMGyH+jA7794IwUa+NDvv3gg1Q0lRLk5BU0RBUTpDQUxNLklRX0xFVkVSRURfRkNGLjk5OS4zMS8wNy8yMDI2Li4uVVNELkgBAAAAIHoFAAIAAAAHODQ0Ljc2MwEIAAAABQAAAAExAQAAAAstMTg4MTA2ODY3NQMAAAADMTYwAgAAAAQ0NDIyBAAAAAEwBwAAAAk3LzMxLzIwMjYIAAAACTUvMzEvMjAyNQkAAAABMGyH+jA7794IaOS9NDvv3gg2Q0lRLk5BU0RBUTpDQUxNLklRX0RPX0lOVkVTVF9DRi45OTguMzEvMDcvMjAyNi4uLlVTRC5IAQAAACB6BQADAAAAAABsh/owO+/eCHNIvTQ7794IRUNJUS5OQVNEQVE6Q0FMTS5JUV9PUEVSQVRJTkdfTEVBU0VfTElBQklMSVRJRVMuOTk3LjMxLzA3LzIwMjYuLi5VU0QuSAEAAAAgegUAAwAAAAAAbIf6MDvv3ghF+rw0O+/eCDdDSVEuTkFTREFROkNBTE0uSVFfVU5FQVJOX1JFVl9MVC45OTQuMzEvMDcvMjAyNi4uLlVTRC5IAQAAACB6BQADAAAAAAB6/PowO+/eCNp5tzQ7794IN0NJUS5OQVNEQVE6Q0FMTS5JUV9UT1RBTF9SRUNFSVYuMTAwMC4zMS8wNy8yMDI2Li4uVVNELkgBAAAAIHoFAAIAAAAHMjY0LjQzMQEIAAAABQAAAAExAQAAAAstMTg4MTA2ODY2OAMAAAADMTYwAgAAAAQxMDAxBAAAAAEwBwAAAAk3LzMxLzIwMjYIAAAA</t>
  </si>
  <si>
    <t>CTUvMzAvMjAyNgkAAAABMFmu+jA7794Im9S7NDvv3gg/Q0lRLk5BU0RBUTpDQUxNLklRX0ZJTl9ESVZfTE9BTlNfQ1VSUkVOVC45OTQuMzEvMDcvMjAyNi4uLlVTRC5IAQAAACB6BQADAAAAAABZrvowO+/eCH+GuzQ7794IOENJUS5OQVNEQVE6Q0FMTS5JUV9PVEhFUl9DQV9TVVBQTC45OTkuMzEvMDcvMjAyNi4uLlVTRC5IAQAAACB6BQADAAAAAABs1fowO+/eCFLWujQ7794ILENJUS5OQVNEQVE6Q0FMTS5JUV9BRC45OTcuMzEvMDcvMjAyNi4uLlVTRC5IAQAAACB6BQACAAAACC03MzkuMjE4AQgAAAAFAAAAATEBAAAACy0xOTM0OTc4NDIwAwAAAAMxNjACAAAABDEwNzUEAAAAATAHAAAACTcvMzEvMjAyNggAAAAINi8zLzIwMjMJAAAAATBs1fowO+/eCDavujQ7794IP0NJUS5OQVNEQVE6Q0FMTS5JUV9OUFBFX0VYQ0xfT1BFUl9MRUFTRVMuOTk0LjMxLzA3LzIwMjYuLi5VU0QuSAEAAAAgegUAAgAAAAc1NTguMDUzAQgAAAAFAAAAATEBAAAACy0yMDg4MzQ3NDY5AwAAAAMxNjACAAAABTQ4OTc2BAAAAAEwBwAAAAk3LzMxLzIwMjYIAAAACTUvMzAvMjAyMAkAAAABMFr6kDA7794ISAm0NDvv3gg8Q0lRLk5BU0RBUTpDQUxNLklRX0RFRl9UQVhfQVNTRVRTX0xULjEwMDAuMzEvMDcvMjAyNi4uLlVTRC5IAQAAACB6BQADAAAAAABs1fowO+/eCMDEuTQ7794IPkNJUS5OQVNEQVE6Q0FMTS5JUV9GSU5fRElW</t>
  </si>
  <si>
    <t>X0xJQUJfQ1VSUkVOVC45OTUuMzEvMDcvMjAyNi4uLlVTRC5IAQAAACB6BQADAAAAAABs1fowO+/eCEmfuDQ7794IPkNJUS5OQVNEQVE6Q0FMTS5JUV9ERUZfVEFYX0xJQUJfQ1VSUkVOVC45OTcuMzEvMDcvMjAyNi4uLlVTRC5IAQAAACB6BQADAAAAAAB6/PowO+/eCD1RuDQ7794IMUNJUS5OQVNEQVE6Q0FMTS5JUV9MVF9ERUJULjk5Ni4zMS8wNy8yMDI2Li4uVVNELkgBAAAAIHoFAAMAAAAAAHr8+jA7794I2Cm4NDvv3ghFQ0lRLk5BU0RBUTpDQUxNLklRX0ZJTl9ESVZfTUlOT1JJVFlfSU5UX1JFREVFTS45OTUuMzEvMDcvMjAyNi4uLlVTRC5IAQAAACB6BQADAAAAAAD7g5EwO+/eCGBxrzQ7794INENJUS5OQVNEQVE6Q0FMTS5JUV9UT1RBTF9MSUFCLjk5OS4zMS8wNy8yMDI2Li4uVVNELkgBAAAAIHoFAAIAAAAHNTE4LjYwNAEIAAAABQAAAAExAQAAAAstMTg4MTA2ODY3NQMAAAADMTYwAgAAAAQxMjc2BAAAAAEwBwAAAAk3LzMxLzIwMjYIAAAACTUvMzEvMjAyNQkAAAABMHr8+jA7794Ik922NDvv3gg2Q0lRLk5BU0RBUTpDQUxNLklRX1BSRUZfQ09OVkVSVC45OTUuMzEvMDcvMjAyNi4uLlVTRC5IAQAAACB6BQADAAAAAAB6/PowO+/eCIx7tjQ7794IO0NJUS5OQVNEQVE6Q0FMTS5JUV9UT1RBTF9MSUFCX0VRVUlUWS45OTQuMzEvMDcvMjAyNi4uLlVTRC5IAQAAACB6BQACAAAACDEyMDYuNjk0AQgA</t>
  </si>
  <si>
    <t>AAAFAAAAATEBAAAACy0yMDg4MzQ3NDY5AwAAAAMxNjACAAAABDEwMTMEAAAAATAHAAAACTcvMzEvMjAyNggAAAAJNS8zMC8yMDIwCQAAAAEwWvqQMDvv3gjwabU0O+/eCEdDSVEuTkFTREFROkNBTE0uSVFfUlVBX09QRVJBVElOR19MRUFTRV9BQ0NVTV9ERVAuOTk0LjMxLzA3LzIwMjYuLi5VU0QuSAEAAAAgegUAAwAAAAAAWvqQMDvv3gh2frQ0O+/eCDRDSVEuTkFTREFROkNBTE0uSVFfVE9UQUxfTElBQi45OTcuMzEvMDcvMjAyNi4uLlVTRC5IAQAAACB6BQACAAAABzM0NC45NDIBCAAAAAUAAAABMQEAAAALLTE5MzQ5Nzg0MjADAAAAAzE2MAIAAAAEMTI3NgQAAAABMAcAAAAJNy8zMS8yMDI2CAAAAAg2LzMvMjAyMwkAAAABMHr8+jA7794Ik922NDvv3ghWQ0lRLk5BU0RBUTpDQUxNLklRX0ZJTkFOQ0lOR19PQkxJR19OT05fQ1VSUkVOVF9FWENMX09QRVJfTEVBU0VTLjk5Ny4zMS8wNy8yMDI2Li4uVVNELkgBAAAAIHoFAAMAAAAAAGI1kTA7794ICzKzNDvv3gg7Q0lRLk5BU0RBUTpDQUxNLklRX0JWX1NIQVJFX1JFUE9SVEVELjk5Ny4zMS8wNy8yMDI2Li4uVVNELkgBAAAAIHoFAAMAAAAAAGI1kTA7794I2ryyNDvv3gg0Q0lRLk5BU0RBUTpDQUxNLklRX0NBU0hfU0hBUkUuOTk0LjMxLzA3LzIwMjYuLi5VU0QuSAEAAAAgegUAAgAAAAgxLjYwMTg3OAEIAAAABQAAAAExAQAAAAstMjA4ODM0NzQ2OQMA</t>
  </si>
  <si>
    <t>AAADMTYwAgAAAAQ0MzgxBAAAAAEwBwAAAAk3LzMxLzIwMjYIAAAACTUvMzAvMjAyMAkAAAABMOBckTA7794I6AqyNDvv3gg0Q0lRLk5BU0RBUTpDQUxNLklRX1RPVEFMX0NBUC4xMDAwLjMxLzA3LzIwMjYuLi5VU0QuSAEAAAAgegUAAgAAAAgyNjQwLjUzMgEIAAAABQAAAAExAQAAAAstMTg4MTA2ODY2OAMAAAADMTYwAgAAAAQ0MTc1BAAAAAEwBwAAAAk3LzMxLzIwMjYIAAAACTUvMzAvMjAyNgkAAAABMOBckTA7794IlFqxNDvv3ghWQ0lRLk5BU0RBUTpDQUxNLklRX0ZJTkFOQ0lOR19PQkxJR19OT05fQ1VSUkVOVF9FWENMX09QRVJfTEVBU0VTLjk5NS4zMS8wNy8yMDI2Li4uVVNELkgBAAAAIHoFAAIAAAAFMC40MzgBCAAAAAUAAAABMQEAAAALLTIwMzcyNDE3MjEDAAAAAzE2MAIAAAAFNDg5ODEEAAAAATAHAAAACTcvMzEvMjAyNggAAAAJNS8yOS8yMDIxCQAAAAEwYjWRMDvv3gj4CrM0O+/eCEhDSVEuTkFTREFROkNBTE0uSVFfVE9UQUxfR0VORVJBTF9QQVJUTkVSX0lOVEVSRVNULjk5OS4zMS8wNy8yMDI2Li4uVVNELkgBAAAAIHoFAAMAAAAAAPuDkTA7794IO4auNDvv3gg9Q0lRLk5BU0RBUTpDQUxNLklRX0xJQUJJTElUSUVTX0xFVkVMXzIuOTk3LjMxLzA3LzIwMjYuLi5VU0QuSAEAAAAgegUAAwAAAAAA8FWNMDvv3giinKw0O+/eCD9DSVEuTkFTREFROkNBTE0uSVFfRklOX0RJVl9MVF9ERUJU</t>
  </si>
  <si>
    <t>X1RPVEFMLjk5NC4zMS8wNy8yMDI2Li4uVVNELkgBAAAAIHoFAAMAAAAAAPBVjTA7794IdyesNDvv3ghCQ0lRLk5BU0RBUTpDQUxNLklRX0FDQ1VNX0FNT1JUX0lOVEFOX0FTU0VUUy45OTguMzEvMDcvMjAyNi4uLlVTRC5IAQAAACB6BQACAAAABi0yMS4wMwEIAAAABQAAAAExAQAAAAstMTg4MTA2ODY3NgMAAAADMTYwAgAAAAUyNDMzMQQAAAABMAcAAAAJNy8zMS8yMDI2CAAAAAg2LzEvMjAyNAkAAAABMM6QjTA7794IHu6pNDvv3gg3Q0lRLk5BU0RBUTpDQUxNLklRX09SREVSX0JBQ0tMT0cuOTk4LjMxLzA3LzIwMjYuLi5VU0QuSAEAAAAgegUAAwAAAAAA8FWNMDvv3givOqs0O+/eCDZDSVEuTkFTREFROkNBTE0uSVFfUFJFRl9DT05WRVJULjk5NC4zMS8wNy8yMDI2Li4uVVNELkgBAAAAIHoFAAMAAAAAAHr8+jA7794IjHu2NDvv3ggvQ0lRLk5BU0RBUTpDQUxNLklRX0FQSUMuMTAwMC4zMS8wNy8yMDI2Li4uVVNELkgBAAAAIHoFAAIAAAAGODYuMTA2AQgAAAAFAAAAATEBAAAACy0xODgxMDY4NjY4AwAAAAMxNjACAAAABDEwODQEAAAAATAHAAAACTcvMzEvMjAyNggAAAAJNS8zMC8yMDI2CQAAAAEwWvqQMDvv3ghdBrY0O+/eCDdDSVEuTkFTREFROkNBTE0uSVFfT1RIRVJfRVFVSVRZLjEwMDAuMzEvMDcvMjAyNi4uLlVTRC5IAQAAACB6BQACAAAABi0xLjQ2NgEIAAAABQAAAAExAQAAAAstMTg4MTA2</t>
  </si>
  <si>
    <t>ODY2OAMAAAADMTYwAgAAAAQxMDI4BAAAAAEwBwAAAAk3LzMxLzIwMjYIAAAACTUvMzAvMjAyNgkAAAABMFr6kDA7794IRLi1NDvv3ghBQ0lRLk5BU0RBUTpDQUxNLklRX1JVQV9DQVBJVEFMX0xFQVNFX0dST1NTLjk5OC4zMS8wNy8yMDI2Li4uVVNELkgBAAAAIHoFAAMAAAAAAFr6kDA7794IU+C0NDvv3ggsQ0lRLk5BU0RBUTpDQUxNLklRX0FSLjk5OS4zMS8wNy8yMDI2Li4uVVNELkgBAAAAIHoFAAIAAAAHMjQ0LjA3OQEIAAAABQAAAAExAQAAAAstMTg4MTA2ODY3NQMAAAADMTYwAgAAAAQxMDIxBAAAAAEwBwAAAAk3LzMxLzIwMjYIAAAACTUvMzEvMjAyNQkAAAABMFmu+jA7794I9CK8NDvv3gg7Q0lRLk5BU0RBUTpDQUxNLklRX0JWX1NIQVJFX1JFUE9SVEVELjk5NS4zMS8wNy8yMDI2Li4uVVNELkgBAAAAIHoFAAMAAAAAAGI1kTA7794I2ryyNDvv3ggzQ0lRLk5BU0RBUTpDQUxNLklRX1RPVEFMX0NBUC45OTkuMzEvMDcvMjAyNi4uLlVTRC5IAQAAACB6BQACAAAACDI1NjYuMDE1AQgAAAAFAAAAATEBAAAACy0xODgxMDY4Njc1AwAAAAMxNjACAAAABDQxNzUEAAAAATAHAAAACTcvMzEvMjAyNggAAAAJNS8zMS8yMDI1CQAAAAEw4FyRMDvv3giUWrE0O+/eCC9DSVEuTkFTREFROkNBTE0uSVFfTElGT1IuOTk0LjMxLzA3LzIwMjYuLi5VU0QuSAEAAAAgegUAAwAAAAAA4FyRMDvv3gjLvbA0O+/eCE1D</t>
  </si>
  <si>
    <t>SVEuTkFTREFROkNBTE0uSVFfTElRVUlEQVRJT05fVkFMVUVfUFJFRkVSUkVEX0NPTlZFUlQuOTk0LjMxLzA3LzIwMjYuLi5VU0QuSAEAAAAgegUAAwAAAAAA+4ORMDvv3gg7hq40O+/eCDtDSVEuTkFTREFROkNBTE0uSVFfREVGX1RBWF9BU1NFVFNfTFQuOTk4LjMxLzA3LzIwMjYuLi5VU0QuSAEAAAAgegUAAwAAAAAAbNX6MDvv3gjLsLk0O+/eCDlDSVEuTkFTREFROkNBTE0uSVFfTkVUX0RFQlRfSVNTVUVELjk5OS4zMS8wNy8yMDI2Li4uVVNELkgBAAAAIHoFAAIAAAAGLTIuNDgxAQgAAAAFAAAAATEBAAAACy0xODgxMDY4Njc1AwAAAAMxNjACAAAABDIwMDMEAAAAATAHAAAACTcvMzEvMjAyNggAAAAJNS8zMS8yMDI1CQAAAAEwbIf6MDvv3ghnlr00O+/eCDdDSVEuTkFTREFROkNBTE0uSVFfRE9fRklOQU5DRV9DRi45OTguMzEvMDcvMjAyNi4uLlVTRC5IAQAAACB6BQADAAAAAABsh/owO+/eCHNIvTQ7794IRUNJUS5OQVNEQVE6Q0FMTS5JUV9PUEVSQVRJTkdfTEVBU0VfTElBQklMSVRJRVMuOTk1LjMxLzA3LzIwMjYuLi5VU0QuSAEAAAAgegUAAwAAAAAAbIf6MDvv3ghF+rw0O+/eCEdDSVEuTkFTREFROkNBTE0uSVFfVE9UQUxfREVCVF9SRVBBSURfRVhDTF9MRUFTRVMuOTk1LjMxLzA3LzIwMjYuLi5VU0QuSAEAAAAgegUAAgAAAAYtMC4yMDUBCAAAAAUAAAABMQEAAAALLTIwMzcyNDE3MjEDAAAA</t>
  </si>
  <si>
    <t>AzE2MAIAAAAFNDg5ODYEAAAAATAHAAAACTcvMzEvMjAyNggAAAAJNS8yOS8yMDIxCQAAAAEwWa76MDvv3gjnl7w0O+/eCD1DSVEuTkFTREFROkNBTE0uSVFfVE9UQUxfQ09NTU9OX0VRVUlUWS45OTYuMzEvMDcvMjAyNi4uLlVTRC5IAQAAACB6BQACAAAACDExMDQuNTUxAQgAAAAFAAAAATEBAAAACy0xOTg2NzA4NDMzAwAAAAMxNjACAAAABDEwMDYEAAAAATAHAAAACTcvMzEvMjAyNggAAAAJNS8yOC8yMDIyCQAAAAEwWvqQMDvv3ghEuLU0O+/eCDZDSVEuTkFTREFROkNBTE0uSVFfVE9UQUxfUkVDRUlWLjk5OC4zMS8wNy8yMDI2Li4uVVNELkgBAAAAIHoFAAIAAAAHMTYyLjQ0MgEIAAAABQAAAAExAQAAAAstMTg4MTA2ODY3NgMAAAADMTYwAgAAAAQxMDAxBAAAAAEwBwAAAAk3LzMxLzIwMjYIAAAACDYvMS8yMDI0CQAAAAEwWa76MDvv3gh0rbs0O+/eCDhDSVEuTkFTREFROkNBTE0uSVFfT1RIRVJfQ0FfU1VQUEwuOTk3LjMxLzA3LzIwMjYuLi5VU0QuSAEAAAAgegUAAwAAAAAAWa76MDvv3ghS1ro0O+/eCCxDSVEuTkFTREFROkNBTE0uSVFfR1cuOTk2LjMxLzA3LzIwMjYuLi5VU0QuSAEAAAAgegUAAgAAAAY0NC4wMDYBCAAAAAUAAAABMQEAAAALLTE5ODY3MDg0MzMDAAAAAzE2MAIAAAAEMTE3MQQAAAABMAcAAAAJNy8zMS8yMDI2CAAAAAk1LzI4LzIwMjIJAAAAATBs1fowO+/eCDFhujQ7794IO0NJ</t>
  </si>
  <si>
    <t>US5OQVNEQVE6Q0FMTS5JUV9GSU5fRElWX0FTU0VUU19MVC45OTkuMzEvMDcvMjAyNi4uLlVTRC5IAQAAACB6BQADAAAAAABs1fowO+/eCIsTujQ7794IO0NJUS5OQVNEQVE6Q0FMTS5JUV9CVl9TSEFSRV9SRVBPUlRFRC45OTQuMzEvMDcvMjAyNi4uLlVTRC5IAQAAACB6BQADAAAAAABiNZEwO+/eCNq8sjQ7794ILENJUS5OQVNEQVE6Q0FMTS5JUV9BUC45OTkuMzEvMDcvMjAyNi4uLlVTRC5IAQAAACB6BQACAAAABzEwMS4wMzMBCAAAAAUAAAABMQEAAAALLTE4ODEwNjg2NzUDAAAAAzE2MAIAAAAEMTAxOAQAAAABMAcAAAAJNy8zMS8yMDI2CAAAAAk1LzMxLzIwMjUJAAAAATBs1fowO+/eCKViuTQ7794IN0NJUS5OQVNEQVE6Q0FMTS5JUV9VTkVBUk5fUkVWX0xULjk5OC4zMS8wNy8yMDI2Li4uVVNELkgBAAAAIHoFAAMAAAAAAHr8+jA7794I2nm3NDvv3gg0Q0lRLk5BU0RBUTpDQUxNLklRX1RPVEFMX0xJQUIuOTk2LjMxLzA3LzIwMjYuLi5VU0QuSAEAAAAgegUAAgAAAAczMjMuMTQ0AQgAAAAFAAAAATEBAAAACy0xOTg2NzA4NDMzAwAAAAMxNjACAAAABDEyNzYEAAAAATAHAAAACTcvMzEvMjAyNggAAAAJNS8yOC8yMDIyCQAAAAEwevz6MDvv3giT3bY0O+/eCC5DSVEuTkFTREFROkNBTE0uSVFfQVBJQy45OTguMzEvMDcvMjAyNi4uLlVTRC5IAQAAACB6BQACAAAABjc2LjM3MQEIAAAABQAAAAExAQAA</t>
  </si>
  <si>
    <t>AAstMTg4MTA2ODY3NgMAAAADMTYwAgAAAAQxMDg0BAAAAAEwBwAAAAk3LzMxLzIwMjYIAAAACDYvMS8yMDI0CQAAAAEwWvqQMDvv3ghdBrY0O+/eCD1DSVEuTkFTREFROkNBTE0uSVFfVE9UQUxfQ09NTU9OX0VRVUlUWS45OTUuMzEvMDcvMjAyNi4uLlVTRC5IAQAAACB6BQACAAAACDEwMTIuNzgxAQgAAAAFAAAAATEBAAAACy0yMDM3MjQxNzIxAwAAAAMxNjACAAAABDEwMDYEAAAAATAHAAAACTcvMzEvMjAyNggAAAAJNS8yOS8yMDIxCQAAAAEwWvqQMDvv3ggDkbU0O+/eCEFDSVEuTkFTREFROkNBTE0uSVFfUlVBX0NBUElUQUxfTEVBU0VfR1JPU1MuOTk3LjMxLzA3LzIwMjYuLi5VU0QuSAEAAAAgegUAAwAAAAAAWvqQMDvv3ghT4LQ0O+/eCEdDSVEuTkFTREFROkNBTE0uSVFfUlVBX09QRVJBVElOR19MRUFTRV9BQ0NVTV9ERVAuOTk4LjMxLzA3LzIwMjYuLi5VU0QuSAEAAAAgegUAAwAAAAAAWvqQMDvv3gh2frQ0O+/eCD9DSVEuTkFTREFROkNBTE0uSVFfTlBQRV9FWENMX09QRVJfTEVBU0VTLjk5OS4zMS8wNy8yMDI2Li4uVVNELkgBAAAAIHoFAAIAAAAIMTAyNi42ODQBCAAAAAUAAAABMQEAAAALLTE4ODEwNjg2NzUDAAAAAzE2MAIAAAAFNDg5NzYEAAAAATAHAAAACTcvMzEvMjAyNggAAAAJNS8zMS8yMDI1CQAAAAEwWvqQMDvv3ghICbQ0O+/eCFFDSVEuTkFTREFROkNBTE0uSVFfQ1VSUkVOVF9Q</t>
  </si>
  <si>
    <t>T1JUSU9OX09QRVJfTEVBU0VfTElBQklMSVRJRVMuMTAwMC4zMS8wNy8yMDI2Li4uVVNELkgBAAAAIHoFAAMAAAAAAGI1kTA7794I5pOzNDvv3gg0Q0lRLk5BU0RBUTpDQUxNLklRX0NBU0hfU0hBUkUuOTk4LjMxLzA3LzIwMjYuLi5VU0QuSAEAAAAgegUAAgAAAAg0Ljg1MDgxNQEIAAAABQAAAAExAQAAAAstMTg4MTA2ODY3NgMAAAADMTYwAgAAAAQ0MzgxBAAAAAEwBwAAAAk3LzMxLzIwMjYIAAAACDYvMS8yMDI0CQAAAAEw4FyRMDvv3gjY47E0O+/eCDNDSVEuTkFTREFROkNBTE0uSVFfQlVJTERJTkdTLjk5OS4zMS8wNy8yMDI2Li4uVVNELkgBAAAAIHoFAAIAAAAHNzIyLjU1MgEIAAAABQAAAAExAQAAAAstMTg4MTA2ODY3NQMAAAADMTYwAgAAAAQzMDIzBAAAAAEwBwAAAAk3LzMxLzIwMjYIAAAACTUvMzEvMjAyNQkAAAABMOBckTA7794IuDSwNDvv3ghPQ0lRLk5BU0RBUTpDQUxNLklRX0xJQUJJTElUSUVTX05FVFRJTkdfT1RIRVJfQURKVVNUTUVOVFMuOTk0LjMxLzA3LzIwMjYuLi5VU0QuSAEAAAAgegUAAwAAAAAA8FWNMDvv3giinKw0O+/eCD9DSVEuTkFTREFROkNBTE0uSVFfRklOX0RJVl9TVF9ERUJUX1RPVEFMLjk5NS4zMS8wNy8yMDI2Li4uVVNELkgBAAAAIHoFAAMAAAAAAPBVjTA7794IdyesNDvv3gg4Q0lRLk5BU0RBUTpDQUxNLklRX0FDQ1VNX0FNT1JUX0dXLjk5NS4zMS8wNy8yMDI2</t>
  </si>
  <si>
    <t>Li4uVVNELkgBAAAAIHoFAAMAAAAAAM6QjTA7794ICcepNDvv3gg+Q0lRLk5BU0RBUTpDQUxNLklRX1dBUlJBTlRZX0xJQUJJTElUSUVTLjk5NC4zMS8wNy8yMDI2Li4uVVNELkgBAAAAIHoFAAMAAAAAAM6QjTA7794Iw+yqNDvv3ghBQ0lRLk5BU0RBUTpDQUxNLklRX1JVQV9DQVBJVEFMX0xFQVNFX0dST1NTLjk5Ni4zMS8wNy8yMDI2Li4uVVNELkgBAAAAIHoFAAMAAAAAAFr6kDA7794IU+C0NDvv3ghHQ0lRLk5BU0RBUTpDQUxNLklRX1JVQV9PUEVSQVRJTkdfTEVBU0VfQUNDVU1fREVQLjk5Ny4zMS8wNy8yMDI2Li4uVVNELkgBAAAAIHoFAAMAAAAAAFr6kDA7794Idn60NDvv3gg/Q0lRLk5BU0RBUTpDQUxNLklRX05QUEVfRVhDTF9PUEVSX0xFQVNFUy45OTguMzEvMDcvMjAyNi4uLlVTRC5IAQAAACB6BQACAAAABzg1Ny4yMzQBCAAAAAUAAAABMQEAAAALLTE4ODEwNjg2NzYDAAAAAzE2MAIAAAAFNDg5NzYEAAAAATAHAAAACTcvMzEvMjAyNggAAAAINi8xLzIwMjQJAAAAATBa+pAwO+/eCEgJtDQ7794IS0NJUS5OQVNEQVE6Q0FMTS5JUV9MVF9QT1JUSU9OX09QRVJfTEVBU0VfTElBQklMSVRJRVMuOTk2LjMxLzA3LzIwMjYuLi5VU0QuSAEAAAAgegUAAwAAAAAAYjWRMDvv3gjmk7M0O+/eCDNDSVEuTkFTREFROkNBTE0uSVFfSU5WRU5UT1JZLjk5NC4zMS8wNy8yMDI2Li4uVVNELkgBAAAAIHoFAAIA</t>
  </si>
  <si>
    <t>AAAHMTg3LjIxNgEIAAAABQAAAAExAQAAAAstMjA4ODM0NzQ2OQMAAAADMTYwAgAAAAQxMDQzBAAAAAEwBwAAAAk3LzMxLzIwMjYIAAAACTUvMzAvMjAyMAkAAAABMFmu+jA7794IdK27NDvv3ggzQ0lRLk5BU0RBUTpDQUxNLklRX01BQ0hJTkVSWS45OTUuMzEvMDcvMjAyNi4uLlVTRC5IAQAAACB6BQACAAAABzU4NC43NzgBCAAAAAUAAAABMQEAAAALLTIwMzcyNDE3MjEDAAAAAzE2MAIAAAAEMzExNAQAAAABMAcAAAAJNy8zMS8yMDI2CAAAAAk1LzI5LzIwMjEJAAAAATDgXJEwO+/eCKUNsDQ7794IRUNJUS5OQVNEQVE6Q0FMTS5JUV9GSU5fRElWX01JTk9SSVRZX0lOVF9SRURFRU0uOTk4LjMxLzA3LzIwMjYuLi5VU0QuSAEAAAAgegUAAwAAAAAA+4ORMDvv3ghXSq80O+/eCFBDSVEuTkFTREFROkNBTE0uSVFfTElRVUlEQVRJT05fVkFMVUVfUFJFRkVSUkVEX05PTl9SRURFRU0uOTk2LjMxLzA3LzIwMjYuLi5VU0QuSAEAAAAgegUAAwAAAAAA+4ORMDvv3gg7hq40O+/eCD9DSVEuTkFTREFROkNBTE0uSVFfRklOX0RJVl9TVF9ERUJUX1RPVEFMLjk5OS4zMS8wNy8yMDI2Li4uVVNELkgBAAAAIHoFAAMAAAAAAPBVjTA7794IIP6rNDvv3ggsQ0lRLk5BU0RBUTpDQUxNLklRX0FQLjk5Ni4zMS8wNy8yMDI2Li4uVVNELkgBAAAAIHoFAAIAAAAGODIuMDQ5AQgAAAAFAAAAATEBAAAACy0xOTg2NzA4NDMzAwAA</t>
  </si>
  <si>
    <t>AAMxNjACAAAABDEwMTgEAAAAATAHAAAACTcvMzEvMjAyNggAAAAJNS8yOC8yMDIyCQAAAAEwbNX6MDvv3gilYrk0O+/eCDhDSVEuTkFTREFROkNBTE0uSVFfQUNDVU1fQU1PUlRfR1cuOTk5LjMxLzA3LzIwMjYuLi5VU0QuSAEAAAAgegUAAwAAAAAAzpCNMDvv3gj6n6k0O+/eCDlDSVEuTkFTREFROkNBTE0uSVFfTkVUX0RFQlRfSVNTVUVELjk5Ny4zMS8wNy8yMDI2Li4uVVNELkgBAAAAIHoFAAIAAAAGLTAuMjI0AQgAAAAFAAAAATEBAAAACy0xOTM0OTc4NDIwAwAAAAMxNjACAAAABDIwMDMEAAAAATAHAAAACTcvMzEvMjAyNggAAAAINi8zLzIwMjMJAAAAATBsh/owO+/eCGeWvTQ7794IN0NJUS5OQVNEQVE6Q0FMTS5JUV9ET19GSU5BTkNFX0NGLjk5Ni4zMS8wNy8yMDI2Li4uVVNELkgBAAAAIHoFAAMAAAAAAGyH+jA7794IsCG9NDvv3gg0Q0lRLk5BU0RBUTpDQUxNLklRX0NBU0hfRVFVSVYuOTk0LjMxLzA3LzIwMjYuLi5VU0QuSAEAAAAgegUAAgAAAAU3OC4xMwEIAAAABQAAAAExAQAAAAstMjA4ODM0NzQ2OQMAAAADMTYwAgAAAAQxMDk2BAAAAAEwBwAAAAk3LzMxLzIwMjYIAAAACTUvMzAvMjAyMAkAAAABMFmu+jA7794I73C8NDvv3gg0Q0lRLk5BU0RBUTpDQUxNLklRX1BSRUZfT1RIRVIuOTk5LjMxLzA3LzIwMjYuLi5VU0QuSAEAAAAgegUAAwAAAAAAWvqQMDvv3gh/VLY0O+/eCEBDSVEuTkFT</t>
  </si>
  <si>
    <t>REFROkNBTE0uSVFfRklOX0RJVl9MT0FOU19DVVJSRU5ULjEwMDAuMzEvMDcvMjAyNi4uLlVTRC5IAQAAACB6BQADAAAAAABZrvowO+/eCH+GuzQ7794IQENJUS5OQVNEQVE6Q0FMTS5JUV9ERUZfVEFYX0FTU0VUU19DVVJSRU5ULjk5OS4zMS8wNy8yMDI2Li4uVVNELkgBAAAAIHoFAAMAAAAAAFmu+jA7794IYP26NDvv3ggvQ0lRLk5BU0RBUTpDQUxNLklRX0FSX0xULjk5NS4zMS8wNy8yMDI2Li4uVVNELkgBAAAAIHoFAAMAAAAAAGzV+jA7794IBuy5NDvv3gg4Q0lRLk5BU0RBUTpDQUxNLklRX0RFRl9DSEFSR0VTX0xULjk5Ny4zMS8wNy8yMDI2Li4uVVNELkgBAAAAIHoFAAMAAAAAAGzV+jA7794Iy7C5NDvv3ghGQ0lRLk5BU0RBUTpDQUxNLklRX1RPVEFMX0RFQlRfRVhDTF9PUEVSX0xFQVNFUy4xMDAwLjMxLzA3LzIwMjYuLi5VU0QuSAEAAAAgegUAAwAAAAAAYjWRMDvv3gj4CrM0O+/eCDtDSVEuTkFTREFROkNBTE0uSVFfQ1VSUkVOVF9QT1JUX0RFQlQuOTk5LjMxLzA3LzIwMjYuLi5VU0QuSAEAAAAgegUAAwAAAAAAbNX6MDvv3giB7bg0O+/eCD9DSVEuTkFTREFROkNBTE0uSVFfRklOX0RJVl9MSUFCX0NVUlJFTlQuMTAwMC4zMS8wNy8yMDI2Li4uVVNELkgBAAAAIHoFAAMAAAAAAGzV+jA7794Ifsa4NDvv3gg7Q0lRLk5BU0RBUTpDQUxNLklRX0xPTkdfVEVSTV9MRUFTRVMuMTAwMC4zMS8wNy8y</t>
  </si>
  <si>
    <t>MDI2Li4uVVNELkgBAAAAIHoFAAMAAAAAAHr8+jA7794I9+63NDvv3ggxQ0lRLk5BU0RBUTpDQUxNLklRX1BFTlNJT04uOTk0LjMxLzA3LzIwMjYuLi5VU0QuSAEAAAAgegUAAwAAAAAAevz6MDvv3gjaebc0O+/eCFBDSVEuTkFTREFROkNBTE0uSVFfTElRVUlEQVRJT05fVkFMVUVfUFJFRkVSUkVEX05PTl9SRURFRU0uOTk1LjMxLzA3LzIwMjYuLi5VU0QuSAEAAAAgegUAAwAAAAAA+4ORMDvv3gg7hq40O+/eCDNDSVEuTkFTREFROkNBTE0uSVFfUlVBX0dST1NTLjk5OS4zMS8wNy8yMDI2Li4uVVNELkgBAAAAIHoFAAMAAAAAAFr6kDA7794IsUK1NDvv3ghBQ0lRLk5BU0RBUTpDQUxNLklRX1JVQV9DQVBJVEFMX0xFQVNFX0dST1NTLjk5NC4zMS8wNy8yMDI2Li4uVVNELkgBAAAAIHoFAAIAAAAFMC42NzgBCAAAAAUAAAABMQEAAAALLTIwODgzNDc0NjkDAAAAAzE2MAIAAAAFNDgzNzEEAAAAATAHAAAACTcvMzEvMjAyNggAAAAJNS8zMC8yMDIwCQAAAAEwWvqQMDvv3ghT4LQ0O+/eCEdDSVEuTkFTREFROkNBTE0uSVFfUlVBX09QRVJBVElOR19MRUFTRV9BQ0NVTV9ERVAuOTk2LjMxLzA3LzIwMjYuLi5VU0QuSAEAAAAgegUAAwAAAAAAWvqQMDvv3gh2frQ0O+/eCEBDSVEuTkFTREFROkNBTE0uSVFfRklOQU5DRV9MRUFTRVNfQ1VSUkVOVC45OTUuMzEvMDcvMjAyNi4uLlVTRC5IAQAAACB6BQACAAAABTAu</t>
  </si>
  <si>
    <t>MjE1AQgAAAAFAAAAATEBAAAACy0yMDM3MjQxNzIxAwAAAAMxNjACAAAABTQ4OTkwBAAAAAEwBwAAAAk3LzMxLzIwMjYIAAAACTUvMjkvMjAyMQkAAAABMGI1kTA7794ISAm0NDvv3gg7Q0lRLk5BU0RBUTpDQUxNLklRX0NIQU5HRV9JTlZFTlRPUlkuMTAwMC4zMS8wNy8yMDI2Li4uVVNELkgBAAAAIHoFAAIAAAAHLTM0Ljk3OAEIAAAABQAAAAExAQAAAAstMTg4MTA2ODY2OAMAAAADMTYwAgAAAAQyMDk5BAAAAAEwBwAAAAk3LzMxLzIwMjYIAAAACTUvMzAvMjAyNgkAAAABMNZH9jA7794ICyzENDvv3gg7Q0lRLk5BU0RBUTpDQUxNLklRX0JWX1NIQVJFX1JFUE9SVEVELjk5OC4zMS8wNy8yMDI2Li4uVVNELkgBAAAAIHoFAAMAAAAAAGI1kTA7794I2ryyNDvv3gg0Q0lRLk5BU0RBUTpDQUxNLklRX1RPVEFMX0RFQlQuOTk2LjMxLzA3LzIwMjYuLi5VU0QuSAEAAAAgegUAAgAAAAEwAQgAAAAFAAAAATEBAAAACy0xOTg2NzA4NDMzAwAAAAMxNjACAAAABDQxNzMEAAAAATAHAAAACTcvMzEvMjAyNggAAAAJNS8yOC8yMDIyCQAAAAEw4FyRMDvv3giZvLE0O+/eCDVDSVEuTkFTREFROkNBTE0uSVFfV09SS0lOR19DQVAuOTk4LjMxLzA3LzIwMjYuLi5VU0QuSAEAAAAgegUAAgAAAAgxMDE0LjA5NgEIAAAABQAAAAExAQAAAAstMTg4MTA2ODY3NgMAAAADMTYwAgAAAAQ0MTY1BAAAAAEwBwAAAAk3LzMxLzIwMjYI</t>
  </si>
  <si>
    <t>AAAACDYvMS8yMDI0CQAAAAEw4FyRMDvv3giUWrE0O+/eCC9DSVEuTkFTREFROkNBTE0uSVFfTElGT1IuOTk3LjMxLzA3LzIwMjYuLi5VU0QuSAEAAAAgegUAAwAAAAAA4FyRMDvv3giJlrA0O+/eCD1DSVEuTkFTREFROkNBTE0uSVFfSU5WRVNUX1NFQ1VSSVRZX0NGLjEwMDAuMzEvMDcvMjAyNi4uLlVTRC5IAQAAACB6BQACAAAABjk5LjU3OAEIAAAABQAAAAExAQAAAAstMTg4MTA2ODY2OAMAAAADMTYwAgAAAAQyMDI3BAAAAAEwBwAAAAk3LzMxLzIwMjYIAAAACTUvMzAvMjAyNgkAAAABMOZu9jA7794IRqTCNDvv3ghPQ0lRLk5BU0RBUTpDQUxNLklRX0xJQUJJTElUSUVTX05FVFRJTkdfT1RIRVJfQURKVVNUTUVOVFMuOTk4LjMxLzA3LzIwMjYuLi5VU0QuSAEAAAAgegUAAwAAAAAA8FWNMDvv3giVdaw0O+/eCD9DSVEuTkFTREFROkNBTE0uSVFfRklOX0RJVl9TVF9ERUJUX1RPVEFMLjk5Ni4zMS8wNy8yMDI2Li4uVVNELkgBAAAAIHoFAAMAAAAAAPBVjTA7794IdyesNDvv3gg8Q0lRLk5BU0RBUTpDQUxNLklRX0xUX01BUktfU0VDVVJJVElFUy45OTYuMzEvMDcvMjAyNi4uLlVTRC5IAQAAACB6BQADAAAAAADOkI0wO+/eCPqfqTQ7794IM0NJUS5OQVNEQVE6Q0FMTS5JUV9DSEFOR0VfQVIuOTk0LjMxLzA3LzIwMjYuLi5VU0QuSAEAAAAgegUAAgAAAAUtMjguMwEIAAAABQAAAAExAQAAAAstMjA4ODM0</t>
  </si>
  <si>
    <t>NzQ2OQMAAAADMTYwAgAAAAQyMDE4BAAAAAEwBwAAAAk3LzMxLzIwMjYIAAAACTUvMzAvMjAyMAkAAAABMNZH9jA7794I2j/ENDvv3gg0Q0lRLk5BU0RBUTpDQUxNLklRX0NBU0hfRklOQU4uOTk0LjMxLzA3LzIwMjYuLi5VU0QuSAEAAAAgegUAAgAAAAYtMy4zNjEBCAAAAAUAAAABMQEAAAALLTIwODgzNDc0NjkDAAAAAzE2MAIAAAAEMjAwNAQAAAABMAcAAAAJNy8zMS8yMDI2CAAAAAk1LzMwLzIwMjAJAAAAATD2lfYwO+/eCGrOwDQ7794IO0NJUS5OQVNEQVE6Q0FMTS5JUV9DSEFOR0VfVU5FQVJOX1JFVi45OTQuMzEvMDcvMjAyNi4uLlVTRC5IAQAAACB6BQADAAAAAADWR/YwO+/eCAjewzQ7794IOENJUS5OQVNEQVE6Q0FMTS5JUV9DSEFOR0VfREVGX1RBWC45OTguMzEvMDcvMjAyNi4uLlVTRC5IAQAAACB6BQADAAAAAADWR/YwO+/eCMu2wzQ7794INUNJUS5OQVNEQVE6Q0FMTS5JUV9TQUxFX1BQRV9DRi45OTYuMzEvMDcvMjAyNi4uLlVTRC5IAQAAACB6BQACAAAABTAuNjg2AQgAAAAFAAAAATEBAAAACy0xOTg2NzA4NDMzAwAAAAMxNjACAAAABDIwNDIEAAAAATAHAAAACTcvMzEvMjAyNggAAAAJNS8yOC8yMDIyCQAAAAEw1kf2MDvv3gihVMM0O+/eCD1DSVEuTkFTREFROkNBTE0uSVFfU0FMRV9SRUFMX0VTVEFURV9DRi45OTYuMzEvMDcvMjAyNi4uLlVTRC5IAQAAACB6BQADAAAAAADmbvYwO+/e</t>
  </si>
  <si>
    <t>CJoGwzQ7794IPkNJUS5OQVNEQVE6Q0FMTS5JUV9DSEFOR0VfREVGX1RBWF9UT1RBTC45OTYuMzEvMDcvMjAyNi4uLlVTRC5IAQAAACB6BQACAAAABTUuNjc2AQgAAAAFAAAAATEBAAAACy0xOTg2NzA4NDMzAwAAAAMxNjACAAAABTMwOTI0BAAAAAEwBwAAAAk3LzMxLzIwMjYIAAAACTUvMjgvMjAyMgkAAAABMGyH+jA7794Inwu+NDvv3ghAQ0lRLk5BU0RBUTpDQUxNLklRX09USEVSX0lOVkVTVF9BQ1RfU1VQUEwuOTk0LjMxLzA3LzIwMjYuLi5VU0QuSAEAAAAgegUAAwAAAAAA5m72MDvv3ghQfcI0O+/eCDhDSVEuTkFTREFROkNBTE0uSVFfU1RfREVCVF9JU1NVRUQuOTk4LjMxLzA3LzIwMjYuLi5VU0QuSAEAAAAgegUAAwAAAAAA5m72MDvv3gh0VsI0O+/eCDhDSVEuTkFTREFROkNBTE0uSVFfTFRfREVCVF9SRVBBSUQuOTk1LjMxLzA3LzIwMjYuLi5VU0QuSAEAAAAgegUAAgAAAAYtMC4yMDUBCAAAAAUAAAABMQEAAAALLTIwMzcyNDE3MjEDAAAAAzE2MAIAAAAEMjAzNgQAAAABMAcAAAAJNy8zMS8yMDI2CAAAAAk1LzI5LzIwMjEJAAAAATDmbvYwO+/eCDzhwTQ7794IPENJUS5OQVNEQVE6Q0FMTS5JUV9UT1RBTF9ERUJUX1JFUEFJRC4xMDAwLjMxLzA3LzIwMjYuLi5VU0QuSAEAAAAgegUAAwAAAAAA5m72MDvv3ghWusE0O+/eCDZDSVEuTkFTREFROkNBTE0uSVFfT1RIRVJfUkVDRUlWLjk5OC4zMS8w</t>
  </si>
  <si>
    <t>Ny8yMDI2Li4uVVNELkgBAAAAIHoFAAIAAAAGMjMuODkyAQgAAAAFAAAAATEBAAAACy0xODgxMDY4Njc2AwAAAAMxNjACAAAABDEyMDYEAAAAATAHAAAACTcvMzEvMjAyNggAAAAINi8xLzIwMjQJAAAAATBZrvowO+/eCM77uzQ7794IOENJUS5OQVNEQVE6Q0FMTS5JUV9NSVNDX0FESlVTVF9DRi45OTQuMzEvMDcvMjAyNi4uLlVTRC5IAQAAACB6BQADAAAAAAD2lfYwO+/eCGNrwDQ7794IQENJUS5OQVNEQVE6Q0FMTS5JUV9EQV9DRl9FWENMX09QRVJfTEVBU0VTLjk5OC4zMS8wNy8yMDI2Li4uVVNELkgBAAAAIHoFAAIAAAAGODAuMjQxAQgAAAAFAAAAATEBAAAACy0xODgxMDY4Njc2AwAAAAMxNjACAAAABTQ4OTg1BAAAAAEwBwAAAAk3LzMxLzIwMjYIAAAACDYvMS8yMDI0CQAAAAEw9pX2MDvv3gjWzb80O+/eCDdDSVEuTkFTREFROkNBTE0uSVFfQ0FTSF9JTlRFUkVTVC45OTguMzEvMDcvMjAyNi4uLlVTRC5IAQAAACB6BQADAAAAAABsh/owO+/eCH0xvzQ7794IPUNJUS5OQVNEQVE6Q0FMTS5JUV9DQVNIX0lOVEVSRVNUX0ZJTkFOLjk5Ni4zMS8wNy8yMDI2Li4uVVNELkgBAAAAIHoFAAMAAAAAAGyH+jA7794IQby+NDvv3gg9Q0lRLk5BU0RBUTpDQUxNLklRX0NVUlJFTlRfUE9SVF9MRUFTRVMuOTk2LjMxLzA3LzIwMjYuLi5VU0QuSAEAAAAgegUAAwAAAAAAbNX6MDvv3gilFLk0O+/eCDlDSVEuTkFT</t>
  </si>
  <si>
    <t>REFROkNBTE0uSVFfTkVUX0RFQlRfSVNTVUVELjk5Ni4zMS8wNy8yMDI2Li4uVVNELkgBAAAAIHoFAAIAAAAGLTAuMjE1AQgAAAAFAAAAATEBAAAACy0xOTg2NzA4NDMzAwAAAAMxNjACAAAABDIwMDMEAAAAATAHAAAACTcvMzEvMjAyNggAAAAJNS8yOC8yMDIyCQAAAAEwbIf6MDvv3ghUb700O+/eCDdDSVEuTkFTREFROkNBTE0uSVFfRE9fRklOQU5DRV9DRi45OTUuMzEvMDcvMjAyNi4uLlVTRC5IAQAAACB6BQADAAAAAABsh/owO+/eCLAhvTQ7794ISENJUS5OQVNEQVE6Q0FMTS5JUV9UT1RBTF9ERUJUX1JFUEFJRF9FWENMX0xFQVNFUy4xMDAwLjMxLzA3LzIwMjYuLi5VU0QuSAEAAAAgegUAAwAAAAAAWa76MDvv3gj2vrw0O+/eCDhDSVEuTkFTREFROkNBTE0uSVFfVFJBRElOR19BU1NFVFMuOTk5LjMxLzA3LzIwMjYuLi5VU0QuSAEAAAAgegUAAwAAAAAAWa76MDvv3gjZSbw0O+/eCDNDSVEuTkFTREFROkNBTE0uSVFfUlVBX0dST1NTLjk5OC4zMS8wNy8yMDI2Li4uVVNELkgBAAAAIHoFAAMAAAAAAFr6kDA7794IsUK1NDvv3ghAQ0lRLk5BU0RBUTpDQUxNLklRX0RFRl9UQVhfQVNTRVRTX0NVUlJFTlQuOTk4LjMxLzA3LzIwMjYuLi5VU0QuSAEAAAAgegUAAwAAAAAAWa76MDvv3ghg/bo0O+/eCC9DSVEuTkFTREFROkNBTE0uSVFfQVJfTFQuOTk0LjMxLzA3LzIwMjYuLi5VU0QuSAEAAAAgegUAAwAA</t>
  </si>
  <si>
    <t>AAAAbNX6MDvv3ggG7Lk0O+/eCDhDSVEuTkFTREFROkNBTE0uSVFfREVGX0NIQVJHRVNfTFQuOTk2LjMxLzA3LzIwMjYuLi5VU0QuSAEAAAAgegUAAwAAAAAAbNX6MDvv3gjLsLk0O+/eCCxDSVEuTkFTREFROkNBTE0uSVFfQVAuOTk1LjMxLzA3LzIwMjYuLi5VU0QuSAEAAAAgegUAAgAAAAY1Mi43ODQBCAAAAAUAAAABMQEAAAALLTIwMzcyNDE3MjEDAAAAAzE2MAIAAAAEMTAxOAQAAAABMAcAAAAJNy8zMS8yMDI2CAAAAAk1LzI5LzIwMjEJAAAAATBs1fowO+/eCJU7uTQ7794IUENJUS5OQVNEQVE6Q0FMTS5JUV9MSVFVSURBVElPTl9WQUxVRV9QUkVGRVJSRURfTk9OX1JFREVFTS45OTkuMzEvMDcvMjAyNi4uLlVTRC5IAQAAACB6BQADAAAAAAD7g5EwO+/eCCtfrjQ7794IPkNJUS5OQVNEQVE6Q0FMTS5JUV9GSU5fRElWX0xJQUJfQ1VSUkVOVC45OTkuMzEvMDcvMjAyNi4uLlVTRC5IAQAAACB6BQADAAAAAABs1fowO+/eCH7GuDQ7794IOkNJUS5OQVNEQVE6Q0FMTS5JUV9MT05HX1RFUk1fTEVBU0VTLjk5OS4zMS8wNy8yMDI2Li4uVVNELkgBAAAAIHoFAAMAAAAAAHr8+jA7794I9+63NDvv3gg0Q0lRLk5BU0RBUTpDQUxNLklRX1BSRUZfT1RIRVIuOTk4LjMxLzA3LzIwMjYuLi5VU0QuSAEAAAAgegUAAwAAAAAAWvqQMDvv3gh/VLY0O+/eCD5DSVEuTkFTREFROkNBTE0uSVFfVE9UQUxfQ09NTU9OX0VR</t>
  </si>
  <si>
    <t>VUlUWS4xMDAwLjMxLzA3LzIwMjYuLi5VU0QuSAEAAAAgegUAAgAAAAgyNjMyLjczMgEIAAAABQAAAAExAQAAAAstMTg4MTA2ODY2OAMAAAADMTYwAgAAAAQxMDA2BAAAAAEwBwAAAAk3LzMxLzIwMjYIAAAACTUvMzAvMjAyNgkAAAABMFr6kDA7794IRLi1NDvv3ggyQ0lRLk5BU0RBUTpDQUxNLklRX1RPVEFMX0NBLjk5Ny4zMS8wNy8yMDI2Li4uVVNELkgBAAAAIHoFAAIAAAAIMTEyNC45MjUBCAAAAAUAAAABMQEAAAALLTE5MzQ5Nzg0MjADAAAAAzE2MAIAAAAEMTAwOAQAAAABMAcAAAAJNy8zMS8yMDI2CAAAAAg2LzMvMjAyMwkAAAABMGzV+jA7794IUta6NDvv3ghAQ0lRLk5BU0RBUTpDQUxNLklRX0ZJTkFOQ0VfTEVBU0VTX0NVUlJFTlQuOTk0LjMxLzA3LzIwMjYuLi5VU0QuSAEAAAAgegUAAgAAAAUwLjIwNQEIAAAABQAAAAExAQAAAAstMjA4ODM0NzQ2OQMAAAADMTYwAgAAAAU0ODk5MAQAAAABMAcAAAAJNy8zMS8yMDI2CAAAAAk1LzMwLzIwMjAJAAAAATBiNZEwO+/eCEgJtDQ7794IRUNJUS5OQVNEQVE6Q0FMTS5JUV9UT1RBTF9ERUJUX0VYQ0xfT1BFUl9MRUFTRVMuOTk4LjMxLzA3LzIwMjYuLi5VU0QuSAEAAAAgegUAAwAAAAAAYjWRMDvv3gjs47I0O+/eCDNDSVEuTkFTREFROkNBTE0uSVFfVEJWX1NIQVJFLjk5NC4zMS8wNy8yMDI2Li4uVVNELkgBAAAAIHoFAAIAAAAJMTkuNTA0OTQxAQgA</t>
  </si>
  <si>
    <t>AAAFAAAAATEBAAAACy0yMDg4MzQ3NDY5AwAAAAMxNjACAAAABDQxNTYEAAAAATAHAAAACTcvMzEvMjAyNggAAAAJNS8zMC8yMDIwCQAAAAEwYjWRMDvv3gjavLI0O+/eCDVDSVEuTkFTREFROkNBTE0uSVFfV09SS0lOR19DQVAuOTk2LjMxLzA3LzIwMjYuLi5VU0QuSAEAAAAgegUAAgAAAAc0NzYuODQ1AQgAAAAFAAAAATEBAAAACy0xOTg2NzA4NDMzAwAAAAMxNjACAAAABDQxNjUEAAAAATAHAAAACTcvMzEvMjAyNggAAAAJNS8yOC8yMDIyCQAAAAEw4FyRMDvv3gjRH7E0O+/eCDVDSVEuTkFTREFROkNBTE0uSVFfUFJFRl9SRURFRU0uOTk3LjMxLzA3LzIwMjYuLi5VU0QuSAEAAAAgegUAAwAAAAAAevz6MDvv3ghRtrY0O+/eCD1DSVEuTkFTREFROkNBTE0uSVFfRklOX0RJVl9ERUJUX1RPVEFMLjEwMDAuMzEvMDcvMjAyNi4uLlVTRC5IAQAAACB6BQADAAAAAADwVY0wO+/eCCD+qzQ7794IPkNJUS5OQVNEQVE6Q0FMTS5JUV9XQVJSQU5UWV9MSUFCSUxJVElFUy45OTcuMzEvMDcvMjAyNi4uLlVTRC5IAQAAACB6BQADAAAAAADOkI0wO+/eCMPsqjQ7794INkNJUS5OQVNEQVE6Q0FMTS5JUV9HV19JTlRBTl9ORVQuOTk2LjMxLzA3LzIwMjYuLi5VU0QuSAEAAAAgegUAAwAAAAAAzpCNMDvv3ggBeak0O+/eCEBDSVEuTkFTREFROkNBTE0uSVFfREVGX1RBWF9BU1NFVFNfQ1VSUkVOVC45OTcuMzEvMDcvMjAy</t>
  </si>
  <si>
    <t>Ni4uLlVTRC5IAQAAACB6BQADAAAAAABZrvowO+/eCCE4uzQ7794IPENJUS5OQVNEQVE6Q0FMTS5JUV9UT1RBTF9PUEVSX0xFQVNFUy4xMDAwLjMxLzA3LzIwMjYuLi5VU0QuSAEAAAAgegUAAwAAAAAAYjWRMDvv3ggiWbM0O+/eCD1DSVEuTkFTREFROkNBTE0uSVFfQ1VSUkVOVF9QT1JUX0xFQVNFUy45OTUuMzEvMDcvMjAyNi4uLlVTRC5IAQAAACB6BQACAAAABTAuOTA2AQgAAAAFAAAAATEBAAAACy0yMDM3MjQxNzIxAwAAAAMxNjACAAAABDEwOTAEAAAAATAHAAAACTcvMzEvMjAyNggAAAAJNS8yOS8yMDIxCQAAAAEwbNX6MDvv3giB7bg0O+/eCD5DSVEuTkFTREFROkNBTE0uSVFfRklOX0RJVl9MSUFCX0NVUlJFTlQuOTk4LjMxLzA3LzIwMjYuLi5VU0QuSAEAAAAgegUAAwAAAAAAbNX6MDvv3ghJn7g0O+/eCDhDSVEuTkFTREFROkNBTE0uSVFfT1RIRVJfQ0xfU1VQUEwuOTk4LjMxLzA3LzIwMjYuLi5VU0QuSAEAAAAgegUAAgAAAAUzNy43NgEIAAAABQAAAAExAQAAAAstMTg4MTA2ODY3NgMAAAADMTYwAgAAAAQxMDU3BAAAAAEwBwAAAAk3LzMxLzIwMjYIAAAACDYvMS8yMDI0CQAAAAEwevz6MDvv3gg9Ubg0O+/eCDlDSVEuTkFTREFROkNBTE0uSVFfRklOX0RJVl9ERUJUX0xULjk5Ni4zMS8wNy8yMDI2Li4uVVNELkgBAAAAIHoFAAMAAAAAAHr8+jA7794I9+63NDvv3ghAQ0lRLk5BU0RBUTpDQUxN</t>
  </si>
  <si>
    <t>LklRX0xJQUJJTElUSUVTX0ZBSVJfVkFMVUUuOTk2LjMxLzA3LzIwMjYuLi5VU0QuSAEAAAAgegUAAwAAAAAA8FWNMDvv3ghuTqw0O+/eCDRDSVEuTkFTREFROkNBTE0uSVFfUFJFRl9PVEhFUi45OTcuMzEvMDcvMjAyNi4uLlVTRC5IAQAAACB6BQADAAAAAABa+pAwO+/eCH9UtjQ7794IPUNJUS5OQVNEQVE6Q0FMTS5JUV9UT1RBTF9DT01NT05fRVFVSVRZLjk5OS4zMS8wNy8yMDI2Li4uVVNELkgBAAAAIHoFAAIAAAAIMjU2MC42MjQBCAAAAAUAAAABMQEAAAALLTE4ODEwNjg2NzUDAAAAAzE2MAIAAAAEMTAwNgQAAAABMAcAAAAJNy8zMS8yMDI2CAAAAAk1LzMxLzIwMjUJAAAAATBa+pAwO+/eCES4tTQ7794IM0NJUS5OQVNEQVE6Q0FMTS5JUV9SVUFfR1JPU1MuOTk3LjMxLzA3LzIwMjYuLi5VU0QuSAEAAAAgegUAAwAAAAAAWvqQMDvv3gixQrU0O+/eCEZDSVEuTkFTREFROkNBTE0uSVFfUlVBX0NBUElUQUxfTEVBU0VfQUNDVU1fREVQLjEwMDAuMzEvMDcvMjAyNi4uLlVTRC5IAQAAACB6BQADAAAAAABa+pAwO+/eCFPgtDQ7794IOENJUS5OQVNEQVE6Q0FMTS5JUV9DQVNIX1NUX0lOVkVTVC45OTUuMzEvMDcvMjAyNi4uLlVTRC5IAQAAACB6BQACAAAABjE2OS41MQEIAAAABQAAAAExAQAAAAstMjAzNzI0MTcyMQMAAAADMTYwAgAAAAQxMDAyBAAAAAEwBwAAAAk3LzMxLzIwMjYIAAAACTUvMjkvMjAy</t>
  </si>
  <si>
    <t>MQkAAAABMFmu+jA7794I2Um8NDvv3ghAQ0lRLk5BU0RBUTpDQUxNLklRX1RPVEFMX0RFQlRfRVhDTF9MRUFTRVMuOTk1LjMxLzA3LzIwMjYuLi5VU0QuSAEAAAAgegUAAgAAAAEwAQgAAAAFAAAAATEBAAAACy0yMDM3MjQxNzIxAwAAAAMxNjACAAAABTQ4OTkyBAAAAAEwBwAAAAk3LzMxLzIwMjYIAAAACTUvMjkvMjAyMQkAAAABMGI1kTA7794I7OOyNDvv3ggxQ0lRLk5BU0RBUTpDQUxNLklRX1JBV19JTlYuOTk5LjMxLzA3LzIwMjYuLi5VU0QuSAEAAAAgegUAAgAAAAcyMzAuNDc4AQgAAAAFAAAAATEBAAAACy0xODgxMDY4Njc1AwAAAAMxNjACAAAABDMxNzEEAAAAATAHAAAACTcvMzEvMjAyNggAAAAJNS8zMS8yMDI1CQAAAAEw4FyRMDvv3gjLvbA0O+/eCDJDSVEuTkFTREFROkNBTE0uSVFfU09GVFdBUkUuOTk1LjMxLzA3LzIwMjYuLi5VU0QuSAEAAAAgegUAAwAAAAAA4FyRMDvv3gilDbA0O+/eCENDSVEuTkFTREFROkNBTE0uSVFfRklOX0RJVl9NSU5PUklUWV9JTlRFUkVTVC45OTUuMzEvMDcvMjAyNi4uLlVTRC5IAQAAACB6BQADAAAAAAD7g5EwO+/eCFdKrzQ7794INkNJUS5OQVNEQVE6Q0FMTS5JUV9PVEhFUl9JTlRBTi4xMDAwLjMxLzA3LzIwMjYuLi5VU0QuSAEAAAAgegUAAgAAAAU3My4xMwEIAAAABQAAAAExAQAAAAstMTg4MTA2ODY2OAMAAAADMTYwAgAAAAQxMDQwBAAAAAEwBwAAAAk3</t>
  </si>
  <si>
    <t>LzMxLzIwMjYIAAAACTUvMzAvMjAyNgkAAAABMGzV+jA7794IVTq6NDvv3gg8Q0lRLk5BU0RBUTpDQUxNLklRX0ZJTl9ESVZfREVCVF9UT1RBTC45OTkuMzEvMDcvMjAyNi4uLlVTRC5IAQAAACB6BQADAAAAAADwVY0wO+/eCCD+qzQ7794IPUNJUS5OQVNEQVE6Q0FMTS5JUV9TVF9ERUJUX0RFUklWQVRJVkVTLjk5Ny4zMS8wNy8yMDI2Li4uVVNELkgBAAAAIHoFAAMAAAAAAM6QjTA7794Iw+yqNDvv3gg2Q0lRLk5BU0RBUTpDQUxNLklRX0dXX0lOVEFOX05FVC45OTUuMzEvMDcvMjAyNi4uLlVTRC5IAQAAACB6BQADAAAAAADOkI0wO+/eCAF5qTQ7794IPUNJUS5OQVNEQVE6Q0FMTS5JUV9HQUlOX0JBUkdBSU5fQUNRX0NGLjk5Ni4zMS8wNy8yMDI2Li4uVVNELkgBAAAAIHoFAAMAAAAAAFmu+jA7794I55e8NDvv3gg5Q0lRLk5BU0RBUTpDQUxNLklRX0ZJTl9ESVZfREVCVF9MVC45OTUuMzEvMDcvMjAyNi4uLlVTRC5IAQAAACB6BQADAAAAAAB6/PowO+/eCP/HtzQ7794IOENJUS5OQVNEQVE6Q0FMTS5JUV9TVF9OT1RFX1JFQ0VJVi45OTQuMzEvMDcvMjAyNi4uLlVTRC5IAQAAACB6BQADAAAAAABZrvowO+/eCM77uzQ7794INENJUS5OQVNEQVE6Q0FMTS5JUV9JTlZFTlRPUlkuMTAwMC4zMS8wNy8yMDI2Li4uVVNELkgBAAAAIHoFAAIAAAAHMzc1LjI2NQEIAAAABQAAAAExAQAAAAstMTg4MTA2ODY2OAMA</t>
  </si>
  <si>
    <t>AAADMTYwAgAAAAQxMDQzBAAAAAEwBwAAAAk3LzMxLzIwMjYIAAAACTUvMzAvMjAyNgkAAAABMFmu+jA7794IdK27NDvv3ghAQ0lRLk5BU0RBUTpDQUxNLklRX0ZJTl9ESVZfQVNTRVRTX0NVUlJFTlQuOTk5LjMxLzA3LzIwMjYuLi5VU0QuSAEAAAAgegUAAwAAAAAAWa76MDvv3gh7X7s0O+/eCC5DSVEuTkFTREFROkNBTE0uSVFfTlBQRS45OTguMzEvMDcvMjAyNi4uLlVTRC5IAQAAACB6BQACAAAABzg1Ny4yMzQBCAAAAAUAAAABMQEAAAALLTE4ODEwNjg2NzYDAAAAAzE2MAIAAAAEMTAwNAQAAAABMAcAAAAJNy8zMS8yMDI2CAAAAAg2LzEvMjAyNAkAAAABMGzV+jA7794IN4i6NDvv3ggzQ0lRLk5BU0RBUTpDQUxNLklRX1JVQV9HUk9TUy45OTUuMzEvMDcvMjAyNi4uLlVTRC5IAQAAACB6BQADAAAAAABa+pAwO+/eCHEbtTQ7794IMENJUS5OQVNEQVE6Q0FMTS5JUV9BUl9MVC4xMDAwLjMxLzA3LzIwMjYuLi5VU0QuSAEAAAAgegUAAwAAAAAAbNX6MDvv3ggG7Lk0O+/eCD1DSVEuTkFTREFROkNBTE0uSVFfQ1VSUkVOVF9QT1JUX0xFQVNFUy45OTQuMzEvMDcvMjAyNi4uLlVTRC5IAQAAACB6BQACAAAABTEuMDAxAQgAAAAFAAAAATEBAAAACy0yMDg4MzQ3NDY5AwAAAAMxNjACAAAABDEwOTAEAAAAATAHAAAACTcvMzEvMjAyNggAAAAJNS8zMC8yMDIwCQAAAAEwbNX6MDvv3giB7bg0O+/eCD1DSVEuTkFT</t>
  </si>
  <si>
    <t>REFROkNBTE0uSVFfSU5DX1RBWF9QQVlfQ1VSUkVOVC45OTUuMzEvMDcvMjAyNi4uLlVTRC5IAQAAACB6BQADAAAAAABs1fowO+/eCEmfuDQ7794IOENJUS5OQVNEQVE6Q0FMTS5JUV9PVEhFUl9DTF9TVVBQTC45OTYuMzEvMDcvMjAyNi4uLlVTRC5IAQAAACB6BQACAAAABjM2LjY1NgEIAAAABQAAAAExAQAAAAstMTk4NjcwODQzMwMAAAADMTYwAgAAAAQxMDU3BAAAAAEwBwAAAAk3LzMxLzIwMjYIAAAACTUvMjgvMjAyMgkAAAABMHr8+jA7794IPVG4NDvv3ghNQ0lRLk5BU0RBUTpDQUxNLklRX0xJUVVJREFUSU9OX1ZBTFVFX1BSRUZFUlJFRF9SRURFRU0uMTAwMC4zMS8wNy8yMDI2Li4uVVNELkgBAAAAIHoFAAMAAAAAAPuDkTA7794IK1+uNDvv3ggyQ0lRLk5BU0RBUTpDQUxNLklRX1BFTlNJT04uMTAwMC4zMS8wNy8yMDI2Li4uVVNELkgBAAAAIHoFAAMAAAAAAHr8+jA7794IulK3NDvv3gg1Q0lRLk5BU0RBUTpDQUxNLklRX1BSRUZfUkVERUVNLjk5Ni4zMS8wNy8yMDI2Li4uVVNELkgBAAAAIHoFAAMAAAAAAHr8+jA7794IUba2NDvv3gg1Q0lRLk5BU0RBUTpDQUxNLklRX1BSRUZfRVFVSVRZLjk5NC4zMS8wNy8yMDI2Li4uVVNELkgBAAAAIHoFAAMAAAAAAFr6kDA7794If1S2NDvv3gg7Q0lRLk5BU0RBUTpDQUxNLklRX01JTk9SSVRZX0lOVEVSRVNULjk5NS4zMS8wNy8yMDI2Li4uVVNELkgBAAAA</t>
  </si>
  <si>
    <t>IHoFAAMAAAAAAFr6kDA7794IA5G1NDvv3gg9Q0lRLk5BU0RBUTpDQUxNLklRX0RBX1NVUFBMX1BBUlRJQUxfQ0YuOTk1LjMxLzA3LzIwMjYuLi5VU0QuSAEAAAAgegUAAwAAAAAA9pX2MDvv3ghja8A0O+/eCEVDSVEuTkFTREFROkNBTE0uSVFfUlVBX0NBUElUQUxfTEVBU0VfQUNDVU1fREVQLjk5OS4zMS8wNy8yMDI2Li4uVVNELkgBAAAAIHoFAAMAAAAAAFr6kDA7794Ij6W0NDvv3gg7Q0lRLk5BU0RBUTpDQUxNLklRX1RPVEFMX09QRVJfTEVBU0VTLjk5OS4zMS8wNy8yMDI2Li4uVVNELkgBAAAAIHoFAAMAAAAAAGI1kTA7794IIlmzNDvv3gg0Q0lRLk5BU0RBUTpDQUxNLklRX1RCVl9TSEFSRS4xMDAwLjMxLzA3LzIwMjYuLi5VU0QuSAEAAAAgegUAAgAAAAk1Mi40MTU3MjEBCAAAAAUAAAABMQEAAAALLTE4ODEwNjg2NjgDAAAAAzE2MAIAAAAENDE1NgQAAAABMAcAAAAJNy8zMS8yMDI2CAAAAAk1LzMwLzIwMjYJAAAAATBiNZEwO+/eCJ2VsjQ7794IMUNJUS5OQVNEQVE6Q0FMTS5JUV9SQVdfSU5WLjk5OC4zMS8wNy8yMDI2Li4uVVNELkgBAAAAIHoFAAIAAAAHMTQ5Ljk4NQEIAAAABQAAAAExAQAAAAstMTg4MTA2ODY3NgMAAAADMTYwAgAAAAQzMTcxBAAAAAEwBwAAAAk3LzMxLzIwMjYIAAAACDYvMS8yMDI0CQAAAAEw4FyRMDvv3giJlrA0O+/eCDtDSVEuTkFTREFROkNBTE0uSVFfQ0FTSF9UQVhF</t>
  </si>
  <si>
    <t>U19JTlZFU1QuOTk3LjMxLzA3LzIwMjYuLi5VU0QuSAEAAAAgegUAAwAAAAAAbIf6MDvv3ghJbr40O+/eCENDSVEuTkFTREFROkNBTE0uSVFfRklOX0RJVl9NSU5PUklUWV9JTlRFUkVTVC45OTkuMzEvMDcvMjAyNi4uLlVTRC5IAQAAACB6BQADAAAAAAD7g5EwO+/eCBMjrzQ7794ITENJUS5OQVNEQVE6Q0FMTS5JUV9MSVFVSURBVElPTl9WQUxVRV9QUkVGRVJSRURfUkVERUVNLjk5OC4zMS8wNy8yMDI2Li4uVVNELkgBAAAAIHoFAAMAAAAAAPuDkTA7794IGjiuNDvv3ghJQ0lRLk5BU0RBUTpDQUxNLklRX0ZBSVJfVkFMVUVfQ0hBTkdFX0lOQ0xfRUFSTklOR1MuOTk5LjMxLzA3LzIwMjYuLi5VU0QuSAEAAAAgegUAAgAAAAMtMTUA8FWNMDvv3gh3J6w0O+/eCDRDSVEuTkFTREFROkNBTE0uSVFfTkVUX0NIQU5HRS45OTUuMzEvMDcvMjAyNi4uLlVTRC5IAQAAACB6BQACAAAABy0yMC43NzgBCAAAAAUAAAABMQEAAAALLTIwMzcyNDE3MjEDAAAAAzE2MAIAAAAEMjA5MwQAAAABMAcAAAAJNy8zMS8yMDI2CAAAAAk1LzI5LzIwMjEJAAAAATD2lfYwO+/eCGNrwDQ7794INENJUS5OQVNEQVE6Q0FMTS5JUV9DQVNIX0VRVUlWLjk5OS4zMS8wNy8yMDI2Li4uVVNELkgBAAAAIHoFAAIAAAAHNDk5LjM5MgEIAAAABQAAAAExAQAAAAstMTg4MTA2ODY3NQMAAAADMTYwAgAAAAQxMDk2BAAAAAEwBwAAAAk3LzMxLzIw</t>
  </si>
  <si>
    <t>MjYIAAAACTUvMzEvMjAyNQkAAAABMFmu+jA7794I73C8NDvv3gg0Q0lRLk5BU0RBUTpDQUxNLklRX0RFUFJFX1NVUFAuOTk1LjMxLzA3LzIwMjYuLi5VU0QuSAEAAAAgegUAAgAAAAQ1Ni41AQgAAAAFAAAAATEBAAAACy0yMDM3MjQxNzIxAwAAAAMxNjACAAAABDIxNDMEAAAAATAHAAAACTcvMzEvMjAyNggAAAAJNS8yOS8yMDIxCQAAAAEw9pX2MDvv3ggLCcA0O+/eCDFDSVEuTkFTREFROkNBTE0uSVFfREVQX1JVQS45OTQuMzEvMDcvMjAyNi4uLlVTRC5IAQAAACB6BQADAAAAAAD2lfYwO+/eCMLhvzQ7794IQkNJUS5OQVNEQVE6Q0FMTS5JUV9BTU9SVF9TT0ZUV0FSRV9BU1NFVFNfQ0YuOTk2LjMxLzA3LzIwMjYuLi5VU0QuSAEAAAAgegUAAwAAAAAA9pX2MDvv3giEWL80O+/eCDxDSVEuTkFTREFROkNBTE0uSVFfQ0FTSF9JTlRFUkVTVF9PUEVSLjk5NC4zMS8wNy8yMDI2Li4uVVNELkgBAAAAIHoFAAMAAAAAAGyH+jA7794Ij+O+NDvv3ggvQ0lRLk5BU0RBUTpDQUxNLklRX0FSX0xULjk5Ny4zMS8wNy8yMDI2Li4uVVNELkgBAAAAIHoFAAMAAAAAAGzV+jA7794IBuy5NDvv3gg/Q0lRLk5BU0RBUTpDQUxNLklRX0NIQU5HRV9ERUZfVEFYX1RPVEFMLjEwMDAuMzEvMDcvMjAyNi4uLlVTRC5IAQAAACB6BQACAAAABjY3LjM2MwEIAAAABQAAAAExAQAAAAstMTg4MTA2ODY2OAMAAAADMTYwAgAAAAUzMDky</t>
  </si>
  <si>
    <t>NAQAAAABMAcAAAAJNy8zMS8yMDI2CAAAAAk1LzMwLzIwMjYJAAAAATBsh/owO+/eCJ8LvjQ7794IN0NJUS5OQVNEQVE6Q0FMTS5JUV9VTkxFVkVSRURfRkNGLjk5NS4zMS8wNy8yMDI2Li4uVVNELkgBAAAAIHoFAAIAAAAKLTEwOS44MTkyNQEIAAAABQAAAAExAQAAAAstMjAzNzI0MTcyMQMAAAADMTYwAgAAAAQ0NDIzBAAAAAEwBwAAAAk3LzMxLzIwMjYIAAAACTUvMjkvMjAyMQkAAAABMGyH+jA7794Is729NDvv3gg1Q0lRLk5BU0RBUTpDQUxNLklRX01BSU5UX0NBUEVYLjk5NC4zMS8wNy8yMDI2Li4uVVNELkgBAAAAIHoFAAMAAAAAAGyH+jA7794IVG+9NDvv3gg9Q0lRLk5BU0RBUTpDQUxNLklRX0dBSU5fQkFSR0FJTl9BQ1FfQ0YuOTk0LjMxLzA3LzIwMjYuLi5VU0QuSAEAAAAgegUAAwAAAAAAWa76MDvv3gjnl7w0O+/eCEJDSVEuTkFTREFROkNBTE0uSVFfRklOQU5DRV9MRUFTRVNfTE9OR19URVJNLjk5OC4zMS8wNy8yMDI2Li4uVVNELkgBAAAAIHoFAAMAAAAAAGI1kTA7794IOOKzNDvv3ggzQ0lRLk5BU0RBUTpDQUxNLklRX0lOVkVOVE9SWS45OTguMzEvMDcvMjAyNi4uLlVTRC5IAQAAACB6BQACAAAABzI2MS43ODIBCAAAAAUAAAABMQEAAAALLTE4ODEwNjg2NzYDAAAAAzE2MAIAAAAEMTA0MwQAAAABMAcAAAAJNy8zMS8yMDI2CAAAAAg2LzEvMjAyNAkAAAABMFmu+jA7794IdK27NDvv3ghA</t>
  </si>
  <si>
    <t>Q0lRLk5BU0RBUTpDQUxNLklRX0ZJTl9ESVZfQVNTRVRTX0NVUlJFTlQuOTk3LjMxLzA3LzIwMjYuLi5VU0QuSAEAAAAgegUAAwAAAAAAWa76MDvv3gh7X7s0O+/eCC5DSVEuTkFTREFROkNBTE0uSVFfTlBQRS45OTUuMzEvMDcvMjAyNi4uLlVTRC5IAQAAACB6BQACAAAABzU5MS42NjYBCAAAAAUAAAABMQEAAAALLTIwMzcyNDE3MjEDAAAAAzE2MAIAAAAEMTAwNAQAAAABMAcAAAAJNy8zMS8yMDI2CAAAAAk1LzI5LzIwMjEJAAAAATBs1fowO+/eCDeIujQ7794INUNJUS5OQVNEQVE6Q0FMTS5JUV9PVEhFUl9JTlRBTi45OTguMzEvMDcvMjAyNi4uLlVTRC5IAQAAACB6BQACAAAABjE1Ljk5NgEIAAAABQAAAAExAQAAAAstMTg4MTA2ODY3NgMAAAADMTYwAgAAAAQxMDQwBAAAAAEwBwAAAAk3LzMxLzIwMjYIAAAACDYvMS8yMDI0CQAAAAEwbNX6MDvv3ghVOro0O+/eCDJDSVEuTkFTREFROkNBTE0uSVFfU09GVFdBUkUuOTk4LjMxLzA3LzIwMjYuLi5VU0QuSAEAAAAgegUAAwAAAAAA4FyRMDvv3giS5q80O+/eCDVDSVEuTkFTREFROkNBTE0uSVFfUFJFRl9SRURFRU0uOTk0LjMxLzA3LzIwMjYuLi5VU0QuSAEAAAAgegUAAwAAAAAAevz6MDvv3ghRtrY0O+/eCC1DSVEuTkFTREFROkNBTE0uSVFfUkUuMTAwMC4zMS8wNy8yMDI2Li4uVVNELkgBAAAAIHoFAAIAAAAIMjc2NS4xMDgBCAAAAAUAAAABMQEAAAAL</t>
  </si>
  <si>
    <t>LTE4ODEwNjg2NjgDAAAAAzE2MAIAAAAEMTIyMgQAAAABMAcAAAAJNy8zMS8yMDI2CAAAAAk1LzMwLzIwMjYJAAAAATBa+pAwO+/eCF0GtjQ7794IRUNJUS5OQVNEQVE6Q0FMTS5JUV9SVUFfQ0FQSVRBTF9MRUFTRV9BQ0NVTV9ERVAuOTk3LjMxLzA3LzIwMjYuLi5VU0QuSAEAAAAgegUAAwAAAAAAWvqQMDvv3giPpbQ0O+/eCEJDSVEuTkFTREFROkNBTE0uSVFfUlVBX09QRVJBVElOR19MRUFTRV9ORVQuMTAwMC4zMS8wNy8yMDI2Li4uVVNELkgBAAAAIHoFAAMAAAAAAFr6kDA7794IZVe0NDvv3gg8Q0lRLk5BU0RBUTpDQUxNLklRX0RFQlRfRVFVSVZfTkVUX1BCTy45OTQuMzEvMDcvMjAyNi4uLlVTRC5IAQAAACB6BQACAAAAAzQuMQEIAAAABQAAAAExAQAAAAstMjA4ODM0NzQ2OQMAAAADMTYwAgAAAAUyMTY3OQQAAAABMAcAAAAJNy8zMS8yMDI2CAAAAAk1LzMwLzIwMjAJAAAAATDwVY0wO+/eCPGvqzQ7794IO0NJUS5OQVNEQVE6Q0FMTS5JUV9UT1RBTF9PUEVSX0xFQVNFUy45OTYuMzEvMDcvMjAyNi4uLlVTRC5IAQAAACB6BQADAAAAAABiNZEwO+/eCCJZszQ7794IQENJUS5OQVNEQVE6Q0FMTS5JUV9UT1RBTF9ERUJUX0VYQ0xfTEVBU0VTLjk5Ny4zMS8wNy8yMDI2Li4uVVNELkgBAAAAIHoFAAMAAAAAAGI1kTA7794I7OOyNDvv3gg8Q0lRLk5BU0RBUTpDQUxNLklRX1RCVl9TSEFSRV9SRVBPUlRF</t>
  </si>
  <si>
    <t>RC45OTYuMzEvMDcvMjAyNi4uLlVTRC5IAQAAACB6BQADAAAAAABiNZEwO+/eCJRusjQ7794IOUNJUS5OQVNEQVE6Q0FMTS5JUV9ORVRfV09SS0lOR19DQVAuOTk4LjMxLzA3LzIwMjYuLi5VU0QuSAEAAAAgegUAAgAAAAcyMDEuNzE5AQgAAAAFAAAAATEBAAAACy0xODgxMDY4Njc2AwAAAAMxNjACAAAABDEzMTEEAAAAATAHAAAACTcvMzEvMjAyNggAAAAINi8xLzIwMjQJAAAAATDgXJEwO+/eCNEfsTQ7794IS0NJUS5OQVNEQVE6Q0FMTS5JUV9JTlRFUkVTVF9FWFBfTEVBU0VfTElBQklMSVRZX0RFQlQuOTk0LjMxLzA3LzIwMjYuLi5VU0QuSAEAAAAgegUAAwAAAAAAzNsXMTvv3ggCPcw0O+/eCEVDSVEuTkFTREFROkNBTE0uSVFfREVGX1RBWF9WQUxVQVRJT05fQUxMT1dBTkNFLjk5NC4zMS8wNy8yMDI2Li4uVVNELkgBAAAAIHoFAAMAAAAAAPuDkTA7794IEyOvNDvv3ghAQ0lRLk5BU0RBUTpDQUxNLklRX1RPVEFMX0RFQlRfRVhDTF9MRUFTRVMuOTk2LjMxLzA3LzIwMjYuLi5VU0QuSAEAAAAgegUAAwAAAAAAYjWRMDvv3gjs47I0O+/eCDxDSVEuTkFTREFROkNBTE0uSVFfVEJWX1NIQVJFX1JFUE9SVEVELjk5NS4zMS8wNy8yMDI2Li4uVVNELkgBAAAAIHoFAAMAAAAAAGI1kTA7794IlG6yNDvv3ggyQ0lRLk5BU0RBUTpDQUxNLklRX1NPRlRXQVJFLjk5Ni4zMS8wNy8yMDI2Li4uVVNELkgBAAAAIHoF</t>
  </si>
  <si>
    <t>AAMAAAAAAOBckTA7794IkuavNDvv3ggzQ0lRLk5BU0RBUTpDQUxNLklRX1JEX0VYUF9GTi45OTYuMzEvMDcvMjAyNi4uLlVTRC5IAQAAACB6BQADAAAAAADpAhgxO+/eCIzwyjQ7794IOUNJUS5OQVNEQVE6Q0FMTS5JUV9JTlRFUkNPTVBBTllfQ0EuOTk5LjMxLzA3LzIwMjYuLi5VU0QuSAEAAAAgegUAAwAAAAAAIbiNMDvv3gjYKqk0O+/eCEFDSVEuTkFTREFROkNBTE0uSVFfREVGRVJSRURfRE9NRVNUSUNfVEFYRVMuOTk4LjMxLzA3LzIwMjYuLi5VU0QuSAEAAAAgegUAAgAAAAYtOS42NzIBCAAAAAUAAAABMQEAAAALLTE4ODEwNjg2NzYDAAAAAzE2MAIAAAAEMzA1NAQAAAABMAcAAAAJNy8zMS8yMDI2CAAAAAg2LzEvMjAyNAkAAAABML20FzE7794IQQDNNDvv3ggxQ0lRLk5BU0RBUTpDQUxNLklRX05JX05PUk0uOTk2LjMxLzA3LzIwMjYuLi5VU0QuSAEAAAAgegUAAgAAAAoxMDAuNzA5NjI1AQgAAAAFAAAAATEBAAAACy0xOTg2NzA4NDMzAwAAAAMxNjACAAAABDQzNzgEAAAAATAHAAAACTcvMzEvMjAyNggAAAAJNS8yOC8yMDIyCQAAAAEwvbQXMTvv3ggtssw0O+/eCD9DSVEuTkFTREFROkNBTE0uSVFfQ0FQSVRBTElaRURfSU5URVJFU1QuMTAwMC4zMS8wNy8yMDI2Li4uVVNELkgBAAAAIHoFAAMAAAAAAMzbFzE7794IAGTMNDvv3ghBQ0lRLk5BU0RBUTpDQUxNLklRX1NBTEFSSUVTX09USEVSX0JF</t>
  </si>
  <si>
    <t>TkVGSVRTLjk5Ni4zMS8wNy8yMDI2Li4uVVNELkgBAAAAIHoFAAMAAAAAAPEpGDE7794ISY/JNDvv3gg7Q0lRLk5BU0RBUTpDQUxNLklRX0lOVF9FWFBfSU5DTF9DQVAuMTAwMC4zMS8wNy8yMDI2Li4uVVNELkgBAAAAIHoFAAIAAAAFMC41NTYBCAAAAAUAAAABMQEAAAALLTE4ODEwNjg2NjgDAAAAAzE2MAIAAAAFMjE4NjEEAAAAATAHAAAACTcvMzEvMjAyNggAAAAJNS8zMC8yMDI2CQAAAAEwzNsXMTvv3gjoFcw0O+/eCElDSVEuTkFTREFROkNBTE0uSVFfRElTVFJJQlVUQUJMRV9DQVNIX1NUQU5EQVJESVpFRC45OTguMzEvMDcvMjAyNi4uLlVTRC5IAQAAACB6BQADAAAAAADM2xcxO+/eCMSzyzQ7794ILUNJUS5OQVNEQVE6Q0FMTS5JUV9ESUMuOTk0LjMxLzA3LzIwMjYuLi5VU0QuSAEAAAAgegUAAwAAAAAA6QIYMTvv3gjUjMs0O+/eCDVDSVEuTkFTREFROkNBTE0uSVFfQURWRVJUSVNJTkcuOTk4LjMxLzA3LzIwMjYuLi5VU0QuSAEAAAAgegUAAwAAAAAA6QIYMTvv3gicPss0O+/eCDtDSVEuTkFTREFROkNBTE0uSVFfTkVHQVRJVkVfR1dfQU1PUlQuOTk4LjMxLzA3LzIwMjYuLi5VU0QuSAEAAAAgegUAAwAAAAAAGlEYMTvv3gjYQsg0O+/eCDtDSVEuTkFTREFROkNBTE0uSVFfQ09OVElOR0VOVF9SRU5UQUwuOTk0LjMxLzA3LzIwMjYuLi5VU0QuSAEAAAAgegUAAwAAAAAA6QIYMTvv3ghgoso0O+/e</t>
  </si>
  <si>
    <t>CDlDSVEuTkFTREFROkNBTE0uSVFfTUlOSU1VTV9SRU5UQUwuMTAwMC4zMS8wNy8yMDI2Li4uVVNELkgBAAAAIHoFAAMAAAAAAOkCGDE7794Ip3nKNDvv3gg3Q0lRLk5BU0RBUTpDQUxNLklRX0FJUkNSQUZUX1JFTlQuOTk0LjMxLzA3LzIwMjYuLi5VU0QuSAEAAAAgegUAAwAAAAAA6QIYMTvv3gh3K8o0O+/eCEFDSVEuTkFTREFROkNBTE0uSVFfRVhQTE9SRV9EUklMTF9FWFBfVE9UQUwuOTk4LjMxLzA3LzIwMjYuLi5VU0QuSAEAAAAgegUAAwAAAAAA8SkYMTvv3ghl3ck0O+/eCDpDSVEuTkFTREFROkNBTE0uSVFfUkVTVFJfU1RPQ0tfQ09NUC45OTguMzEvMDcvMjAyNi4uLlVTRC5IAQAAACB6BQADAAAAAADOIPYwO+/eCJHsxjQ7794IPkNJUS5OQVNEQVE6Q0FMTS5JUV9JTVBBSVJNRU5UX0dXX1NVUFBMRS45OTYuMzEvMDcvMjAyNi4uLlVTRC5IAQAAACB6BQADAAAAAADxKRgxO+/eCDNByTQ7794INkNJUS5OQVNEQVE6Q0FMTS5JUV9JUFJEX1NVUFBMRS4xMDAwLjMxLzA3LzIwMjYuLi5VU0QuSAEAAAAgegUAAwAAAAAA8SkYMTvv3ggyGsk0O+/eCEFDSVEuTkFTREFROkNBTE0uSVFfR0FJTl9CQVJHQUlOX0FDUV9TVVBQTEUuOTk0LjMxLzA3LzIwMjYuLi5VU0QuSAEAAAAgegUAAwAAAAAA8SkYMTvv3gj1t8g0O+/eCD1DSVEuTkFTREFROkNBTE0uSVFfTEVHQUxfU0VUVExFX1NVUFBMRS45OTguMzEv</t>
  </si>
  <si>
    <t>MDcvMjAyNi4uLlVTRC5IAQAAACB6BQADAAAAAADxKRgxO+/eCPCQyDQ7794IMkNJUS5OQVNEQVE6Q0FMTS5JUV9MT0FOU19DRi45OTYuMzEvMDcvMjAyNi4uLlVTRC5IAQAAACB6BQADAAAAAADWR/YwO+/eCNUqxTQ7794IOENJUS5OQVNEQVE6Q0FMTS5JUV9TVE9DS19CQVNFRF9TTS45OTYuMzEvMDcvMjAyNi4uLlVTRC5IAQAAACB6BQADAAAAAAAaURgxO+/eCG70xzQ7794IOkNJUS5OQVNEQVE6Q0FMTS5JUV9TVE9DS19CQVNFRF9TR0EuMTAwMC4zMS8wNy8yMDI2Li4uVVNELkgBAAAAIHoFAAMAAAAAAMH59TA7794I9p3HNDvv3gg7Q0lRLk5BU0RBUTpDQUxNLklRX1NUT0NLX0JBU0VEX09USEVSLjk5NC4zMS8wNy8yMDI2Li4uVVNELkgBAAAAIHoFAAMAAAAAAM4g9jA7794IjnbHNDvv3gg5Q0lRLk5BU0RBUTpDQUxNLklRX1NUT0NLX0JBU0VEX0FULjEwMDAuMzEvMDcvMjAyNi4uLlVTRC5IAQAAACB6BQADAAAAAADOIPYwO+/eCIonxzQ7794IOENJUS5OQVNEQVE6Q0FMTS5JUV9DSEFOR0VfSU5DX1RBWC45OTYuMzEvMDcvMjAyNi4uLlVTRC5IAQAAACB6BQACAAAABjI2LjA1NgEIAAAABQAAAAExAQAAAAstMTk4NjcwODQzMwMAAAADMTYwAgAAAAQyMTAxBAAAAAEwBwAAAAk3LzMxLzIwMjYIAAAACTUvMjgvMjAyMgkAAAABMNZH9jA7794ICN7DNDvv3ghBQ0lRLk5BU0RBUTpDQUxNLklRX1NUT0NL</t>
  </si>
  <si>
    <t>X0JBU0VEX0NPTVBfUFJFVEFYLjk5Ni4zMS8wNy8yMDI2Li4uVVNELkgBAAAAIHoFAAIAAAAFNC4wNjMAziD2MDvv3gg3d8Y0O+/eCDVDSVEuTkFTREFROkNBTE0uSVFfREFfU1VQUExfQ0YuOTk0LjMxLzA3LzIwMjYuLi5VU0QuSAEAAAAgegUAAgAAAAY1NS4yMDMBCAAAAAUAAAABMQEAAAALLTIwODgzNDc0NjkDAAAAAzE2MAIAAAAEMjE3MQQAAAABMAcAAAAJNy8zMS8yMDI2CAAAAAk1LzMwLzIwMjAJAAAAATDOIPYwO+/eCBwpxjQ7794IPENJUS5OQVNEQVE6Q0FMTS5JUV9HV19JTlRBTl9BTU9SVF9DRi4xMDAwLjMxLzA3LzIwMjYuLi5VU0QuSAEAAAAgegUAAgAAAAU2Ljc2NQEIAAAABQAAAAExAQAAAAstMTg4MTA2ODY2OAMAAAADMTYwAgAAAAQyMTgyBAAAAAEwBwAAAAk3LzMxLzIwMjYIAAAACTUvMzAvMjAyNgkAAAABMM4g9jA7794IKu7FNDvv3gg+Q0lRLk5BU0RBUTpDQUxNLklRX01JTk9SSVRZX0lOVEVSRVNUX0NGLjk5OC4zMS8wNy8yMDI2Li4uVVNELkgBAAAAIHoFAAMAAAAAAM4g9jA7794IAHnFNDvv3ghAQ0lRLk5BU0RBUTpDQUxNLklRX09USEVSX0lOVkVTVF9BQ1RfU1VQUEwuOTk4LjMxLzA3LzIwMjYuLi5VU0QuSAEAAAAgegUAAwAAAAAA5m72MDvv3ghQfcI0O+/eCD1DSVEuTkFTREFROkNBTE0uSVFfVEFYX0JFTkVGSVRfT1BUSU9OUy45OTQuMzEvMDcvMjAyNi4uLlVTRC5IAQAA</t>
  </si>
  <si>
    <t>ACB6BQADAAAAAADWR/YwO+/eCLvcxDQ7794IPENJUS5OQVNEQVE6Q0FMTS5JUV9QUk9WX0JBRF9ERUJUU19DRi4xMDAwLjMxLzA3LzIwMjYuLi5VU0QuSAEAAAAgegUAAwAAAAAA1kf2MDvv3ghljsQ0O+/eCDhDSVEuTkFTREFROkNBTE0uSVFfT1RIRVJfT1BFUl9BQ1QuOTk0LjMxLzA3LzIwMjYuLi5VU0QuSAEAAAAgegUAAgAAAAYxMC45MDcBCAAAAAUAAAABMQEAAAALLTIwODgzNDc0NjkDAAAAAzE2MAIAAAAEMjA0NwQAAAABMAcAAAAJNy8zMS8yMDI2CAAAAAk1LzMwLzIwMjAJAAAAATDWR/YwO+/eCBVnxDQ7794IM0NJUS5OQVNEQVE6Q0FMTS5JUV9DSEFOR0VfQVIuOTk4LjMxLzA3LzIwMjYuLi5VU0QuSAEAAAAgegUAAgAAAAYtMjcuNTcBCAAAAAUAAAABMQEAAAALLTE4ODEwNjg2NzYDAAAAAzE2MAIAAAAEMjAxOAQAAAABMAcAAAAJNy8zMS8yMDI2CAAAAAg2LzEvMjAyNAkAAAABMNZH9jA7794I2j/ENDvv3gg8Q0lRLk5BU0RBUTpDQUxNLklRX0NPTU1PTl9QUkVGX0RJVl9DRi45OTYuMzEvMDcvMjAyNi4uLlVTRC5IAQAAACB6BQADAAAAAADmbvYwO+/eCK8wwTQ7794IM0NJUS5OQVNEQVE6Q0FMTS5JUV9DQVNIX09QRVIuOTk2LjMxLzA3LzIwMjYuLi5VU0QuSAEAAAAgegUAAgAAAAcxMjYuMjA5AQgAAAAFAAAAATEBAAAACy0xOTg2NzA4NDMzAwAAAAMxNjACAAAABDIwMDYEAAAAATAHAAAA</t>
  </si>
  <si>
    <t>CTcvMzEvMjAyNggAAAAJNS8yOC8yMDIyCQAAAAEw1kf2MDvv3gjGj8M0O+/eCDZDSVEuTkFTREFROkNBTE0uSVFfU0FMRV9QUEVfQ0YuMTAwMC4zMS8wNy8yMDI2Li4uVVNELkgBAAAAIHoFAAIAAAAFMC4zMjgBCAAAAAUAAAABMQEAAAALLTE4ODEwNjg2NjgDAAAAAzE2MAIAAAAEMjA0MgQAAAABMAcAAAAJNy8zMS8yMDI2CAAAAAk1LzMwLzIwMjYJAAAAATDWR/YwO+/eCKFUwzQ7794IM0NJUS5OQVNEQVE6Q0FMTS5JUV9ESVZFU1RfQ0YuOTk0LjMxLzA3LzIwMjYuLi5VU0QuSAEAAAAgegUAAwAAAAAA1kf2MDvv3giaBsM0O+/eCDdDSVEuTkFTREFROkNBTE0uSVFfU0FMRV9JTlRBTl9DRi45OTguMzEvMDcvMjAyNi4uLlVTRC5IAQAAACB6BQADAAAAAADmbvYwO+/eCCffwjQ7794INENJUS5OQVNEQVE6Q0FMTS5JUV9DQVNIX1RBWEVTLjk5Ny4zMS8wNy8yMDI2Li4uVVNELkgBAAAAIHoFAAIAAAAHMjU4LjI0NwEIAAAABQAAAAExAQAAAAstMTkzNDk3ODQyMAMAAAADMTYwAgAAAAQzMDUzBAAAAAEwBwAAAAk3LzMxLzIwMjYIAAAACDYvMy8yMDIzCQAAAAEwbIf6MDvv3ghBvL40O+/eCDtDSVEuTkFTREFROkNBTE0uSVFfVE9UQUxfREVCVF9JU1NVRUQuOTk2LjMxLzA3LzIwMjYuLi5VU0QuSAEAAAAgegUAAwAAAAAA5m72MDvv3ggRL8I0O+/eCDhDSVEuTkFTREFROkNBTE0uSVFfTFRfREVCVF9SRVBB</t>
  </si>
  <si>
    <t>SUQuOTk5LjMxLzA3LzIwMjYuLi5VU0QuSAEAAAAgegUAAgAAAAYtMi40ODEBCAAAAAUAAAABMQEAAAALLTE4ODEwNjg2NzUDAAAAAzE2MAIAAAAEMjAzNgQAAAABMAcAAAAJNy8zMS8yMDI2CAAAAAk1LzMxLzIwMjUJAAAAATDmbvYwO+/eCDzhwTQ7794INUNJUS5OQVNEQVE6Q0FMTS5JUV9QUkVGX0lTU1VFRC45OTQuMzEvMDcvMjAyNi4uLlVTRC5IAQAAACB6BQADAAAAAADmbvYwO+/eCP6SwTQ7794IN0NJUS5OQVNEQVE6Q0FMTS5JUV9DT01NT05fRElWX0NGLjk5NS4zMS8wNy8yMDI2Li4uVVNELkgBAAAAIHoFAAIAAAAGLTEuNjUyAQgAAAAFAAAAATEBAAAACy0yMDM3MjQxNzIxAwAAAAMxNjACAAAABDIwNzQEAAAAATAHAAAACTcvMzEvMjAyNggAAAAJNS8yOS8yMDIxCQAAAAEw5m72MDvv3gi3V8E0O+/eCDhDSVEuTkFTREFROkNBTE0uSVFfQ0FTSF9TVF9JTlZFU1QuOTk3LjMxLzA3LzIwMjYuLi5VU0QuSAEAAAAgegUAAgAAAAc2NDcuOTE0AQgAAAAFAAAAATEBAAAACy0xOTM0OTc4NDIwAwAAAAMxNjACAAAABDEwMDIEAAAAATAHAAAACTcvMzEvMjAyNggAAAAINi8zLzIwMjMJAAAAATBZrvowO+/eCPQivDQ7794IOENJUS5OQVNEQVE6Q0FMTS5JUV9TUEVDSUFMX0RJVl9DRi45OTcuMzEvMDcvMjAyNi4uLlVTRC5IAQAAACB6BQADAAAAAADmbvYwO+/eCGrOwDQ7794ILENJUS5OQVNEQVE6Q0FM</t>
  </si>
  <si>
    <t>TS5JUV9GWC45OTQuMzEvMDcvMjAyNi4uLlVTRC5IAQAAACB6BQADAAAAAAD2lfYwO+/eCKemwDQ7794IPkNJUS5OQVNEQVE6Q0FMTS5JUV9ORUdBVElWRV9HV19BTU9SVF9DRi45OTYuMzEvMDcvMjAyNi4uLlVTRC5IAQAAACB6BQADAAAAAAD2lfYwO+/eCJimvzQ7794IQkNJUS5OQVNEQVE6Q0FMTS5JUV9BTU9SVF9TT0ZUV0FSRV9BU1NFVFNfQ0YuOTk0LjMxLzA3LzIwMjYuLi5VU0QuSAEAAAAgegUAAwAAAAAA9pX2MDvv3giEWL80O+/eCDlDSVEuTkFTREFROkNBTE0uSVFfT1RIRVJfTFRfQVNTRVRTLjk5Ny4zMS8wNy8yMDI2Li4uVVNELkgBAAAAIHoFAAIAAAAGMTAuNzA4AQgAAAAFAAAAATEBAAAACy0xOTM0OTc4NDIwAwAAAAMxNjACAAAABDEwNjAEAAAAATAHAAAACTcvMzEvMjAyNggAAAAINi8zLzIwMjMJAAAAATBs1fowO+/eCJaJuTQ7794IRENJUS5OQVNEQVE6Q0FMTS5JUV9DSEFOR0VfTkVUX1dPUktJTkdfQ0FQSVRBTC45OTYuMzEvMDcvMjAyNi4uLlVTRC5IAQAAACB6BQACAAAABjQxLjEwMgEIAAAABQAAAAExAQAAAAstMTk4NjcwODQzMwMAAAADMTYwAgAAAAQ0NDIxBAAAAAEwBwAAAAk3LzMxLzIwMjYIAAAACTUvMjgvMjAyMgkAAAABMGyH+jA7794Inwu+NDvv3ghCQ0lRLk5BU0RBUTpDQUxNLklRX09QRVJBVElOR19MRUFTRV9QQVlNRU5UUy45OTYuMzEvMDcvMjAyNi4uLlVTRC5I</t>
  </si>
  <si>
    <t>AQAAACB6BQADAAAAAABsh/owO+/eCLAhvTQ7794IS0NJUS5OQVNEQVE6Q0FMTS5JUV9MT05HX1RFUk1fREVCVF9SRVBBSURfRVhDTF9MRUFTRVMuOTk1LjMxLzA3LzIwMjYuLi5VU0QuSAEAAAAgegUAAgAAAAYtMC4yMDUBCAAAAAUAAAABMQEAAAALLTIwMzcyNDE3MjEDAAAAAzE2MAIAAAAFNDg5ODQEAAAAATAHAAAACTcvMzEvMjAyNggAAAAJNS8yOS8yMDIxCQAAAAEwWa76MDvv3ggK07w0O+/eCDRDSVEuTkFTREFROkNBTE0uSVFfQ0FTSF9FUVVJVi45OTcuMzEvMDcvMjAyNi4uLlVTRC5IAQAAACB6BQACAAAABzI5Mi44MjQBCAAAAAUAAAABMQEAAAALLTE5MzQ5Nzg0MjADAAAAAzE2MAIAAAAEMTA5NgQAAAABMAcAAAAJNy8zMS8yMDI2CAAAAAg2LzMvMjAyMwkAAAABMFmu+jA7794I73C8NDvv3gg1Q0lRLk5BU0RBUTpDQUxNLklRX1BSRUZfRVFVSVRZLjk5OC4zMS8wNy8yMDI2Li4uVVNELkgBAAAAIHoFAAMAAAAAAFr6kDA7794If1S2NDvv3ggzQ0lRLk5BU0RBUTpDQUxNLklRX0lOVkVOVE9SWS45OTYuMzEvMDcvMjAyNi4uLlVTRC5IAQAAACB6BQACAAAABzI2My4zMTYBCAAAAAUAAAABMQEAAAALLTE5ODY3MDg0MzMDAAAAAzE2MAIAAAAEMTA0MwQAAAABMAcAAAAJNy8zMS8yMDI2CAAAAAk1LzI4LzIwMjIJAAAAATBZrvowO+/eCHStuzQ7794IQENJUS5OQVNEQVE6Q0FMTS5JUV9GSU5fRElW</t>
  </si>
  <si>
    <t>X0FTU0VUU19DVVJSRU5ULjk5NS4zMS8wNy8yMDI2Li4uVVNELkgBAAAAIHoFAAMAAAAAAFmu+jA7794IITi7NDvv3ggzQ0lRLk5BU0RBUTpDQUxNLklRX1RPVEFMX0NBLjEwMDAuMzEvMDcvMjAyNi4uLlVTRC5IAQAAACB6BQACAAAACDE1ODEuNTQyAQgAAAAFAAAAATEBAAAACy0xODgxMDY4NjY4AwAAAAMxNjACAAAABDEwMDgEAAAAATAHAAAACTcvMzEvMjAyNggAAAAJNS8zMC8yMDI2CQAAAAEwbNX6MDvv3ghS1ro0O+/eCDpDSVEuTkFTREFROkNBTE0uSVFfRklOX0RJVl9MT0FOU19MVC45OTQuMzEvMDcvMjAyNi4uLlVTRC5IAQAAACB6BQADAAAAAABs1fowO+/eCFU6ujQ7794IPUNJUS5OQVNEQVE6Q0FMTS5JUV9UT1RBTF9ERUJUX0NVUlJFTlQuMTAwMC4zMS8wNy8yMDI2Li4uVVNELkgBAAAAIHoFAAMAAAAAAOBckTA7794ImbyxNDvv3ggtQ0lRLk5BU0RBUTpDQUxNLklRX0FFLjEwMDAuMzEvMDcvMjAyNi4uLlVTRC5IAQAAACB6BQACAAAABjEwOS40MQEIAAAABQAAAAExAQAAAAstMTg4MTA2ODY2OAMAAAADMTYwAgAAAAQxMDE2BAAAAAEwBwAAAAk3LzMxLzIwMjYIAAAACTUvMzAvMjAyNgkAAAABMGzV+jA7794IlTu5NDvv3gg9Q0lRLk5BU0RBUTpDQUxNLklRX0NVUlJFTlRfUE9SVF9MRUFTRVMuOTk5LjMxLzA3LzIwMjYuLi5VU0QuSAEAAAAgegUAAwAAAAAAbNX6MDvv3giB7bg0O+/eCDlD</t>
  </si>
  <si>
    <t>SVEuTkFTREFROkNBTE0uSVFfRklOX0RJVl9ERUJUX0xULjk5OC4zMS8wNy8yMDI2Li4uVVNELkgBAAAAIHoFAAMAAAAAAHr8+jA7794I/8e3NDvv3gg5Q0lRLk5BU0RBUTpDQUxNLklRX0RFRl9UQVhfTElBQl9MVC45OTYuMzEvMDcvMjAyNi4uLlVTRC5IAQAAACB6BQACAAAABzEyOC4xOTYBCAAAAAUAAAABMQEAAAALLTE5ODY3MDg0MzMDAAAAAzE2MAIAAAAEMTAyNwQAAAABMAcAAAAJNy8zMS8yMDI2CAAAAAk1LzI4LzIwMjIJAAAAATB6/PowO+/eCLpStzQ7794IPkNJUS5OQVNEQVE6Q0FMTS5JUV9DQVBJVEFMSVpFRF9JTlRFUkVTVC45OTkuMzEvMDcvMjAyNi4uLlVTRC5IAQAAACB6BQADAAAAAADM2xcxO+/eCABkzDQ7794IMkNJUS5OQVNEQVE6Q0FMTS5JUV9UUkVBU1VSWS45OTYuMzEvMDcvMjAyNi4uLlVTRC5IAQAAACB6BQACAAAABy0yOC40NDcBCAAAAAUAAAABMQEAAAALLTE5ODY3MDg0MzMDAAAAAzE2MAIAAAAEMTI0OAQAAAABMAcAAAAJNy8zMS8yMDI2CAAAAAk1LzI4LzIwMjIJAAAAATBa+pAwO+/eCF0GtjQ7794IN0NJUS5OQVNEQVE6Q0FMTS5JUV9SVUFfQUNDVU1fREVQLjk5Ny4zMS8wNy8yMDI2Li4uVVNELkgBAAAAIHoFAAMAAAAAAFr6kDA7794IsUK1NDvv3ghCQ0lRLk5BU0RBUTpDQUxNLklRX0ZJTkFOQ0VfTEVBU0VTX0xPTkdfVEVSTS45OTQuMzEvMDcvMjAyNi4uLlVTRC5I</t>
  </si>
  <si>
    <t>AQAAACB6BQACAAAABTAuNjUyAQgAAAAFAAAAATEBAAAACy0yMDg4MzQ3NDY5AwAAAAMxNjACAAAABTQ4OTkxBAAAAAEwBwAAAAk3LzMxLzIwMjYIAAAACTUvMzAvMjAyMAkAAAABMGI1kTA7794IOOKzNDvv3gg8Q0lRLk5BU0RBUTpDQUxNLklRX1RCVl9TSEFSRV9SRVBPUlRFRC45OTQuMzEvMDcvMjAyNi4uLlVTRC5IAQAAACB6BQADAAAAAABiNZEwO+/eCJRusjQ7794IOENJUS5OQVNEQVE6Q0FMTS5JUV9NSU5JTVVNX1JFTlRBTC45OTkuMzEvMDcvMjAyNi4uLlVTRC5IAQAAACB6BQADAAAAAADpAhgxO+/eCKd5yjQ7794IOkNJUS5OQVNEQVE6Q0FMTS5JUV9BTExPV19ET1VCVF9BQ0NULjk5OS4zMS8wNy8yMDI2Li4uVVNELkgBAAAAIHoFAAIAAAAFMC43NDUBCAAAAAUAAAABMQEAAAALLTE4ODEwNjg2NzUDAAAAAzE2MAIAAAAEMzAxMgQAAAABMAcAAAAJNy8zMS8yMDI2CAAAAAk1LzMxLzIwMjUJAAAAATDgXJEwO+/eCNEfsTQ7794IMkNJUS5OQVNEQVE6Q0FMTS5JUV9XSVBfSU5WLjEwMDAuMzEvMDcvMjAyNi4uLlVTRC5IAQAAACB6BQADAAAAAADgXJEwO+/eCMNbsDQ7794IR0NJUS5OQVNEQVE6Q0FMTS5JUV9HRU5FUkFMX1BBUlRORVJfQ09NTU9OX0VRVUlUWS45OTYuMzEvMDcvMjAyNi4uLlVTRC5IAQAAACB6BQADAAAAAAD7g5EwO+/eCF4PrzQ7794IMUNJUS5OQVNEQVE6Q0FMTS5JUV9OSV9O</t>
  </si>
  <si>
    <t>T1JNLjk5NS4zMS8wNy8yMDI2Li4uVVNELkgBAAAAIHoFAAIAAAAFLTMuNTEBCAAAAAUAAAABMQEAAAALLTIwMzcyNDE3MjEDAAAAAzE2MAIAAAAENDM3OAQAAAABMAcAAAAJNy8zMS8yMDI2CAAAAAk1LzI5LzIwMjEJAAAAATC9tBcxO+/eCC2yzDQ7794IPkNJUS5OQVNEQVE6Q0FMTS5JUV9ORUdBVElWRV9HV19BTU9SVF9BVC45OTUuMzEvMDcvMjAyNi4uLlVTRC5IAQAAACB6BQADAAAAAAAaURgxO+/eCNhCyDQ7794IPUNJUS5OQVNEQVE6Q0FMTS5JUV9OT05DQVNIX1BFTlNJT05fRVhQLjk5Ny4zMS8wNy8yMDI2Li4uVVNELkgBAAAAIHoFAAIAAAAFMC43NTIBCAAAAAUAAAABMQEAAAALLTE5MzQ5Nzg0MjADAAAAAzE2MAIAAAAFMjE2NzgEAAAAATAHAAAACTcvMzEvMjAyNggAAAAINi8zLzIwMjMJAAAAATDM2xcxO+/eCOgVzDQ7794ISUNJUS5OQVNEQVE6Q0FMTS5JUV9ESVNUUklCVVRBQkxFX0NBU0hfU1RBTkRBUkRJWkVELjk5Ny4zMS8wNy8yMDI2Li4uVVNELkgBAAAAIHoFAAMAAAAAAMzbFzE7794IxLPLNDvv3gg1Q0lRLk5BU0RBUTpDQUxNLklRX0FEVkVSVElTSU5HLjk5Ny4zMS8wNy8yMDI2Li4uVVNELkgBAAAAIHoFAAMAAAAAAOkCGDE7794InD7LNDvv3ggzQ0lRLk5BU0RBUTpDQUxNLklRX1JEX0VYUF9GTi45OTUuMzEvMDcvMjAyNi4uLlVTRC5IAQAAACB6BQADAAAAAADpAhgxO+/eCIzw</t>
  </si>
  <si>
    <t>yjQ7794IQUNJUS5OQVNEQVE6Q0FMTS5JUV9TVE9DS19CQVNFRF9DT01QX1BSRVRBWC45OTUuMzEvMDcvMjAyNi4uLlVTRC5IAQAAACB6BQACAAAABTMuNzc4AM4g9jA7794IN3fGNDvv3ghBQ0lRLk5BU0RBUTpDQUxNLklRX0VYUExPUkVfRFJJTExfRVhQX1RPVEFMLjk5Ny4zMS8wNy8yMDI2Li4uVVNELkgBAAAAIHoFAAMAAAAAAPEpGDE7794IZd3JNDvv3ghBQ0lRLk5BU0RBUTpDQUxNLklRX1NBTEFSSUVTX09USEVSX0JFTkVGSVRTLjk5NS4zMS8wNy8yMDI2Li4uVVNELkgBAAAAIHoFAAMAAAAAAPEpGDE7794ISY/JNDvv3gg1Q0lRLk5BU0RBUTpDQUxNLklRX0lQUkRfU1VQUExFLjk5OS4zMS8wNy8yMDI2Li4uVVNELkgBAAAAIHoFAAMAAAAAAPEpGDE7794IxPLINDvv3gg9Q0lRLk5BU0RBUTpDQUxNLklRX0xFR0FMX1NFVFRMRV9TVVBQTEUuOTk3LjMxLzA3LzIwMjYuLi5VU0QuSAEAAAAgegUAAwAAAAAA8SkYMTvv3gj1t8g0O+/eCDtDSVEuTkFTREFROkNBTE0uSVFfUFJPVl9CQURfREVCVFNfQ0YuOTk5LjMxLzA3LzIwMjYuLi5VU0QuSAEAAAAgegUAAwAAAAAA1kf2MDvv3gi0tcQ0O+/eCDhDSVEuTkFTREFROkNBTE0uSVFfU1RPQ0tfQkFTRURfU00uOTk1LjMxLzA3LzIwMjYuLi5VU0QuSAEAAAAgegUAAwAAAAAAGlEYMTvv3gjmxMc0O+/eCDlDSVEuTkFTREFROkNBTE0uSVFfU1RPQ0tfQkFT</t>
  </si>
  <si>
    <t>RURfU0dBLjk5OS4zMS8wNy8yMDI2Li4uVVNELkgBAAAAIHoFAAMAAAAAAMH59TA7794I9p3HNDvv3gg7Q0lRLk5BU0RBUTpDQUxNLklRX1NUT0NLX0JBU0VEX1RPVEFMLjk5Ny4zMS8wNy8yMDI2Li4uVVNELkgBAAAAIHoFAAIAAAAFNC4yMDUBCAAAAAUAAAABMQEAAAALLTE5MzQ5Nzg0MjADAAAAAzE2MAIAAAAFMjQwMzQEAAAAATAHAAAACTcvMzEvMjAyNggAAAAINi8zLzIwMjMJAAAAATDOIPYwO+/eCIonxzQ7794IOkNJUS5OQVNEQVE6Q0FMTS5JUV9SRVNUUl9TVE9DS19DT01QLjk5Ny4zMS8wNy8yMDI2Li4uVVNELkgBAAAAIHoFAAMAAAAAAM4g9jA7794IkezGNDvv3gg1Q0lRLk5BU0RBUTpDQUxNLklRX0NBU0hfSU5WRVNULjk5NS4zMS8wNy8yMDI2Li4uVVNELkgBAAAAIHoFAAIAAAAHLTQ0LjE5MQEIAAAABQAAAAExAQAAAAstMjAzNzI0MTcyMQMAAAADMTYwAgAAAAQyMDA1BAAAAAEwBwAAAAk3LzMxLzIwMjYIAAAACTUvMjkvMjAyMQkAAAABMOZu9jA7794IUH3CNDvv3gg6Q0lRLk5BU0RBUTpDQUxNLklRX1NUT0NLX0JBU0VEX0NPTVAuOTk5LjMxLzA3LzIwMjYuLi5VU0QuSAEAAAAgegUAAwAAAAAAziD2MDvv3ggoUMY0O+/eCDtDSVEuTkFTREFROkNBTE0uSVFfR1dfSU5UQU5fQU1PUlRfQ0YuOTk5LjMxLzA3LzIwMjYuLi5VU0QuSAEAAAAgegUAAgAAAAUyLjE1OAEIAAAABQAAAAExAQAA</t>
  </si>
  <si>
    <t>AAstMTg4MTA2ODY3NQMAAAADMTYwAgAAAAQyMTgyBAAAAAEwBwAAAAk3LzMxLzIwMjYIAAAACTUvMzEvMjAyNQkAAAABMM4g9jA7794IKu7FNDvv3gg+Q0lRLk5BU0RBUTpDQUxNLklRX01JTk9SSVRZX0lOVEVSRVNUX0NGLjk5Ny4zMS8wNy8yMDI2Li4uVVNELkgBAAAAIHoFAAMAAAAAAM4g9jA7794IAaDFNDvv3ggyQ0lRLk5BU0RBUTpDQUxNLklRX0xPQU5TX0NGLjk5NS4zMS8wNy8yMDI2Li4uVVNELkgBAAAAIHoFAAMAAAAAANZH9jA7794I1SrFNDvv3gg4Q0lRLk5BU0RBUTpDQUxNLklRX1NQRUNJQUxfRElWX0NGLjk5Ni4zMS8wNy8yMDI2Li4uVVNELkgBAAAAIHoFAAMAAAAAAOZu9jA7794Ias7ANDvv3ggzQ0lRLk5BU0RBUTpDQUxNLklRX0NIQU5HRV9BUi45OTcuMzEvMDcvMjAyNi4uLlVTRC5IAQAAACB6BQACAAAABjU4LjEyOQEIAAAABQAAAAExAQAAAAstMTkzNDk3ODQyMAMAAAADMTYwAgAAAAQyMDE4BAAAAAEwBwAAAAk3LzMxLzIwMjYIAAAACDYvMy8yMDIzCQAAAAEw1kf2MDvv3gjaP8Q0O+/eCDhDSVEuTkFTREFROkNBTE0uSVFfQ0hBTkdFX0lOQ19UQVguOTk1LjMxLzA3LzIwMjYuLi5VU0QuSAEAAAAgegUAAwAAAAAA1kf2MDvv3ggI3sM0O+/eCDVDSVEuTkFTREFROkNBTE0uSVFfU0FMRV9QUEVfQ0YuOTk5LjMxLzA3LzIwMjYuLi5VU0QuSAEAAAAgegUAAgAAAAUzLjg4MgEIAAAA</t>
  </si>
  <si>
    <t>BQAAAAExAQAAAAstMTg4MTA2ODY3NQMAAAADMTYwAgAAAAQyMDQyBAAAAAEwBwAAAAk3LzMxLzIwMjYIAAAACTUvMzEvMjAyNQkAAAABMNZH9jA7794IhS3DNDvv3gg3Q0lRLk5BU0RBUTpDQUxNLklRX1NBTEVfSU5UQU5fQ0YuOTk3LjMxLzA3LzIwMjYuLi5VU0QuSAEAAAAgegUAAwAAAAAA5m72MDvv3ggn38I0O+/eCERDSVEuTkFTREFROkNBTE0uSVFfQ0hBTkdFX05FVF9XT1JLSU5HX0NBUElUQUwuOTk1LjMxLzA3LzIwMjYuLi5VU0QuSAEAAAAgegUAAgAAAAY2My40NTQBCAAAAAUAAAABMQEAAAALLTIwMzcyNDE3MjEDAAAAAzE2MAIAAAAENDQyMQQAAAABMAcAAAAJNy8zMS8yMDI2CAAAAAk1LzI5LzIwMjEJAAAAATBsh/owO+/eCJ8LvjQ7794IO0NJUS5OQVNEQVE6Q0FMTS5JUV9UT1RBTF9ERUJUX0lTU1VFRC45OTUuMzEvMDcvMjAyNi4uLlVTRC5IAQAAACB6BQADAAAAAADmbvYwO+/eCPYHwjQ7794IOENJUS5OQVNEQVE6Q0FMTS5JUV9MVF9ERUJUX1JFUEFJRC45OTguMzEvMDcvMjAyNi4uLlVTRC5IAQAAACB6BQACAAAABi0wLjIxNAEIAAAABQAAAAExAQAAAAstMTg4MTA2ODY3NgMAAAADMTYwAgAAAAQyMDM2BAAAAAEwBwAAAAk3LzMxLzIwMjYIAAAACDYvMS8yMDI0CQAAAAEw5m72MDvv3gg84cE0O+/eCDdDSVEuTkFTREFROkNBTE0uSVFfQ09NTU9OX0RJVl9DRi45OTQuMzEvMDcvMjAy</t>
  </si>
  <si>
    <t>Ni4uLlVTRC5IAQAAACB6BQADAAAAAADmbvYwO+/eCLdXwTQ7794IPENJUS5OQVNEQVE6Q0FMTS5JUV9DT01NT05fUFJFRl9ESVZfQ0YuOTk1LjMxLzA3LzIwMjYuLi5VU0QuSAEAAAAgegUAAwAAAAAA5m72MDvv3ghhCcE0O+/eCDlDSVEuTkFTREFROkNBTE0uSVFfUkVTVFJJQ1RFRF9DQVNILjk5OC4zMS8wNy8yMDI2Li4uVVNELkgBAAAAIHoFAAMAAAAAAFmu+jA7794IYP26NDvv3ggxQ0lRLk5BU0RBUTpDQUxNLklRX0RFUF9SVUEuOTk5LjMxLzA3LzIwMjYuLi5VU0QuSAEAAAAgegUAAwAAAAAA9pX2MDvv3gjC4b80O+/eCD5DSVEuTkFTREFROkNBTE0uSVFfTkVHQVRJVkVfR1dfQU1PUlRfQ0YuOTk1LjMxLzA3LzIwMjYuLi5VU0QuSAEAAAAgegUAAwAAAAAA9pX2MDvv3giYpr80O+/eCDhDSVEuTkFTREFROkNBTE0uSVFfQ0FTSF9JTlRFUkVTVC4xMDAwLjMxLzA3LzIwMjYuLi5VU0QuSAEAAAAgegUAAwAAAAAAbIf6MDvv3gh9Mb80O+/eCDRDSVEuTkFTREFROkNBTE0uSVFfQ0FTSF9UQVhFUy45OTYuMzEvMDcvMjAyNi4uLlVTRC5IAQAAACB6BQACAAAABTEuNzQ3AQgAAAAFAAAAATEBAAAACy0xOTg2NzA4NDMzAwAAAAMxNjACAAAABDMwNTMEAAAAATAHAAAACTcvMzEvMjAyNggAAAAJNS8yOC8yMDIyCQAAAAEwbIf6MDvv3ghElb40O+/eCD1DSVEuTkFTREFROkNBTE0uSVFfQ1VSUkVOVF9QT1JU</t>
  </si>
  <si>
    <t>X0xFQVNFUy45OTguMzEvMDcvMjAyNi4uLlVTRC5IAQAAACB6BQADAAAAAABs1fowO+/eCIHtuDQ7794IQkNJUS5OQVNEQVE6Q0FMTS5JUV9PUEVSQVRJTkdfTEVBU0VfUEFZTUVOVFMuOTk1LjMxLzA3LzIwMjYuLi5VU0QuSAEAAAAgegUAAwAAAAAAbIf6MDvv3giwIb00O+/eCEtDSVEuTkFTREFROkNBTE0uSVFfTE9OR19URVJNX0RFQlRfUkVQQUlEX0VYQ0xfTEVBU0VTLjk5NC4zMS8wNy8yMDI2Li4uVVNELkgBAAAAIHoFAAIAAAAGLTEuNjk2AQgAAAAFAAAAATEBAAAACy0yMDg4MzQ3NDY5AwAAAAMxNjACAAAABTQ4OTg0BAAAAAEwBwAAAAk3LzMxLzIwMjYIAAAACTUvMzAvMjAyMAkAAAABMFmu+jA7794ICtO8NDvv3gg+Q0lRLk5BU0RBUTpDQUxNLklRX0dBSU5fQkFSR0FJTl9BQ1FfQ0YuMTAwMC4zMS8wNy8yMDI2Li4uVVNELkgBAAAAIHoFAAMAAAAAAFmu+jA7794I55e8NDvv3gg4Q0lRLk5BU0RBUTpDQUxNLklRX1NUX05PVEVfUkVDRUlWLjk5OS4zMS8wNy8yMDI2Li4uVVNELkgBAAAAIHoFAAMAAAAAAFmu+jA7794Im9S7NDvv3gg1Q0lRLk5BU0RBUTpDQUxNLklRX1BSRUZfRVFVSVRZLjk5Ny4zMS8wNy8yMDI2Li4uVVNELkgBAAAAIHoFAAMAAAAAAFr6kDA7794If1S2NDvv3gguQ0lRLk5BU0RBUTpDQUxNLklRX0dQUEUuOTk3LjMxLzA3LzIwMjYuLi5VU0QuSAEAAAAgegUAAgAAAAgxNDgz</t>
  </si>
  <si>
    <t>Ljc1OAEIAAAABQAAAAExAQAAAAstMTkzNDk3ODQyMAMAAAADMTYwAgAAAAQxMTY5BAAAAAEwBwAAAAk3LzMxLzIwMjYIAAAACDYvMy8yMDIzCQAAAAEwbNX6MDvv3ghS1ro0O+/eCDlDSVEuTkFTREFROkNBTE0uSVFfTE9BTlNfUkVDRUlWX0xULjk5NS4zMS8wNy8yMDI2Li4uVVNELkgBAAAAIHoFAAMAAAAAAGzV+jA7794IwMS5NDvv3gg5Q0lRLk5BU0RBUTpDQUxNLklRX09USEVSX0xUX0FTU0VUUy45OTQuMzEvMDcvMjAyNi4uLlVTRC5IAQAAACB6BQACAAAABTEuNzg3AQgAAAAFAAAAATEBAAAACy0yMDg4MzQ3NDY5AwAAAAMxNjACAAAABDEwNjAEAAAAATAHAAAACTcvMzEvMjAyNggAAAAJNS8zMC8yMDIwCQAAAAEwbNX6MDvv3giWibk0O+/eCCxDSVEuTkFTREFROkNBTE0uSVFfQUUuOTk4LjMxLzA3LzIwMjYuLi5VU0QuSAEAAAAgegUAAgAAAAY3MC43NzMBCAAAAAUAAAABMQEAAAALLTE4ODEwNjg2NzYDAAAAAzE2MAIAAAAEMTAxNgQAAAABMAcAAAAJNy8zMS8yMDI2CAAAAAg2LzEvMjAyNAkAAAABMGzV+jA7794IpRS5NDvv3ghAQ0lRLk5BU0RBUTpDQUxNLklRX1RPVEFMX0RFQlRfTk9OX0NVUlJFTlQuOTk2LjMxLzA3LzIwMjYuLi5VU0QuSAEAAAAgegUAAwAAAAAA4FyRMDvv3giZvLE0O+/eCDlDSVEuTkFTREFROkNBTE0uSVFfT1RIRVJfQ0xfU1VQUEwuMTAwMC4zMS8wNy8yMDI2Li4uVVNE</t>
  </si>
  <si>
    <t>LkgBAAAAIHoFAAMAAAAAAHr8+jA7794IPVG4NDvv3gg5Q0lRLk5BU0RBUTpDQUxNLklRX0ZJTl9ESVZfREVCVF9MVC45OTcuMzEvMDcvMjAyNi4uLlVTRC5IAQAAACB6BQADAAAAAAB6/PowO+/eCP/HtzQ7794IOUNJUS5OQVNEQVE6Q0FMTS5JUV9ERUZfVEFYX0xJQUJfTFQuOTk1LjMxLzA3LzIwMjYuLi5VU0QuSAEAAAAgegUAAgAAAAcxMTQuNDA4AQgAAAAFAAAAATEBAAAACy0yMDM3MjQxNzIxAwAAAAMxNjACAAAABDEwMjcEAAAAATAHAAAACTcvMzEvMjAyNggAAAAJNS8yOS8yMDIxCQAAAAEwevz6MDvv3gi3K7c0O+/eCDpDSVEuTkFTREFROkNBTE0uSVFfUFJFRl9OT05fUkVERUVNLjEwMDAuMzEvMDcvMjAyNi4uLlVTRC5IAQAAACB6BQADAAAAAAB6/PowO+/eCKCitjQ7794IQUNJUS5OQVNEQVE6Q0FMTS5JUV9ERVJJVkFUSVZFX0xJQUJfQ1VSUkVOVC45OTQuMzEvMDcvMjAyNi4uLlVTRC5IAQAAACB6BQADAAAAAADOkI0wO+/eCOx2qjQ7794IMkNJUS5OQVNEQVE6Q0FMTS5JUV9UUkVBU1VSWS45OTUuMzEvMDcvMjAyNi4uLlVTRC5IAQAAACB6BQACAAAABy0yNy40MzMBCAAAAAUAAAABMQEAAAALLTIwMzcyNDE3MjEDAAAAAzE2MAIAAAAEMTI0OAQAAAABMAcAAAAJNy8zMS8yMDI2CAAAAAk1LzI5LzIwMjEJAAAAATBa+pAwO+/eCE3ftTQ7794IN0NJUS5OQVNEQVE6Q0FMTS5JUV9SVUFfQUND</t>
  </si>
  <si>
    <t>VU1fREVQLjk5Ni4zMS8wNy8yMDI2Li4uVVNELkgBAAAAIHoFAAMAAAAAAFr6kDA7794IsUK1NDvv3gg2Q0lRLk5BU0RBUTpDQUxNLklRX1RPVEFMX0xFQVNFUy45OTguMzEvMDcvMjAyNi4uLlVTRC5IAQAAACB6BQADAAAAAABiNZEwO+/eCCJZszQ7794IPUNJUS5OQVNEQVE6Q0FMTS5JUV9UQlZfU0hBUkVfUkVQT1JURUQuMTAwMC4zMS8wNy8yMDI2Li4uVVNELkgBAAAAIHoFAAMAAAAAAGI1kTA7794InZWyNDvv3ghBQ0lRLk5BU0RBUTpDQUxNLklRX1NUT0NLX0JBU0VEX0NPTVBfUFJFVEFYLjk5NC4zMS8wNy8yMDI2Li4uVVNELkgBAAAAIHoFAAIAAAAFMy42MTcAziD2MDvv3gg3d8Y0O+/eCDpDSVEuTkFTREFROkNBTE0uSVFfQUxMT1dfRE9VQlRfQUNDVC45OTYuMzEvMDcvMjAyNi4uLlVTRC5IAQAAACB6BQACAAAABTAuNzc1AQgAAAAFAAAAATEBAAAACy0xOTg2NzA4NDMzAwAAAAMxNjACAAAABDMwMTIEAAAAATAHAAAACTcvMzEvMjAyNggAAAAJNS8yOC8yMDIyCQAAAAEw4FyRMDvv3giP+LA0O+/eCEdDSVEuTkFTREFROkNBTE0uSVFfR0VORVJBTF9QQVJUTkVSX0NPTU1PTl9FUVVJVFkuOTk1LjMxLzA3LzIwMjYuLi5VU0QuSAEAAAAgegUAAwAAAAAA+4ORMDvv3gheD680O+/eCDhDSVEuTkFTREFROkNBTE0uSVFfQVNTRVRTX0xFVkVMXzIuOTk3LjMxLzA3LzIwMjYuLi5VU0QuSAEAAAAgegUA</t>
  </si>
  <si>
    <t>AgAAAAYzNTUuMDkA+4ORMDvv3gjUEK40O+/eCD9DSVEuTkFTREFROkNBTE0uSVFfREVCVF9FUVVJVl9PUEVSX0xFQVNFLjk5NS4zMS8wNy8yMDI2Li4uVVNELkgBAAAAIHoFAAMAAAAAAPBVjTA7794I8a+rNDvv3ggyQ0lRLk5BU0RBUTpDQUxNLklRX0xPQU5TX0NGLjk5NC4zMS8wNy8yMDI2Li4uVVNELkgBAAAAIHoFAAMAAAAAANZH9jA7794I1SrFNDvv3gg5Q0lRLk5BU0RBUTpDQUxNLklRX0lOVEVSQ09NUEFOWV9DTC45OTYuMzEvMDcvMjAyNi4uLlVTRC5IAQAAACB6BQADAAAAAAAhuI0wO+/eCKUDqTQ7794IO0NJUS5OQVNEQVE6Q0FMTS5JUV9TVE9DS19CQVNFRF9UT1RBTC45OTYuMzEvMDcvMjAyNi4uLlVTRC5IAQAAACB6BQACAAAABTQuMDYzAQgAAAAFAAAAATEBAAAACy0xOTg2NzA4NDMzAwAAAAMxNjACAAAABTI0MDM0BAAAAAEwBwAAAAk3LzMxLzIwMjYIAAAACTUvMjgvMjAyMgkAAAABMM4g9jA7794IiifHNDvv3ghDQ0lRLk5BU0RBUTpDQUxNLklRX1NUT0NLX09QVElPTlNfQ09NUF9QUkVUQVguOTk0LjMxLzA3LzIwMjYuLi5VU0QuSAEAAAAgegUAAwAAAAAAziD2MDvv3giR7MY0O+/eCEFDSVEuTkFTREFROkNBTE0uSVFfU1RPQ0tfT1BUSU9OU19DT01QX1RBWC4xMDAwLjMxLzA3LzIwMjYuLi5VU0QuSAEAAAAgegUAAwAAAAAAziD2MDvv3ghaxcY0O+/eCDhDSVEuTkFTREFROkNBTE0u</t>
  </si>
  <si>
    <t>SVFfQ0hBTkdFX0lOQ19UQVguOTk0LjMxLzA3LzIwMjYuLi5VU0QuSAEAAAAgegUAAwAAAAAA1kf2MDvv3ggI3sM0O+/eCDpDSVEuTkFTREFROkNBTE0uSVFfU1RPQ0tfQkFTRURfQ09NUC45OTguMzEvMDcvMjAyNi4uLlVTRC5IAQAAACB6BQADAAAAAADOIPYwO+/eCChQxjQ7794INENJUS5OQVNEQVE6Q0FMTS5JUV9PSUxfSU1QQUlSLjk5Ni4zMS8wNy8yMDI2Li4uVVNELkgBAAAAIHoFAAMAAAAAAM4g9jA7794I2AHGNDvv3gg+Q0lRLk5BU0RBUTpDQUxNLklRX01JTk9SSVRZX0lOVEVSRVNUX0NGLjk5Ni4zMS8wNy8yMDI2Li4uVVNELkgBAAAAIHoFAAMAAAAAAM4g9jA7794IAaDFNDvv3gg5Q0lRLk5BU0RBUTpDQUxNLklRX0dBSU5fSU5WRVNUX0NGLjEwMDAuMzEvMDcvMjAyNi4uLlVTRC5IAQAAACB6BQADAAAAAADWR/YwO+/eCAB5xTQ7794IOUNJUS5OQVNEQVE6Q0FMTS5JUV9TVF9ERUJUX0lTU1VFRC4xMDAwLjMxLzA3LzIwMjYuLi5VU0QuSAEAAAAgegUAAwAAAAAA5m72MDvv3gh0VsI0O+/eCDdDSVEuTkFTREFROkNBTE0uSVFfSU5DX0VRVUlUWV9DRi45OTguMzEvMDcvMjAyNi4uLlVTRC5IAQAAACB6BQADAAAAAADWR/YwO+/eCMgDxTQ7794IO0NJUS5OQVNEQVE6Q0FMTS5JUV9QUk9WX0JBRF9ERUJUU19DRi45OTguMzEvMDcvMjAyNi4uLlVTRC5IAQAAACB6BQADAAAAAADWR/YwO+/eCGWO</t>
  </si>
  <si>
    <t>xDQ7794IM0NJUS5OQVNEQVE6Q0FMTS5JUV9DSEFOR0VfQVIuOTk2LjMxLzA3LzIwMjYuLi5VU0QuSAEAAAAgegUAAgAAAActODguMDYzAQgAAAAFAAAAATEBAAAACy0xOTg2NzA4NDMzAwAAAAMxNjACAAAABDIwMTgEAAAAATAHAAAACTcvMzEvMjAyNggAAAAJNS8yOC8yMDIyCQAAAAEw1kf2MDvv3gjaP8Q0O+/eCDRDSVEuTkFTREFROkNBTE0uSVFfQ0hBTkdFX0FQLjEwMDAuMzEvMDcvMjAyNi4uLlVTRC5IAQAAACB6BQACAAAABi04LjMzOAEIAAAABQAAAAExAQAAAAstMTg4MTA2ODY2OAMAAAADMTYwAgAAAAQyMDE3BAAAAAEwBwAAAAk3LzMxLzIwMjYIAAAACTUvMzAvMjAyNgkAAAABMNZH9jA7794IFgXENDvv3gg+Q0lRLk5BU0RBUTpDQUxNLklRX05FR0FUSVZFX0dXX0FNT1JUX0NGLjk5NC4zMS8wNy8yMDI2Li4uVVNELkgBAAAAIHoFAAMAAAAAAPaV9jA7794ImKa/NDvv3gg5Q0lRLk5BU0RBUTpDQUxNLklRX0NIQU5HRV9ERUZfVEFYLjEwMDAuMzEvMDcvMjAyNi4uLlVTRC5IAQAAACB6BQADAAAAAADWR/YwO+/eCMu2wzQ7794INUNJUS5OQVNEQVE6Q0FMTS5JUV9TQUxFX1BQRV9DRi45OTguMzEvMDcvMjAyNi4uLlVTRC5IAQAAACB6BQACAAAABTAuMjcyAQgAAAAFAAAAATEBAAAACy0xODgxMDY4Njc2AwAAAAMxNjACAAAABDIwNDIEAAAAATAHAAAACTcvMzEvMjAyNggAAAAINi8xLzIwMjQJ</t>
  </si>
  <si>
    <t>AAAAATDWR/YwO+/eCIUtwzQ7794IN0NJUS5OQVNEQVE6Q0FMTS5JUV9TQUxFX0lOVEFOX0NGLjk5Ni4zMS8wNy8yMDI2Li4uVVNELkgBAAAAIHoFAAMAAAAAAOZu9jA7794IJ9/CNDvv3gg1Q0lRLk5BU0RBUTpDQUxNLklRX0NBU0hfSU5WRVNULjk5NC4zMS8wNy8yMDI2Li4uVVNELkgBAAAAIHoFAAIAAAAHLTYxLjM2NQEIAAAABQAAAAExAQAAAAstMjA4ODM0NzQ2OQMAAAADMTYwAgAAAAQyMDA1BAAAAAEwBwAAAAk3LzMxLzIwMjYIAAAACTUvMzAvMjAyMAkAAAABMOZu9jA7794IUH3CNDvv3ghEQ0lRLk5BU0RBUTpDQUxNLklRX0NIQU5HRV9ORVRfV09SS0lOR19DQVBJVEFMLjk5NC4zMS8wNy8yMDI2Li4uVVNELkgBAAAAIHoFAAIAAAAGMjIuNjYyAQgAAAAFAAAAATEBAAAACy0yMDg4MzQ3NDY5AwAAAAMxNjACAAAABDQ0MjEEAAAAATAHAAAACTcvMzEvMjAyNggAAAAJNS8zMC8yMDIwCQAAAAEwbIf6MDvv3gifC740O+/eCDhDSVEuTkFTREFROkNBTE0uSVFfTFRfREVCVF9SRVBBSUQuOTk3LjMxLzA3LzIwMjYuLi5VU0QuSAEAAAAgegUAAgAAAAYtMC4yMjQBCAAAAAUAAAABMQEAAAALLTE5MzQ5Nzg0MjADAAAAAzE2MAIAAAAEMjAzNgQAAAABMAcAAAAJNy8zMS8yMDI2CAAAAAg2LzMvMjAyMwkAAAABMOZu9jA7794IPOHBNDvv3gg4Q0lRLk5BU0RBUTpDQUxNLklRX0NPTU1PTl9JU1NVRUQuMTAw</t>
  </si>
  <si>
    <t>MC4zMS8wNy8yMDI2Li4uVVNELkgBAAAAIHoFAAMAAAAAAOZu9jA7794IVrrBNDvv3gg1Q0lRLk5BU0RBUTpDQUxNLklRX0RFUFJFX1NVUFAuMTAwMC4zMS8wNy8yMDI2Li4uVVNELkgBAAAAIHoFAAIAAAAFMTE2LjYBCAAAAAUAAAABMQEAAAALLTE4ODEwNjg2NjgDAAAAAzE2MAIAAAAEMjE0MwQAAAABMAcAAAAJNy8zMS8yMDI2CAAAAAk1LzMwLzIwMjYJAAAAATD2lfYwO+/eCAsJwDQ7794IRkNJUS5OQVNEQVE6Q0FMTS5JUV9EQV9TVVBQTF9DRl9FWENMX09QRVJfTEVBU0VTLjk5Ni4zMS8wNy8yMDI2Li4uVVNELkgBAAAAIHoFAAIAAAAGNjguMzk1AQgAAAAFAAAAATEBAAAACy0xOTg2NzA4NDMzAwAAAAMxNjACAAAABTQ4OTgzBAAAAAEwBwAAAAk3LzMxLzIwMjYIAAAACTUvMjgvMjAyMgkAAAABMPaV9jA7794IwuG/NDvv3gg1Q0lRLk5BU0RBUTpDQUxNLklRX1BSRVBBSURfRVhQLjk5Ni4zMS8wNy8yMDI2Li4uVVNELkgBAAAAIHoFAAIAAAAFNC4yODYBCAAAAAUAAAABMQEAAAALLTE5ODY3MDg0MzMDAAAAAzE2MAIAAAAEMTIxMgQAAAABMAcAAAAJNy8zMS8yMDI2CAAAAAk1LzI4LzIwMjIJAAAAATBZrvowO+/eCHStuzQ7794IO0NJUS5OQVNEQVE6Q0FMTS5JUV9DQVNIX0lOVEVSRVNUX05FVC45OTQuMzEvMDcvMjAyNi4uLlVTRC5IAQAAACB6BQADAAAAAABsh/owO+/eCH0xvzQ7794IPUNJUS5O</t>
  </si>
  <si>
    <t>QVNEQVE6Q0FMTS5JUV9DQVNIX0lOVEVSRVNUX09QRVIuMTAwMC4zMS8wNy8yMDI2Li4uVVNELkgBAAAAIHoFAAMAAAAAAGyH+jA7794Ij+O+NDvv3gg0Q0lRLk5BU0RBUTpDQUxNLklRX0NBU0hfVEFYRVMuOTk1LjMxLzA3LzIwMjYuLi5VU0QuSAEAAAAgegUAAgAAAAUwLjk5NQEIAAAABQAAAAExAQAAAAstMjAzNzI0MTcyMQMAAAADMTYwAgAAAAQzMDUzBAAAAAEwBwAAAAk3LzMxLzIwMjYIAAAACTUvMjkvMjAyMQkAAAABMGyH+jA7794IRJW+NDvv3gg6Q0lRLk5BU0RBUTpDQUxNLklRX0NBU0hfVEFYRVNfRklOQU4uOTk2LjMxLzA3LzIwMjYuLi5VU0QuSAEAAAAgegUAAwAAAAAAbIf6MDvv3gjBRr40O+/eCDJDSVEuTkFTREFROkNBTE0uSVFfVE9UQUxfQ0wuOTk5LjMxLzA3LzIwMjYuLi5VU0QuSAEAAAAgegUAAgAAAAczMDguMzcxAQgAAAAFAAAAATEBAAAACy0xODgxMDY4Njc1AwAAAAMxNjACAAAABDEwMDkEAAAAATAHAAAACTcvMzEvMjAyNggAAAAJNS8zMS8yMDI1CQAAAAEwevz6MDvv3gg9Ubg0O+/eCDZDSVEuTkFTREFROkNBTE0uSVFfTUFJTlRfQ0FQRVguMTAwMC4zMS8wNy8yMDI2Li4uVVNELkgBAAAAIHoFAAMAAAAAAGyH+jA7794IVG+9NDvv3ghCQ0lRLk5BU0RBUTpDQUxNLklRX09QRVJBVElOR19MRUFTRV9QQVlNRU5UUy45OTQuMzEvMDcvMjAyNi4uLlVTRC5IAQAAACB6BQADAAAA</t>
  </si>
  <si>
    <t>AABsh/owO+/eCLAhvTQ7794IPUNJUS5OQVNEQVE6Q0FMTS5JUV9HQUlOX0JBUkdBSU5fQUNRX0NGLjk5OS4zMS8wNy8yMDI2Li4uVVNELkgBAAAAIHoFAAMAAAAAAFmu+jA7794I55e8NDvv3gg4Q0lRLk5BU0RBUTpDQUxNLklRX1NUX05PVEVfUkVDRUlWLjk5Ny4zMS8wNy8yMDI2Li4uVVNELkgBAAAAIHoFAAMAAAAAAFmu+jA7794Izvu7NDvv3gg/Q0lRLk5BU0RBUTpDQUxNLklRX0dQUEVfRVhDTF9PUEVSX0xFQVNFUy45OTkuMzEvMDcvMjAyNi4uLlVTRC5IAQAAACB6BQACAAAACDE5MDUuODI0AQgAAAAFAAAAATEBAAAACy0xODgxMDY4Njc1AwAAAAMxNjACAAAABTQ4OTc0BAAAAAEwBwAAAAk3LzMxLzIwMjYIAAAACTUvMzEvMjAyNQkAAAABMFr6kDA7794IWDC0NDvv3gguQ0lRLk5BU0RBUTpDQUxNLklRX0dQUEUuOTk2LjMxLzA3LzIwMjYuLi5VU0QuSAEAAAAgegUAAgAAAAgxMzU1LjU4NAEIAAAABQAAAAExAQAAAAstMTk4NjcwODQzMwMAAAADMTYwAgAAAAQxMTY5BAAAAAEwBwAAAAk3LzMxLzIwMjYIAAAACTUvMjgvMjAyMgkAAAABMGzV+jA7794IUta6NDvv3ggxQ0lRLk5BU0RBUTpDQUxNLklRX1NUX0RFQlQuOTk1LjMxLzA3LzIwMjYuLi5VU0QuSAEAAAAgegUAAwAAAAAAbNX6MDvv3giVO7k0O+/eCD1DSVEuTkFTREFROkNBTE0uSVFfQ1VSUkVOVF9QT1JUX0xFQVNFUy45OTcuMzEvMDcv</t>
  </si>
  <si>
    <t>MjAyNi4uLlVTRC5IAQAAACB6BQADAAAAAABs1fowO+/eCIHtuDQ7794IPENJUS5OQVNEQVE6Q0FMTS5JUV9VTkVBUk5fUkVWX0NVUlJFTlQuOTk4LjMxLzA3LzIwMjYuLi5VU0QuSAEAAAAgegUAAwAAAAAAevz6MDvv3ghJn7g0O+/eCDdDSVEuTkFTREFROkNBTE0uSVFfRklOSVNIRURfSU5WLjEwMDAuMzEvMDcvMjAyNi4uLlVTRC5IAQAAACB6BQACAAAABjg0Ljc2OQEIAAAABQAAAAExAQAAAAstMTg4MTA2ODY2OAMAAAADMTYwAgAAAAQzMDc1BAAAAAEwBwAAAAk3LzMxLzIwMjYIAAAACTUvMzAvMjAyNgkAAAABMOBckTA7794Iw1uwNDvv3gg5Q0lRLk5BU0RBUTpDQUxNLklRX1BSRUZfTk9OX1JFREVFTS45OTkuMzEvMDcvMjAyNi4uLlVTRC5IAQAAACB6BQADAAAAAAB6/PowO+/eCKCitjQ7794INUNJUS5OQVNEQVE6Q0FMTS5JUV9QUkVGX0VRVUlUWS45OTYuMzEvMDcvMjAyNi4uLlVTRC5IAQAAACB6BQADAAAAAABa+pAwO+/eCH9UtjQ7794IN0NJUS5OQVNEQVE6Q0FMTS5JUV9SVUFfQUNDVU1fREVQLjk5NS4zMS8wNy8yMDI2Li4uVVNELkgBAAAAIHoFAAMAAAAAAFr6kDA7794IcRu1NDvv3gg/Q0lRLk5BU0RBUTpDQUxNLklRX1JVQV9DQVBJVEFMX0xFQVNFX05FVC45OTguMzEvMDcvMjAyNi4uLlVTRC5IAQAAACB6BQADAAAAAABa+pAwO+/eCI+ltDQ7794IPUNJUS5OQVNEQVE6Q0FMTS5JUV9J</t>
  </si>
  <si>
    <t>TlRFUkNPTVBBTllfTk9OX0NMLjk5Ny4zMS8wNy8yMDI2Li4uVVNELkgBAAAAIHoFAAMAAAAAACG4jTA7794Iiu+oNDvv3ghDQ0lRLk5BU0RBUTpDQUxNLklRX0ZJTkFOQ0VfTEVBU0VTX0xPTkdfVEVSTS4xMDAwLjMxLzA3LzIwMjYuLi5VU0QuSAEAAAAgegUAAwAAAAAAYjWRMDvv3gg44rM0O+/eCDZDSVEuTkFTREFROkNBTE0uSVFfVE9UQUxfTEVBU0VTLjk5NS4zMS8wNy8yMDI2Li4uVVNELkgBAAAAIHoFAAIAAAAFMi4zNzgBCAAAAAUAAAABMQEAAAALLTIwMzcyNDE3MjEDAAAAAzE2MAIAAAAFNDg5NzkEAAAAATAHAAAACTcvMzEvMjAyNggAAAAJNS8yOS8yMDIxCQAAAAEwYjWRMDvv3ggiWbM0O+/eCC1DSVEuTkFTREFROkNBTE0uSVFfVEJWLjk5Ni4zMS8wNy8yMDI2Li4uVVNELkgBAAAAIHoFAAIAAAAIMTA0Mi40MTQBCAAAAAUAAAABMQEAAAALLTE5ODY3MDg0MzMDAAAAAzE2MAIAAAAEMTMxMAQAAAABMAcAAAAJNy8zMS8yMDI2CAAAAAk1LzI4LzIwMjIJAAAAATBiNZEwO+/eCJRusjQ7794IOkNJUS5OQVNEQVE6Q0FMTS5JUV9BTExPV19ET1VCVF9BQ0NULjk5NS4zMS8wNy8yMDI2Li4uVVNELkgBAAAAIHoFAAIAAAAFMC43OTUBCAAAAAUAAAABMQEAAAALLTIwMzcyNDE3MjEDAAAAAzE2MAIAAAAEMzAxMgQAAAABMAcAAAAJNy8zMS8yMDI2CAAAAAk1LzI5LzIwMjEJAAAAATDgXJEwO+/eCI/4</t>
  </si>
  <si>
    <t>sDQ7794IQENJUS5OQVNEQVE6Q0FMTS5JUV9TVE9DS19PUFRJT05TX0NPTVBfVEFYLjk5OS4zMS8wNy8yMDI2Li4uVVNELkgBAAAAIHoFAAMAAAAAAM4g9jA7794IWsXGNDvv3ghBQ0lRLk5BU0RBUTpDQUxNLklRX05BVFVSQUxfUkVTT1VSQ0VTX0NPU1QuMTAwMC4zMS8wNy8yMDI2Li4uVVNELkgBAAAAIHoFAAMAAAAAAPuDkTA7794Ihb+vNDvv3ghHQ0lRLk5BU0RBUTpDQUxNLklRX0dFTkVSQUxfUEFSVE5FUl9DT01NT05fRVFVSVRZLjk5OS4zMS8wNy8yMDI2Li4uVVNELkgBAAAAIHoFAAMAAAAAAPuDkTA7794IQOiuNDvv3gg/Q0lRLk5BU0RBUTpDQUxNLklRX0RFQlRfRVFVSVZfT1BFUl9MRUFTRS45OTkuMzEvMDcvMjAyNi4uLlVTRC5IAQAAACB6BQADAAAAAADwVY0wO+/eCM6IqzQ7794IQ0NJUS5OQVNEQVE6Q0FMTS5JUV9ERVJJVkFUSVZFX1RSQURJTkdfQVNTRVRTLjk5NC4zMS8wNy8yMDI2Li4uVVNELkgBAAAAIHoFAAMAAAAAAM6QjTA7794I7HaqNDvv3ggvQ0lRLk5BU0RBUTpDQUxNLklRX0RPX0NGLjk5NS4zMS8wNy8yMDI2Li4uVVNELkgBAAAAIHoFAAMAAAAAANZH9jA7794IZY7ENDvv3gg+Q0lRLk5BU0RBUTpDQUxNLklRX1RPVEFMX1VOVVNVQUxfU1VQUExFLjk5OS4zMS8wNy8yMDI2Li4uVVNELkgBAAAAIHoFAAMAAAAAAPEpGDE7794I32nINDvv3gg6Q0lRLk5BU0RBUTpDQUxNLklR</t>
  </si>
  <si>
    <t>X1NUT0NLX0JBU0VEX0NPR1MuOTk5LjMxLzA3LzIwMjYuLi5VU0QuSAEAAAAgegUAAwAAAAAAGlEYMTvv3girG8g0O+/eCDlDSVEuTkFTREFROkNBTE0uSVFfU1RPQ0tfQkFTRURfU0dBLjk5Ny4zMS8wNy8yMDI2Li4uVVNELkgBAAAAIHoFAAMAAAAAAMH59TA7794I9p3HNDvv3gg7Q0lRLk5BU0RBUTpDQUxNLklRX1NUT0NLX0JBU0VEX1RPVEFMLjk5NS4zMS8wNy8yMDI2Li4uVVNELkgBAAAAIHoFAAIAAAAFMy43NzgBCAAAAAUAAAABMQEAAAALLTIwMzcyNDE3MjEDAAAAAzE2MAIAAAAFMjQwMzQEAAAAATAHAAAACTcvMzEvMjAyNggAAAAJNS8yOS8yMDIxCQAAAAEwziD2MDvv3giKJ8c0O+/eCDdDSVEuTkFTREFROkNBTE0uSVFfU0FMRV9JTlRBTl9DRi45OTUuMzEvMDcvMjAyNi4uLlVTRC5IAQAAACB6BQADAAAAAADmbvYwO+/eCEakwjQ7794IOkNJUS5OQVNEQVE6Q0FMTS5JUV9TVE9DS19CQVNFRF9DT01QLjk5Ny4zMS8wNy8yMDI2Li4uVVNELkgBAAAAIHoFAAMAAAAAAM4g9jA7794IKFDGNDvv3gg0Q0lRLk5BU0RBUTpDQUxNLklRX09JTF9JTVBBSVIuOTk1LjMxLzA3LzIwMjYuLi5VU0QuSAEAAAAgegUAAwAAAAAAziD2MDvv3ggPx8U0O+/eCDhDSVEuTkFTREFROkNBTE0uSVFfR0FJTl9JTlZFU1RfQ0YuOTk5LjMxLzA3LzIwMjYuLi5VU0QuSAEAAAAgegUAAwAAAAAA1kf2MDvv3gjkUcU0O+/e</t>
  </si>
  <si>
    <t>CDdDSVEuTkFTREFROkNBTE0uSVFfSU5DX0VRVUlUWV9DRi45OTcuMzEvMDcvMjAyNi4uLlVTRC5IAQAAACB6BQADAAAAAADWR/YwO+/eCMgDxTQ7794INUNJUS5OQVNEQVE6Q0FMTS5JUV9ORVRfQ0hBTkdFLjEwMDAuMzEvMDcvMjAyNi4uLlVTRC5IAQAAACB6BQACAAAACC0zODYuODc3AQgAAAAFAAAAATEBAAAACy0xODgxMDY4NjY4AwAAAAMxNjACAAAABDIwOTMEAAAAATAHAAAACTcvMzEvMjAyNggAAAAJNS8zMC8yMDI2CQAAAAEw9pX2MDvv3ghja8A0O+/eCDNDSVEuTkFTREFROkNBTE0uSVFfQ0hBTkdFX0FSLjk5NS4zMS8wNy8yMDI2Li4uVVNELkgBAAAAIHoFAAIAAAAHLTMzLjQ4NwEIAAAABQAAAAExAQAAAAstMjAzNzI0MTcyMQMAAAADMTYwAgAAAAQyMDE4BAAAAAEwBwAAAAk3LzMxLzIwMjYIAAAACTUvMjkvMjAyMQkAAAABMNZH9jA7794ICyzENDvv3ggzQ0lRLk5BU0RBUTpDQUxNLklRX0NIQU5HRV9BUC45OTkuMzEvMDcvMjAyNi4uLlVTRC5IAQAAACB6BQACAAAABjY1LjMxMQEIAAAABQAAAAExAQAAAAstMTg4MTA2ODY3NQMAAAADMTYwAgAAAAQyMDE3BAAAAAEwBwAAAAk3LzMxLzIwMjYIAAAACTUvMzEvMjAyNQkAAAABMNZH9jA7794IFgXENDvv3ghGQ0lRLk5BU0RBUTpDQUxNLklRX0NIQU5HRV9PVEhFUl9ORVRfT1BFUl9BU1NFVFMuOTk3LjMxLzA3LzIwMjYuLi5VU0QuSAEAAAAg</t>
  </si>
  <si>
    <t>egUAAgAAAAUtMi44OQEIAAAABQAAAAExAQAAAAstMTkzNDk3ODQyMAMAAAADMTYwAgAAAAQyMDQ1BAAAAAEwBwAAAAk3LzMxLzIwMjYIAAAACDYvMy8yMDIzCQAAAAEw1kf2MDvv3gjLtsM0O+/eCDVDSVEuTkFTREFROkNBTE0uSVFfU0FMRV9QUEVfQ0YuOTk3LjMxLzA3LzIwMjYuLi5VU0QuSAEAAAAgegUAAgAAAAQwLjU4AQgAAAAFAAAAATEBAAAACy0xOTM0OTc4NDIwAwAAAAMxNjACAAAABDIwNDIEAAAAATAHAAAACTcvMzEvMjAyNggAAAAINi8zLzIwMjMJAAAAATDWR/YwO+/eCKFUwzQ7794IPENJUS5OQVNEQVE6Q0FMTS5JUV9DQVNIX0lOVEVSRVNUX09QRVIuOTk5LjMxLzA3LzIwMjYuLi5VU0QuSAEAAAAgegUAAwAAAAAAbIf6MDvv3giP4740O+/eCDlDSVEuTkFTREFROkNBTE0uSVFfSU5WRVNUX0xPQU5TX0NGLjk5OS4zMS8wNy8yMDI2Li4uVVNELkgBAAAAIHoFAAMAAAAAAOZu9jA7794IRqTCNDvv3gg4Q0lRLk5BU0RBUTpDQUxNLklRX1NUX0RFQlRfSVNTVUVELjk5OS4zMS8wNy8yMDI2Li4uVVNELkgBAAAAIHoFAAMAAAAAAOZu9jA7794IdFbCNDvv3gg4Q0lRLk5BU0RBUTpDQUxNLklRX0xUX0RFQlRfUkVQQUlELjk5Ni4zMS8wNy8yMDI2Li4uVVNELkgBAAAAIHoFAAIAAAAGLTAuMjE1AQgAAAAFAAAAATEBAAAACy0xOTg2NzA4NDMzAwAAAAMxNjACAAAABDIwMzYEAAAAATAHAAAACTcv</t>
  </si>
  <si>
    <t>MzEvMjAyNggAAAAJNS8yOC8yMDIyCQAAAAEw5m72MDvv3gg84cE0O+/eCDdDSVEuTkFTREFROkNBTE0uSVFfQ09NTU9OX0lTU1VFRC45OTkuMzEvMDcvMjAyNi4uLlVTRC5IAQAAACB6BQADAAAAAADmbvYwO+/eCFa6wTQ7794IPUNJUS5OQVNEQVE6Q0FMTS5JUV9HQUlOX0JBUkdBSU5fQUNRX0NGLjk5OC4zMS8wNy8yMDI2Li4uVVNELkgBAAAAIHoFAAMAAAAAAFmu+jA7794I55e8NDvv3gg9Q0lRLk5BU0RBUTpDQUxNLklRX0RBX1NVUFBMX1BBUlRJQUxfQ0YuOTk5LjMxLzA3LzIwMjYuLi5VU0QuSAEAAAAgegUAAwAAAAAA9pX2MDvv3gjVQ8A0O+/eCDRDSVEuTkFTREFROkNBTE0uSVFfREVQUkVfU1VQUC45OTkuMzEvMDcvMjAyNi4uLlVTRC5IAQAAACB6BQACAAAABDkxLjEBCAAAAAUAAAABMQEAAAALLTE4ODEwNjg2NzUDAAAAAzE2MAIAAAAEMjE0MwQAAAABMAcAAAAJNy8zMS8yMDI2CAAAAAk1LzMxLzIwMjUJAAAAATD2lfYwO+/eCAsJwDQ7794IRkNJUS5OQVNEQVE6Q0FMTS5JUV9EQV9TVVBQTF9DRl9FWENMX09QRVJfTEVBU0VTLjk5NS4zMS8wNy8yMDI2Li4uVVNELkgBAAAAIHoFAAIAAAAGNTkuNDc3AQgAAAAFAAAAATEBAAAACy0yMDM3MjQxNzIxAwAAAAMxNjACAAAABTQ4OTgzBAAAAAEwBwAAAAk3LzMxLzIwMjYIAAAACTUvMjkvMjAyMQkAAAABMPaV9jA7794IwuG/NDvv3ghDQ0lRLk5B</t>
  </si>
  <si>
    <t>U0RBUTpDQUxNLklRX0FNT1JUX1NPRlRXQVJFX0FTU0VUU19DRi4xMDAwLjMxLzA3LzIwMjYuLi5VU0QuSAEAAAAgegUAAwAAAAAA9pX2MDvv3giEWL80O+/eCDNDSVEuTkFTREFROkNBTE0uSVFfTFRfSU5WRVNULjk5OS4zMS8wNy8yMDI2Li4uVVNELkgBAAAAIHoFAAMAAAAAAGzV+jA7794IMWG6NDvv3gg0Q0lRLk5BU0RBUTpDQUxNLklRX0NBU0hfVEFYRVMuOTk0LjMxLzA3LzIwMjYuLi5VU0QuSAEAAAAgegUAAgAAAAUwLjAzMgEIAAAABQAAAAExAQAAAAstMjA4ODM0NzQ2OQMAAAADMTYwAgAAAAQzMDUzBAAAAAEwBwAAAAk3LzMxLzIwMjYIAAAACTUvMzAvMjAyMAkAAAABMGyH+jA7794IRJW+NDvv3gg6Q0lRLk5BU0RBUTpDQUxNLklRX0NBU0hfVEFYRVNfRklOQU4uOTk1LjMxLzA3LzIwMjYuLi5VU0QuSAEAAAAgegUAAwAAAAAAbIf6MDvv3gjBRr40O+/eCDhDSVEuTkFTREFROkNBTE0uSVFfVU5MRVZFUkVEX0ZDRi4xMDAwLjMxLzA3LzIwMjYuLi5VU0QuSAEAAAAgegUAAgAAAAU5LjE0NAEIAAAABQAAAAExAQAAAAstMTg4MTA2ODY2OAMAAAADMTYwAgAAAAQ0NDIzBAAAAAEwBwAAAAk3LzMxLzIwMjYIAAAACTUvMzAvMjAyNgkAAAABMGyH+jA7794Is729NDvv3gg1Q0lRLk5BU0RBUTpDQUxNLklRX01BSU5UX0NBUEVYLjk5OS4zMS8wNy8yMDI2Li4uVVNELkgBAAAAIHoFAAMAAAAAAGyH+jA7</t>
  </si>
  <si>
    <t>794Ic0i9NDvv3gg5Q0lRLk5BU0RBUTpDQUxNLklRX1BSRUZfTk9OX1JFREVFTS45OTguMzEvMDcvMjAyNi4uLlVTRC5IAQAAACB6BQADAAAAAAB6/PowO+/eCKCitjQ7794IOENJUS5OQVNEQVE6Q0FMTS5JUV9TVF9OT1RFX1JFQ0VJVi45OTYuMzEvMDcvMjAyNi4uLlVTRC5IAQAAACB6BQADAAAAAABZrvowO+/eCM77uzQ7794INUNJUS5OQVNEQVE6Q0FMTS5JUV9QUkVQQUlEX0VYUC45OTUuMzEvMDcvMjAyNi4uLlVTRC5IAQAAACB6BQACAAAABTUuNDA3AQgAAAAFAAAAATEBAAAACy0yMDM3MjQxNzIxAwAAAAMxNjACAAAABDEyMTIEAAAAATAHAAAACTcvMzEvMjAyNggAAAAJNS8yOS8yMDIxCQAAAAEwWa76MDvv3gh/hrs0O+/eCDpDSVEuTkFTREFROkNBTE0uSVFfUkVTVFJJQ1RFRF9DQVNILjEwMDAuMzEvMDcvMjAyNi4uLlVTRC5IAQAAACB6BQACAAAAAzYuMwEIAAAABQAAAAExAQAAAAstMTg4MTA2ODY2OAMAAAADMTYwAgAAAAQxMTA0BAAAAAEwBwAAAAk3LzMxLzIwMjYIAAAACTUvMzAvMjAyNgkAAAABMFmu+jA7794IYP26NDvv3gguQ0lRLk5BU0RBUTpDQUxNLklRX0dQUEUuOTk1LjMxLzA3LzIwMjYuLi5VU0QuSAEAAAAgegUAAgAAAAgxMjE1LjQxMgEIAAAABQAAAAExAQAAAAstMjAzNzI0MTcyMQMAAAADMTYwAgAAAAQxMTY5BAAAAAEwBwAAAAk3LzMxLzIwMjYIAAAACTUvMjkvMjAyMQkA</t>
  </si>
  <si>
    <t>AAABMGzV+jA7794INq+6NDvv3gg/Q0lRLk5BU0RBUTpDQUxNLklRX0dQUEVfRVhDTF9PUEVSX0xFQVNFUy45OTcuMzEvMDcvMjAyNi4uLlVTRC5IAQAAACB6BQACAAAACDE0ODMuNzU4AQgAAAAFAAAAATEBAAAACy0xOTM0OTc4NDIwAwAAAAMxNjACAAAABTQ4OTc0BAAAAAEwBwAAAAk3LzMxLzIwMjYIAAAACDYvMy8yMDIzCQAAAAEwWvqQMDvv3ghYMLQ0O+/eCDtDSVEuTkFTREFROkNBTE0uSVFfRklOX0RJVl9MT0FOU19MVC4xMDAwLjMxLzA3LzIwMjYuLi5VU0QuSAEAAAAgegUAAwAAAAAAbNX6MDvv3giLE7o0O+/eCD5DSVEuTkFTREFROkNBTE0uSVFfRklOX0RJVl9ERUJUX0NVUlJFTlQuOTk0LjMxLzA3LzIwMjYuLi5VU0QuSAEAAAAgegUAAwAAAAAAbNX6MDvv3giB7bg0O+/eCDxDSVEuTkFTREFROkNBTE0uSVFfVU5FQVJOX1JFVl9DVVJSRU5ULjk5Ny4zMS8wNy8yMDI2Li4uVVNELkgBAAAAIHoFAAMAAAAAAHr8+jA7794ISZ+4NDvv3ggyQ0lRLk5BU0RBUTpDQUxNLklRX1RPVEFMX0NMLjk5OC4zMS8wNy8yMDI2Li4uVVNELkgBAAAAIHoFAAIAAAAHMjI3Ljc0MwEIAAAABQAAAAExAQAAAAstMTg4MTA2ODY3NgMAAAADMTYwAgAAAAQxMDA5BAAAAAEwBwAAAAk3LzMxLzIwMjYIAAAACDYvMS8yMDI0CQAAAAEwevz6MDvv3gjYKbg0O+/eCD1DSVEuTkFTREFROkNBTE0uSVFfSU5URVJDT01QQU5Z</t>
  </si>
  <si>
    <t>X05PTl9DTC45OTUuMzEvMDcvMjAyNi4uLlVTRC5IAQAAACB6BQADAAAAAAAhuI0wO+/eCErIqDQ7794IMkNJUS5OQVNEQVE6Q0FMTS5JUV9UUkVBU1VSWS45OTkuMzEvMDcvMjAyNi4uLlVTRC5IAQAAACB6BQACAAAABy04NS44OTMBCAAAAAUAAAABMQEAAAALLTE4ODEwNjg2NzUDAAAAAzE2MAIAAAAEMTI0OAQAAAABMAcAAAAJNy8zMS8yMDI2CAAAAAk1LzMxLzIwMjUJAAAAATBa+pAwO+/eCE3ftTQ7794INkNJUS5OQVNEQVE6Q0FMTS5JUV9UT1RBTF9FUVVJVFkuOTk3LjMxLzA3LzIwMjYuLi5VU0QuSAEAAAAgegUAAgAAAAgxNjA5LjU4MwEIAAAABQAAAAExAQAAAAstMTkzNDk3ODQyMAMAAAADMTYwAgAAAAQxMjc1BAAAAAEwBwAAAAk3LzMxLzIwMjYIAAAACDYvMy8yMDIzCQAAAAEwWvqQMDvv3ggDkbU0O+/eCDdDSVEuTkFTREFROkNBTE0uSVFfUlVBX0FDQ1VNX0RFUC45OTQuMzEvMDcvMjAyNi4uLlVTRC5IAQAAACB6BQADAAAAAABa+pAwO+/eCHEbtTQ7794IP0NJUS5OQVNEQVE6Q0FMTS5JUV9SVUFfQ0FQSVRBTF9MRUFTRV9ORVQuOTk3LjMxLzA3LzIwMjYuLi5VU0QuSAEAAAAgegUAAwAAAAAAWvqQMDvv3giPpbQ0O+/eCDNDSVEuTkFTREFROkNBTE0uSVFfTFRfSU5WRVNULjk5OC4zMS8wNy8yMDI2Li4uVVNELkgBAAAAIHoFAAIAAAAGMTEuMTk1AQgAAAAFAAAAATEBAAAACy0xODgxMDY4</t>
  </si>
  <si>
    <t>Njc2AwAAAAMxNjACAAAABDEwNTQEAAAAATAHAAAACTcvMzEvMjAyNggAAAAINi8xLzIwMjQJAAAAATBs1fowO+/eCDFhujQ7794IQkNJUS5OQVNEQVE6Q0FMTS5JUV9GSU5BTkNFX0xFQVNFU19MT05HX1RFUk0uOTk5LjMxLzA3LzIwMjYuLi5VU0QuSAEAAAAgegUAAwAAAAAAYjWRMDvv3gg44rM0O+/eCDZDSVEuTkFTREFROkNBTE0uSVFfRklOSVNIRURfSU5WLjk5Ny4zMS8wNy8yMDI2Li4uVVNELkgBAAAAIHoFAAIAAAAHMTE5Ljg3OAEIAAAABQAAAAExAQAAAAstMTkzNDk3ODQyMAMAAAADMTYwAgAAAAQzMDc1BAAAAAEwBwAAAAk3LzMxLzIwMjYIAAAACDYvMy8yMDIzCQAAAAEw4FyRMDvv3gjDW7A0O+/eCEVDSVEuTkFTREFROkNBTE0uSVFfR0VORVJBTF9QQVJUTkVSX1BSRUZfRVFVSVRZLjk5NS4zMS8wNy8yMDI2Li4uVVNELkgBAAAAIHoFAAMAAAAAAPuDkTA7794IQOiuNDvv3ghKQ0lRLk5BU0RBUTpDQUxNLklRX0FTU0VUU19ORVRUSU5HX09USEVSX0FESlVTVE1FTlRTLjk5Ni4zMS8wNy8yMDI2Li4uVVNELkgBAAAAIHoFAAMAAAAAAPyqkTA7794Ivf6sNDvv3gg5Q0lRLk5BU0RBUTpDQUxNLklRX1BSRUZfTk9OX1JFREVFTS45OTcuMzEvMDcvMjAyNi4uLlVTRC5IAQAAACB6BQADAAAAAAB6/PowO+/eCKCitjQ7794IOENJUS5OQVNEQVE6Q0FMTS5JUV9TVF9OT1RFX1JFQ0VJVi45OTUuMzEv</t>
  </si>
  <si>
    <t>MDcvMjAyNi4uLlVTRC5IAQAAACB6BQADAAAAAABZrvowO+/eCJvUuzQ7794INUNJUS5OQVNEQVE6Q0FMTS5JUV9QUkVQQUlEX0VYUC45OTQuMzEvMDcvMjAyNi4uLlVTRC5IAQAAACB6BQACAAAABTQuMzY3AQgAAAAFAAAAATEBAAAACy0yMDg4MzQ3NDY5AwAAAAMxNjACAAAABDEyMTIEAAAAATAHAAAACTcvMzEvMjAyNggAAAAJNS8zMC8yMDIwCQAAAAEwWa76MDvv3gh/hrs0O+/eCEFDSVEuTkFTREFROkNBTE0uSVFfRklOX0RJVl9BU1NFVFNfQ1VSUkVOVC4xMDAwLjMxLzA3LzIwMjYuLi5VU0QuSAEAAAAgegUAAwAAAAAAWa76MDvv3gh7X7s0O+/eCDlDSVEuTkFTREFROkNBTE0uSVFfUkVTVFJJQ1RFRF9DQVNILjk5OS4zMS8wNy8yMDI2Li4uVVNELkgBAAAAIHoFAAIAAAABMQEIAAAABQAAAAExAQAAAAstMTg4MTA2ODY3NQMAAAADMTYwAgAAAAQxMTA0BAAAAAEwBwAAAAk3LzMxLzIwMjYIAAAACTUvMzEvMjAyNQkAAAABMFmu+jA7794IYP26NDvv3gg+Q0lRLk5BU0RBUTpDQUxNLklRX1RPVEFMX0ZJTkFOQ0VfTEVBU0VTLjk5NS4zMS8wNy8yMDI2Li4uVVNELkgBAAAAIHoFAAIAAAAFMC42NTMBCAAAAAUAAAABMQEAAAALLTIwMzcyNDE3MjEDAAAAAzE2MAIAAAAFNDkwMzEEAAAAATAHAAAACTcvMzEvMjAyNggAAAAJNS8yOS8yMDIxCQAAAAEwYjWRMDvv3ggtu7M0O+/eCDpDSVEuTkFTREFROkNB</t>
  </si>
  <si>
    <t>TE0uSVFfRklOX0RJVl9MT0FOU19MVC45OTkuMzEvMDcvMjAyNi4uLlVTRC5IAQAAACB6BQADAAAAAABs1fowO+/eCIsTujQ7794IPENJUS5OQVNEQVE6Q0FMTS5JUV9VTkVBUk5fUkVWX0NVUlJFTlQuOTk2LjMxLzA3LzIwMjYuLi5VU0QuSAEAAAAgegUAAwAAAAAAevz6MDvv3ghJn7g0O+/eCDFDSVEuTkFTREFROkNBTE0uSVFfTFRfREVCVC45OTUuMzEvMDcvMjAyNi4uLlVTRC5IAQAAACB6BQADAAAAAAB6/PowO+/eCNgpuDQ7794IOUNJUS5OQVNEQVE6Q0FMTS5JUV9ERUZfVEFYX0xJQUJfTFQuOTk5LjMxLzA3LzIwMjYuLi5VU0QuSAEAAAAgegUAAgAAAAcxNTQuNjUxAQgAAAAFAAAAATEBAAAACy0xODgxMDY4Njc1AwAAAAMxNjACAAAABDEwMjcEAAAAATAHAAAACTcvMzEvMjAyNggAAAAJNS8zMS8yMDI1CQAAAAEwevz6MDvv3gi3K7c0O+/eCEVDSVEuTkFTREFROkNBTE0uSVFfU0FMRV9QUk9DRUVEU19SRU5UQUxfQVNTRVRTLjk5Ni4zMS8wNy8yMDI2Li4uVVNELkgBAAAAIHoFAAMAAAAAAPaV9jA7794IhFi/NDvv3ggyQ0lRLk5BU0RBUTpDQUxNLklRX1RSRUFTVVJZLjk5OC4zMS8wNy8yMDI2Li4uVVNELkgBAAAAIHoFAAIAAAAHLTMxLjU5NwEIAAAABQAAAAExAQAAAAstMTg4MTA2ODY3NgMAAAADMTYwAgAAAAQxMjQ4BAAAAAEwBwAAAAk3LzMxLzIwMjYIAAAACDYvMS8yMDI0CQAAAAEwWvqQ</t>
  </si>
  <si>
    <t>MDvv3ghN37U0O+/eCDZDSVEuTkFTREFROkNBTE0uSVFfVE9UQUxfRVFVSVRZLjk5Ni4zMS8wNy8yMDI2Li4uVVNELkgBAAAAIHoFAAIAAAAIMTEwNC4zNDUBCAAAAAUAAAABMQEAAAALLTE5ODY3MDg0MzMDAAAAAzE2MAIAAAAEMTI3NQQAAAABMAcAAAAJNy8zMS8yMDI2CAAAAAk1LzI4LzIwMjIJAAAAATBa+pAwO+/eCAORtTQ7794IP0NJUS5OQVNEQVE6Q0FMTS5JUV9SVUFfQ0FQSVRBTF9MRUFTRV9ORVQuOTk1LjMxLzA3LzIwMjYuLi5VU0QuSAEAAAAgegUAAwAAAAAAWvqQMDvv3giPpbQ0O+/eCD1DSVEuTkFTREFROkNBTE0uSVFfQURfRVhDTF9PUEVSX0xFQVNFUy45OTQuMzEvMDcvMjAyNi4uLlVTRC5IAQAAACB6BQACAAAACC01ODUuMjkxAQgAAAAFAAAAATEBAAAACy0yMDg4MzQ3NDY5AwAAAAMxNjACAAAABTQ4OTc1BAAAAAEwBwAAAAk3LzMxLzIwMjYIAAAACTUvMzAvMjAyMAkAAAABMFr6kDA7794IWDC0NDvv3gg2Q0lRLk5BU0RBUTpDQUxNLklRX0RPX0lOVkVTVF9DRi45OTUuMzEvMDcvMjAyNi4uLlVTRC5IAQAAACB6BQADAAAAAABsh/owO+/eCHNIvTQ7794IN0NJUS5OQVNEQVE6Q0FMTS5JUV9FUVVJVFlfTUVUSE9ELjk5OS4zMS8wNy8yMDI2Li4uVVNELkgBAAAAIHoFAAMAAAAAAOBckTA7794Iy72wNDvv3gguQ0lRLk5BU0RBUTpDQUxNLklRX0NJUC4xMDAwLjMxLzA3LzIwMjYuLi5V</t>
  </si>
  <si>
    <t>U0QuSAEAAAAgegUAAgAAAAcyMDcuMDA2AQgAAAAFAAAAATEBAAAACy0xODgxMDY4NjY4AwAAAAMxNjACAAAABDMwMzMEAAAAATAHAAAACTcvMzEvMjAyNggAAAAJNS8zMC8yMDI2CQAAAAEw+4ORMDvv3giFv680O+/eCEpDSVEuTkFTREFROkNBTE0uSVFfQVNTRVRTX05FVFRJTkdfT1RIRVJfQURKVVNUTUVOVFMuOTk0LjMxLzA3LzIwMjYuLi5VU0QuSAEAAAAgegUAAwAAAAAA/KqRMDvv3gi9/qw0O+/eCENDSVEuTkFTREFROkNBTE0uSVFfREVSSVZBVElWRV9UUkFESU5HX0FTU0VUUy45OTcuMzEvMDcvMjAyNi4uLlVTRC5IAQAAACB6BQADAAAAAADOkI0wO+/eCOx2qjQ7794IOENJUS5OQVNEQVE6Q0FMTS5JUV9MT0FOU19GT1JfU0FMRS45OTcuMzEvMDcvMjAyNi4uLlVTRC5IAQAAACB6BQADAAAAAABZrvowO+/eCHtfuzQ7794IO0NJUS5OQVNEQVE6Q0FMTS5JUV9DQVNIX0lOVEVSRVNUX05FVC45OTkuMzEvMDcvMjAyNi4uLlVTRC5IAQAAACB6BQADAAAAAABsh/owO+/eCFEKvzQ7794IPkNJUS5OQVNEQVE6Q0FMTS5JUV9DQVNIX0lOVEVSRVNUX0lOVkVTVC45OTUuMzEvMDcvMjAyNi4uLlVTRC5IAQAAACB6BQADAAAAAABsh/owO+/eCI/jvjQ7794IRUNJUS5OQVNEQVE6Q0FMTS5JUV9DSEFOR0VfTkVUX1dPUktJTkdfQ0FQSVRBTC4xMDAwLjMxLzA3LzIwMjYuLi5VU0QuSAEAAAAgegUAAgAAAAYx</t>
  </si>
  <si>
    <t>ODQuMzMBCAAAAAUAAAABMQEAAAALLTE4ODEwNjg2NjgDAAAAAzE2MAIAAAAENDQyMQQAAAABMAcAAAAJNy8zMS8yMDI2CAAAAAk1LzMwLzIwMjYJAAAAATBsh/owO+/eCJ8LvjQ7794IM0NJUS5OQVNEQVE6Q0FMTS5JUV9DRl9TSEFSRS4xMDAwLjMxLzA3LzIwMjYuLi5VU0QuSAEAAAAgegUAAgAAAAg2Ljg5NDcxMQEIAAAABQAAAAExAQAAAAstMTg4MTA2ODY2OAMAAAADMTYwAgAAAAU0MzkyMwQAAAABMAcAAAAJNy8zMS8yMDI2CAAAAAk1LzMwLzIwMjYJAAAAATBsh/owO+/eCGeWvTQ7794IPENJUS5OQVNEQVE6Q0FMTS5JUV9VTkVBUk5fUkVWX0NVUlJFTlQuOTk0LjMxLzA3LzIwMjYuLi5VU0QuSAEAAAAgegUAAwAAAAAAbNX6MDvv3gg2eLg0O+/eCEJDSVEuTkFTREFROkNBTE0uSVFfT1BFUkFUSU5HX0xFQVNFX1BBWU1FTlRTLjk5Ny4zMS8wNy8yMDI2Li4uVVNELkgBAAAAIHoFAAMAAAAAAGyH+jA7794IsCG9NDvv3ghMQ0lRLk5BU0RBUTpDQUxNLklRX0xPTkdfVEVSTV9ERUJUX1JFUEFJRF9FWENMX0xFQVNFUy4xMDAwLjMxLzA3LzIwMjYuLi5VU0QuSAEAAAAgegUAAwAAAAAAWa76MDvv3ggK07w0O+/eCDNDSVEuTkFTREFROkNBTE0uSVFfU1RfSU5WRVNULjk5OS4zMS8wNy8yMDI2Li4uVVNELkgBAAAAIHoFAAIAAAAHODkyLjcwOAEIAAAABQAAAAExAQAAAAstMTg4MTA2ODY3NQMAAAADMTYw</t>
  </si>
  <si>
    <t>AgAAAAQxMDY5BAAAAAEwBwAAAAk3LzMxLzIwMjYIAAAACTUvMzEvMjAyNQkAAAABMFmu+jA7794I73C8NDvv3ggsQ0lRLk5BU0RBUTpDQUxNLklRX0FSLjk5OC4zMS8wNy8yMDI2Li4uVVNELkgBAAAAIHoFAAIAAAAGMTM4LjU1AQgAAAAFAAAAATEBAAAACy0xODgxMDY4Njc2AwAAAAMxNjACAAAABDEwMjEEAAAAATAHAAAACTcvMzEvMjAyNggAAAAINi8xLzIwMjQJAAAAATBZrvowO+/eCPQivDQ7794IMUNJUS5OQVNEQVE6Q0FMTS5JUV9SVUFfTkVULjk5OS4zMS8wNy8yMDI2Li4uVVNELkgBAAAAIHoFAAMAAAAAAFr6kDA7794IU+C0NDvv3gg4Q0lRLk5BU0RBUTpDQUxNLklRX09USEVSX0NBX1NVUFBMLjk5Ni4zMS8wNy8yMDI2Li4uVVNELkgBAAAAIHoFAAMAAAAAAFmu+jA7794IYP26NDvv3ggzQ0lRLk5BU0RBUTpDQUxNLklRX0xUX0lOVkVTVC45OTcuMzEvMDcvMjAyNi4uLlVTRC5IAQAAACB6BQACAAAABjE0LjQ0OQEIAAAABQAAAAExAQAAAAstMTkzNDk3ODQyMAMAAAADMTYwAgAAAAQxMDU0BAAAAAEwBwAAAAk3LzMxLzIwMjYIAAAACDYvMy8yMDIzCQAAAAEwbNX6MDvv3ggxYbo0O+/eCDpDSVEuTkFTREFROkNBTE0uSVFfRklOX0RJVl9MT0FOU19MVC45OTguMzEvMDcvMjAyNi4uLlVTRC5IAQAAACB6BQADAAAAAABs1fowO+/eCIsTujQ7794IOkNJUS5OQVNEQVE6Q0FMTS5JUV9PVEhFUl9M</t>
  </si>
  <si>
    <t>VF9BU1NFVFMuMTAwMC4zMS8wNy8yMDI2Li4uVVNELkgBAAAAIHoFAAIAAAAGMzcuNTA0AQgAAAAFAAAAATEBAAAACy0xODgxMDY4NjY4AwAAAAMxNjACAAAABDEwNjAEAAAAATAHAAAACTcvMzEvMjAyNggAAAAJNS8zMC8yMDI2CQAAAAEwbNX6MDvv3giWibk0O+/eCC1DSVEuTkFTREFROkNBTE0uSVFfQ0lQLjk5OC4zMS8wNy8yMDI2Li4uVVNELkgBAAAAIHoFAAIAAAAHMTIxLjI2NgEIAAAABQAAAAExAQAAAAstMTg4MTA2ODY3NgMAAAADMTYwAgAAAAQzMDMzBAAAAAEwBwAAAAk3LzMxLzIwMjYIAAAACDYvMS8yMDI0CQAAAAEw+4ORMDvv3giFv680O+/eCDFDSVEuTkFTREFROkNBTE0uSVFfTFRfREVCVC45OTQuMzEvMDcvMjAyNi4uLlVTRC5IAQAAACB6BQADAAAAAAB6/PowO+/eCNgpuDQ7794IN0NJUS5OQVNEQVE6Q0FMTS5JUV9PVEhFUl9MSUFCX0xULjk5NS4zMS8wNy8yMDI2Li4uVVNELkgBAAAAIHoFAAIAAAAGMTAuNDE2AQgAAAAFAAAAATEBAAAACy0yMDM3MjQxNzIxAwAAAAMxNjACAAAABDEwNjIEAAAAATAHAAAACTcvMzEvMjAyNggAAAAJNS8yOS8yMDIxCQAAAAEwevz6MDvv3giwBLc0O+/eCDJDSVEuTkFTREFROkNBTE0uSVFfVFJFQVNVUlkuOTk3LjMxLzA3LzIwMjYuLi5VU0QuSAEAAAAgegUAAgAAAActMzAuMDA4AQgAAAAFAAAAATEBAAAACy0xOTM0OTc4NDIwAwAAAAMxNjACAAAA</t>
  </si>
  <si>
    <t>BDEyNDgEAAAAATAHAAAACTcvMzEvMjAyNggAAAAINi8zLzIwMjMJAAAAATBa+pAwO+/eCE3ftTQ7794INkNJUS5OQVNEQVE6Q0FMTS5JUV9UT1RBTF9FUVVJVFkuOTk1LjMxLzA3LzIwMjYuLi5VU0QuSAEAAAAgegUAAgAAAAgxMDEyLjc4MQEIAAAABQAAAAExAQAAAAstMjAzNzI0MTcyMQMAAAADMTYwAgAAAAQxMjc1BAAAAAEwBwAAAAk3LzMxLzIwMjYIAAAACTUvMjkvMjAyMQkAAAABMFr6kDA7794I8Gm1NDvv3gg3Q0lRLk5BU0RBUTpDQUxNLklRX09USEVSX0xJQUJfTFQuOTk0LjMxLzA3LzIwMjYuLi5VU0QuSAEAAAAgegUAAgAAAAU4LjY4MQEIAAAABQAAAAExAQAAAAstMjA4ODM0NzQ2OQMAAAADMTYwAgAAAAQxMDYyBAAAAAEwBwAAAAk3LzMxLzIwMjYIAAAACTUvMzAvMjAyMAkAAAABMHr8+jA7794IsAS3NDvv3ghTQ0lRLk5BU0RBUTpDQUxNLklRX0ZJTkFOQ0lOR19PQkxJR19DVVJSRU5UX0VYQ0xfT1BFUl9MRUFTRVMuMTAwMC4zMS8wNy8yMDI2Li4uVVNELkgBAAAAIHoFAAMAAAAAAGI1kTA7794IIlmzNDvv3ggtQ0lRLk5BU0RBUTpDQUxNLklRX1RCVi45OTkuMzEvMDcvMjAyNi4uLlVTRC5IAQAAACB6BQACAAAACDI0OTguNjkxAQgAAAAFAAAAATEBAAAACy0xODgxMDY4Njc1AwAAAAMxNjACAAAABDEzMTAEAAAAATAHAAAACTcvMzEvMjAyNggAAAAJNS8zMS8yMDI1CQAAAAEwYjWRMDvv</t>
  </si>
  <si>
    <t>3giNR7I0O+/eCDJDSVEuTkFTREFROkNBTE0uSVFfTkVUX0RFQlQuOTk1LjMxLzA3LzIwMjYuLi5VU0QuSAEAAAAgegUAAgAAAAgtMTY3LjEzMgEIAAAABQAAAAExAQAAAAstMjAzNzI0MTcyMQMAAAADMTYwAgAAAAQ0MzY0BAAAAAEwBwAAAAk3LzMxLzIwMjYIAAAACTUvMjkvMjAyMQkAAAABMOBckTA7794I1YGxNDvv3gg3Q0lRLk5BU0RBUTpDQUxNLklRX0VRVUlUWV9NRVRIT0QuOTk4LjMxLzA3LzIwMjYuLi5VU0QuSAEAAAAgegUAAgAAAAYxMS4xOTUBCAAAAAUAAAABMQEAAAALLTE4ODEwNjg2NzYDAAAAAzE2MAIAAAAEMzA2MwQAAAABMAcAAAAJNy8zMS8yMDI2CAAAAAg2LzEvMjAyNAkAAAABMOBckTA7794Iy72wNDvv3ggyQ0lRLk5BU0RBUTpDQUxNLklRX0dXX0lOVEFOLjk5Ni4zMS8wNy8yMDI2Li4uVVNELkgBAAAAIHoFAAIAAAAGNjIuMTM3AQgAAAAFAAAAATEBAAAACy0xOTg2NzA4NDMzAwAAAAMxNjACAAAABTM1MzgxBAAAAAEwBwAAAAk3LzMxLzIwMjYIAAAACTUvMjgvMjAyMgkAAAABMGI1kTA7794Inx6yNDvv3ghKQ0lRLk5BU0RBUTpDQUxNLklRX0FTU0VUU19ORVRUSU5HX09USEVSX0FESlVTVE1FTlRTLjk5OS4zMS8wNy8yMDI2Li4uVVNELkgBAAAAIHoFAAMAAAAAAPyqkTA7794Ivf6sNDvv3ghDQ0lRLk5BU0RBUTpDQUxNLklRX0RFUklWQVRJVkVfQVNTRVRTX0NVUlJFTlQuOTk2</t>
  </si>
  <si>
    <t>LjMxLzA3LzIwMjYuLi5VU0QuSAEAAAAgegUAAwAAAAAAzpCNMDvv3gggPKo0O+/eCDlDSVEuTkFTREFROkNBTE0uSVFfT1RIRVJfTFRfQVNTRVRTLjk5OS4zMS8wNy8yMDI2Li4uVVNELkgBAAAAIHoFAAIAAAAGMjcuODkyAQgAAAAFAAAAATEBAAAACy0xODgxMDY4Njc1AwAAAAMxNjACAAAABDEwNjAEAAAAATAHAAAACTcvMzEvMjAyNggAAAAJNS8zMS8yMDI1CQAAAAEwbNX6MDvv3giWibk0O+/eCDJDSVEuTkFTREFROkNBTE0uSVFfU1RfREVCVC4xMDAwLjMxLzA3LzIwMjYuLi5VU0QuSAEAAAAgegUAAwAAAAAAbNX6MDvv3gilFLk0O+/eCEBDSVEuTkFTREFROkNBTE0uSVFfQVNTRVRfV1JJVEVET1dOX1NVUFBMRS45OTcuMzEvMDcvMjAyNi4uLlVTRC5IAQAAACB6BQADAAAAAADxKRgxO+/eCDIayTQ7794IMUNJUS5OQVNEQVE6Q0FMTS5JUV9DT01NT04uMTAwMC4zMS8wNy8yMDI2Li4uVVNELkgBAAAAIHoFAAIAAAAFMC43NTEBCAAAAAUAAAABMQEAAAALLTE4ODEwNjg2NjgDAAAAAzE2MAIAAAAEMTEwMwQAAAABMAcAAAAJNy8zMS8yMDI2CAAAAAk1LzMwLzIwMjYJAAAAATBa+pAwO+/eCHMttjQ7794INkNJUS5OQVNEQVE6Q0FMTS5JUV9PVEhFUl9FUVVJVFkuOTk0LjMxLzA3LzIwMjYuLi5VU0QuSAEAAAAgegUAAgAAAAUwLjA3OQEIAAAABQAAAAExAQAAAAstMjA4ODM0NzQ2OQMAAAADMTYwAgAA</t>
  </si>
  <si>
    <t>AAQxMDI4BAAAAAEwBwAAAAk3LzMxLzIwMjYIAAAACTUvMzAvMjAyMAkAAAABMFr6kDA7794ITd+1NDvv3ggxQ0lRLk5BU0RBUTpDQUxNLklRX1JVQV9ORVQuOTk4LjMxLzA3LzIwMjYuLi5VU0QuSAEAAAAgegUAAwAAAAAAWvqQMDvv3ghT4LQ0O+/eCFJDSVEuTkFTREFROkNBTE0uSVFfRklOQU5DSU5HX09CTElHX0NVUlJFTlRfRVhDTF9PUEVSX0xFQVNFUy45OTkuMzEvMDcvMjAyNi4uLlVTRC5IAQAAACB6BQADAAAAAABiNZEwO+/eCAsyszQ7794IO0NJUS5OQVNEQVE6Q0FMTS5JUV9TVE9DS19CQVNFRF9PVEhFUi45OTcuMzEvMDcvMjAyNi4uLlVTRC5IAQAAACB6BQACAAAABTQuMjA1AQgAAAAFAAAAATEBAAAACy0xOTM0OTc4NDIwAwAAAAMxNjACAAAABTIyNjc2BAAAAAEwBwAAAAk3LzMxLzIwMjYIAAAACDYvMy8yMDIzCQAAAAEwziD2MDvv3giOdsc0O+/eCDVDSVEuTkFTREFROkNBTE0uSVFfQVJfVU5CSUxMRUQuOTk0LjMxLzA3LzIwMjYuLi5VU0QuSAEAAAAgegUAAwAAAAAA4FyRMDvv3giP+LA0O+/eCDNDSVEuTkFTREFROkNBTE0uSVFfT1RIRVJfSU5WLjk5OS4zMS8wNy8yMDI2Li4uVVNELkgBAAAAIHoFAAMAAAAAAOBckTA7794IuDSwNDvv3gg/Q0lRLk5BU0RBUTpDQUxNLklRX0xFQVNFSE9MRF9JTVBST1ZFTUVOVC45OTQuMzEvMDcvMjAyNi4uLlVTRC5IAQAAACB6BQADAAAAAAD7g5Ew</t>
  </si>
  <si>
    <t>O+/eCHCYrzQ7794IRUNJUS5OQVNEQVE6Q0FMTS5JUV9HRU5FUkFMX1BBUlRORVJfUFJFRl9FUVVJVFkuOTk4LjMxLzA3LzIwMjYuLi5VU0QuSAEAAAAgegUAAwAAAAAA+4ORMDvv3gj9wK40O+/eCDVDSVEuTkFTREFROkNBTE0uSVFfT1RIRVJfQU1PUlQuOTk1LjMxLzA3LzIwMjYuLi5VU0QuSAEAAAAgegUAAwAAAAAAziD2MDvv3ggBoMU0O+/eCDtDSVEuTkFTREFROkNBTE0uSVFfSU5TX1NFVFRMRV9TVVBQTEUuOTk1LjMxLzA3LzIwMjYuLi5VU0QuSAEAAAAgegUAAwAAAAAA8SkYMTvv3gj1t8g0O+/eCD5DSVEuTkFTREFROkNBTE0uSVFfVE9UQUxfVU5VU1VBTF9TVVBQTEUuOTk1LjMxLzA3LzIwMjYuLi5VU0QuSAEAAAAgegUAAwAAAAAA8SkYMTvv3gjfacg0O+/eCD5DSVEuTkFTREFROkNBTE0uSVFfTkVHQVRJVkVfR1dfQU1PUlRfQVQuOTk5LjMxLzA3LzIwMjYuLi5VU0QuSAEAAAAgegUAAwAAAAAAGlEYMTvv3gjYQsg0O+/eCDhDSVEuTkFTREFROkNBTE0uSVFfU1RPQ0tfQkFTRURfR0EuOTk3LjMxLzA3LzIwMjYuLi5VU0QuSAEAAAAgegUAAwAAAAAAGlEYMTvv3ghu9Mc0O+/eCC9DSVEuTkFTREFROkNBTE0uSVFfQ0FQRVguOTk3LjMxLzA3LzIwMjYuLi5VU0QuSAEAAAAgegUAAgAAAAgtMTM2LjU2OQEIAAAABQAAAAExAQAAAAstMTkzNDk3ODQyMAMAAAADMTYwAgAAAAQyMDIxBAAAAAEwBwAA</t>
  </si>
  <si>
    <t>AAk3LzMxLzIwMjYIAAAACDYvMy8yMDIzCQAAAAEw1kf2MDvv3gjAe8M0O+/eCD5DSVEuTkFTREFROkNBTE0uSVFfUkVTVFJfU1RPQ0tfQ09NUF9UQVguOTk1LjMxLzA3LzIwMjYuLi5VU0QuSAEAAAAgegUAAwAAAAAAziD2MDvv3giHAMc0O+/eCENDSVEuTkFTREFROkNBTE0uSVFfU1RPQ0tfT1BUSU9OU19DT01QX1BSRVRBWC45OTkuMzEvMDcvMjAyNi4uLlVTRC5IAQAAACB6BQADAAAAAADOIPYwO+/eCFrFxjQ7794IQUNJUS5OQVNEQVE6Q0FMTS5JUV9TVE9DS19CQVNFRF9DT01QX1BSRVRBWC45OTkuMzEvMDcvMjAyNi4uLlVTRC5IAQAAACB6BQACAAAABTQuNTI3AM4g9jA7794IN3fGNDvv3gg1Q0lRLk5BU0RBUTpDQUxNLklRX0RBX1NVUFBMX0NGLjk5Ny4zMS8wNy8yMDI2Li4uVVNELkgBAAAAIHoFAAIAAAACNzABCAAAAAUAAAABMQEAAAALLTE5MzQ5Nzg0MjADAAAAAzE2MAIAAAAEMjE3MQQAAAABMAcAAAAJNy8zMS8yMDI2CAAAAAg2LzMvMjAyMwkAAAABMM4g9jA7794I2AHGNDvv3ggyQ0lRLk5BU0RBUTpDQUxNLklRX1BSRUZfUkVQLjk5NS4zMS8wNy8yMDI2Li4uVVNELkgBAAAAIHoFAAMAAAAAAOZu9jA7794IuWvBNDvv3ggyQ0lRLk5BU0RBUTpDQUxNLklRX0xPQU5TX0NGLjk5OS4zMS8wNy8yMDI2Li4uVVNELkgBAAAAIHoFAAMAAAAAANZH9jA7794I1SrFNDvv3gg9Q0lRLk5BU0RBUTpD</t>
  </si>
  <si>
    <t>QUxNLklRX1RBWF9CRU5FRklUX09QVElPTlMuOTk3LjMxLzA3LzIwMjYuLi5VU0QuSAEAAAAgegUAAwAAAAAA1kf2MDvv3gi0tcQ0O+/eCD9DSVEuTkFTREFROkNBTE0uSVFfQ0hBTkdFX1RSQURJTkdfQVNTRVRTLjk5NS4zMS8wNy8yMDI2Li4uVVNELkgBAAAAIHoFAAMAAAAAANZH9jA7794I2j/ENDvv3gg4Q0lRLk5BU0RBUTpDQUxNLklRX0NIQU5HRV9JTkNfVEFYLjk5OS4zMS8wNy8yMDI2Li4uVVNELkgBAAAAIHoFAAIAAAAHLTQ1Ljk0NgEIAAAABQAAAAExAQAAAAstMTg4MTA2ODY3NQMAAAADMTYwAgAAAAQyMTAxBAAAAAEwBwAAAAk3LzMxLzIwMjYIAAAACTUvMzEvMjAyNQkAAAABMNZH9jA7794Iy7bDNDvv3ghHQ0lRLk5BU0RBUTpDQUxNLklRX0RBX1NVUFBMX0NGX0VYQ0xfT1BFUl9MRUFTRVMuMTAwMC4zMS8wNy8yMDI2Li4uVVNELkgBAAAAIHoFAAIAAAAHMTE3LjU3NwEIAAAABQAAAAExAQAAAAstMTg4MTA2ODY2OAMAAAADMTYwAgAAAAU0ODk4MwQAAAABMAcAAAAJNy8zMS8yMDI2CAAAAAk1LzMwLzIwMjYJAAAAATD2lfYwO+/eCNbNvzQ7794IPUNJUS5OQVNEQVE6Q0FMTS5JUV9TQUxFX1JFQUxfRVNUQVRFX0NGLjk5NS4zMS8wNy8yMDI2Li4uVVNELkgBAAAAIHoFAAMAAAAAAOZu9jA7794ImgbDNDvv3gg5Q0lRLk5BU0RBUTpDQUxNLklRX0lOVkVTVF9MT0FOU19DRi45OTUuMzEvMDcv</t>
  </si>
  <si>
    <t>MjAyNi4uLlVTRC5IAQAAACB6BQADAAAAAADmbvYwO+/eCFB9wjQ7794INUNJUS5OQVNEQVE6Q0FMTS5JUV9DQVNIX0lOVkVTVC45OTkuMzEvMDcvMjAyNi4uLlVTRC5IAQAAACB6BQACAAAACC01NzUuNDY5AQgAAAAFAAAAATEBAAAACy0xODgxMDY4Njc1AwAAAAMxNjACAAAABDIwMDUEAAAAATAHAAAACTcvMzEvMjAyNggAAAAJNS8zMS8yMDI1CQAAAAEw5m72MDvv3gh0VsI0O+/eCDhDSVEuTkFTREFROkNBTE0uSVFfU1RfREVCVF9SRVBBSUQuOTk3LjMxLzA3LzIwMjYuLi5VU0QuSAEAAAAgegUAAwAAAAAA5m72MDvv3gj2B8I0O+/eCERDSVEuTkFTREFROkNBTE0uSVFfQ0hBTkdFX05FVF9XT1JLSU5HX0NBUElUQUwuOTk4LjMxLzA3LzIwMjYuLi5VU0QuSAEAAAAgegUAAgAAAActOTIuNTYxAQgAAAAFAAAAATEBAAAACy0xODgxMDY4Njc2AwAAAAMxNjACAAAABDQ0MjEEAAAAATAHAAAACTcvMzEvMjAyNggAAAAINi8xLzIwMjQJAAAAATBsh/owO+/eCJ8LvjQ7794INUNJUS5OQVNEQVE6Q0FMTS5JUV9QUkVGX0RJVl9DRi45OTYuMzEvMDcvMjAyNi4uLlVTRC5IAQAAACB6BQADAAAAAADmbvYwO+/eCLdXwTQ7794IO0NJUS5OQVNEQVE6Q0FMTS5JUV9UT1RBTF9ESVZfUEFJRF9DRi45OTUuMzEvMDcvMjAyNi4uLlVTRC5IAQAAACB6BQACAAAABi0xLjY1MgEIAAAABQAAAAExAQAAAAstMjAzNzI0MTcy</t>
  </si>
  <si>
    <t>MQMAAAADMTYwAgAAAAQyMDIyBAAAAAEwBwAAAAk3LzMxLzIwMjYIAAAACTUvMjkvMjAyMQkAAAABMOZu9jA7794IYQnBNDvv3ghBQ0lRLk5BU0RBUTpDQUxNLklRX09USEVSX0ZJTkFOQ0VfQUNUX1NVUFBMLjk5NS4zMS8wNy8yMDI2Li4uVVNELkgBAAAAIHoFAAMAAAAAAOZu9jA7794Ias7ANDvv3ggsQ0lRLk5BU0RBUTpDQUxNLklRX0ZYLjk5Ni4zMS8wNy8yMDI2Li4uVVNELkgBAAAAIHoFAAMAAAAAAPaV9jA7794Ip6bANDvv3gg4Q0lRLk5BU0RBUTpDQUxNLklRX09USEVSX0NBX1NVUFBMLjk5NC4zMS8wNy8yMDI2Li4uVVNELkgBAAAAIHoFAAMAAAAAAFmu+jA7794IYP26NDvv3gg+Q0lRLk5BU0RBUTpDQUxNLklRX05FR0FUSVZFX0dXX0FNT1JUX0NGLjk5OS4zMS8wNy8yMDI2Li4uVVNELkgBAAAAIHoFAAMAAAAAAPaV9jA7794IpX+/NDvv3ghFQ0lRLk5BU0RBUTpDQUxNLklRX1NBTEVfUFJPQ0VFRFNfUkVOVEFMX0FTU0VUUy45OTQuMzEvMDcvMjAyNi4uLlVTRC5IAQAAACB6BQADAAAAAAD2lfYwO+/eCIRYvzQ7794IQENJUS5OQVNEQVE6Q0FMTS5JUV9DQVNIX0lOVEVSRVNUX1JFQ0VJVkVELjk5NS4zMS8wNy8yMDI2Li4uVVNELkgBAAAAIHoFAAMAAAAAAGyH+jA7794IUQq/NDvv3gg5Q0lRLk5BU0RBUTpDQUxNLklRX0NBU0hfVEFYRVNfT1BFUi45OTUuMzEvMDcvMjAyNi4uLlVTRC5IAQAA</t>
  </si>
  <si>
    <t>ACB6BQADAAAAAABsh/owO+/eCESVvjQ7794IOkNJUS5OQVNEQVE6Q0FMTS5JUV9GSU5fRElWX0xJQUJfTFQuMTAwMC4zMS8wNy8yMDI2Li4uVVNELkgBAAAAIHoFAAMAAAAAAHr8+jA7794I2qC3NDvv3ggyQ0lRLk5BU0RBUTpDQUxNLklRX0NGX1NIQVJFLjk5OC4zMS8wNy8yMDI2Li4uVVNELkgBAAAAIHoFAAIAAAAHNi4yNDU5MQEIAAAABQAAAAExAQAAAAstMTg4MTA2ODY3NgMAAAADMTYwAgAAAAU0MzkyMwQAAAABMAcAAAAJNy8zMS8yMDI2CAAAAAg2LzEvMjAyNAkAAAABMGyH+jA7794IZ5a9NDvv3ghLQ0lRLk5BU0RBUTpDQUxNLklRX0xPTkdfVEVSTV9ERUJUX1JFUEFJRF9FWENMX0xFQVNFUy45OTcuMzEvMDcvMjAyNi4uLlVTRC5IAQAAACB6BQACAAAABi0wLjIyNAEIAAAABQAAAAExAQAAAAstMTkzNDk3ODQyMAMAAAADMTYwAgAAAAU0ODk4NAQAAAABMAcAAAAJNy8zMS8yMDI2CAAAAAg2LzMvMjAyMwkAAAABMFmu+jA7794ICtO8NDvv3ggsQ0lRLk5BU0RBUTpDQUxNLklRX0FSLjk5Ni4zMS8wNy8yMDI2Li4uVVNELkgBAAAAIHoFAAIAAAAHMTY5LjEwOQEIAAAABQAAAAExAQAAAAstMTk4NjcwODQzMwMAAAADMTYwAgAAAAQxMDIxBAAAAAEwBwAAAAk3LzMxLzIwMjYIAAAACTUvMjgvMjAyMgkAAAABMFmu+jA7794I9CK8NDvv3gg4Q0lRLk5BU0RBUTpDQUxNLklRX0xPQU5TX0ZPUl9TQUxF</t>
  </si>
  <si>
    <t>Ljk5NS4zMS8wNy8yMDI2Li4uVVNELkgBAAAAIHoFAAMAAAAAAFmu+jA7794IITi7NDvv3ghSQ0lRLk5BU0RBUTpDQUxNLklRX0ZJTkFOQ0lOR19PQkxJR19DVVJSRU5UX0VYQ0xfT1BFUl9MRUFTRVMuOTk4LjMxLzA3LzIwMjYuLi5VU0QuSAEAAAAgegUAAwAAAAAAYjWRMDvv3ggLMrM0O+/eCC9DSVEuTkFTREFROkNBTE0uSVFfR1BQRS4xMDAwLjMxLzA3LzIwMjYuLi5VU0QuSAEAAAAgegUAAgAAAAgyMzA0LjcwOAEIAAAABQAAAAExAQAAAAstMTg4MTA2ODY2OAMAAAADMTYwAgAAAAQxMTY5BAAAAAEwBwAAAAk3LzMxLzIwMjYIAAAACTUvMzAvMjAyNgkAAAABMGzV+jA7794INq+6NDvv3gg7Q0lRLk5BU0RBUTpDQUxNLklRX0RFRl9UQVhfQVNTRVRTX0xULjk5Ny4zMS8wNy8yMDI2Li4uVVNELkgBAAAAIHoFAAMAAAAAAGzV+jA7794IwMS5NDvv3gg2Q0lRLk5BU0RBUTpDQUxNLklRX1RPVEFMX0FTU0VUUy45OTkuMzEvMDcvMjAyNi4uLlVTRC5IAQAAACB6BQACAAAACDMwODQuNjE5AQgAAAAFAAAAATEBAAAACy0xODgxMDY4Njc1AwAAAAMxNjACAAAABDEwMDcEAAAAATAHAAAACTcvMzEvMjAyNggAAAAJNS8zMS8yMDI1CQAAAAEwbNX6MDvv3gilYrk0O+/eCDFDSVEuTkFTREFROkNBTE0uSVFfU1RfREVCVC45OTguMzEvMDcvMjAyNi4uLlVTRC5IAQAAACB6BQADAAAAAABs1fowO+/eCKUUuTQ7794I</t>
  </si>
  <si>
    <t>O0NJUS5OQVNEQVE6Q0FMTS5JUV9BU1NFVFNfRkFJUl9WQUxVRS45OTYuMzEvMDcvMjAyNi4uLlVTRC5IAQAAACB6BQACAAAABzExOS4xODEA8FWNMDvv3gi+16w0O+/eCDBDSVEuTkFTREFROkNBTE0uSVFfQ09NTU9OLjk5OS4zMS8wNy8yMDI2Li4uVVNELkgBAAAAIHoFAAIAAAAFMC43NTEBCAAAAAUAAAABMQEAAAALLTE4ODEwNjg2NzUDAAAAAzE2MAIAAAAEMTEwMwQAAAABMAcAAAAJNy8zMS8yMDI2CAAAAAk1LzMxLzIwMjUJAAAAATBa+pAwO+/eCHMttjQ7794IN0NJUS5OQVNEQVE6Q0FMTS5JUV9UT1RBTF9FUVVJVFkuMTAwMC4zMS8wNy8yMDI2Li4uVVNELkgBAAAAIHoFAAIAAAAIMjY0MC41MzIBCAAAAAUAAAABMQEAAAALLTE4ODEwNjg2NjgDAAAAAzE2MAIAAAAEMTI3NQQAAAABMAcAAAAJNy8zMS8yMDI2CAAAAAk1LzMwLzIwMjYJAAAAATBa+pAwO+/eCPBptTQ7794IMUNJUS5OQVNEQVE6Q0FMTS5JUV9SVUFfTkVULjk5Ny4zMS8wNy8yMDI2Li4uVVNELkgBAAAAIHoFAAMAAAAAAFr6kDA7794IU+C0NDvv3ghQQ0lRLk5BU0RBUTpDQUxNLklRX0NVUlJFTlRfUE9SVElPTl9PUEVSX0xFQVNFX0xJQUJJTElUSUVTLjk5OS4zMS8wNy8yMDI2Li4uVVNELkgBAAAAIHoFAAMAAAAAAGI1kTA7794ILbuzNDvv3ggsQ0lRLk5BU0RBUTpDQUxNLklRX0FSLjk5NS4zMS8wNy8yMDI2Li4uVVNELkgBAAAA</t>
  </si>
  <si>
    <t>IHoFAAIAAAAGNzkuMDY2AQgAAAAFAAAAATEBAAAACy0yMDM3MjQxNzIxAwAAAAMxNjACAAAABDEwMjEEAAAAATAHAAAACTcvMzEvMjAyNggAAAAJNS8yOS8yMDIxCQAAAAEwWa76MDvv3gjO+7s0O+/eCDJDSVEuTkFTREFROkNBTE0uSVFfR1dfSU5UQU4uOTk1LjMxLzA3LzIwMjYuLi5VU0QuSAEAAAAgegUAAgAAAAY1NS44NjYBCAAAAAUAAAABMQEAAAALLTIwMzcyNDE3MjEDAAAAAzE2MAIAAAAFMzUzODEEAAAAATAHAAAACTcvMzEvMjAyNggAAAAJNS8yOS8yMDIxCQAAAAEwYjWRMDvv3gifHrI0O+/eCDNDSVEuTkFTREFROkNBTE0uSVFfTkVUX0RFQlQuMTAwMC4zMS8wNy8yMDI2Li4uVVNELkgBAAAAIHoFAAIAAAAILTkyNC4wNTcBCAAAAAUAAAABMQEAAAALLTE4ODEwNjg2NjgDAAAAAzE2MAIAAAAENDM2NAQAAAABMAcAAAAJNy8zMS8yMDI2CAAAAAk1LzMwLzIwMjYJAAAAATDgXJEwO+/eCNWBsTQ7794INUNJUS5OQVNEQVE6Q0FMTS5JUV9BUl9VTkJJTExFRC45OTkuMzEvMDcvMjAyNi4uLlVTRC5IAQAAACB6BQADAAAAAADgXJEwO+/eCMu9sDQ7794ILkNJUS5OQVNEQVE6Q0FMTS5JUV9MQU5ELjk5Ni4zMS8wNy8yMDI2Li4uVVNELkgBAAAAIHoFAAIAAAAHMTA5LjgzMwEIAAAABQAAAAExAQAAAAstMTk4NjcwODQzMwMAAAADMTYwAgAAAAQzMDk4BAAAAAEwBwAAAAk3LzMxLzIwMjYIAAAACTUv</t>
  </si>
  <si>
    <t>MjgvMjAyMgkAAAABMOBckTA7794IuDSwNDvv3gg7Q0lRLk5BU0RBUTpDQUxNLklRX0RFRl9UQVhfQVNTRVRTX0xULjk5Ni4zMS8wNy8yMDI2Li4uVVNELkgBAAAAIHoFAAMAAAAAAGzV+jA7794IwMS5NDvv3gg1Q0lRLk5BU0RBUTpDQUxNLklRX0xFVkVSRURfRkNGLjk5NS4zMS8wNy8yMDI2Li4uVVNELkgBAAAAIHoFAAIAAAALLTEwOS45NTIzNzUBCAAAAAUAAAABMQEAAAALLTIwMzcyNDE3MjEDAAAAAzE2MAIAAAAENDQyMgQAAAABMAcAAAAJNy8zMS8yMDI2CAAAAAk1LzI5LzIwMjEJAAAAATBsh/owO+/eCJ8LvjQ7794IMkNJUS5OQVNEQVE6Q0FMTS5JUV9DRl9TSEFSRS45OTcuMzEvMDcvMjAyNi4uLlVTRC5IAQAAACB6BQACAAAACTE0LjkzMjU5NwEIAAAABQAAAAExAQAAAAstMTkzNDk3ODQyMAMAAAADMTYwAgAAAAU0MzkyMwQAAAABMAcAAAAJNy8zMS8yMDI2CAAAAAg2LzMvMjAyMwkAAAABMGyH+jA7794IZ5a9NDvv3ghLQ0lRLk5BU0RBUTpDQUxNLklRX0xPTkdfVEVSTV9ERUJUX1JFUEFJRF9FWENMX0xFQVNFUy45OTYuMzEvMDcvMjAyNi4uLlVTRC5IAQAAACB6BQACAAAABi0wLjIxNQEIAAAABQAAAAExAQAAAAstMTk4NjcwODQzMwMAAAADMTYwAgAAAAU0ODk4NAQAAAABMAcAAAAJNy8zMS8yMDI2CAAAAAk1LzI4LzIwMjIJAAAAATBZrvowO+/eCPa+vDQ7794INENJUS5OQVNEQVE6Q0FM</t>
  </si>
  <si>
    <t>TS5JUV9TVF9JTlZFU1QuMTAwMC4zMS8wNy8yMDI2Li4uVVNELkgBAAAAIHoFAAIAAAAGODE2Ljg0AQgAAAAFAAAAATEBAAAACy0xODgxMDY4NjY4AwAAAAMxNjACAAAABDEwNjkEAAAAATAHAAAACTcvMzEvMjAyNggAAAAJNS8zMC8yMDI2CQAAAAEwWa76MDvv3gjZSbw0O+/eCDdDSVEuTkFTREFROkNBTE0uSVFfVU5FQVJOX1JFVl9MVC45OTcuMzEvMDcvMjAyNi4uLlVTRC5IAQAAACB6BQADAAAAAAB6/PowO+/eCNqgtzQ7794INkNJUS5OQVNEQVE6Q0FMTS5JUV9UT1RBTF9SRUNFSVYuOTk1LjMxLzA3LzIwMjYuLi5VU0QuSAEAAAAgegUAAgAAAAcxMjYuNjM5AQgAAAAFAAAAATEBAAAACy0yMDM3MjQxNzIxAwAAAAMxNjACAAAABDEwMDEEAAAAATAHAAAACTcvMzEvMjAyNggAAAAJNS8yOS8yMDIxCQAAAAEwWa76MDvv3gib1Ls0O+/eCDZDSVEuTkFTREFROkNBTE0uSVFfUFJFUEFJRF9FWFAuMTAwMC4zMS8wNy8yMDI2Li4uVVNELkgBAAAAIHoFAAIAAAAGMTEuNDg5AQgAAAAFAAAAATEBAAAACy0xODgxMDY4NjY4AwAAAAMxNjACAAAABDEyMTIEAAAAATAHAAAACTcvMzEvMjAyNggAAAAJNS8zMC8yMDI2CQAAAAEwWa76MDvv3gh/hrs0O+/eCDhDSVEuTkFTREFROkNBTE0uSVFfTE9BTlNfRk9SX1NBTEUuOTk0LjMxLzA3LzIwMjYuLi5VU0QuSAEAAAAgegUAAwAAAAAAWa76MDvv3gghOLs0O+/eCC5D</t>
  </si>
  <si>
    <t>SVEuTkFTREFROkNBTE0uSVFfR1BQRS45OTkuMzEvMDcvMjAyNi4uLlVTRC5IAQAAACB6BQACAAAACDE5MDUuODI0AQgAAAAFAAAAATEBAAAACy0xODgxMDY4Njc1AwAAAAMxNjACAAAABDExNjkEAAAAATAHAAAACTcvMzEvMjAyNggAAAAJNS8zMS8yMDI1CQAAAAEwbNX6MDvv3ghS1ro0O+/eCERDSVEuTkFTREFROkNBTE0uSVFfUlVBX09QRVJBVElOR19MRUFTRV9HUk9TUy4xMDAwLjMxLzA3LzIwMjYuLi5VU0QuSAEAAAAgegUAAwAAAAAAWvqQMDvv3giPpbQ0O+/eCDZDSVEuTkFTREFROkNBTE0uSVFfVE9UQUxfQVNTRVRTLjk5OC4zMS8wNy8yMDI2Li4uVVNELkgBAAAAIHoFAAIAAAAIMjE4NC43NjEBCAAAAAUAAAABMQEAAAALLTE4ODEwNjg2NzYDAAAAAzE2MAIAAAAEMTAwNwQAAAABMAcAAAAJNy8zMS8yMDI2CAAAAAg2LzEvMjAyNAkAAAABMGzV+jA7794IpWK5NDvv3ggxQ0lRLk5BU0RBUTpDQUxNLklRX1NUX0RFQlQuOTk3LjMxLzA3LzIwMjYuLi5VU0QuSAEAAAAgegUAAwAAAAAAbNX6MDvv3gilFLk0O+/eCD9DSVEuTkFTREFROkNBTE0uSVFfRklOX0RJVl9ERUJUX0NVUlJFTlQuMTAwMC4zMS8wNy8yMDI2Li4uVVNELkgBAAAAIHoFAAMAAAAAAGzV+jA7794Ifsa4NDvv3ggyQ0lRLk5BU0RBUTpDQUxNLklRX0xUX0RFQlQuMTAwMC4zMS8wNy8yMDI2Li4uVVNELkgBAAAAIHoFAAMAAAAAAHr8</t>
  </si>
  <si>
    <t>+jA7794IEha4NDvv3gg1Q0lRLk5BU0RBUTpDQUxNLklRX0FSX1VOQklMTEVELjk5Ny4zMS8wNy8yMDI2Li4uVVNELkgBAAAAIHoFAAMAAAAAAOBckTA7794Iy72wNDvv3gg2Q0lRLk5BU0RBUTpDQUxNLklRX1BSRUZfQ09OVkVSVC45OTguMzEvMDcvMjAyNi4uLlVTRC5IAQAAACB6BQADAAAAAABa+pAwO+/eCIx7tjQ7794IMENJUS5OQVNEQVE6Q0FMTS5JUV9DT01NT04uOTk4LjMxLzA3LzIwMjYuLi5VU0QuSAEAAAAgegUAAgAAAAUwLjc1MQEIAAAABQAAAAExAQAAAAstMTg4MTA2ODY3NgMAAAADMTYwAgAAAAQxMTAzBAAAAAEwBwAAAAk3LzMxLzIwMjYIAAAACDYvMS8yMDI0CQAAAAEwWvqQMDvv3ghzLbY0O+/eCDZDSVEuTkFTREFROkNBTE0uSVFfVE9UQUxfRVFVSVRZLjk5OS4zMS8wNy8yMDI2Li4uVVNELkgBAAAAIHoFAAIAAAAIMjU2Ni4wMTUBCAAAAAUAAAABMQEAAAALLTE4ODEwNjg2NzUDAAAAAzE2MAIAAAAEMTI3NQQAAAABMAcAAAAJNy8zMS8yMDI2CAAAAAk1LzMxLzIwMjUJAAAAATBa+pAwO+/eCPBptTQ7794IMUNJUS5OQVNEQVE6Q0FMTS5JUV9SVUFfTkVULjk5Ni4zMS8wNy8yMDI2Li4uVVNELkgBAAAAIHoFAAMAAAAAAFr6kDA7794IcRu1NDvv3gg7Q0lRLk5BU0RBUTpDQUxNLklRX05FVF9SRU5UQUxfRVhQX0ZOLjk5NS4zMS8wNy8yMDI2Li4uVVNELkgBAAAAIHoFAAMAAAAAAOkC</t>
  </si>
  <si>
    <t>GDE7794IasnKNDvv3ghQQ0lRLk5BU0RBUTpDQUxNLklRX0NVUlJFTlRfUE9SVElPTl9PUEVSX0xFQVNFX0xJQUJJTElUSUVTLjk5OC4zMS8wNy8yMDI2Li4uVVNELkgBAAAAIHoFAAMAAAAAAGI1kTA7794ILbuzNDvv3ghWQ0lRLk5BU0RBUTpDQUxNLklRX0ZJTkFOQ0lOR19PQkxJR19OT05fQ1VSUkVOVF9FWENMX09QRVJfTEVBU0VTLjk5NC4zMS8wNy8yMDI2Li4uVVNELkgBAAAAIHoFAAIAAAAFMC42NTIBCAAAAAUAAAABMQEAAAALLTIwODgzNDc0NjkDAAAAAzE2MAIAAAAFNDg5ODEEAAAAATAHAAAACTcvMzEvMjAyNggAAAAJNS8zMC8yMDIwCQAAAAEwYjWRMDvv3ggLMrM0O+/eCDJDSVEuTkFTREFROkNBTE0uSVFfQlZfU0hBUkUuOTk0LjMxLzA3LzIwMjYuLi5VU0QuSAEAAAAgegUAAgAAAAgyMC43MDEwOQEIAAAABQAAAAExAQAAAAstMjA4ODM0NzQ2OQMAAAADMTYwAgAAAAQ0MDIwBAAAAAEwBwAAAAk3LzMxLzIwMjYIAAAACTUvMzAvMjAyMAkAAAABMGI1kTA7794I7OOyNDvv3ghBQ0lRLk5BU0RBUTpDQUxNLklRX01JTk9SSVRZX0lOVEVSRVNUX1RPVEFMLjk5Ny4zMS8wNy8yMDI2Li4uVVNELkgBAAAAIHoFAAIAAAAGLTEuNDk4AQgAAAAFAAAAATEBAAAACy0xOTM0OTc4NDIwAwAAAAMxNjACAAAABDEzMTIEAAAAATAHAAAACTcvMzEvMjAyNggAAAAINi8zLzIwMjMJAAAAATDgXJEwO+/eCNWB</t>
  </si>
  <si>
    <t>sTQ7794IQENJUS5OQVNEQVE6Q0FMTS5JUV9BU1NFVF9XUklURURPV05fU1VQUExFLjk5NS4zMS8wNy8yMDI2Li4uVVNELkgBAAAAIHoFAAMAAAAAAPEpGDE7794IMhrJNDvv3gguQ0lRLk5BU0RBUTpDQUxNLklRX0xBTkQuOTk1LjMxLzA3LzIwMjYuLi5VU0QuSAEAAAAgegUAAgAAAAcxMDEuMTc0AQgAAAAFAAAAATEBAAAACy0yMDM3MjQxNzIxAwAAAAMxNjACAAAABDMwOTgEAAAAATAHAAAACTcvMzEvMjAyNggAAAAJNS8yOS8yMDIxCQAAAAEw4FyRMDvv3gjDW7A0O+/eCD1DSVEuTkFTREFROkNBTE0uSVFfTUlOT1JJVFlfSU5UX1JFREVFTS45OTYuMzEvMDcvMjAyNi4uLlVTRC5IAQAAACB6BQADAAAAAAD7g5EwO+/eCGBxrzQ7794IP0NJUS5OQVNEQVE6Q0FMTS5JUV9SRVNUUklDVEVEX0NBU0hfVE9UQUwuOTk5LjMxLzA3LzIwMjYuLi5VU0QuSAEAAAAgegUAAgAAAAExAQgAAAAFAAAAATEBAAAACy0xODgxMDY4Njc1AwAAAAMxNjACAAAABTI0MTkyBAAAAAEwBwAAAAk3LzMxLzIwMjYIAAAACTUvMzEvMjAyNQkAAAABMPBVjTA7794I12GrNDvv3ggzQ0lRLk5BU0RBUTpDQUxNLklRX01BUktFVElORy45OTcuMzEvMDcvMjAyNi4uLlVTRC5IAQAAACB6BQADAAAAAADpAhgxO+/eCJw+yzQ7794IO0NJUS5OQVNEQVE6Q0FMTS5JUV9TVE9DS19CQVNFRF9UT1RBTC45OTkuMzEvMDcvMjAyNi4uLlVTRC5I</t>
  </si>
  <si>
    <t>AQAAACB6BQACAAAABTQuNTI3AQgAAAAFAAAAATEBAAAACy0xODgxMDY4Njc1AwAAAAMxNjACAAAABTI0MDM0BAAAAAEwBwAAAAk3LzMxLzIwMjYIAAAACTUvMzEvMjAyNQkAAAABMM4g9jA7794IiifHNDvv3gg7Q0lRLk5BU0RBUTpDQUxNLklRX0NPTlRJTkdFTlRfUkVOVEFMLjk5NS4zMS8wNy8yMDI2Li4uVVNELkgBAAAAIHoFAAMAAAAAAOkCGDE7794Ip3nKNDvv3gg2Q0lRLk5BU0RBUTpDQUxNLklRX09USEVSX1JFTlRBTC45OTkuMzEvMDcvMjAyNi4uLlVTRC5IAQAAACB6BQADAAAAAADpAhgxO+/eCJNSyjQ7794INkNJUS5OQVNEQVE6Q0FMTS5JUV9NQUlOVF9SRVBBSVIuOTk3LjMxLzA3LzIwMjYuLi5VU0QuSAEAAAAgegUAAwAAAAAA8SkYMTvv3ghl3ck0O+/eCEFDSVEuTkFTREFROkNBTE0uSVFfU0FMQVJJRVNfT1RIRVJfQkVORUZJVFMuOTk3LjMxLzA3LzIwMjYuLi5VU0QuSAEAAAAgegUAAwAAAAAA8SkYMTvv3gglaMk0O+/eCDhDSVEuTkFTREFROkNBTE0uSVFfQ1JFRElUX0xPU1NfQ0YuOTk1LjMxLzA3LzIwMjYuLi5VU0QuSAEAAAAgegUAAwAAAAAA1kf2MDvv3gjIA8U0O+/eCDpDSVEuTkFTREFROkNBTE0uSVFfR0FJTl9CQVJHQUlOX0FDUS45OTkuMzEvMDcvMjAyNi4uLlVTRC5IAQAAACB6BQADAAAAAADxKRgxO+/eCMTyyDQ7794IPUNJUS5OQVNEQVE6Q0FMTS5JUV9MRUdBTF9TRVRU</t>
  </si>
  <si>
    <t>TEVfU1VQUExFLjk5OS4zMS8wNy8yMDI2Li4uVVNELkgBAAAAIHoFAAMAAAAAAPEpGDE7794I8JDINDvv3gg+Q0lRLk5BU0RBUTpDQUxNLklRX05FR0FUSVZFX0dXX0FNT1JUX0FULjk5Ny4zMS8wNy8yMDI2Li4uVVNELkgBAAAAIHoFAAMAAAAAABpRGDE7794I2ELINDvv3gg4Q0lRLk5BU0RBUTpDQUxNLklRX1NUT0NLX0JBU0VEX0dBLjk5NS4zMS8wNy8yMDI2Li4uVVNELkgBAAAAIHoFAAMAAAAAABpRGDE7794I9p3HNDvv3ggvQ0lRLk5BU0RBUTpDQUxNLklRX0NBUEVYLjk5NS4zMS8wNy8yMDI2Li4uVVNELkgBAAAAIHoFAAIAAAAHLTk1LjA2OQEIAAAABQAAAAExAQAAAAstMjAzNzI0MTcyMQMAAAADMTYwAgAAAAQyMDIxBAAAAAEwBwAAAAk3LzMxLzIwMjYIAAAACTUvMjkvMjAyMQkAAAABMNZH9jA7794IoVTDNDvv3ghDQ0lRLk5BU0RBUTpDQUxNLklRX1NUT0NLX09QVElPTlNfQ09NUF9QUkVUQVguOTk3LjMxLzA3LzIwMjYuLi5VU0QuSAEAAAAgegUAAwAAAAAAziD2MDvv3giR7MY0O+/eCD5DSVEuTkFTREFROkNBTE0uSVFfU1RPQ0tfQkFTRURfQ09NUF9UQVguOTk1LjMxLzA3LzIwMjYuLi5VU0QuSAEAAAAgegUAAwAAAAAAziD2MDvv3ggoUMY0O+/eCDRDSVEuTkFTREFROkNBTE0uSVFfT0lMX0lNUEFJUi45OTkuMzEvMDcvMjAyNi4uLlVTRC5IAQAAACB6BQADAAAAAADOIPYwO+/eCA/HxTQ7</t>
  </si>
  <si>
    <t>794IOENJUS5OQVNEQVE6Q0FMTS5JUV9HQUlOX0FTU0VUU19DRi45OTcuMzEvMDcvMjAyNi4uLlVTRC5IAQAAACB6BQADAAAAAADOIPYwO+/eCAB5xTQ7794IO0NJUS5OQVNEQVE6Q0FMTS5JUV9UT1RBTF9ERUJUX1JFUEFJRC45OTguMzEvMDcvMjAyNi4uLlVTRC5IAQAAACB6BQACAAAABi0wLjIxNAEIAAAABQAAAAExAQAAAAstMTg4MTA2ODY3NgMAAAADMTYwAgAAAAQyMTY2BAAAAAEwBwAAAAk3LzMxLzIwMjYIAAAACDYvMS8yMDI0CQAAAAEw5m72MDvv3gg84cE0O+/eCD1DSVEuTkFTREFROkNBTE0uSVFfVEFYX0JFTkVGSVRfT1BUSU9OUy45OTUuMzEvMDcvMjAyNi4uLlVTRC5IAQAAACB6BQADAAAAAADWR/YwO+/eCLS1xDQ7794IL0NJUS5OQVNEQVE6Q0FMTS5JUV9ET19DRi45OTkuMzEvMDcvMjAyNi4uLlVTRC5IAQAAACB6BQADAAAAAADWR/YwO+/eCGWOxDQ7794IOkNJUS5OQVNEQVE6Q0FMTS5JUV9DSEFOR0VfSU5WRU5UT1JZLjk5Ny4zMS8wNy8yMDI2Li4uVVNELkgBAAAAIHoFAAIAAAAHLTIxLjEwMgEIAAAABQAAAAExAQAAAAstMTkzNDk3ODQyMAMAAAADMTYwAgAAAAQyMDk5BAAAAAEwBwAAAAk3LzMxLzIwMjYIAAAACDYvMy8yMDIzCQAAAAEw1kf2MDvv3ggLLMQ0O+/eCDhDSVEuTkFTREFROkNBTE0uSVFfQ0hBTkdFX0lOQ19UQVguOTk3LjMxLzA3LzIwMjYuLi5VU0QuSAEAAAAgegUA</t>
  </si>
  <si>
    <t>AgAAAActNDIuMjE4AQgAAAAFAAAAATEBAAAACy0xOTM0OTc4NDIwAwAAAAMxNjACAAAABDIxMDEEAAAAATAHAAAACTcvMzEvMjAyNggAAAAINi8zLzIwMjMJAAAAATDWR/YwO+/eCMu2wzQ7794IRUNJUS5OQVNEQVE6Q0FMTS5JUV9TQUxFX1BST0NFRURTX1JFTlRBTF9BU1NFVFMuOTk5LjMxLzA3LzIwMjYuLi5VU0QuSAEAAAAgegUAAwAAAAAA9pX2MDvv3giEWL80O+/eCDlDSVEuTkFTREFROkNBTE0uSVFfQ0FTSF9BQ1FVSVJFX0NGLjk5OS4zMS8wNy8yMDI2Li4uVVNELkgBAAAAIHoFAAIAAAAILTExNi4xOTMBCAAAAAUAAAABMQEAAAALLTE4ODEwNjg2NzUDAAAAAzE2MAIAAAAEMjA1NwQAAAABMAcAAAAJNy8zMS8yMDI2CAAAAAk1LzMxLzIwMjUJAAAAATDWR/YwO+/eCIUtwzQ7794IN0NJUS5OQVNEQVE6Q0FMTS5JUV9TQUxFX0lOVEFOX0NGLjk5OS4zMS8wNy8yMDI2Li4uVVNELkgBAAAAIHoFAAMAAAAAAOZu9jA7794IRqTCNDvv3gg1Q0lRLk5BU0RBUTpDQUxNLklRX0NBU0hfSU5WRVNULjk5Ny4zMS8wNy8yMDI2Li4uVVNELkgBAAAAIHoFAAIAAAAILTM3NS4xMTEBCAAAAAUAAAABMQEAAAALLTE5MzQ5Nzg0MjADAAAAAzE2MAIAAAAEMjAwNQQAAAABMAcAAAAJNy8zMS8yMDI2CAAAAAg2LzMvMjAyMwkAAAABMOZu9jA7794IdFbCNDvv3gg4Q0lRLk5BU0RBUTpDQUxNLklRX1NUX0RFQlRfUkVQ</t>
  </si>
  <si>
    <t>QUlELjk5NS4zMS8wNy8yMDI2Li4uVVNELkgBAAAAIHoFAAMAAAAAAOZu9jA7794I9gfCNDvv3gg3Q0lRLk5BU0RBUTpDQUxNLklRX0RPX0lOVkVTVF9DRi4xMDAwLjMxLzA3LzIwMjYuLi5VU0QuSAEAAAAgegUAAwAAAAAAbIf6MDvv3ghzSL00O+/eCENDSVEuTkFTREFROkNBTE0uSVFfR1dfSU5UQU5fQU1PUlRfUEFSVElBTF9DRi45OTkuMzEvMDcvMjAyNi4uLlVTRC5IAQAAACB6BQADAAAAAAD2lfYwO+/eCNVDwDQ7794IR0NJUS5OQVNEQVE6Q0FMTS5JUV9ERVBSRUNJQVRJT05fUkVOVEFMX0FTU0VUU19DRi45OTguMzEvMDcvMjAyNi4uLlVTRC5IAQAAACB6BQADAAAAAAD2lfYwO+/eCAsJwDQ7794IRkNJUS5OQVNEQVE6Q0FMTS5JUV9EQV9TVVBQTF9DRl9FWENMX09QRVJfTEVBU0VTLjk5OC4zMS8wNy8yMDI2Li4uVVNELkgBAAAAIHoFAAIAAAAGNzguMDY4AQgAAAAFAAAAATEBAAAACy0xODgxMDY4Njc2AwAAAAMxNjACAAAABTQ4OTgzBAAAAAEwBwAAAAk3LzMxLzIwMjYIAAAACDYvMS8yMDI0CQAAAAEw9pX2MDvv3gjC4b80O+/eCDZDSVEuTkFTREFROkNBTE0uSVFfQU1PUlRfRElDX0NGLjk5NC4zMS8wNy8yMDI2Li4uVVNELkgBAAAAIHoFAAMAAAAAAPaV9jA7794ImKa/NDvv3gguQ0lRLk5BU0RBUTpDQUxNLklRX0dQUEUuOTk4LjMxLzA3LzIwMjYuLi5VU0QuSAEAAAAgegUAAgAAAAgxNjYy</t>
  </si>
  <si>
    <t>LjE3NAEIAAAABQAAAAExAQAAAAstMTg4MTA2ODY3NgMAAAADMTYwAgAAAAQxMTY5BAAAAAEwBwAAAAk3LzMxLzIwMjYIAAAACDYvMS8yMDI0CQAAAAEwbNX6MDvv3gg2r7o0O+/eCD9DSVEuTkFTREFROkNBTE0uSVFfQ0FTSF9JTlRFUkVTVF9JTlZFU1QuMTAwMC4zMS8wNy8yMDI2Li4uVVNELkgBAAAAIHoFAAMAAAAAAGyH+jA7794IQby+NDvv3gg6Q0lRLk5BU0RBUTpDQUxNLklRX0NBU0hfVEFYRVNfRklOQU4uOTk5LjMxLzA3LzIwMjYuLi5VU0QuSAEAAAAgegUAAwAAAAAAbIf6MDvv3gjBRr40O+/eCDVDSVEuTkFTREFROkNBTE0uSVFfTEVWRVJFRF9GQ0YuOTk0LjMxLzA3LzIwMjYuLi5VU0QuSAEAAAAgegUAAgAAAAotODQuNTg2ODc1AQgAAAAFAAAAATEBAAAACy0yMDg4MzQ3NDY5AwAAAAMxNjACAAAABDQ0MjIEAAAAATAHAAAACTcvMzEvMjAyNggAAAAJNS8zMC8yMDIwCQAAAAEwbIf6MDvv3gifC740O+/eCDlDSVEuTkFTREFROkNBTE0uSVFfTkVUX0RFQlRfSVNTVUVELjk5NC4zMS8wNy8yMDI2Li4uVVNELkgBAAAAIHoFAAIAAAAGLTEuNjk2AQgAAAAFAAAAATEBAAAACy0yMDg4MzQ3NDY5AwAAAAMxNjACAAAABDIwMDMEAAAAATAHAAAACTcvMzEvMjAyNggAAAAJNS8zMC8yMDIwCQAAAAEwbIf6MDvv3ghnlr00O+/eCDFDSVEuTkFTREFROkNBTE0uSVFfTFRfREVCVC45OTguMzEvMDcvMjAy</t>
  </si>
  <si>
    <t>Ni4uLlVTRC5IAQAAACB6BQADAAAAAAB6/PowO+/eCNgpuDQ7794IRUNJUS5OQVNEQVE6Q0FMTS5JUV9PUEVSQVRJTkdfTEVBU0VfTElBQklMSVRJRVMuOTk5LjMxLzA3LzIwMjYuLi5VU0QuSAEAAAAgegUAAwAAAAAAbIf6MDvv3ghF+rw0O+/eCDhDSVEuTkFTREFROkNBTE0uSVFfVFJBRElOR19BU1NFVFMuOTk3LjMxLzA3LzIwMjYuLi5VU0QuSAEAAAAgegUAAwAAAAAAWa76MDvv3gjZSbw0O+/eCDVDSVEuTkFTREFROkNBTE0uSVFfUFJFUEFJRF9FWFAuOTk5LjMxLzA3LzIwMjYuLi5VU0QuSAEAAAAgegUAAgAAAAU2Ljk3OQEIAAAABQAAAAExAQAAAAstMTg4MTA2ODY3NQMAAAADMTYwAgAAAAQxMjEyBAAAAAEwBwAAAAk3LzMxLzIwMjYIAAAACTUvMzEvMjAyNQkAAAABMFmu+jA7794If4a7NDvv3gg4Q0lRLk5BU0RBUTpDQUxNLklRX0xPQU5TX0ZPUl9TQUxFLjk5OS4zMS8wNy8yMDI2Li4uVVNELkgBAAAAIHoFAAMAAAAAAFmu+jA7794IITi7NDvv3ghDQ0lRLk5BU0RBUTpDQUxNLklRX1JVQV9PUEVSQVRJTkdfTEVBU0VfR1JPU1MuOTk5LjMxLzA3LzIwMjYuLi5VU0QuSAEAAAAgegUAAwAAAAAAWvqQMDvv3giPpbQ0O+/eCDZDSVEuTkFTREFROkNBTE0uSVFfVE9UQUxfQVNTRVRTLjk5Ny4zMS8wNy8yMDI2Li4uVVNELkgBAAAAIHoFAAIAAAAIMTk1NC41MjUBCAAAAAUAAAABMQEAAAALLTE5MzQ5</t>
  </si>
  <si>
    <t>Nzg0MjADAAAAAzE2MAIAAAAEMTAwNwQAAAABMAcAAAAJNy8zMS8yMDI2CAAAAAg2LzMvMjAyMwkAAAABMGzV+jA7794IpWK5NDvv3ggxQ0lRLk5BU0RBUTpDQUxNLklRX1NUX0RFQlQuOTk2LjMxLzA3LzIwMjYuLi5VU0QuSAEAAAAgegUAAwAAAAAAbNX6MDvv3gilFLk0O+/eCD5DSVEuTkFTREFROkNBTE0uSVFfRklOX0RJVl9MSUFCX0NVUlJFTlQuOTk3LjMxLzA3LzIwMjYuLi5VU0QuSAEAAAAgegUAAwAAAAAAbNX6MDvv3gh+xrg0O+/eCD1DSVEuTkFTREFROkNBTE0uSVFfVU5FQVJOX1JFVl9DVVJSRU5ULjEwMDAuMzEvMDcvMjAyNi4uLlVTRC5IAQAAACB6BQADAAAAAAB6/PowO+/eCDZ4uDQ7794IPUNJUS5OQVNEQVE6Q0FMTS5JUV9NSU5PUklUWV9JTlRfUkVERUVNLjk5NS4zMS8wNy8yMDI2Li4uVVNELkgBAAAAIHoFAAMAAAAAAPuDkTA7794IYHGvNDvv3gg3Q0lRLk5BU0RBUTpDQUxNLklRX1VORUFSTl9SRVZfTFQuOTk2LjMxLzA3LzIwMjYuLi5VU0QuSAEAAAAgegUAAwAAAAAAevz6MDvv3gjaoLc0O+/eCDZDSVEuTkFTREFROkNBTE0uSVFfUFJFRl9DT05WRVJULjk5Ny4zMS8wNy8yMDI2Li4uVVNELkgBAAAAIHoFAAMAAAAAAHr8+jA7794IjHu2NDvv3gguQ0lRLk5BU0RBUTpDQUxNLklRX0FQSUMuOTk1LjMxLzA3LzIwMjYuLi5VU0QuSAEAAAAgegUAAgAAAAY2NC4wNDQBCAAAAAUAAAAB</t>
  </si>
  <si>
    <t>MQEAAAALLTIwMzcyNDE3MjEDAAAAAzE2MAIAAAAEMTA4NAQAAAABMAcAAAAJNy8zMS8yMDI2CAAAAAk1LzI5LzIwMjEJAAAAATBa+pAwO+/eCHMttjQ7794IO0NJUS5OQVNEQVE6Q0FMTS5JUV9UT1RBTF9MSUFCX0VRVUlUWS45OTYuMzEvMDcvMjAyNi4uLlVTRC5IAQAAACB6BQACAAAACDE0MjcuNDg5AQgAAAAFAAAAATEBAAAACy0xOTg2NzA4NDMzAwAAAAMxNjACAAAABDEwMTMEAAAAATAHAAAACTcvMzEvMjAyNggAAAAJNS8yOC8yMDIyCQAAAAEwWvqQMDvv3gjwabU0O+/eCDtDSVEuTkFTREFROkNBTE0uSVFfVE9UQUxfREVCVF9SRVBBSUQuOTk3LjMxLzA3LzIwMjYuLi5VU0QuSAEAAAAgegUAAgAAAAYtMC4yMjQBCAAAAAUAAAABMQEAAAALLTE5MzQ5Nzg0MjADAAAAAzE2MAIAAAAEMjE2NgQAAAABMAcAAAAJNy8zMS8yMDI2CAAAAAg2LzMvMjAyMwkAAAABMOZu9jA7794IPOHBNDvv3gg/Q0lRLk5BU0RBUTpDQUxNLklRX05QUEVfRVhDTF9PUEVSX0xFQVNFUy45OTcuMzEvMDcvMjAyNi4uLlVTRC5IAQAAACB6BQACAAAABjc0NC41NAEIAAAABQAAAAExAQAAAAstMTkzNDk3ODQyMAMAAAADMTYwAgAAAAU0ODk3NgQAAAABMAcAAAAJNy8zMS8yMDI2CAAAAAg2LzMvMjAyMwkAAAABMFr6kDA7794IWDC0NDvv3ghQQ0lRLk5BU0RBUTpDQUxNLklRX0NVUlJFTlRfUE9SVElPTl9PUEVSX0xFQVNFX0xJ</t>
  </si>
  <si>
    <t>QUJJTElUSUVTLjk5Ny4zMS8wNy8yMDI2Li4uVVNELkgBAAAAIHoFAAMAAAAAAGI1kTA7794ILbuzNDvv3ghBQ0lRLk5BU0RBUTpDQUxNLklRX01JTk9SSVRZX0lOVEVSRVNUX1RPVEFMLjk5NS4zMS8wNy8yMDI2Li4uVVNELkgBAAAAIHoFAAMAAAAAAOBckTA7794I1YGxNDvv3gguQ0lRLk5BU0RBUTpDQUxNLklRX0xBTkQuOTk5LjMxLzA3LzIwMjYuLi5VU0QuSAEAAAAgegUAAgAAAAcxNTguNjI3AQgAAAAFAAAAATEBAAAACy0xODgxMDY4Njc1AwAAAAMxNjACAAAABDMwOTgEAAAAATAHAAAACTcvMzEvMjAyNggAAAAJNS8zMS8yMDI1CQAAAAEw4FyRMDvv3gi4NLA0O+/eCD5DSVEuTkFTREFROkNBTE0uSVFfQ0FTSF9JTlRFUkVTVF9JTlZFU1QuOTk5LjMxLzA3LzIwMjYuLi5VU0QuSAEAAAAgegUAAwAAAAAAbIf6MDvv3ghBvL40O+/eCDxDSVEuTkFTREFROkNBTE0uSVFfR1JPU1NfSU5UQU5fQVNTRVRTLjk5NC4zMS8wNy8yMDI2Li4uVVNELkgBAAAAIHoFAAIAAAAGNTIuNTg5AQgAAAAFAAAAATEBAAAACy0yMDg4MzQ3NDY5AwAAAAMxNjACAAAABTI0MjkzBAAAAAEwBwAAAAk3LzMxLzIwMjYIAAAACTUvMzAvMjAyMAkAAAABMM6QjTA7794IExWqNDvv3gg1Q0lRLk5BU0RBUTpDQUxNLklRX0NBU0hfSU5WRVNULjk5Ni4zMS8wNy8yMDI2Li4uVVNELkgBAAAAIHoFAAIAAAAILTExNy4wMjEBCAAAAAUA</t>
  </si>
  <si>
    <t>AAABMQEAAAALLTE5ODY3MDg0MzMDAAAAAzE2MAIAAAAEMjAwNQQAAAABMAcAAAAJNy8zMS8yMDI2CAAAAAk1LzI4LzIwMjIJAAAAATDmbvYwO+/eCHRWwjQ7794IOUNJUS5OQVNEQVE6Q0FMTS5JUV9MVF9ERUJUX0lTU1VFRC4xMDAwLjMxLzA3LzIwMjYuLi5VU0QuSAEAAAAgegUAAwAAAAAA5m72MDvv3ggRL8I0O+/eCDhDSVEuTkFTREFROkNBTE0uSVFfU1RfREVCVF9SRVBBSUQuOTk0LjMxLzA3LzIwMjYuLi5VU0QuSAEAAAAgegUAAwAAAAAA5m72MDvv3gj2B8I0O+/eCEVDSVEuTkFTREFROkNBTE0uSVFfT1BFUkFUSU5HX0xFQVNFX0xJQUJJTElUSUVTLjk5OC4zMS8wNy8yMDI2Li4uVVNELkgBAAAAIHoFAAMAAAAAAGyH+jA7794IRfq8NDvv3ghDQ0lRLk5BU0RBUTpDQUxNLklRX0dXX0lOVEFOX0FNT1JUX1BBUlRJQUxfQ0YuOTk4LjMxLzA3LzIwMjYuLi5VU0QuSAEAAAAgegUAAwAAAAAA9pX2MDvv3gjVQ8A0O+/eCEdDSVEuTkFTREFROkNBTE0uSVFfREVQUkVDSUFUSU9OX1JFTlRBTF9BU1NFVFNfQ0YuOTk3LjMxLzA3LzIwMjYuLi5VU0QuSAEAAAAgegUAAwAAAAAA9pX2MDvv3ggLCcA0O+/eCEZDSVEuTkFTREFROkNBTE0uSVFfREFfU1VQUExfQ0ZfRVhDTF9PUEVSX0xFQVNFUy45OTcuMzEvMDcvMjAyNi4uLlVTRC5IAQAAACB6BQACAAAAAjcwAQgAAAAFAAAAATEBAAAACy0xOTM0OTc4NDIw</t>
  </si>
  <si>
    <t>AwAAAAMxNjACAAAABTQ4OTgzBAAAAAEwBwAAAAk3LzMxLzIwMjYIAAAACDYvMy8yMDIzCQAAAAEw9pX2MDvv3gjC4b80O+/eCDdDSVEuTkFTREFROkNBTE0uSVFfQ0FTSF9JTlRFUkVTVC45OTQuMzEvMDcvMjAyNi4uLlVTRC5IAQAAACB6BQACAAAABTAuNDk4AQgAAAAFAAAAATEBAAAACy0yMDg4MzQ3NDY5AwAAAAMxNjACAAAABDMwMjgEAAAAATAHAAAACTcvMzEvMjAyNggAAAAJNS8zMC8yMDIwCQAAAAEwNWD6MDvv3giEWL80O+/eCD5DSVEuTkFTREFROkNBTE0uSVFfRklOX0RJVl9MSUFCX0NVUlJFTlQuOTk2LjMxLzA3LzIwMjYuLi5VU0QuSAEAAAAgegUAAwAAAAAAbNX6MDvv3gh+xrg0O+/eCDpDSVEuTkFTREFROkNBTE0uSVFfQ0FTSF9UQVhFU19PUEVSLjEwMDAuMzEvMDcvMjAyNi4uLlVTRC5IAQAAACB6BQADAAAAAABsh/owO+/eCEluvjQ7794IOkNJUS5OQVNEQVE6Q0FMTS5JUV9DQVNIX1RBWEVTX0ZJTkFOLjk5Ny4zMS8wNy8yMDI2Li4uVVNELkgBAAAAIHoFAAMAAAAAAGyH+jA7794IwUa+NDvv3gg2Q0lRLk5BU0RBUTpDQUxNLklRX0xFVkVSRURfRkNGLjEwMDAuMzEvMDcvMjAyNi4uLlVTRC5IAQAAACB6BQACAAAABjguNzk2NQEIAAAABQAAAAExAQAAAAstMTg4MTA2ODY2OAMAAAADMTYwAgAAAAQ0NDIyBAAAAAEwBwAAAAk3LzMxLzIwMjYIAAAACTUvMzAvMjAyNgkAAAABMGyH+jA7</t>
  </si>
  <si>
    <t>794Is729NDvv3gg2Q0lRLk5BU0RBUTpDQUxNLklRX0RPX0lOVkVTVF9DRi45OTkuMzEvMDcvMjAyNi4uLlVTRC5IAQAAACB6BQADAAAAAABsh/owO+/eCHNIvTQ7794ILkNJUS5OQVNEQVE6Q0FMTS5JUV9BUElDLjk5NC4zMS8wNy8yMDI2Li4uVVNELkgBAAAAIHoFAAIAAAAGNjAuMzcyAQgAAAAFAAAAATEBAAAACy0yMDg4MzQ3NDY5AwAAAAMxNjACAAAABDEwODQEAAAAATAHAAAACTcvMzEvMjAyNggAAAAJNS8zMC8yMDIwCQAAAAEwWvqQMDvv3ghzLbY0O+/eCDhDSVEuTkFTREFROkNBTE0uSVFfVFJBRElOR19BU1NFVFMuOTk2LjMxLzA3LzIwMjYuLi5VU0QuSAEAAAAgegUAAwAAAAAAWa76MDvv3gjZSbw0O+/eCD9DSVEuTkFTREFROkNBTE0uSVFfRklOX0RJVl9MT0FOU19DVVJSRU5ULjk5NS4zMS8wNy8yMDI2Li4uVVNELkgBAAAAIHoFAAMAAAAAAFmu+jA7794If4a7NDvv3ghAQ0lRLk5BU0RBUTpDQUxNLklRX0RFRl9UQVhfQVNTRVRTX0NVUlJFTlQuOTk0LjMxLzA3LzIwMjYuLi5VU0QuSAEAAAAgegUAAwAAAAAAWa76MDvv3gghOLs0O+/eCCxDSVEuTkFTREFROkNBTE0uSVFfQVAuOTk0LjMxLzA3LzIwMjYuLi5VU0QuSAEAAAAgegUAAgAAAAY1NS45MDQBCAAAAAUAAAABMQEAAAALLTIwODgzNDc0NjkDAAAAAzE2MAIAAAAEMTAxOAQAAAABMAcAAAAJNy8zMS8yMDI2CAAAAAk1LzMwLzIwMjAJ</t>
  </si>
  <si>
    <t>AAAAATBs1fowO+/eCKViuTQ7794IVkNJUS5OQVNEQVE6Q0FMTS5JUV9GSU5BTkNJTkdfT0JMSUdfTk9OX0NVUlJFTlRfRVhDTF9PUEVSX0xFQVNFUy45OTguMzEvMDcvMjAyNi4uLlVTRC5IAQAAACB6BQADAAAAAABiNZEwO+/eCAsyszQ7794IPENJUS5OQVNEQVE6Q0FMTS5JUV9VTkVBUk5fUkVWX0NVUlJFTlQuOTk5LjMxLzA3LzIwMjYuLi5VU0QuSAEAAAAgegUAAwAAAAAAevz6MDvv3gg2eLg0O+/eCDFDSVEuTkFTREFROkNBTE0uSVFfTFRfREVCVC45OTcuMzEvMDcvMjAyNi4uLlVTRC5IAQAAACB6BQADAAAAAAB6/PowO+/eCNgpuDQ7794IN0NJUS5OQVNEQVE6Q0FMTS5JUV9VTkVBUk5fUkVWX0xULjk5NS4zMS8wNy8yMDI2Li4uVVNELkgBAAAAIHoFAAMAAAAAAHr8+jA7794I2nm3NDvv3gg2Q0lRLk5BU0RBUTpDQUxNLklRX1BSRUZfQ09OVkVSVC45OTYuMzEvMDcvMjAyNi4uLlVTRC5IAQAAACB6BQADAAAAAAB6/PowO+/eCIx7tjQ7794IQkNJUS5OQVNEQVE6Q0FMTS5JUV9BQ0NVTV9BTU9SVF9JTlRBTl9BU1NFVFMuOTk1LjMxLzA3LzIwMjYuLi5VU0QuSAEAAAAgegUAAwAAAAAAzpCNMDvv3gge7qk0O+/eCDtDSVEuTkFTREFROkNBTE0uSVFfVE9UQUxfTElBQl9FUVVJVFkuOTk1LjMxLzA3LzIwMjYuLi5VU0QuSAEAAAAgegUAAgAAAAgxMjI5LjE3NAEIAAAABQAAAAExAQAAAAstMjAzNzI0</t>
  </si>
  <si>
    <t>MTcyMQMAAAADMTYwAgAAAAQxMDEzBAAAAAEwBwAAAAk3LzMxLzIwMjYIAAAACTUvMjkvMjAyMQkAAAABMFr6kDA7794IsUK1NDvv3ghDQ0lRLk5BU0RBUTpDQUxNLklRX1JVQV9PUEVSQVRJTkdfTEVBU0VfR1JPU1MuOTk4LjMxLzA3LzIwMjYuLi5VU0QuSAEAAAAgegUAAwAAAAAAWvqQMDvv3gh2frQ0O+/eCD9DSVEuTkFTREFROkNBTE0uSVFfTlBQRV9FWENMX09QRVJfTEVBU0VTLjk5Ni4zMS8wNy8yMDI2Li4uVVNELkgBAAAAIHoFAAIAAAAHNjc3Ljc5NgEIAAAABQAAAAExAQAAAAstMTk4NjcwODQzMwMAAAADMTYwAgAAAAU0ODk3NgQAAAABMAcAAAAJNy8zMS8yMDI2CAAAAAk1LzI4LzIwMjIJAAAAATBa+pAwO+/eCFgwtDQ7794IUENJUS5OQVNEQVE6Q0FMTS5JUV9DVVJSRU5UX1BPUlRJT05fT1BFUl9MRUFTRV9MSUFCSUxJVElFUy45OTUuMzEvMDcvMjAyNi4uLlVTRC5IAQAAACB6BQACAAAABTAuNjkxAQgAAAAFAAAAATEBAAAACy0yMDM3MjQxNzIxAwAAAAMxNjACAAAABTQ4Mzg1BAAAAAEwBwAAAAk3LzMxLzIwMjYIAAAACTUvMjkvMjAyMQkAAAABMGI1kTA7794I5pOzNDvv3ggyQ0lRLk5BU0RBUTpDQUxNLklRX0NGX1NIQVJFLjk5NS4zMS8wNy8yMDI2Li4uVVNELkgBAAAAIHoFAAIAAAAJLTEuNDIwNjU0AQgAAAAFAAAAATEBAAAACy0yMDM3MjQxNzIxAwAAAAMxNjACAAAABTQzOTIzBAAA</t>
  </si>
  <si>
    <t>AAEwBwAAAAk3LzMxLzIwMjYIAAAACTUvMjkvMjAyMQkAAAABMGyH+jA7794IZ5a9NDvv3ggzQ0lRLk5BU0RBUTpDQUxNLklRX0JWX1NIQVJFLjEwMDAuMzEvMDcvMjAyNi4uLlVTRC5IAQAAACB6BQACAAAACTU2LjAzODIyOAEIAAAABQAAAAExAQAAAAstMTg4MTA2ODY2OAMAAAADMTYwAgAAAAQ0MDIwBAAAAAEwBwAAAAk3LzMxLzIwMjYIAAAACTUvMzAvMjAyNgkAAAABMGI1kTA7794I7OOyNDvv3gg0Q0lRLk5BU0RBUTpDQUxNLklRX0NBU0hfU0hBUkUuOTk3LjMxLzA3LzIwMjYuLi5VU0QuSAEAAAAgegUAAgAAAAg1Ljk3Nzk0NgEIAAAABQAAAAExAQAAAAstMTkzNDk3ODQyMAMAAAADMTYwAgAAAAQ0MzgxBAAAAAEwBwAAAAk3LzMxLzIwMjYIAAAACDYvMy8yMDIzCQAAAAEw4FyRMDvv3gjY47E0O+/eCC5DSVEuTkFTREFROkNBTE0uSVFfTEFORC45OTcuMzEvMDcvMjAyNi4uLlVTRC5IAQAAACB6BQACAAAABzExNy4yNzkBCAAAAAUAAAABMQEAAAALLTE5MzQ5Nzg0MjADAAAAAzE2MAIAAAAEMzA5OAQAAAABMAcAAAAJNy8zMS8yMDI2CAAAAAg2LzMvMjAyMwkAAAABMOBckTA7794IuDSwNDvv3gg+Q0lRLk5BU0RBUTpDQUxNLklRX01JTk9SSVRZX0lOVF9SRURFRU0uMTAwMC4zMS8wNy8yMDI2Li4uVVNELkgBAAAAIHoFAAMAAAAAAPuDkTA7794IYHGvNDvv3gg2Q0lRLk5BU0RBUTpDQUxNLklRX1RP</t>
  </si>
  <si>
    <t>VEFMX1JFQ0VJVi45OTcuMzEvMDcvMjAyNi4uLlVTRC5IAQAAACB6BQACAAAABzE4Ny4yMTMBCAAAAAUAAAABMQEAAAALLTE5MzQ5Nzg0MjADAAAAAzE2MAIAAAAEMTAwMQQAAAABMAcAAAAJNy8zMS8yMDI2CAAAAAg2LzMvMjAyMwkAAAABMFmu+jA7794Im9S7NDvv3gg2Q0lRLk5BU0RBUTpDQUxNLklRX0FNT1JUX0RJQ19DRi45OTcuMzEvMDcvMjAyNi4uLlVTRC5IAQAAACB6BQADAAAAAAD2lfYwO+/eCKV/vzQ7794IO0NJUS5OQVNEQVE6Q0FMTS5JUV9DQVNIX0lOVEVSRVNUX05FVC45OTUuMzEvMDcvMjAyNi4uLlVTRC5IAQAAACB6BQADAAAAAABsh/owO+/eCH0xvzQ7794INENJUS5OQVNEQVE6Q0FMTS5JUV9DQVNIX1RBWEVTLjk5OS4zMS8wNy8yMDI2Li4uVVNELkgBAAAAIHoFAAIAAAAFNDI2LjIBCAAAAAUAAAABMQEAAAALLTE4ODEwNjg2NzUDAAAAAzE2MAIAAAAEMzA1MwQAAAABMAcAAAAJNy8zMS8yMDI2CAAAAAk1LzMxLzIwMjUJAAAAATBsh/owO+/eCESVvjQ7794IPkNJUS5OQVNEQVE6Q0FMTS5JUV9DSEFOR0VfREVGX1RBWF9UT1RBTC45OTcuMzEvMDcvMjAyNi4uLlVTRC5IAQAAACB6BQACAAAABjI0LjQ2NwEIAAAABQAAAAExAQAAAAstMTkzNDk3ODQyMAMAAAADMTYwAgAAAAUzMDkyNAQAAAABMAcAAAAJNy8zMS8yMDI2CAAAAAg2LzMvMjAyMwkAAAABMGyH+jA7794IwUa+NDvv3gg1</t>
  </si>
  <si>
    <t>Q0lRLk5BU0RBUTpDQUxNLklRX09USEVSX0lOVEFOLjk5Ni4zMS8wNy8yMDI2Li4uVVNELkgBAAAAIHoFAAIAAAAGMTguMTMxAQgAAAAFAAAAATEBAAAACy0xOTg2NzA4NDMzAwAAAAMxNjACAAAABDEwNDAEAAAAATAHAAAACTcvMzEvMjAyNggAAAAJNS8yOC8yMDIyCQAAAAEwbNX6MDvv3ggxYbo0O+/eCEJDSVEuTkFTREFROkNBTE0uSVFfT1BFUkFUSU5HX0xFQVNFX1BBWU1FTlRTLjk5OS4zMS8wNy8yMDI2Li4uVVNELkgBAAAAIHoFAAMAAAAAAGyH+jA7794IsCG9NDvv3ghHQ0lRLk5BU0RBUTpDQUxNLklRX1RPVEFMX0RFQlRfUkVQQUlEX0VYQ0xfTEVBU0VTLjk5Ny4zMS8wNy8yMDI2Li4uVVNELkgBAAAAIHoFAAIAAAAGLTAuMjI0AQgAAAAFAAAAATEBAAAACy0xOTM0OTc4NDIwAwAAAAMxNjACAAAABTQ4OTg2BAAAAAEwBwAAAAk3LzMxLzIwMjYIAAAACDYvMy8yMDIzCQAAAAEwWa76MDvv3ggK07w0O+/eCDNDSVEuTkFTREFROkNBTE0uSVFfU1RfSU5WRVNULjk5NS4zMS8wNy8yMDI2Li4uVVNELkgBAAAAIHoFAAIAAAAHMTEyLjE1OAEIAAAABQAAAAExAQAAAAstMjAzNzI0MTcyMQMAAAADMTYwAgAAAAQxMDY5BAAAAAEwBwAAAAk3LzMxLzIwMjYIAAAACTUvMjkvMjAyMQkAAAABMFmu+jA7794I2Um8NDvv3gg4Q0lRLk5BU0RBUTpDQUxNLklRX0NBU0hfU1RfSU5WRVNULjk5OS4zMS8wNy8yMDI2</t>
  </si>
  <si>
    <t>Li4uVVNELkgBAAAAIHoFAAIAAAAGMTM5Mi4xAQgAAAAFAAAAATEBAAAACy0xODgxMDY4Njc1AwAAAAMxNjACAAAABDEwMDIEAAAAATAHAAAACTcvMzEvMjAyNggAAAAJNS8zMS8yMDI1CQAAAAEwWa76MDvv3gj0Irw0O+/eCDJDSVEuTkFTREFROkNBTE0uSVFfVE9UQUxfQ0wuOTk0LjMxLzA3LzIwMjYuLi5VU0QuSAEAAAAgegUAAgAAAAY5My4xODMBCAAAAAUAAAABMQEAAAALLTIwODgzNDc0NjkDAAAAAzE2MAIAAAAEMTAwOQQAAAABMAcAAAAJNy8zMS8yMDI2CAAAAAk1LzMwLzIwMjAJAAAAATB6/PowO+/eCNgpuDQ7794IP0NJUS5OQVNEQVE6Q0FMTS5JUV9GSU5fRElWX0xPQU5TX0NVUlJFTlQuOTk3LjMxLzA3LzIwMjYuLi5VU0QuSAEAAAAgegUAAwAAAAAAWa76MDvv3gh7X7s0O+/eCDlDSVEuTkFTREFROkNBTE0uSVFfUkVTVFJJQ1RFRF9DQVNILjk5NS4zMS8wNy8yMDI2Li4uVVNELkgBAAAAIHoFAAMAAAAAAFmu+jA7794IYP26NDvv3ggyQ0lRLk5BU0RBUTpDQUxNLklRX1RPVEFMX0NBLjk5OS4zMS8wNy8yMDI2Li4uVVNELkgBAAAAIHoFAAIAAAAHMTk2OC4xMQEIAAAABQAAAAExAQAAAAstMTg4MTA2ODY3NQMAAAADMTYwAgAAAAQxMDA4BAAAAAEwBwAAAAk3LzMxLzIwMjYIAAAACTUvMzEvMjAyNQkAAAABMGzV+jA7794IUta6NDvv3ggzQ0lRLk5BU0RBUTpDQUxNLklRX0xUX0lOVkVTVC45</t>
  </si>
  <si>
    <t>OTUuMzEvMDcvMjAyNi4uLlVTRC5IAQAAACB6BQACAAAABjU5LjA1NwEIAAAABQAAAAExAQAAAAstMjAzNzI0MTcyMQMAAAADMTYwAgAAAAQxMDU0BAAAAAEwBwAAAAk3LzMxLzIwMjYIAAAACTUvMjkvMjAyMQkAAAABMGzV+jA7794IMWG6NDvv3gg1Q0lRLk5BU0RBUTpDQUxNLklRX1BSRUZfUkVERUVNLjk5OS4zMS8wNy8yMDI2Li4uVVNELkgBAAAAIHoFAAMAAAAAAHr8+jA7794IUba2NDvv3gg7Q0lRLk5BU0RBUTpDQUxNLklRX0ZJTl9ESVZfQVNTRVRTX0xULjk5OC4zMS8wNy8yMDI2Li4uVVNELkgBAAAAIHoFAAMAAAAAAGzV+jA7794IixO6NDvv3gg2Q0lRLk5BU0RBUTpDQUxNLklRX1RPVEFMX0FTU0VUUy45OTQuMzEvMDcvMjAyNi4uLlVTRC5IAQAAACB6BQACAAAACDEyMDYuNjk0AQgAAAAFAAAAATEBAAAACy0yMDg4MzQ3NDY5AwAAAAMxNjACAAAABDEwMDcEAAAAATAHAAAACTcvMzEvMjAyNggAAAAJNS8zMC8yMDIwCQAAAAEwbNX6MDvv3gilYrk0O+/eCCxDSVEuTkFTREFROkNBTE0uSVFfQUUuOTk2LjMxLzA3LzIwMjYuLi5VU0QuSAEAAAAgegUAAgAAAAY0MC4yODIBCAAAAAUAAAABMQEAAAALLTE5ODY3MDg0MzMDAAAAAzE2MAIAAAAEMTAxNgQAAAABMAcAAAAJNy8zMS8yMDI2CAAAAAk1LzI4LzIwMjIJAAAAATBs1fowO+/eCKViuTQ7794IO0NJUS5OQVNEQVE6Q0FMTS5JUV9DVVJSRU5U</t>
  </si>
  <si>
    <t>X1BPUlRfREVCVC45OTguMzEvMDcvMjAyNi4uLlVTRC5IAQAAACB6BQADAAAAAABs1fowO+/eCKUUuTQ7794IO0NJUS5OQVNEQVE6Q0FMTS5JUV9NSU5PUklUWV9JTlRFUkVTVC45OTkuMzEvMDcvMjAyNi4uLlVTRC5IAQAAACB6BQACAAAABTUuMzkxAQgAAAAFAAAAATEBAAAACy0xODgxMDY4Njc1AwAAAAMxNjACAAAABDEwNTIEAAAAATAHAAAACTcvMzEvMjAyNggAAAAJNS8zMS8yMDI1CQAAAAEwWvqQMDvv3ggDkbU0O+/eCDpDSVEuTkFTREFROkNBTE0uSVFfTE9OR19URVJNX0xFQVNFUy45OTYuMzEvMDcvMjAyNi4uLlVTRC5IAQAAACB6BQADAAAAAAB6/PowO+/eCBIWuDQ7794IOUNJUS5OQVNEQVE6Q0FMTS5JUV9GSU5fRElWX0xJQUJfTFQuOTk2LjMxLzA3LzIwMjYuLi5VU0QuSAEAAAAgegUAAwAAAAAAevz6MDvv3gj/x7c0O+/eCDFDSVEuTkFTREFROkNBTE0uSVFfUEVOU0lPTi45OTcuMzEvMDcvMjAyNi4uLlVTRC5IAQAAACB6BQADAAAAAAB6/PowO+/eCLpStzQ7794IN0NJUS5OQVNEQVE6Q0FMTS5JUV9PVEhFUl9MSUFCX0xULjk5OC4zMS8wNy8yMDI2Li4uVVNELkgBAAAAIHoFAAIAAAAGMTcuMTA5AQgAAAAFAAAAATEBAAAACy0xODgxMDY4Njc2AwAAAAMxNjACAAAABDEwNjIEAAAAATAHAAAACTcvMzEvMjAyNggAAAAINi8xLzIwMjQJAAAAATB6/PowO+/eCLAEtzQ7794IM0NJUS5OQVNE</t>
  </si>
  <si>
    <t>QVE6Q0FMTS5JUV9UQlZfU0hBUkUuOTk2LjMxLzA3LzIwMjYuLi5VU0QuSAEAAAAgegUAAgAAAAkyMS4yOTk4MzYBCAAAAAUAAAABMQEAAAALLTE5ODY3MDg0MzMDAAAAAzE2MAIAAAAENDE1NgQAAAABMAcAAAAJNy8zMS8yMDI2CAAAAAk1LzI4LzIwMjIJAAAAATBiNZEwO+/eCJ2VsjQ7794INkNJUS5OQVNEQVE6Q0FMTS5JUV9QUkVGX0NPTlZFUlQuOTk5LjMxLzA3LzIwMjYuLi5VU0QuSAEAAAAgegUAAwAAAAAAWvqQMDvv3giMe7Y0O+/eCDBDSVEuTkFTREFROkNBTE0uSVFfQ09NTU9OLjk5Ny4zMS8wNy8yMDI2Li4uVVNELkgBAAAAIHoFAAIAAAAFMC43NTEBCAAAAAUAAAABMQEAAAALLTE5MzQ5Nzg0MjADAAAAAzE2MAIAAAAEMTEwMwQAAAABMAcAAAAJNy8zMS8yMDI2CAAAAAg2LzMvMjAyMwkAAAABMFr6kDA7794If1S2NDvv3ggsQ0lRLk5BU0RBUTpDQUxNLklRX1JFLjk5Ny4zMS8wNy8yMDI2Li4uVVNELkgBAAAAIHoFAAIAAAAIMTU3MS4xMTIBCAAAAAUAAAABMQEAAAALLTE5MzQ5Nzg0MjADAAAAAzE2MAIAAAAEMTIyMgQAAAABMAcAAAAJNy8zMS8yMDI2CAAAAAg2LzMvMjAyMwkAAAABMFr6kDA7794IXQa2NDvv3gg2Q0lRLk5BU0RBUTpDQUxNLklRX09USEVSX0VRVUlUWS45OTguMzEvMDcvMjAyNi4uLlVTRC5IAQAAACB6BQACAAAABi0xLjc3MwEIAAAABQAAAAExAQAAAAstMTg4MTA2ODY3</t>
  </si>
  <si>
    <t>NgMAAAADMTYwAgAAAAQxMDI4BAAAAAEwBwAAAAk3LzMxLzIwMjYIAAAACDYvMS8yMDI0CQAAAAEwWvqQMDvv3ghEuLU0O+/eCEVDSVEuTkFTREFROkNBTE0uSVFfREVGX1RBWF9WQUxVQVRJT05fQUxMT1dBTkNFLjk5OC4zMS8wNy8yMDI2Li4uVVNELkgBAAAAIHoFAAMAAAAAAPuDkTA7794IXg+vNDvv3gg8Q0lRLk5BU0RBUTpDQUxNLklRX1RPVEFMX0xJQUJfRVFVSVRZLjEwMDAuMzEvMDcvMjAyNi4uLlVTRC5IAQAAACB6BQACAAAABzMxMDcuNTcBCAAAAAUAAAABMQEAAAALLTE4ODEwNjg2NjgDAAAAAzE2MAIAAAAEMTAxMwQAAAABMAcAAAAJNy8zMS8yMDI2CAAAAAk1LzMwLzIwMjYJAAAAATBa+pAwO+/eCPBptTQ7794IOENJUS5OQVNEQVE6Q0FMTS5JUV9SVUFfQUNDVU1fREVQLjEwMDAuMzEvMDcvMjAyNi4uLlVTRC5IAQAAACB6BQADAAAAAABa+pAwO+/eCHEbtTQ7794IQkNJUS5OQVNEQVE6Q0FMTS5JUV9SVUFfQ0FQSVRBTF9MRUFTRV9HUk9TUy4xMDAwLjMxLzA3LzIwMjYuLi5VU0QuSAEAAAAgegUAAwAAAAAAWvqQMDvv3ghT4LQ0O+/eCDJDSVEuTkFTREFROkNBTE0uSVFfQlZfU0hBUkUuOTk4LjMxLzA3LzIwMjYuLi5VU0QuSAEAAAAgegUAAgAAAAkzNi43MDg2NTIBCAAAAAUAAAABMQEAAAALLTE4ODEwNjg2NzYDAAAAAzE2MAIAAAAENDAyMAQAAAABMAcAAAAJNy8zMS8yMDI2CAAAAAg2</t>
  </si>
  <si>
    <t>LzEvMjAyNAkAAAABMGI1kTA7794I7OOyNDvv3gg/Q0lRLk5BU0RBUTpDQUxNLklRX1JFU1RSSUNURURfQ0FTSF9UT1RBTC45OTUuMzEvMDcvMjAyNi4uLlVTRC5IAQAAACB6BQADAAAAAADwVY0wO+/eCNdhqzQ7794INkNJUS5OQVNEQVE6Q0FMTS5JUV9XT1JLSU5HX0NBUC4xMDAwLjMxLzA3LzIwMjYuLi5VU0QuSAEAAAAgegUAAgAAAAgxMzc2LjAyNgEIAAAABQAAAAExAQAAAAstMTg4MTA2ODY2OAMAAAADMTYwAgAAAAQ0MTY1BAAAAAEwBwAAAAk3LzMxLzIwMjYIAAAACTUvMzAvMjAyNgkAAAABMOBckTA7794I0R+xNDvv3gg3Q0lRLk5BU0RBUTpDQUxNLklRX0VRVUlUWV9NRVRIT0QuOTk3LjMxLzA3LzIwMjYuLi5VU0QuSAEAAAAgegUAAgAAAAYxNC40NDkBCAAAAAUAAAABMQEAAAALLTE5MzQ5Nzg0MjADAAAAAzE2MAIAAAAEMzA2MwQAAAABMAcAAAAJNy8zMS8yMDI2CAAAAAg2LzMvMjAyMwkAAAABMOBckTA7794Ij/iwNDvv3ggzQ0lRLk5BU0RBUTpDQUxNLklRX09USEVSX0lOVi45OTcuMzEvMDcvMjAyNi4uLlVTRC5IAQAAACB6BQADAAAAAADgXJEwO+/eCMNbsDQ7794IP0NJUS5OQVNEQVE6Q0FMTS5JUV9MRUFTRUhPTERfSU1QUk9WRU1FTlQuOTk4LjMxLzA3LzIwMjYuLi5VU0QuSAEAAAAgegUAAwAAAAAA+4ORMDvv3ghwmK80O+/eCD9DSVEuTkFTREFROkNBTE0uSVFfQURWQU5DRVNfRk9S</t>
  </si>
  <si>
    <t>X1NVUFBMSUVTLjk5Ny4zMS8wNy8yMDI2Li4uVVNELkgBAAAAIHoFAAMAAAAAAM6QjTA7794I+p+pNDvv3ghNQ0lRLk5BU0RBUTpDQUxNLklRX0xJUVVJREFUSU9OX1ZBTFVFX1BSRUZFUlJFRF9DT05WRVJULjk5Ny4zMS8wNy8yMDI2Li4uVVNELkgBAAAAIHoFAAMAAAAAAPuDkTA7794IO4auNDvv3gg4Q0lRLk5BU0RBUTpDQUxNLklRX0FTU0VUU19MRVZFTF8zLjk5Ny4zMS8wNy8yMDI2Li4uVVNELkgBAAAAIHoFAAMAAAAAAPuDkTA7794Ivf6sNDvv3gg9Q0lRLk5BU0RBUTpDQUxNLklRX0xJQUJJTElUSUVTX0xFVkVMXzMuOTk3LjMxLzA3LzIwMjYuLi5VU0QuSAEAAAAgegUAAwAAAAAA8FWNMDvv3giinKw0O+/eCDtDSVEuTkFTREFROkNBTE0uSVFfRklOX0RJVl9TVF9JTlZFU1QuOTk1LjMxLzA3LzIwMjYuLi5VU0QuSAEAAAAgegUAAwAAAAAA8FWNMDvv3gjxr6s0O+/eCEdDSVEuTkFTREFROkNBTE0uSVFfVE9UQUxfREVCVF9SRVBBSURfRVhDTF9MRUFTRVMuOTk2LjMxLzA3LzIwMjYuLi5VU0QuSAEAAAAgegUAAgAAAAYtMC4yMTUBCAAAAAUAAAABMQEAAAALLTE5ODY3MDg0MzMDAAAAAzE2MAIAAAAFNDg5ODYEAAAAATAHAAAACTcvMzEvMjAyNggAAAAJNS8yOC8yMDIyCQAAAAEwWa76MDvv3gjnl7w0O+/eCEBDSVEuTkFTREFROkNBTE0uSVFfQ09OVElOR0VOVF9MSUFCSUxJVElFUy45OTYuMzEv</t>
  </si>
  <si>
    <t>MDcvMjAyNi4uLlVTRC5IAQAAACB6BQADAAAAAADOkI0wO+/eCLwTqzQ7794IR0NJUS5OQVNEQVE6Q0FMTS5JUV9DVVJSRU5UX1BPUlRfREVCVF9ERVJJVkFUSVZFUy45OTcuMzEvMDcvMjAyNi4uLlVTRC5IAQAAACB6BQADAAAAAADOkI0wO+/eCMPsqjQ7794IRUNJUS5OQVNEQVE6Q0FMTS5JUV9ERVJJVkFUSVZFX0xJQUJfTk9OX0NVUlJFTlQuOTk1LjMxLzA3LzIwMjYuLi5VU0QuSAEAAAAgegUAAwAAAAAAzpCNMDvv3gjsdqo0O+/eCENDSVEuTkFTREFROkNBTE0uSVFfREVSSVZBVElWRV9BU1NFVFNfQ1VSUkVOVC45OTkuMzEvMDcvMjAyNi4uLlVTRC5IAQAAACB6BQADAAAAAADOkI0wO+/eCCA8qjQ7794IOUNJUS5OQVNEQVE6Q0FMTS5JUV9SRVNUUklDVEVEX0NBU0guOTk0LjMxLzA3LzIwMjYuLi5VU0QuSAEAAAAgegUAAwAAAAAAWa76MDvv3ghg/bo0O+/eCDNDSVEuTkFTREFROkNBTE0uSVFfSU5UQU5fTkVULjk5NS4zMS8wNy8yMDI2Li4uVVNELkgBAAAAIHoFAAIAAAAGMjAuMzQxAQgAAAAFAAAAATEBAAAACy0yMDM3MjQxNzIxAwAAAAMxNjACAAAABTQ4OTYyBAAAAAEwBwAAAAk3LzMxLzIwMjYIAAAACTUvMjkvMjAyMQkAAAABMM6QjTA7794IN1KpNDvv3ggyQ0lRLk5BU0RBUTpDQUxNLklRX0NGX1NIQVJFLjk5NC4zMS8wNy8yMDI2Li4uVVNELkgBAAAAIHoFAAIAAAAJLTEuMDQzMzY5AQgA</t>
  </si>
  <si>
    <t>AAAFAAAAATEBAAAACy0yMDg4MzQ3NDY5AwAAAAMxNjACAAAABTQzOTIzBAAAAAEwBwAAAAk3LzMxLzIwMjYIAAAACTUvMzAvMjAyMAkAAAABMGyH+jA7794IZ5a9NDvv3gg6Q0lRLk5BU0RBUTpDQUxNLklRX05FVF9ERUJUX0lTU1VFRC4xMDAwLjMxLzA3LzIwMjYuLi5VU0QuSAEAAAAgegUAAwAAAAAAbIf6MDvv3ghUb700O+/eCEJDSVEuTkFTREFROkNBTE0uSVFfT1BFUkFUSU5HX0xFQVNFX1BBWU1FTlRTLjk5OC4zMS8wNy8yMDI2Li4uVVNELkgBAAAAIHoFAAMAAAAAAGyH+jA7794IsCG9NDvv3ggsQ0lRLk5BU0RBUTpDQUxNLklRX0FFLjk5NS4zMS8wNy8yMDI2Li4uVVNELkgBAAAAIHoFAAIAAAAGMzYuNDA3AQgAAAAFAAAAATEBAAAACy0yMDM3MjQxNzIxAwAAAAMxNjACAAAABDEwMTYEAAAAATAHAAAACTcvMzEvMjAyNggAAAAJNS8yOS8yMDIxCQAAAAEwbNX6MDvv3giVO7k0O+/eCDhDSVEuTkFTREFROkNBTE0uSVFfQ0FTSF9TVF9JTlZFU1QuOTk4LjMxLzA3LzIwMjYuLi5VU0QuSAEAAAAgegUAAgAAAAc4MTIuMzc3AQgAAAAFAAAAATEBAAAACy0xODgxMDY4Njc2AwAAAAMxNjACAAAABDEwMDIEAAAAATAHAAAACTcvMzEvMjAyNggAAAAINi8xLzIwMjQJAAAAATBZrvowO+/eCPQivDQ7794INkNJUS5OQVNEQVE6Q0FMTS5JUV9UT1RBTF9SRUNFSVYuOTk2LjMxLzA3LzIwMjYuLi5VU0QuSAEA</t>
  </si>
  <si>
    <t>AAAgegUAAgAAAAcyMTkuNDA0AQgAAAAFAAAAATEBAAAACy0xOTg2NzA4NDMzAwAAAAMxNjACAAAABDEwMDEEAAAAATAHAAAACTcvMzEvMjAyNggAAAAJNS8yOC8yMDIyCQAAAAEwWa76MDvv3gib1Ls0O+/eCEBDSVEuTkFTREFROkNBTE0uSVFfRklOX0RJVl9BU1NFVFNfQ1VSUkVOVC45OTQuMzEvMDcvMjAyNi4uLlVTRC5IAQAAACB6BQADAAAAAABZrvowO+/eCHtfuzQ7794IOUNJUS5OQVNEQVE6Q0FMTS5JUV9MT0FOU19GT1JfU0FMRS4xMDAwLjMxLzA3LzIwMjYuLi5VU0QuSAEAAAAgegUAAwAAAAAAWa76MDvv3gghOLs0O+/eCDlDSVEuTkFTREFROkNBTE0uSVFfRklOX0RJVl9MSUFCX0xULjk5NS4zMS8wNy8yMDI2Li4uVVNELkgBAAAAIHoFAAMAAAAAAHr8+jA7794I2qC3NDvv3ggyQ0lRLk5BU0RBUTpDQUxNLklRX1RPVEFMX0NBLjk5OC4zMS8wNy8yMDI2Li4uVVNELkgBAAAAIHoFAAIAAAAIMTI0MS44MzkBCAAAAAUAAAABMQEAAAALLTE4ODEwNjg2NzYDAAAAAzE2MAIAAAAEMTAwOAQAAAABMAcAAAAJNy8zMS8yMDI2CAAAAAg2LzEvMjAyNAkAAAABMGzV+jA7794IUta6NDvv3gg1Q0lRLk5BU0RBUTpDQUxNLklRX09USEVSX0lOVEFOLjk5NS4zMS8wNy8yMDI2Li4uVVNELkgBAAAAIHoFAAIAAAAGMjAuMzQxAQgAAAAFAAAAATEBAAAACy0yMDM3MjQxNzIxAwAAAAMxNjACAAAABDEwNDAEAAAA</t>
  </si>
  <si>
    <t>ATAHAAAACTcvMzEvMjAyNggAAAAJNS8yOS8yMDIxCQAAAAEwbNX6MDvv3ghVOro0O+/eCDtDSVEuTkFTREFROkNBTE0uSVFfRklOX0RJVl9BU1NFVFNfTFQuOTk3LjMxLzA3LzIwMjYuLi5VU0QuSAEAAAAgegUAAwAAAAAAbNX6MDvv3giLE7o0O+/eCDlDSVEuTkFTREFROkNBTE0uSVFfTE9BTlNfUkVDRUlWX0xULjk5OS4zMS8wNy8yMDI2Li4uVVNELkgBAAAAIHoFAAMAAAAAAGzV+jA7794IwMS5NDvv3ggwQ0lRLk5BU0RBUTpDQUxNLklRX0NPTU1PTi45OTYuMzEvMDcvMjAyNi4uLlVTRC5IAQAAACB6BQACAAAABTAuNzUxAQgAAAAFAAAAATEBAAAACy0xOTg2NzA4NDMzAwAAAAMxNjACAAAABDExMDMEAAAAATAHAAAACTcvMzEvMjAyNggAAAAJNS8yOC8yMDIyCQAAAAEwWvqQMDvv3gh/VLY0O+/eCDtDSVEuTkFTREFROkNBTE0uSVFfQ1VSUkVOVF9QT1JUX0RFQlQuOTk3LjMxLzA3LzIwMjYuLi5VU0QuSAEAAAAgegUAAwAAAAAAbNX6MDvv3gilFLk0O+/eCD5DSVEuTkFTREFROkNBTE0uSVFfRklOX0RJVl9ERUJUX0NVUlJFTlQuOTk5LjMxLzA3LzIwMjYuLi5VU0QuSAEAAAAgegUAAwAAAAAAbNX6MDvv3gh+xrg0O+/eCD5DSVEuTkFTREFROkNBTE0uSVFfSU5DX1RBWF9QQVlfQ1VSUkVOVC4xMDAwLjMxLzA3LzIwMjYuLi5VU0QuSAEAAAAgegUAAwAAAAAAbNX6MDvv3ghJn7g0O+/eCDpDSVEuTkFT</t>
  </si>
  <si>
    <t>REFROkNBTE0uSVFfTE9OR19URVJNX0xFQVNFUy45OTUuMzEvMDcvMjAyNi4uLlVTRC5IAQAAACB6BQACAAAABTEuNDcyAQgAAAAFAAAAATEBAAAACy0yMDM3MjQxNzIxAwAAAAMxNjACAAAABDExODMEAAAAATAHAAAACTcvMzEvMjAyNggAAAAJNS8yOS8yMDIxCQAAAAEwevz6MDvv3gj37rc0O+/eCDdDSVEuTkFTREFROkNBTE0uSVFfUlVBX0FDQ1VNX0RFUC45OTkuMzEvMDcvMjAyNi4uLlVTRC5IAQAAACB6BQADAAAAAABa+pAwO+/eCHEbtTQ7794IMUNJUS5OQVNEQVE6Q0FMTS5JUV9QRU5TSU9OLjk5Ni4zMS8wNy8yMDI2Li4uVVNELkgBAAAAIHoFAAMAAAAAAHr8+jA7794IulK3NDvv3gg3Q0lRLk5BU0RBUTpDQUxNLklRX09USEVSX0xJQUJfTFQuOTk3LjMxLzA3LzIwMjYuLi5VU0QuSAEAAAAgegUAAgAAAAU5Ljk5OQEIAAAABQAAAAExAQAAAAstMTkzNDk3ODQyMAMAAAADMTYwAgAAAAQxMDYyBAAAAAEwBwAAAAk3LzMxLzIwMjYIAAAACDYvMy8yMDIzCQAAAAEwevz6MDvv3giwBLc0O+/eCDVDSVEuTkFTREFROkNBTE0uSVFfUFJFRl9SRURFRU0uOTk4LjMxLzA3LzIwMjYuLi5VU0QuSAEAAAAgegUAAwAAAAAAevz6MDvv3gigorY0O+/eCDRDSVEuTkFTREFROkNBTE0uSVFfUFJFRl9PVEhFUi45OTUuMzEvMDcvMjAyNi4uLlVTRC5IAQAAACB6BQADAAAAAABa+pAwO+/eCH9UtjQ7794IQUNJUS5O</t>
  </si>
  <si>
    <t>QVNEQVE6Q0FMTS5JUV9GSU5BTkNFX0xFQVNFU19DVVJSRU5ULjEwMDAuMzEvMDcvMjAyNi4uLlVTRC5IAQAAACB6BQADAAAAAABiNZEwO+/eCDjiszQ7794ILENJUS5OQVNEQVE6Q0FMTS5JUV9SRS45OTYuMzEvMDcvMjAyNi4uLlVTRC5IAQAAACB6BQACAAAACDEwNjUuODU0AQgAAAAFAAAAATEBAAAACy0xOTg2NzA4NDMzAwAAAAMxNjACAAAABDEyMjIEAAAAATAHAAAACTcvMzEvMjAyNggAAAAJNS8yOC8yMDIyCQAAAAEwWvqQMDvv3ghdBrY0O+/eCDZDSVEuTkFTREFROkNBTE0uSVFfT1RIRVJfRVFVSVRZLjk5Ny4zMS8wNy8yMDI2Li4uVVNELkgBAAAAIHoFAAIAAAAGLTIuODg2AQgAAAAFAAAAATEBAAAACy0xOTM0OTc4NDIwAwAAAAMxNjACAAAABDEwMjgEAAAAATAHAAAACTcvMzEvMjAyNggAAAAINi8zLzIwMjMJAAAAATBa+pAwO+/eCES4tTQ7794IO0NJUS5OQVNEQVE6Q0FMTS5JUV9NSU5PUklUWV9JTlRFUkVTVC45OTguMzEvMDcvMjAyNi4uLlVTRC5IAQAAACB6BQACAAAABi0zLjEwNAEIAAAABQAAAAExAQAAAAstMTg4MTA2ODY3NgMAAAADMTYwAgAAAAQxMDUyBAAAAAEwBwAAAAk3LzMxLzIwMjYIAAAACDYvMS8yMDI0CQAAAAEwWvqQMDvv3ggDkbU0O+/eCDtDSVEuTkFTREFROkNBTE0uSVFfVE9UQUxfTElBQl9FUVVJVFkuOTk5LjMxLzA3LzIwMjYuLi5VU0QuSAEAAAAgegUAAgAAAAgz</t>
  </si>
  <si>
    <t>MDg0LjYxOQEIAAAABQAAAAExAQAAAAstMTg4MTA2ODY3NQMAAAADMTYwAgAAAAQxMDEzBAAAAAEwBwAAAAk3LzMxLzIwMjYIAAAACTUvMzEvMjAyNQkAAAABMFr6kDA7794IsUK1NDvv3ghBQ0lRLk5BU0RBUTpDQUxNLklRX01JTk9SSVRZX0lOVEVSRVNUX1RPVEFMLjk5OS4zMS8wNy8yMDI2Li4uVVNELkgBAAAAIHoFAAIAAAAFNS4zOTEBCAAAAAUAAAABMQEAAAALLTE4ODEwNjg2NzUDAAAAAzE2MAIAAAAEMTMxMgQAAAABMAcAAAAJNy8zMS8yMDI2CAAAAAk1LzMxLzIwMjUJAAAAATDgXJEwO+/eCJRasTQ7794IQUNJUS5OQVNEQVE6Q0FMTS5JUV9SVUFfQ0FQSVRBTF9MRUFTRV9HUk9TUy45OTkuMzEvMDcvMjAyNi4uLlVTRC5IAQAAACB6BQADAAAAAABa+pAwO+/eCFPgtDQ7794IQ0NJUS5OQVNEQVE6Q0FMTS5JUV9SVUFfT1BFUkFUSU5HX0xFQVNFX0dST1NTLjk5Ny4zMS8wNy8yMDI2Li4uVVNELkgBAAAAIHoFAAMAAAAAAFr6kDA7794Ij6W0NDvv3ghBQ0lRLk5BU0RBUTpDQUxNLklRX1JVQV9PUEVSQVRJTkdfTEVBU0VfTkVULjk5OC4zMS8wNy8yMDI2Li4uVVNELkgBAAAAIHoFAAMAAAAAAFr6kDA7794IZVe0NDvv3gg9Q0lRLk5BU0RBUTpDQUxNLklRX0FEX0VYQ0xfT1BFUl9MRUFTRVMuOTk5LjMxLzA3LzIwMjYuLi5VU0QuSAEAAAAgegUAAgAAAActODc5LjE0AQgAAAAFAAAAATEBAAAACy0x</t>
  </si>
  <si>
    <t>ODgxMDY4Njc1AwAAAAMxNjACAAAABTQ4OTc1BAAAAAEwBwAAAAk3LzMxLzIwMjYIAAAACTUvMzEvMjAyNQkAAAABMFr6kDA7794IWDC0NDvv3gg/Q0lRLk5BU0RBUTpDQUxNLklRX0xFQVNFSE9MRF9JTVBST1ZFTUVOVC45OTcuMzEvMDcvMjAyNi4uLlVTRC5IAQAAACB6BQADAAAAAAD7g5EwO+/eCHCYrzQ7794IP0NJUS5OQVNEQVE6Q0FMTS5JUV9UT1RBTF9GSU5BTkNFX0xFQVNFUy4xMDAwLjMxLzA3LzIwMjYuLi5VU0QuSAEAAAAgegUAAwAAAAAAYjWRMDvv3gg44rM0O+/eCExDSVEuTkFTREFROkNBTE0uSVFfTFRfUE9SVElPTl9PUEVSX0xFQVNFX0xJQUJJTElUSUVTLjEwMDAuMzEvMDcvMjAyNi4uLlVTRC5IAQAAACB6BQADAAAAAABiNZEwO+/eCOaTszQ7794IV0NJUS5OQVNEQVE6Q0FMTS5JUV9GSU5BTkNJTkdfT0JMSUdfTk9OX0NVUlJFTlRfRVhDTF9PUEVSX0xFQVNFUy4xMDAwLjMxLzA3LzIwMjYuLi5VU0QuSAEAAAAgegUAAwAAAAAAYjWRMDvv3gj4CrM0O+/eCDJDSVEuTkFTREFROkNBTE0uSVFfQlZfU0hBUkUuOTk2LjMxLzA3LzIwMjYuLi5VU0QuSAEAAAAgegUAAgAAAAkyMi41Njk0OTMBCAAAAAUAAAABMQEAAAALLTE5ODY3MDg0MzMDAAAAAzE2MAIAAAAENDAyMAQAAAABMAcAAAAJNy8zMS8yMDI2CAAAAAk1LzI4LzIwMjIJAAAAATBiNZEwO+/eCNq8sjQ7794ISUNJUS5OQVNEQVE6</t>
  </si>
  <si>
    <t>Q0FMTS5JUV9GQUlSX1ZBTFVFX0NIQU5HRV9JTkNMX0VBUk5JTkdTLjk5OC4zMS8wNy8yMDI2Li4uVVNELkgBAAAAIHoFAAIAAAAELTUuNQDwVY0wO+/eCG5OrDQ7794INUNJUS5OQVNEQVE6Q0FMTS5JUV9XT1JLSU5HX0NBUC45OTkuMzEvMDcvMjAyNi4uLlVTRC5IAQAAACB6BQACAAAACDE2NTkuNzM5AQgAAAAFAAAAATEBAAAACy0xODgxMDY4Njc1AwAAAAMxNjACAAAABDQxNjUEAAAAATAHAAAACTcvMzEvMjAyNggAAAAJNS8zMS8yMDI1CQAAAAEw4FyRMDvv3gjRH7E0O+/eCDdDSVEuTkFTREFROkNBTE0uSVFfRVFVSVRZX01FVEhPRC45OTYuMzEvMDcvMjAyNi4uLlVTRC5IAQAAACB6BQACAAAABTE1LjUzAQgAAAAFAAAAATEBAAAACy0xOTg2NzA4NDMzAwAAAAMxNjACAAAABDMwNjMEAAAAATAHAAAACTcvMzEvMjAyNggAAAAJNS8yOC8yMDIyCQAAAAEw4FyRMDvv3giP+LA0O+/eCDJDSVEuTkFTREFROkNBTE0uSVFfUkFXX0lOVi4xMDAwLjMxLzA3LzIwMjYuLi5VU0QuSAEAAAAgegUAAgAAAAcyOTAuNDk2AQgAAAAFAAAAATEBAAAACy0xODgxMDY4NjY4AwAAAAMxNjACAAAABDMxNzEEAAAAATAHAAAACTcvMzEvMjAyNggAAAAJNS8zMC8yMDI2CQAAAAEw4FyRMDvv3giJlrA0O+/eCDNDSVEuTkFTREFROkNBTE0uSVFfT1RIRVJfSU5WLjk5Ni4zMS8wNy8yMDI2Li4uVVNELkgBAAAAIHoFAAMAAAAA</t>
  </si>
  <si>
    <t>AOBckTA7794Iw1uwNDvv3gg/Q0lRLk5BU0RBUTpDQUxNLklRX0FEVkFOQ0VTX0ZPUl9TVVBQTElFUy45OTYuMzEvMDcvMjAyNi4uLlVTRC5IAQAAACB6BQADAAAAAADOkI0wO+/eCAF5qTQ7794IRUNJUS5OQVNEQVE6Q0FMTS5JUV9ERUZfVEFYX1ZBTFVBVElPTl9BTExPV0FOQ0UuOTk3LjMxLzA3LzIwMjYuLi5VU0QuSAEAAAAgegUAAwAAAAAA+4ORMDvv3gheD680O+/eCE1DSVEuTkFTREFROkNBTE0uSVFfTElRVUlEQVRJT05fVkFMVUVfUFJFRkVSUkVEX0NPTlZFUlQuOTk2LjMxLzA3LzIwMjYuLi5VU0QuSAEAAAAgegUAAwAAAAAA+4ORMDvv3gg7hq40O+/eCDhDSVEuTkFTREFROkNBTE0uSVFfQVNTRVRTX0xFVkVMXzMuOTk2LjMxLzA3LzIwMjYuLi5VU0QuSAEAAAAgegUAAwAAAAAA+4ORMDvv3gjMJa00O+/eCD1DSVEuTkFTREFROkNBTE0uSVFfTElBQklMSVRJRVNfTEVWRUxfMy45OTYuMzEvMDcvMjAyNi4uLlVTRC5IAQAAACB6BQADAAAAAADwVY0wO+/eCKKcrDQ7794IOUNJUS5OQVNEQVE6Q0FMTS5JUV9ERUZfQ0hBUkdFU19MVC4xMDAwLjMxLzA3LzIwMjYuLi5VU0QuSAEAAAAgegUAAwAAAAAAbNX6MDvv3giWibk0O+/eCDxDSVEuTkFTREFROkNBTE0uSVFfRklOX0RJVl9ERUJUX1RPVEFMLjk5OC4zMS8wNy8yMDI2Li4uVVNELkgBAAAAIHoFAAMAAAAAAPBVjTA7794IIP6rNDvv3ghAQ0lR</t>
  </si>
  <si>
    <t>Lk5BU0RBUTpDQUxNLklRX0NPTlRJTkdFTlRfTElBQklMSVRJRVMuOTk1LjMxLzA3LzIwMjYuLi5VU0QuSAEAAAAgegUAAwAAAAAA8FWNMDvv3gi8E6s0O+/eCEdDSVEuTkFTREFROkNBTE0uSVFfQ1VSUkVOVF9QT1JUX0RFQlRfREVSSVZBVElWRVMuOTk2LjMxLzA3LzIwMjYuLi5VU0QuSAEAAAAgegUAAwAAAAAAzpCNMDvv3giexao0O+/eCEVDSVEuTkFTREFROkNBTE0uSVFfREVSSVZBVElWRV9MSUFCX05PTl9DVVJSRU5ULjk5NC4zMS8wNy8yMDI2Li4uVVNELkgBAAAAIHoFAAMAAAAAAM6QjTA7794I7HaqNDvv3gg/Q0lRLk5BU0RBUTpDQUxNLklRX0RFRl9UQVhfTElBQl9DVVJSRU5ULjEwMDAuMzEvMDcvMjAyNi4uLlVTRC5IAQAAACB6BQADAAAAAAB6/PowO+/eCDZ4uDQ7794IM0NJUS5OQVNEQVE6Q0FMTS5JUV9JTlRBTl9ORVQuOTk0LjMxLzA3LzIwMjYuLi5VU0QuSAEAAAAgegUAAgAAAAYyMi44MTYBCAAAAAUAAAABMQEAAAALLTIwODgzNDc0NjkDAAAAAzE2MAIAAAAFNDg5NjIEAAAAATAHAAAACTcvMzEvMjAyNggAAAAJNS8zMC8yMDIwCQAAAAEwzpCNMDvv3gg3Uqk0O+/eCDVDSVEuTkFTREFROkNBTE0uSVFfT1RIRVJfSU5UQU4uOTk0LjMxLzA3LzIwMjYuLi5VU0QuSAEAAAAgegUAAgAAAAYyMi44MTYBCAAAAAUAAAABMQEAAAALLTIwODgzNDc0NjkDAAAAAzE2MAIAAAAEMTA0MAQAAAAB</t>
  </si>
  <si>
    <t>MAcAAAAJNy8zMS8yMDI2CAAAAAk1LzMwLzIwMjAJAAAAATBs1fowO+/eCFU6ujQ7794IO0NJUS5OQVNEQVE6Q0FMTS5JUV9GSU5fRElWX0FTU0VUU19MVC45OTYuMzEvMDcvMjAyNi4uLlVTRC5IAQAAACB6BQADAAAAAABs1fowO+/eCIsTujQ7794IOUNJUS5OQVNEQVE6Q0FMTS5JUV9MT0FOU19SRUNFSVZfTFQuOTk4LjMxLzA3LzIwMjYuLi5VU0QuSAEAAAAgegUAAwAAAAAAbNX6MDvv3ggG7Lk0O+/eCCxDSVEuTkFTREFROkNBTE0uSVFfUkUuOTk1LjMxLzA3LzIwMjYuLi5VU0QuSAEAAAAgegUAAgAAAAc5NzUuOTc3AQgAAAAFAAAAATEBAAAACy0yMDM3MjQxNzIxAwAAAAMxNjACAAAABDEyMjIEAAAAATAHAAAACTcvMzEvMjAyNggAAAAJNS8yOS8yMDIxCQAAAAEwWvqQMDvv3ghN37U0O+/eCCxDSVEuTkFTREFROkNBTE0uSVFfQUUuOTk0LjMxLzA3LzIwMjYuLi5VU0QuSAEAAAAgegUAAgAAAAYzNi4yNzgBCAAAAAUAAAABMQEAAAALLTIwODgzNDc0NjkDAAAAAzE2MAIAAAAEMTAxNgQAAAABMAcAAAAJNy8zMS8yMDI2CAAAAAk1LzMwLzIwMjAJAAAAATBs1fowO+/eCJU7uTQ7794IO0NJUS5OQVNEQVE6Q0FMTS5JUV9DVVJSRU5UX1BPUlRfREVCVC45OTYuMzEvMDcvMjAyNi4uLlVTRC5IAQAAACB6BQADAAAAAABs1fowO+/eCKUUuTQ7794IPkNJUS5OQVNEQVE6Q0FMTS5JUV9GSU5fRElWX0RFQlRf</t>
  </si>
  <si>
    <t>Q1VSUkVOVC45OTguMzEvMDcvMjAyNi4uLlVTRC5IAQAAACB6BQADAAAAAABs1fowO+/eCH7GuDQ7794IPUNJUS5OQVNEQVE6Q0FMTS5JUV9JTkNfVEFYX1BBWV9DVVJSRU5ULjk5OS4zMS8wNy8yMDI2Li4uVVNELkgBAAAAIHoFAAMAAAAAAGzV+jA7794ISZ+4NDvv3ghFQ0lRLk5BU0RBUTpDQUxNLklRX1JVQV9DQVBJVEFMX0xFQVNFX0FDQ1VNX0RFUC45OTYuMzEvMDcvMjAyNi4uLlVTRC5IAQAAACB6BQADAAAAAABa+pAwO+/eCFPgtDQ7794INENJUS5OQVNEQVE6Q0FMTS5JUV9UT1RBTF9MSUFCLjk5NC4zMS8wNy8yMDI2Li4uVVNELkgBAAAAIHoFAAIAAAAHMTk3LjAxOQEIAAAABQAAAAExAQAAAAstMjA4ODM0NzQ2OQMAAAADMTYwAgAAAAQxMjc2BAAAAAEwBwAAAAk3LzMxLzIwMjYIAAAACTUvMzAvMjAyMAkAAAABMHr8+jA7794IsAS3NDvv3gg5Q0lRLk5BU0RBUTpDQUxNLklRX1BSRUZfTk9OX1JFREVFTS45OTQuMzEvMDcvMjAyNi4uLlVTRC5IAQAAACB6BQADAAAAAAB6/PowO+/eCFG2tjQ7794INENJUS5OQVNEQVE6Q0FMTS5JUV9QUkVGX09USEVSLjk5NC4zMS8wNy8yMDI2Li4uVVNELkgBAAAAIHoFAAMAAAAAAFr6kDA7794If1S2NDvv3ggwQ0lRLk5BU0RBUTpDQUxNLklRX0NPTU1PTi45OTUuMzEvMDcvMjAyNi4uLlVTRC5IAQAAACB6BQACAAAABTAuNzUxAQgAAAAFAAAAATEBAAAACy0y</t>
  </si>
  <si>
    <t>MDM3MjQxNzIxAwAAAAMxNjACAAAABDExMDMEAAAAATAHAAAACTcvMzEvMjAyNggAAAAJNS8yOS8yMDIxCQAAAAEwWvqQMDvv3ghzLbY0O+/eCD5DSVEuTkFTREFROkNBTE0uSVFfVE9UQUxfRklOQU5DRV9MRUFTRVMuOTk5LjMxLzA3LzIwMjYuLi5VU0QuSAEAAAAgegUAAwAAAAAAYjWRMDvv3ggtu7M0O+/eCDZDSVEuTkFTREFROkNBTE0uSVFfT1RIRVJfRVFVSVRZLjk5Ni4zMS8wNy8yMDI2Li4uVVNELkgBAAAAIHoFAAIAAAAGLTEuNTk2AQgAAAAFAAAAATEBAAAACy0xOTg2NzA4NDMzAwAAAAMxNjACAAAABDEwMjgEAAAAATAHAAAACTcvMzEvMjAyNggAAAAJNS8yOC8yMDIyCQAAAAEwWvqQMDvv3ghN37U0O+/eCDtDSVEuTkFTREFROkNBTE0uSVFfTUlOT1JJVFlfSU5URVJFU1QuOTk3LjMxLzA3LzIwMjYuLi5VU0QuSAEAAAAgegUAAgAAAAYtMS40OTgBCAAAAAUAAAABMQEAAAALLTE5MzQ5Nzg0MjADAAAAAzE2MAIAAAAEMTA1MgQAAAABMAcAAAAJNy8zMS8yMDI2CAAAAAg2LzMvMjAyMwkAAAABMFr6kDA7794IA5G1NDvv3gg7Q0lRLk5BU0RBUTpDQUxNLklRX1RPVEFMX0xJQUJfRVFVSVRZLjk5OC4zMS8wNy8yMDI2Li4uVVNELkgBAAAAIHoFAAIAAAAIMjE4NC43NjEBCAAAAAUAAAABMQEAAAALLTE4ODEwNjg2NzYDAAAAAzE2MAIAAAAEMTAxMwQAAAABMAcAAAAJNy8zMS8yMDI2CAAAAAg2LzEv</t>
  </si>
  <si>
    <t>MjAyNAkAAAABMFr6kDA7794IsUK1NDvv3ggxQ0lRLk5BU0RBUTpDQUxNLklRX1JVQV9ORVQuOTk1LjMxLzA3LzIwMjYuLi5VU0QuSAEAAAAgegUAAwAAAAAAWvqQMDvv3ghxG7U0O+/eCDVDSVEuTkFTREFROkNBTE0uSVFfVE9UQUxfREVCVC4xMDAwLjMxLzA3LzIwMjYuLi5VU0QuSAEAAAAgegUAAgAAAAEwAQgAAAAFAAAAATEBAAAACy0xODgxMDY4NjY4AwAAAAMxNjACAAAABDQxNzMEAAAAATAHAAAACTcvMzEvMjAyNggAAAAJNS8zMC8yMDI2CQAAAAEw4FyRMDvv3gjY47E0O+/eCENDSVEuTkFTREFROkNBTE0uSVFfUlVBX09QRVJBVElOR19MRUFTRV9HUk9TUy45OTYuMzEvMDcvMjAyNi4uLlVTRC5IAQAAACB6BQADAAAAAABa+pAwO+/eCI+ltDQ7794IQUNJUS5OQVNEQVE6Q0FMTS5JUV9SVUFfT1BFUkFUSU5HX0xFQVNFX05FVC45OTcuMzEvMDcvMjAyNi4uLlVTRC5IAQAAACB6BQADAAAAAABa+pAwO+/eCHZ+tDQ7794IPUNJUS5OQVNEQVE6Q0FMTS5JUV9BRF9FWENMX09QRVJfTEVBU0VTLjk5OC4zMS8wNy8yMDI2Li4uVVNELkgBAAAAIHoFAAIAAAAHLTgwNC45NAEIAAAABQAAAAExAQAAAAstMTg4MTA2ODY3NgMAAAADMTYwAgAAAAU0ODk3NQQAAAABMAcAAAAJNy8zMS8yMDI2CAAAAAg2LzEvMjAyNAkAAAABMFr6kDA7794IWDC0NDvv3ghAQ0lRLk5BU0RBUTpDQUxNLklRX0ZJTkFOQ0VfTEVB</t>
  </si>
  <si>
    <t>U0VTX0NVUlJFTlQuOTk5LjMxLzA3LzIwMjYuLi5VU0QuSAEAAAAgegUAAwAAAAAAYjWRMDvv3gg44rM0O+/eCDFDSVEuTkFTREFROkNBTE0uSVFfV0lQX0lOVi45OTcuMzEvMDcvMjAyNi4uLlVTRC5IAQAAACB6BQADAAAAAADgXJEwO+/eCImWsDQ7794IS0NJUS5OQVNEQVE6Q0FMTS5JUV9MVF9QT1JUSU9OX09QRVJfTEVBU0VfTElBQklMSVRJRVMuOTk5LjMxLzA3LzIwMjYuLi5VU0QuSAEAAAAgegUAAwAAAAAAYjWRMDvv3gjmk7M0O+/eCDZDSVEuTkFTREFROkNBTE0uSVFfVE9UQUxfTEVBU0VTLjk5OS4zMS8wNy8yMDI2Li4uVVNELkgBAAAAIHoFAAMAAAAAAGI1kTA7794IIlmzNDvv3ghFQ0lRLk5BU0RBUTpDQUxNLklRX1RPVEFMX0RFQlRfRVhDTF9PUEVSX0xFQVNFUy45OTcuMzEvMDcvMjAyNi4uLlVTRC5IAQAAACB6BQADAAAAAABiNZEwO+/eCPgKszQ7794IMkNJUS5OQVNEQVE6Q0FMTS5JUV9CVl9TSEFSRS45OTUuMzEvMDcvMjAyNi4uLlVTRC5IAQAAACB6BQACAAAACTIwLjcyODg3NQEIAAAABQAAAAExAQAAAAstMjAzNzI0MTcyMQMAAAADMTYwAgAAAAQ0MDIwBAAAAAEwBwAAAAk3LzMxLzIwMjYIAAAACTUvMjkvMjAyMQkAAAABMGI1kTA7794I2ryyNDvv3ghNQ0lRLk5BU0RBUTpDQUxNLklRX0xJUVVJREFUSU9OX1ZBTFVFX1BSRUZFUlJFRF9DT05WRVJULjk5NS4zMS8wNy8yMDI2Li4u</t>
  </si>
  <si>
    <t>VVNELkgBAAAAIHoFAAMAAAAAAPuDkTA7794IO4auNDvv3ghBQ0lRLk5BU0RBUTpDQUxNLklRX1RPVEFMX0RFQlRfTk9OX0NVUlJFTlQuMTAwMC4zMS8wNy8yMDI2Li4uVVNELkgBAAAAIHoFAAMAAAAAAOBckTA7794I1YGxNDvv3ghBQ0lRLk5BU0RBUTpDQUxNLklRX01JTk9SSVRZX0lOVEVSRVNUX1RPVEFMLjk5OC4zMS8wNy8yMDI2Li4uVVNELkgBAAAAIHoFAAIAAAAGLTMuMTA0AQgAAAAFAAAAATEBAAAACy0xODgxMDY4Njc2AwAAAAMxNjACAAAABDEzMTIEAAAAATAHAAAACTcvMzEvMjAyNggAAAAINi8xLzIwMjQJAAAAATDgXJEwO+/eCJRasTQ7794IOUNJUS5OQVNEQVE6Q0FMTS5JUV9ORVRfV09SS0lOR19DQVAuOTk1LjMxLzA3LzIwMjYuLi5VU0QuSAEAAAAgegUAAgAAAAYyNjEuMjMBCAAAAAUAAAABMQEAAAALLTIwMzcyNDE3MjEDAAAAAzE2MAIAAAAEMTMxMQQAAAABMAcAAAAJNy8zMS8yMDI2CAAAAAk1LzI5LzIwMjEJAAAAATDgXJEwO+/eCNEfsTQ7794IN0NJUS5OQVNEQVE6Q0FMTS5JUV9FUVVJVFlfTUVUSE9ELjk5NS4zMS8wNy8yMDI2Li4uVVNELkgBAAAAIHoFAAIAAAAGNTQuOTQxAQgAAAAFAAAAATEBAAAACy0yMDM3MjQxNzIxAwAAAAMxNjACAAAABDMwNjMEAAAAATAHAAAACTcvMzEvMjAyNggAAAAJNS8yOS8yMDIxCQAAAAEw4FyRMDvv3giP+LA0O+/eCDxDSVEuTkFTREFROkNB</t>
  </si>
  <si>
    <t>TE0uSVFfRklOX0RJVl9ERUJUX1RPVEFMLjk5Ny4zMS8wNy8yMDI2Li4uVVNELkgBAAAAIHoFAAMAAAAAAPBVjTA7794IIP6rNDvv3ggzQ0lRLk5BU0RBUTpDQUxNLklRX09USEVSX0lOVi45OTUuMzEvMDcvMjAyNi4uLlVTRC5IAQAAACB6BQADAAAAAADgXJEwO+/eCMNbsDQ7794IQENJUS5OQVNEQVE6Q0FMTS5JUV9OQVRVUkFMX1JFU09VUkNFU19DT1NULjk5Ny4zMS8wNy8yMDI2Li4uVVNELkgBAAAAIHoFAAMAAAAAAPuDkTA7794Ihb+vNDvv3gg/Q0lRLk5BU0RBUTpDQUxNLklRX0xFQVNFSE9MRF9JTVBST1ZFTUVOVC45OTUuMzEvMDcvMjAyNi4uLlVTRC5IAQAAACB6BQADAAAAAAD7g5EwO+/eCHCYrzQ7794IRUNJUS5OQVNEQVE6Q0FMTS5JUV9ERUZfVEFYX1ZBTFVBVElPTl9BTExPV0FOQ0UuOTk1LjMxLzA3LzIwMjYuLi5VU0QuSAEAAAAgegUAAwAAAAAA+4ORMDvv3ggTI680O+/eCDJDSVEuTkFTREFROkNBTE0uSVFfUFJFRl9SRVAuOTk2LjMxLzA3LzIwMjYuLi5VU0QuSAEAAAAgegUAAwAAAAAA5m72MDvv3gi5a8E0O+/eCDhDSVEuTkFTREFROkNBTE0uSVFfQVNTRVRTX0xFVkVMXzMuOTk1LjMxLzA3LzIwMjYuLi5VU0QuSAEAAAAgegUAAwAAAAAA+4ORMDvv3gjMJa00O+/eCD1DSVEuTkFTREFROkNBTE0uSVFfTElBQklMSVRJRVNfTEVWRUxfMS45OTguMzEvMDcvMjAyNi4uLlVTRC5IAQAA</t>
  </si>
  <si>
    <t>ACB6BQADAAAAAADwVY0wO+/eCL7XrDQ7794IPUNJUS5OQVNEQVE6Q0FMTS5JUV9MSUFCSUxJVElFU19MRVZFTF8zLjk5NS4zMS8wNy8yMDI2Li4uVVNELkgBAAAAIHoFAAMAAAAAAPBVjTA7794IopysNDvv3ghJQ0lRLk5BU0RBUTpDQUxNLklRX0ZBSVJfVkFMVUVfQ0hBTkdFX0lOQ0xfRUFSTklOR1MuOTk3LjMxLzA3LzIwMjYuLi5VU0QuSAEAAAAgegUAAwAAAAAA8FWNMDvv3ghuTqw0O+/eCENDSVEuTkFTREFROkNBTE0uSVFfR1dfSU5UQU5fQU1PUlRfUEFSVElBTF9DRi45OTYuMzEvMDcvMjAyNi4uLlVTRC5IAQAAACB6BQADAAAAAAD2lfYwO+/eCAsJwDQ7794IR0NJUS5OQVNEQVE6Q0FMTS5JUV9DVVJSRU5UX1BPUlRfREVCVF9ERVJJVkFUSVZFUy45OTUuMzEvMDcvMjAyNi4uLlVTRC5IAQAAACB6BQADAAAAAADOkI0wO+/eCJ7FqjQ7794IMkNJUS5OQVNEQVE6Q0FMTS5JUV9HUk9TU19HVy45OTkuMzEvMDcvMjAyNi4uLlVTRC5IAQAAACB6BQADAAAAAADOkI0wO+/eCB7uqTQ7794IP0NJUS5OQVNEQVE6Q0FMTS5JUV9BRFZBTkNFU19GT1JfU1VQUExJRVMuOTk0LjMxLzA3LzIwMjYuLi5VU0QuSAEAAAAgegUAAwAAAAAAzpCNMDvv3gj6n6k0O+/eCDpDSVEuTkFTREFROkNBTE0uSVFfSU5URVJDT01QQU5ZX0NMLjEwMDAuMzEvMDcvMjAyNi4uLlVTRC5IAQAAACB6BQADAAAAAAAhuI0wO+/eCIrv</t>
  </si>
  <si>
    <t>qDQ7794IPENJUS5OQVNEQVE6Q0FMTS5JUV9DQVNIX0lOVEVSRVNUX09QRVIuOTk2LjMxLzA3LzIwMjYuLi5VU0QuSAEAAAAgegUAAwAAAAAAbIf6MDvv3giP4740O+/eCDZDSVEuTkFTREFROkNBTE0uSVFfUFJFRl9ESVZfQ0YuMTAwMC4zMS8wNy8yMDI2Li4uVVNELkgBAAAAIHoFAAMAAAAAAOZu9jA7794IrzDBNDvv3gg7Q0lRLk5BU0RBUTpDQUxNLklRX1RPVEFMX0RJVl9QQUlEX0NGLjk5NC4zMS8wNy8yMDI2Li4uVVNELkgBAAAAIHoFAAMAAAAAAOZu9jA7794IYQnBNDvv3ghBQ0lRLk5BU0RBUTpDQUxNLklRX09USEVSX0ZJTkFOQ0VfQUNUX1NVUFBMLjk5OC4zMS8wNy8yMDI2Li4uVVNELkgBAAAAIHoFAAMAAAAAAPaV9jA7794Ias7ANDvv3gg4Q0lRLk5BU0RBUTpDQUxNLklRX01JU0NfQURKVVNUX0NGLjk5OC4zMS8wNy8yMDI2Li4uVVNELkgBAAAAIHoFAAMAAAAAAPaV9jA7794IY2vANDvv3ghFQ0lRLk5BU0RBUTpDQUxNLklRX09QRVJBVElOR19MRUFTRV9MSUFCSUxJVElFUy45OTQuMzEvMDcvMjAyNi4uLlVTRC5IAQAAACB6BQADAAAAAABsh/owO+/eCLAhvTQ7794ISENJUS5OQVNEQVE6Q0FMTS5JUV9ERVBSRUNJQVRJT05fUkVOVEFMX0FTU0VUU19DRi4xMDAwLjMxLzA3LzIwMjYuLi5VU0QuSAEAAAAgegUAAwAAAAAA9pX2MDvv3ggLCcA0O+/eCEZDSVEuTkFTREFROkNBTE0uSVFfREFf</t>
  </si>
  <si>
    <t>U1VQUExfQ0ZfRVhDTF9PUEVSX0xFQVNFUy45OTQuMzEvMDcvMjAyNi4uLlVTRC5IAQAAACB6BQACAAAABjU1LjIwMwEIAAAABQAAAAExAQAAAAstMjA4ODM0NzQ2OQMAAAADMTYwAgAAAAU0ODk4MwQAAAABMAcAAAAJNy8zMS8yMDI2CAAAAAk1LzMwLzIwMjAJAAAAATD2lfYwO+/eCMLhvzQ7794IQUNJUS5OQVNEQVE6Q0FMTS5JUV9EQV9DRl9FWENMX09QRVJfTEVBU0VTLjEwMDAuMzEvMDcvMjAyNi4uLlVTRC5IAQAAACB6BQACAAAABzEyNC4zNDIBCAAAAAUAAAABMQEAAAALLTE4ODEwNjg2NjgDAAAAAzE2MAIAAAAFNDg5ODUEAAAAATAHAAAACTcvMzEvMjAyNggAAAAJNS8zMC8yMDI2CQAAAAEw9pX2MDvv3giYpr80O+/eCEVDSVEuTkFTREFROkNBTE0uSVFfU0FMRV9QUk9DRUVEU19SRU5UQUxfQVNTRVRTLjk5OC4zMS8wNy8yMDI2Li4uVVNELkgBAAAAIHoFAAMAAAAAAPaV9jA7794IhFi/NDvv3gg3Q0lRLk5BU0RBUTpDQUxNLklRX09USEVSX1JFQ0VJVi4xMDAwLjMxLzA3LzIwMjYuLi5VU0QuSAEAAAAgegUAAgAAAAcxMjguMTgyAQgAAAAFAAAAATEBAAAACy0xODgxMDY4NjY4AwAAAAMxNjACAAAABDEyMDYEAAAAATAHAAAACTcvMzEvMjAyNggAAAAJNS8zMC8yMDI2CQAAAAEwWa76MDvv3gjO+7s0O+/eCDlDSVEuTkFTREFROkNBTE0uSVFfQ0FTSF9UQVhFU19PUEVSLjk5NC4zMS8wNy8yMDI2</t>
  </si>
  <si>
    <t>Li4uVVNELkgBAAAAIHoFAAMAAAAAAGyH+jA7794IRJW+NDvv3gg8Q0lRLk5BU0RBUTpDQUxNLklRX0NBU0hfVEFYRVNfSU5WRVNULjEwMDAuMzEvMDcvMjAyNi4uLlVTRC5IAQAAACB6BQADAAAAAABsh/owO+/eCEluvjQ7794INUNJUS5OQVNEQVE6Q0FMTS5JUV9MRVZFUkVEX0ZDRi45OTguMzEvMDcvMjAyNi4uLlVTRC5IAQAAACB6BQACAAAACjIxMy43Mjk2MjUBCAAAAAUAAAABMQEAAAALLTE4ODEwNjg2NzYDAAAAAzE2MAIAAAAENDQyMgQAAAABMAcAAAAJNy8zMS8yMDI2CAAAAAg2LzEvMjAyNAkAAAABMGyH+jA7794Inwu+NDvv3gg1Q0lRLk5BU0RBUTpDQUxNLklRX01BSU5UX0NBUEVYLjk5Ni4zMS8wNy8yMDI2Li4uVVNELkgBAAAAIHoFAAMAAAAAAGyH+jA7794IVG+9NDvv3ggsQ0lRLk5BU0RBUTpDQUxNLklRX0FELjk5OS4zMS8wNy8yMDI2Li4uVVNELkgBAAAAIHoFAAIAAAAHLTg3OS4xNAEIAAAABQAAAAExAQAAAAstMTg4MTA2ODY3NQMAAAADMTYwAgAAAAQxMDc1BAAAAAEwBwAAAAk3LzMxLzIwMjYIAAAACTUvMzEvMjAyNQkAAAABMGzV+jA7794INq+6NDvv3ghOQ0lRLk5BU0RBUTpDQUxNLklRX09QRVJBVElOR19MRUFTRV9MSUFCSUxJVElFU19OT05DQVNILjEwMDAuMzEvMDcvMjAyNi4uLlVTRC5IAQAAACB6BQADAAAAAABZrvowO+/eCEX6vDQ7794IR0NJUS5OQVNEQVE6Q0FMTS5J</t>
  </si>
  <si>
    <t>UV9UT1RBTF9ERUJUX1JFUEFJRF9FWENMX0xFQVNFUy45OTQuMzEvMDcvMjAyNi4uLlVTRC5IAQAAACB6BQACAAAABi0xLjY5NgEIAAAABQAAAAExAQAAAAstMjA4ODM0NzQ2OQMAAAADMTYwAgAAAAU0ODk4NgQAAAABMAcAAAAJNy8zMS8yMDI2CAAAAAk1LzMwLzIwMjAJAAAAATBZrvowO+/eCPa+vDQ7794INENJUS5OQVNEQVE6Q0FMTS5JUV9DQVNIX0VRVUlWLjk5Ni4zMS8wNy8yMDI2Li4uVVNELkgBAAAAIHoFAAIAAAAGNTkuMDg0AQgAAAAFAAAAATEBAAAACy0xOTg2NzA4NDMzAwAAAAMxNjACAAAABDEwOTYEAAAAATAHAAAACTcvMzEvMjAyNggAAAAJNS8yOC8yMDIyCQAAAAEwWa76MDvv3gjnl7w0O+/eCDhDSVEuTkFTREFROkNBTE0uSVFfQ0FTSF9TVF9JTlZFU1QuOTk2LjMxLzA3LzIwMjYuLi5VU0QuSAEAAAAgegUAAgAAAAcxNzQuNTEzAQgAAAAFAAAAATEBAAAACy0xOTg2NzA4NDMzAwAAAAMxNjACAAAABDEwMDIEAAAAATAHAAAACTcvMzEvMjAyNggAAAAJNS8yOC8yMDIyCQAAAAEwWa76MDvv3gj0Irw0O+/eCD5DSVEuTkFTREFROkNBTE0uSVFfRklOX0RJVl9ERUJUX0NVUlJFTlQuOTk2LjMxLzA3LzIwMjYuLi5VU0QuSAEAAAAgegUAAwAAAAAAbNX6MDvv3gh+xrg0O+/eCDZDSVEuTkFTREFROkNBTE0uSVFfVE9UQUxfUkVDRUlWLjk5NC4zMS8wNy8yMDI2Li4uVVNELkgBAAAAIHoFAAIA</t>
  </si>
  <si>
    <t>AAAGOTguMzc1AQgAAAAFAAAAATEBAAAACy0yMDg4MzQ3NDY5AwAAAAMxNjACAAAABDEwMDEEAAAAATAHAAAACTcvMzEvMjAyNggAAAAJNS8zMC8yMDIwCQAAAAEwWa76MDvv3gib1Ls0O+/eCDVDSVEuTkFTREFROkNBTE0uSVFfUFJFUEFJRF9FWFAuOTk4LjMxLzA3LzIwMjYuLi5VU0QuSAEAAAAgegUAAgAAAAU1LjIzOAEIAAAABQAAAAExAQAAAAstMTg4MTA2ODY3NgMAAAADMTYwAgAAAAQxMjEyBAAAAAEwBwAAAAk3LzMxLzIwMjYIAAAACDYvMS8yMDI0CQAAAAEwWa76MDvv3gh/hrs0O+/eCDhDSVEuTkFTREFROkNBTE0uSVFfTE9BTlNfRk9SX1NBTEUuOTk4LjMxLzA3LzIwMjYuLi5VU0QuSAEAAAAgegUAAwAAAAAAWa76MDvv3gghOLs0O+/eCDJDSVEuTkFTREFROkNBTE0uSVFfVE9UQUxfQ0EuOTk2LjMxLzA3LzIwMjYuLi5VU0QuSAEAAAAgegUAAgAAAAc2NjEuNTE5AQgAAAAFAAAAATEBAAAACy0xOTg2NzA4NDMzAwAAAAMxNjACAAAABDEwMDgEAAAAATAHAAAACTcvMzEvMjAyNggAAAAJNS8yOC8yMDIyCQAAAAEwbNX6MDvv3ghS1ro0O+/eCDtDSVEuTkFTREFROkNBTE0uSVFfTUlOT1JJVFlfSU5URVJFU1QuOTk2LjMxLzA3LzIwMjYuLi5VU0QuSAEAAAAgegUAAgAAAAYtMC4yMDYBCAAAAAUAAAABMQEAAAALLTE5ODY3MDg0MzMDAAAAAzE2MAIAAAAEMTA1MgQAAAABMAcAAAAJNy8zMS8yMDI2</t>
  </si>
  <si>
    <t>CAAAAAk1LzI4LzIwMjIJAAAAATBa+pAwO+/eCAORtTQ7794IO0NJUS5OQVNEQVE6Q0FMTS5JUV9GSU5fRElWX0FTU0VUU19MVC45OTUuMzEvMDcvMjAyNi4uLlVTRC5IAQAAACB6BQADAAAAAABs1fowO+/eCAbsuTQ7794IOUNJUS5OQVNEQVE6Q0FMTS5JUV9MT0FOU19SRUNFSVZfTFQuOTk3LjMxLzA3LzIwMjYuLi5VU0QuSAEAAAAgegUAAwAAAAAAbNX6MDvv3ggG7Lk0O+/eCDhDSVEuTkFTREFROkNBTE0uSVFfREVGX0NIQVJHRVNfTFQuOTk5LjMxLzA3LzIwMjYuLi5VU0QuSAEAAAAgegUAAwAAAAAAbNX6MDvv3gjLsLk0O+/eCDtDSVEuTkFTREFROkNBTE0uSVFfQ1VSUkVOVF9QT1JUX0RFQlQuOTk1LjMxLzA3LzIwMjYuLi5VU0QuSAEAAAAgegUAAwAAAAAAbNX6MDvv3giB7bg0O+/eCEFDSVEuTkFTREFROkNBTE0uSVFfUlVBX09QRVJBVElOR19MRUFTRV9ORVQuOTk2LjMxLzA3LzIwMjYuLi5VU0QuSAEAAAAgegUAAwAAAAAAWvqQMDvv3gh2frQ0O+/eCD1DSVEuTkFTREFROkNBTE0uSVFfSU5DX1RBWF9QQVlfQ1VSUkVOVC45OTcuMzEvMDcvMjAyNi4uLlVTRC5IAQAAACB6BQACAAAABTguMjg4AQgAAAAFAAAAATEBAAAACy0xOTM0OTc4NDIwAwAAAAMxNjACAAAABDEwOTQEAAAAATAHAAAACTcvMzEvMjAyNggAAAAINi8zLzIwMjMJAAAAATBs1fowO+/eCEmfuDQ7794IPkNJUS5OQVNEQVE6Q0FM</t>
  </si>
  <si>
    <t>TS5JUV9ERUZfVEFYX0xJQUJfQ1VSUkVOVC45OTkuMzEvMDcvMjAyNi4uLlVTRC5IAQAAACB6BQADAAAAAAB6/PowO+/eCD1RuDQ7794ILENJUS5OQVNEQVE6Q0FMTS5JUV9SRS45OTQuMzEvMDcvMjAyNi4uLlVTRC5IAQAAACB6BQACAAAABzk3NS4xNDcBCAAAAAUAAAABMQEAAAALLTIwODgzNDc0NjkDAAAAAzE2MAIAAAAEMTIyMgQAAAABMAcAAAAJNy8zMS8yMDI2CAAAAAk1LzMwLzIwMjAJAAAAATBa+pAwO+/eCE3ftTQ7794INkNJUS5OQVNEQVE6Q0FMTS5JUV9PVEhFUl9FUVVJVFkuOTk1LjMxLzA3LzIwMjYuLi5VU0QuSAEAAAAgegUAAgAAAAYtMC41NTgBCAAAAAUAAAABMQEAAAALLTIwMzcyNDE3MjEDAAAAAzE2MAIAAAAEMTAyOAQAAAABMAcAAAAJNy8zMS8yMDI2CAAAAAk1LzI5LzIwMjEJAAAAATBa+pAwO+/eCES4tTQ7794IUkNJUS5OQVNEQVE6Q0FMTS5JUV9GSU5BTkNJTkdfT0JMSUdfQ1VSUkVOVF9FWENMX09QRVJfTEVBU0VTLjk5Ni4zMS8wNy8yMDI2Li4uVVNELkgBAAAAIHoFAAMAAAAAAGI1kTA7794IIlmzNDvv3ggzQ0lRLk5BU0RBUTpDQUxNLklRX1JVQV9HUk9TUy45OTQuMzEvMDcvMjAyNi4uLlVTRC5IAQAAACB6BQADAAAAAABa+pAwO+/eCLFCtTQ7794IQ0NJUS5OQVNEQVE6Q0FMTS5JUV9FQVJOSU5HX1BBUkVOVF9FWENMX0VYVFJBLjk5OC4zMS8wNy8yMDI2Li4uVVNELkgB</t>
  </si>
  <si>
    <t>AAAAIHoFAAIAAAAHMjc3Ljg4OAEIAAAABQAAAAExAQAAAAstMTg4MTA2ODY3NgMAAAADMTYwAgAAAAU0MTU5NgQAAAABMAcAAAAJNy8zMS8yMDI2CAAAAAg2LzEvMjAyNAkAAAABML20FzE7794Ik/7NNDvv3gg9Q0lRLk5BU0RBUTpDQUxNLklRX1NBTEVfUkVBTF9FU1RBVEVfQ0YuOTk4LjMxLzA3LzIwMjYuLi5VU0QuSAEAAAAgegUAAwAAAAAA5m72MDvv3giaBsM0O+/eCDhDSVEuTkFTREFROkNBTE0uSVFfTFRfREVCVF9JU1NVRUQuOTk2LjMxLzA3LzIwMjYuLi5VU0QuSAEAAAAgegUAAwAAAAAA5m72MDvv3gh0VsI0O+/eCDJDSVEuTkFTREFROkNBTE0uSVFfUFJFRl9SRVAuOTk3LjMxLzA3LzIwMjYuLi5VU0QuSAEAAAAgegUAAwAAAAAA5m72MDvv3gi5a8E0O+/eCC1DSVEuTkFTREFROkNBTE0uSVFfRlguMTAwMC4zMS8wNy8yMDI2Li4uVVNELkgBAAAAIHoFAAMAAAAAAPaV9jA7794Ip6bANDvv3ghLQ0lRLk5BU0RBUTpDQUxNLklRX0lOVEVSRVNUX0VYUF9MRUFTRV9MSUFCSUxJVFlfREVCVC45OTYuMzEvMDcvMjAyNi4uLlVTRC5IAQAAACB6BQADAAAAAADM2xcxO+/eCAI9zDQ7794INUNJUS5OQVNEQVE6Q0FMTS5JUV9DQVNIX0VRVUlWLjEwMDAuMzEvMDcvMjAyNi4uLlVTRC5IAQAAACB6BQACAAAABzEwNy4yMTcBCAAAAAUAAAABMQEAAAALLTE4ODEwNjg2NjgDAAAAAzE2MAIAAAAEMTA5NgQA</t>
  </si>
  <si>
    <t>AAABMAcAAAAJNy8zMS8yMDI2CAAAAAk1LzMwLzIwMjYJAAAAATBZrvowO+/eCOeXvDQ7794IMUNJUS5OQVNEQVE6Q0FMTS5JUV9FQklUREFSLjk5OC4zMS8wNy8yMDI2Li4uVVNELkgBAAAAIHoFAAMAAAAAAKqNFzE7794IvtXONDvv3gg6Q0lRLk5BU0RBUTpDQUxNLklRX0VCSVREQVJfRVhDTF9TQkMuOTk0LjMxLzA3LzIwMjYuLi5VU0QuSAEAAAAgegUAAwAAAAAAqo0XMTvv3gi+1c40O+/eCDtDSVEuTkFTREFROkNBTE0uSVFfRkVFU19PVEhFUl9JTkNPTUUuOTk4LjMxLzA3LzIwMjYuLi5VU0QuSAEAAAAgegUAAwAAAAAAqo0XMTvv3gimh840O+/eCDVDSVEuTkFTREFROkNBTE0uSVFfSVBSRF9TVVBQTEUuOTk4LjMxLzA3LzIwMjYuLi5VU0QuSAEAAAAgegUAAwAAAAAA8SkYMTvv3gjE8sg0O+/eCEFDSVEuTkFTREFROkNBTE0uSVFfRVhDSVNFX1RBWEVTX0lOQ0xfU0FMRVMuOTk3LjMxLzA3LzIwMjYuLi5VU0QuSAEAAAAgegUAAwAAAAAAvbQXMTvv3gg1ic00O+/eCDRDSVEuTkFTREFROkNBTE0uSVFfQ1VSUl9UQVhFUy45OTUuMzEvMDcvMjAyNi4uLlVTRC5IAQAAACB6BQACAAAABi0zNC4zNgEIAAAABQAAAAExAQAAAAstMjAzNzI0MTcyMQMAAAADMTYwAgAAAAUzNTM4MwQAAAABMAcAAAAJNy8zMS8yMDI2CAAAAAk1LzI5LzIwMjEJAAAAATC9tBcxO+/eCFMnzTQ7794IPkNJUS5OQVNEQVE6Q0FM</t>
  </si>
  <si>
    <t>TS5JUV9ERUZFUlJFRF9UQVhFU19UT1RBTC45OTguMzEvMDcvMjAyNi4uLlVTRC5IAQAAACB6BQACAAAABi05LjY3MgEIAAAABQAAAAExAQAAAAstMTg4MTA2ODY3NgMAAAADMTYwAgAAAAUzNTM4NQQAAAABMAcAAAAJNy8zMS8yMDI2CAAAAAg2LzEvMjAyNAkAAAABML20FzE7794IQQDNNDvv3ggyQ0lRLk5BU0RBUTpDQUxNLklRX0RJTFVUX05JLjk5NS4zMS8wNy8yMDI2Li4uVVNELkgBAAAAIHoFAAIAAAAHMS45NDYyNAEIAAAABQAAAAExAQAAAAstMjAzNzI0MTcyMQMAAAADMTYwAgAAAAQzNTIyBAAAAAEwBwAAAAk3LzMxLzIwMjYIAAAACTUvMjkvMjAyMQkAAAABML20FzE7794IN4vMNDvv3gg+Q0lRLk5BU0RBUTpDQUxNLklRX01JTk9SSVRZX0lOVEVSRVNUX0NGLjk5NC4zMS8wNy8yMDI2Li4uVVNELkgBAAAAIHoFAAMAAAAAAM4g9jA7794IAaDFNDvv3ggzQ0lRLk5BU0RBUTpDQUxNLklRX0RBX0VCSVREQS45OTQuMzEvMDcvMjAyNi4uLlVTRC5IAQAAACB6BQACAAAABjU4LjEwMwEIAAAABQAAAAExAQAAAAstMjA4ODM0NzQ2OQMAAAADMTYwAgAAAAQyMjA2BAAAAAEwBwAAAAk3LzMxLzIwMjYIAAAACTUvMzAvMjAyMAkAAAABMMzbFzE7794I7AHMNDvv3gg2Q0lRLk5BU0RBUTpDQUxNLklRX0FEVkVSVElTSU5HLjEwMDAuMzEvMDcvMjAyNi4uLlVTRC5IAQAAACB6BQADAAAAAADpAhgxO+/eCJw+</t>
  </si>
  <si>
    <t>yzQ7794IM0NJUS5OQVNEQVE6Q0FMTS5JUV9SRF9FWFBfRk4uOTk0LjMxLzA3LzIwMjYuLi5VU0QuSAEAAAAgegUAAwAAAAAA6QIYMTvv3giM8Mo0O+/eCEJDSVEuTkFTREFROkNBTE0uSVFfSU1QVVRfT1BFUl9MRUFTRV9JTlRfRVhQLjk5NS4zMS8wNy8yMDI2Li4uVVNELkgBAAAAIHoFAAMAAAAAAPEpGDE7794IV7bJNDvv3gg8Q0lRLk5BU0RBUTpDQUxNLklRX0NBU0hfSU5URVJFU1RfT1BFUi45OTcuMzEvMDcvMjAyNi4uLlVTRC5IAQAAACB6BQADAAAAAABsh/owO+/eCFEKvzQ7794IOENJUS5OQVNEQVE6Q0FMTS5JUV9TVE9DS19CQVNFRF9SRC45OTguMzEvMDcvMjAyNi4uLlVTRC5IAQAAACB6BQADAAAAAAAaURgxO+/eCG70xzQ7794IO0NJUS5OQVNEQVE6Q0FMTS5JUV9TVE9DS19CQVNFRF9PVEhFUi45OTkuMzEvMDcvMjAyNi4uLlVTRC5IAQAAACB6BQACAAAABTQuNTI3AQgAAAAFAAAAATEBAAAACy0xODgxMDY4Njc1AwAAAAMxNjACAAAABTIyNjc2BAAAAAEwBwAAAAk3LzMxLzIwMjYIAAAACTUvMzEvMjAyNQkAAAABMM4g9jA7794ITmLHNDvv3gg6Q0lRLk5BU0RBUTpDQUxNLklRX1JFU1RSX1NUT0NLX0NPTVAuOTk5LjMxLzA3LzIwMjYuLi5VU0QuSAEAAAAgegUAAwAAAAAAziD2MDvv3giR7MY0O+/eCC9DSVEuTkFTREFROkNBTE0uSVFfTklfQ0YuOTk2LjMxLzA3LzIwMjYuLi5VU0QuSAEA</t>
  </si>
  <si>
    <t>AAAgegUAAgAAAAYxMzIuNjUBCAAAAAUAAAABMQEAAAALLTE5ODY3MDg0MzMDAAAAAzE2MAIAAAAEMjE1MAQAAAABMAcAAAAJNy8zMS8yMDI2CAAAAAk1LzI4LzIwMjIJAAAAATDOIPYwO+/eCBwpxjQ7794IMUNJUS5OQVNEQVE6Q0FMTS5JUV9FQklUREEuMTAwMC4zMS8wNy8yMDI2Li4uVVNELkgBAAAAIHoFAAIAAAAHNDY3LjY5NAEIAAAABQAAAAExAQAAAAstMTg4MTA2ODY2OAMAAAADMTYwAgAAAAQ0MDUxBAAAAAEwBwAAAAk3LzMxLzIwMjYIAAAACTUvMzAvMjAyNgkAAAABMOrmijE7794IMlDRNDvv3gg4Q0lRLk5BU0RBUTpDQUxNLklRX0NSRURJVF9MT1NTX0NGLjk5OC4zMS8wNy8yMDI2Li4uVVNELkgBAAAAIHoFAAMAAAAAANZH9jA7794IyAPFNDvv3gg/Q0lRLk5BU0RBUTpDQUxNLklRX0NIQU5HRV9UUkFESU5HX0FTU0VUUy45OTkuMzEvMDcvMjAyNi4uLlVTRC5IAQAAACB6BQADAAAAAADWR/YwO+/eCNo/xDQ7794IOENJUS5OQVNEQVE6Q0FMTS5JUV9DSEFOR0VfREVGX1RBWC45OTcuMzEvMDcvMjAyNi4uLlVTRC5IAQAAACB6BQADAAAAAADWR/YwO+/eCMu2wzQ7794IOENJUS5OQVNEQVE6Q0FMTS5JUV9MVF9ERUJUX0lTU1VFRC45OTUuMzEvMDcvMjAyNi4uLlVTRC5IAQAAACB6BQADAAAAAADmbvYwO+/eCBEvwjQ7794INkNJUS5OQVNEQVE6Q0FMTS5JUV9JTlNfRElWX1JFVi4xMDAwLjMx</t>
  </si>
  <si>
    <t>LzA3LzIwMjYuLi5VU0QuSAEAAAAgegUAAwAAAAAAwHGKMTvv3giBqtg0O+/eCDhDSVEuTkFTREFROkNBTE0uSVFfRElMVVRfRVBTX0VYQ0wuOTk4LjMxLzA3LzIwMjYuLi5VU0QuSAEAAAAgegUAAgAAAAQ1LjY5AQgAAAAFAAAAATEBAAAACy0xODgxMDY4Njc2AwAAAAMxNjACAAAAAzE0MgQAAAABMAcAAAAJNy8zMS8yMDI2CAAAAAg2LzEvMjAyNAkAAAABMNO/ijE7794IyibSNDvv3ggyQ0lRLk5BU0RBUTpDQUxNLklRX0VQU19OT1JNLjk5OC4zMS8wNy8yMDI2Li4uVVNELkgBAAAAIHoFAAIAAAAINC43MjE5OTgBCAAAAAUAAAABMQEAAAALLTE4ODEwNjg2NzYDAAAAAzE2MAIAAAAENDM3OQQAAAABMAcAAAAJNy8zMS8yMDI2CAAAAAg2LzEvMjAyNAkAAAABMNO/ijE7794IE+zRNDvv3gg5Q0lRLk5BU0RBUTpDQUxNLklRX1RPVEFMX1JFVl9TSEFSRS45OTguMzEvMDcvMjAyNi4uLlVTRC5IAQAAACB6BQACAAAACTQ3Ljc1NDIzMwEIAAAABQAAAAExAQAAAAstMTg4MTA2ODY3NgMAAAADMTYwAgAAAAQ0MzgyBAAAAAEwBwAAAAk3LzMxLzIwMjYIAAAACDYvMS8yMDI0CQAAAAEw07+KMTvv3ggKntE0O+/eCDtDSVEuTkFTREFROkNBTE0uSVFfU1BFQ0lBTF9ESVZfU0hBUkUuOTk3LjMxLzA3LzIwMjYuLi5VU0QuSAEAAAAgegUAAwAAAAAA07+KMTvv3ggyUNE0O+/eCDZDSVEuTkFTREFROkNBTE0uSVFfU1RP</t>
  </si>
  <si>
    <t>Q0tfQkFTRUQuMTAwMC4zMS8wNy8yMDI2Li4uVVNELkgBAAAAIHoFAAMAAAAAAMBxijE7794IoWzWNDvv3gg5Q0lRLk5BU0RBUTpDQUxNLklRX0VCSVREQV9FWENMX1NCQy45OTQuMzEvMDcvMjAyNi4uLlVTRC5IAQAAACB6BQACAAAABjYzLjA3MQEIAAAABQAAAAExAQAAAAstMjA4ODM0NzQ2OQMAAAADMTYwAgAAAAUyNDEzNQQAAAABMAcAAAAJNy8zMS8yMDI2CAAAAAk1LzMwLzIwMjAJAAAAATDq5ooxO+/eCOQo0TQ7794IQkNJUS5OQVNEQVE6Q0FMTS5JUV9MRUFTRV9BREpVU1RNRU5UX0VCSVREQS4xMDAwLjMxLzA3LzIwMjYuLi5VU0QuSAEAAAAgegUAAwAAAAAA6uaKMTvv3gjyn9A0O+/eCDhDSVEuTkFTREFROkNBTE0uSVFfRUJJVF9FWENMX1NCQy4xMDAwLjMxLzA3LzIwMjYuLi5VU0QuSAEAAAAgegUAAgAAAAczNDkuMTA5AQgAAAAFAAAAATEBAAAACy0xODgxMDY4NjY4AwAAAAMxNjACAAAABTI0MTM0BAAAAAEwBwAAAAk3LzMxLzIwMjYIAAAACTUvMzAvMjAyNgkAAAABMIz6ijE7794IS9HPNDvv3gg1Q0lRLk5BU0RBUTpDQUxNLklRX0ZJTl9ESVZfUkVWLjk5NS4zMS8wNy8yMDI2Li4uVVNELkgBAAAAIHoFAAMAAAAAAMBxijE7794Isx/ZNDvv3ggwQ0lRLk5BU0RBUTpDQUxNLklRX01FUkdFUi45OTkuMzEvMDcvMjAyNi4uLlVTRC5IAQAAACB6BQACAAAABC02LjYBCAAAAAUAAAABMQEAAAAL</t>
  </si>
  <si>
    <t>LTE4ODEwNjg2NzUDAAAAAzE2MAIAAAACODAEAAAAATAHAAAACTcvMzEvMjAyNggAAAAJNS8zMS8yMDI1CQAAAAEww5iKMTvv3giLmNQ0O+/eCDlDSVEuTkFTREFROkNBTE0uSVFfT1RIRVJfUkVWX1NVUFBMLjk5Ni4zMS8wNy8yMDI2Li4uVVNELkgBAAAAIHoFAAMAAAAAAMBxijE7794IH/rXNDvv3gguQ0lRLk5BU0RBUTpDQUxNLklRX0NPR1MuOTk5LjMxLzA3LzIwMjYuLi5VU0QuSAEAAAAgegUAAgAAAAQyNDExAQgAAAAFAAAAATEBAAAACy0xODgxMDY4Njc1AwAAAAMxNjACAAAAAjM0BAAAAAEwBwAAAAk3LzMxLzIwMjYIAAAACTUvMzEvMjAyNQkAAAABMMBxijE7794IA6zXNDvv3ggsQ0lRLk5BU0RBUTpDQUxNLklRX0dQLjk5NS4zMS8wNy8yMDI2Li4uVVNELkgBAAAAIHoFAAIAAAAHMTYwLjY2MQEIAAAABQAAAAExAQAAAAstMjAzNzI0MTcyMQMAAAADMTYwAgAAAAIxMAQAAAABMAcAAAAJNy8zMS8yMDI2CAAAAAk1LzI5LzIwMjEJAAAAATDAcYoxO+/eCGUD1zQ7794IN0NJUS5OQVNEQVE6Q0FMTS5JUV9FWFBMT1JFX0RSSUxMLjk5OC4zMS8wNy8yMDI2Li4uVVNELkgBAAAAIHoFAAMAAAAAAMBxijE7794I9qnWNDvv3gg4Q0lRLk5BU0RBUTpDQUxNLklRX0RJTFVUX0VQU19FWENMLjk5Ny4zMS8wNy8yMDI2Li4uVVNELkgBAAAAIHoFAAIAAAAFMTUuNTIBCAAAAAUAAAABMQEAAAALLTE5MzQ5Nzg0</t>
  </si>
  <si>
    <t>MjADAAAAAzE2MAIAAAADMTQyBAAAAAEwBwAAAAk3LzMxLzIwMjYIAAAACDYvMy8yMDIzCQAAAAEw07+KMTvv3gjKJtI0O+/eCDhDSVEuTkFTREFROkNBTE0uSVFfR1dfSU5UQU5fQU1PUlQuOTk2LjMxLzA3LzIwMjYuLi5VU0QuSAEAAAAgegUAAwAAAAAAwHGKMTvv3ghJ5dU0O+/eCD1DSVEuTkFTREFROkNBTE0uSVFfSU5URVJFU1RfSU5WRVNUX0lOQy45OTUuMzEvMDcvMjAyNi4uLlVTRC5IAQAAACB6BQACAAAABjExLjgzMgEIAAAABQAAAAExAQAAAAstMjAzNzI0MTcyMQMAAAADMTYwAgAAAAI2NQQAAAABMAcAAAAJNy8zMS8yMDI2CAAAAAk1LzI5LzIwMjEJAAAAATDDmIoxO+/eCOhv1TQ7794IO0NJUS5OQVNEQVE6Q0FMTS5JUV9ORVRfSU5URVJFU1RfRVhQLjEwMDAuMzEvMDcvMjAyNi4uLlVTRC5IAQAAACB6BQACAAAABjU3Ljg0NQEIAAAABQAAAAExAQAAAAstMTg4MTA2ODY2OAMAAAADMTYwAgAAAAMzNjgEAAAAATAHAAAACTcvMzEvMjAyNggAAAAJNS8zMC8yMDI2CQAAAAEww5iKMTvv3gjNDdU0O+/eCDJDSVEuTkFTREFROkNBTE0uSVFfRUJUX0VYQ0wuOTk2LjMxLzA3LzIwMjYuLi5VU0QuSAEAAAAgegUAAgAAAAcxNjAuODAxAQgAAAAFAAAAATEBAAAACy0xOTg2NzA4NDMzAwAAAAMxNjACAAAAATQEAAAAATAHAAAACTcvMzEvMjAyNggAAAAJNS8yOC8yMDIyCQAAAAEww5iKMTvv3gjKv9Q0</t>
  </si>
  <si>
    <t>O+/eCEFDSVEuTkFTREFROkNBTE0uSVFfTEVBU0VfQURKVVNUTUVOVF9FQklUREEuOTk5LjMxLzA3LzIwMjYuLi5VU0QuSAEAAAAgegUAAwAAAAAA6uaKMTvv3gjyn9A0O+/eCDZDSVEuTkFTREFROkNBTE0uSVFfR0FJTl9JTlZFU1QuMTAwMC4zMS8wNy8yMDI2Li4uVVNELkgBAAAAIHoFAAMAAAAAAMOYijE7794IfkrUNDvv3gg0Q0lRLk5BU0RBUTpDQUxNLklRX0VBUk5JTkdfQ08uOTk5LjMxLzA3LzIwMjYuLi5VU0QuSAEAAAAgegUAAgAAAAgxMjE4LjIzMgEIAAAABQAAAAExAQAAAAstMTg4MTA2ODY3NQMAAAADMTYwAgAAAAE3BAAAAAEwBwAAAAk3LzMxLzIwMjYIAAAACTUvMzEvMjAyNQkAAAABMMOYijE7794IBXPTNDvv3gg6Q0lRLk5BU0RBUTpDQUxNLklRX0VYVFJBX0FDQ19JVEVNUy4xMDAwLjMxLzA3LzIwMjYuLi5VU0QuSAEAAAAgegUAAwAAAAAAw5iKMTvv3ghWONM0O+/eCDlDSVEuTkFTREFROkNBTE0uSVFfQkFTSUNfRVBTX0VYQ0wuMTAwMC4zMS8wNy8yMDI2Li4uVVNELkgBAAAAIHoFAAIAAAAINi42NDYwMDIBCAAAAAUAAAABMQEAAAALLTE4ODEwNjg2NjgDAAAAAzE2MAIAAAAEMzA2NAQAAAABMAcAAAAJNy8zMS8yMDI2CAAAAAk1LzMwLzIwMjYJAAAAATDTv4oxO+/eCPZN0jQ7794IO0NJUS5OQVNEQVE6Q0FMTS5JUV9JTlZFU1RNRU5UX0lOQ09NRS45OTkuMzEvMDcvMjAyNi4uLlVT</t>
  </si>
  <si>
    <t>RC5IAQAAACB6BQADAAAAAAC9tBcxO+/eCHqwzTQ7794IMkNJUS5OQVNEQVE6Q0FMTS5JUV9FUFNfTk9STS45OTcuMzEvMDcvMjAyNi4uLlVTRC5IAQAAACB6BQACAAAACTEyLjg1NDEwMgEIAAAABQAAAAExAQAAAAstMTkzNDk3ODQyMAMAAAADMTYwAgAAAAQ0Mzc5BAAAAAEwBwAAAAk3LzMxLzIwMjYIAAAACDYvMy8yMDIzCQAAAAEw07+KMTvv3gjKJtI0O+/eCDNDSVEuTkFTREFROkNBTE0uSVFfRElWX1NIQVJFLjk5OC4zMS8wNy8yMDI2Li4uVVNELkgBAAAAIHoFAAIAAAAFMS44ODkBCAAAAAUAAAABMQEAAAALLTE4ODEwNjg2NzYDAAAAAzE2MAIAAAAEMzA1OAQAAAABMAcAAAAJNy8zMS8yMDI2CAAAAAg2LzEvMjAyNAkAAAABMNO/ijE7794IBMXRNDvv3gg5Q0lRLk5BU0RBUTpDQUxNLklRX1RPVEFMX1JFVl9TSEFSRS45OTcuMzEvMDcvMjAyNi4uLlVTRC5IAQAAACB6BQACAAAABzY0LjY3MzEBCAAAAAUAAAABMQEAAAALLTE5MzQ5Nzg0MjADAAAAAzE2MAIAAAAENDM4MgQAAAABMAcAAAAJNy8zMS8yMDI2CAAAAAg2LzMvMjAyMwkAAAABMNO/ijE7794ICp7RNDvv3ggwQ0lRLk5BU0RBUTpDQUxNLklRX0VCSVREQS45OTguMzEvMDcvMjAyNi4uLlVTRC5IAQAAACB6BQACAAAABzM3NC42ODcBCAAAAAUAAAABMQEAAAALLTE4ODEwNjg2NzYDAAAAAzE2MAIAAAAENDA1MQQAAAABMAcAAAAJNy8zMS8y</t>
  </si>
  <si>
    <t>MDI2CAAAAAg2LzEvMjAyNAkAAAABMOrmijE7794IMlDRNDvv3gg3Q0lRLk5BU0RBUTpDQUxNLklRX0FJUkNSQUZUX1JFTlQuOTk4LjMxLzA3LzIwMjYuLi5VU0QuSAEAAAAgegUAAwAAAAAA6QIYMTvv3gh3K8o0O+/eCDdDSVEuTkFTREFROkNBTE0uSVFfRUJJVF9FWENMX1NCQy45OTkuMzEvMDcvMjAyNi4uLlVTRC5IAQAAACB6BQACAAAACDE1NjIuNTYzAQgAAAAFAAAAATEBAAAACy0xODgxMDY4Njc1AwAAAAMxNjACAAAABTI0MTM0BAAAAAEwBwAAAAk3LzMxLzIwMjYIAAAACTUvMzEvMjAyNQkAAAABMIz6ijE7794IS9HPNDvv3ggxQ0lRLk5BU0RBUTpDQUxNLklRX0VCSVREQVIuOTk3LjMxLzA3LzIwMjYuLi5VU0QuSAEAAAAgegUAAwAAAAAAqo0XMTvv3giYEM80O+/eCDtDSVEuTkFTREFROkNBTE0uSVFfRkVFU19PVEhFUl9JTkNPTUUuOTk2LjMxLzA3LzIwMjYuLi5VU0QuSAEAAAAgegUAAwAAAAAAqo0XMTvv3gimh840O+/eCENDSVEuTkFTREFROkNBTE0uSVFfRUFSTklOR19QQVJFTlRfRVhDTF9FWFRSQS45OTcuMzEvMDcvMjAyNi4uLlVTRC5IAQAAACB6BQACAAAABzc1OC4wMjQBCAAAAAUAAAABMQEAAAALLTE5MzQ5Nzg0MjADAAAAAzE2MAIAAAAFNDE1OTYEAAAAATAHAAAACTcvMzEvMjAyNggAAAAINi8zLzIwMjMJAAAAATC9tBcxO+/eCJP+zTQ7794IO0NJUS5OQVNEQVE6Q0FMTS5JUV9T</t>
  </si>
  <si>
    <t>VE9DS19CQVNFRF9PVEhFUi45OTguMzEvMDcvMjAyNi4uLlVTRC5IAQAAACB6BQACAAAABTQuMzU4AQgAAAAFAAAAATEBAAAACy0xODgxMDY4Njc2AwAAAAMxNjACAAAABTIyNjc2BAAAAAEwBwAAAAk3LzMxLzIwMjYIAAAACDYvMS8yMDI0CQAAAAEwziD2MDvv3ghOYsc0O+/eCEFDSVEuTkFTREFROkNBTE0uSVFfRVhDSVNFX1RBWEVTX0lOQ0xfU0FMRVMuOTk2LjMxLzA3LzIwMjYuLi5VU0QuSAEAAAAgegUAAwAAAAAAvbQXMTvv3ghuTs00O+/eCD5DSVEuTkFTREFROkNBTE0uSVFfREVGRVJSRURfVEFYRVNfVE9UQUwuOTk3LjMxLzA3LzIwMjYuLi5VU0QuSAEAAAAgegUAAgAAAAYyNC40NjcBCAAAAAUAAAABMQEAAAALLTE5MzQ5Nzg0MjADAAAAAzE2MAIAAAAFMzUzODUEAAAAATAHAAAACTcvMzEvMjAyNggAAAAINi8zLzIwMjMJAAAAATC9tBcxO+/eCEEAzTQ7794IS0NJUS5OQVNEQVE6Q0FMTS5JUV9JTlRFUkVTVF9FWFBfTEVBU0VfTElBQklMSVRZX0RFQlQuOTk1LjMxLzA3LzIwMjYuLi5VU0QuSAEAAAAgegUAAwAAAAAAzNsXMTvv3ggCPcw0O+/eCDVDSVEuTkFTREFROkNBTE0uSVFfQURWRVJUSVNJTkcuOTk5LjMxLzA3LzIwMjYuLi5VU0QuSAEAAAAgegUAAwAAAAAA6QIYMTvv3gicPss0O+/eCD1DSVEuTkFTREFROkNBTE0uSVFfREFfU1VQUExfUEFSVElBTF9DRi45OTYuMzEvMDcvMjAyNi4u</t>
  </si>
  <si>
    <t>LlVTRC5IAQAAACB6BQADAAAAAAD2lfYwO+/eCNVDwDQ7794IQkNJUS5OQVNEQVE6Q0FMTS5JUV9JTVBVVF9PUEVSX0xFQVNFX0lOVF9FWFAuOTk0LjMxLzA3LzIwMjYuLi5VU0QuSAEAAAAgegUAAwAAAAAA8SkYMTvv3ghXtsk0O+/eCD1DSVEuTkFTREFROkNBTE0uSVFfUkVTVFJVQ1RVUkVfU1VQUExFLjEwMDAuMzEvMDcvMjAyNi4uLlVTRC5IAQAAACB6BQADAAAAAADxKRgxO+/eCCVoyTQ7794IPkNJUS5OQVNEQVE6Q0FMTS5JUV9PVEhFUl9VTlVTVUFMX1NVUFBMRS45OTkuMzEvMDcvMjAyNi4uLlVTRC5IAQAAACB6BQADAAAAAADxKRgxO+/eCN9pyDQ7794IOENJUS5OQVNEQVE6Q0FMTS5JUV9TVE9DS19CQVNFRF9SRC45OTcuMzEvMDcvMjAyNi4uLlVTRC5IAQAAACB6BQADAAAAAAAaURgxO+/eCG70xzQ7794IQUNJUS5OQVNEQVE6Q0FMTS5JUV9MRUFTRV9BREpVU1RNRU5UX0VCSVREQS45OTcuMzEvMDcvMjAyNi4uLlVTRC5IAQAAACB6BQADAAAAAADq5ooxO+/eCPKf0DQ7794IOENJUS5OQVNEQVE6Q0FMTS5JUV9JTkNfRVFVSVRZX0NGLjEwMDAuMzEvMDcvMjAyNi4uLlVTRC5IAQAAACB6BQADAAAAAADWR/YwO+/eCLvcxDQ7794IP0NJUS5OQVNEQVE6Q0FMTS5JUV9DSEFOR0VfVFJBRElOR19BU1NFVFMuOTk4LjMxLzA3LzIwMjYuLi5VU0QuSAEAAAAgegUAAwAAAAAA1kf2MDvv3gjaP8Q0O+/e</t>
  </si>
  <si>
    <t>CDhDSVEuTkFTREFROkNBTE0uSVFfQ0hBTkdFX0RFRl9UQVguOTk2LjMxLzA3LzIwMjYuLi5VU0QuSAEAAAAgegUAAwAAAAAA1kf2MDvv3gjLtsM0O+/eCDhDSVEuTkFTREFROkNBTE0uSVFfTFRfREVCVF9JU1NVRUQuOTk0LjMxLzA3LzIwMjYuLi5VU0QuSAEAAAAgegUAAwAAAAAA5m72MDvv3ggRL8I0O+/eCDNDSVEuTkFTREFROkNBTE0uSVFfREFfRUJJVERBLjk5OS4zMS8wNy8yMDI2Li4uVVNELkgBAAAAIHoFAAIAAAAGOTQuMDIxAQgAAAAFAAAAATEBAAAACy0xODgxMDY4Njc1AwAAAAMxNjACAAAABDIyMDYEAAAAATAHAAAACTcvMzEvMjAyNggAAAAJNS8zMS8yMDI1CQAAAAEwzNsXMTvv3gjo2ss0O+/eCDNDSVEuTkFTREFROkNBTE0uSVFfU1RfSU5WRVNULjk5OC4zMS8wNy8yMDI2Li4uVVNELkgBAAAAIHoFAAIAAAAHNTc0LjQ5OQEIAAAABQAAAAExAQAAAAstMTg4MTA2ODY3NgMAAAADMTYwAgAAAAQxMDY5BAAAAAEwBwAAAAk3LzMxLzIwMjYIAAAACDYvMS8yMDI0CQAAAAEwWa76MDvv3gjvcLw0O+/eCDNDSVEuTkFTREFROkNBTE0uSVFfRElWX1NIQVJFLjk5Ny4zMS8wNy8yMDI2Li4uVVNELkgBAAAAIHoFAAIAAAAFNS4xNjUBCAAAAAUAAAABMQEAAAALLTE5MzQ5Nzg0MjADAAAAAzE2MAIAAAAEMzA1OAQAAAABMAcAAAAJNy8zMS8yMDI2CAAAAAg2LzMvMjAyMwkAAAABMNO/ijE7794IBMXR</t>
  </si>
  <si>
    <t>NDvv3gg5Q0lRLk5BU0RBUTpDQUxNLklRX1RPVEFMX1JFVl9TSEFSRS45OTYuMzEvMDcvMjAyNi4uLlVTRC5IAQAAACB6BQACAAAACTM2LjU4MTM1OAEIAAAABQAAAAExAQAAAAstMTk4NjcwODQzMwMAAAADMTYwAgAAAAQ0MzgyBAAAAAEwBwAAAAk3LzMxLzIwMjYIAAAACTUvMjgvMjAyMgkAAAABMNO/ijE7794ICp7RNDvv3ggwQ0lRLk5BU0RBUTpDQUxNLklRX0VCSVREQS45OTYuMzEvMDcvMjAyNi4uLlVTRC5IAQAAACB6BQACAAAABzIwNi44MjMBCAAAAAUAAAABMQEAAAALLTE5ODY3MDg0MzMDAAAAAzE2MAIAAAAENDA1MQQAAAABMAcAAAAJNy8zMS8yMDI2CAAAAAk1LzI4LzIwMjIJAAAAATDq5ooxO+/eCDJQ0TQ7794IOENJUS5OQVNEQVE6Q0FMTS5JUV9TVE9DS19CQVNFRF9TTS45OTQuMzEvMDcvMjAyNi4uLlVTRC5IAQAAACB6BQADAAAAAAAaURgxO+/eCG70xzQ7794IN0NJUS5OQVNEQVE6Q0FMTS5JUV9FQklUX0VYQ0xfU0JDLjk5OC4zMS8wNy8yMDI2Li4uVVNELkgBAAAAIHoFAAIAAAAHMjk4LjgwNAEIAAAABQAAAAExAQAAAAstMTg4MTA2ODY3NgMAAAADMTYwAgAAAAUyNDEzNAQAAAABMAcAAAAJNy8zMS8yMDI2CAAAAAg2LzEvMjAyNAkAAAABMIz6ijE7794IS9HPNDvv3ggxQ0lRLk5BU0RBUTpDQUxNLklRX0VCSVREQVIuOTk2LjMxLzA3LzIwMjYuLi5VU0QuSAEAAAAgegUAAwAAAAAA</t>
  </si>
  <si>
    <t>qo0XMTvv3giYEM80O+/eCDtDSVEuTkFTREFROkNBTE0uSVFfSU5WRVNUTUVOVF9JTkNPTUUuOTk4LjMxLzA3LzIwMjYuLi5VU0QuSAEAAAAgegUAAwAAAAAAvbQXMTvv3gh6sM00O+/eCD5DSVEuTkFTREFROkNBTE0uSVFfREVGRVJSRURfVEFYRVNfVE9UQUwuOTk2LjMxLzA3LzIwMjYuLi5VU0QuSAEAAAAgegUAAgAAAAU1LjY3NgEIAAAABQAAAAExAQAAAAstMTk4NjcwODQzMwMAAAADMTYwAgAAAAUzNTM4NQQAAAABMAcAAAAJNy8zMS8yMDI2CAAAAAk1LzI4LzIwMjIJAAAAATC9tBcxO+/eCDTZzDQ7794IPUNJUS5OQVNEQVE6Q0FMTS5JUV9EQV9TVVBQTF9QQVJUSUFMX0NGLjk5NC4zMS8wNy8yMDI2Li4uVVNELkgBAAAAIHoFAAMAAAAAAPaV9jA7794IY2vANDvv3gg1Q0lRLk5BU0RBUTpDQUxNLklRX0FEVkVSVElTSU5HLjk5Ni4zMS8wNy8yMDI2Li4uVVNELkgBAAAAIHoFAAMAAAAAAOkCGDE7794I32XLNDvv3gg7Q0lRLk5BU0RBUTpDQUxNLklRX0NPTlRJTkdFTlRfUkVOVEFMLjk5OC4zMS8wNy8yMDI2Li4uVVNELkgBAAAAIHoFAAMAAAAAAOkCGDE7794Ip3nKNDvv3gg3Q0lRLk5BU0RBUTpDQUxNLklRX01FUkdFUl9TVVBQTEUuOTk3LjMxLzA3LzIwMjYuLi5VU0QuSAEAAAAgegUAAwAAAAAA8SkYMTvv3gglaMk0O+/eCD5DSVEuTkFTREFROkNBTE0uSVFfT1RIRVJfVU5VU1VBTF9TVVBQTEUu</t>
  </si>
  <si>
    <t>OTk3LjMxLzA3LzIwMjYuLi5VU0QuSAEAAAAgegUAAwAAAAAA8SkYMTvv3gjfacg0O+/eCDdDSVEuTkFTREFROkNBTE0uSVFfRVhQTE9SRV9EUklMTC45OTYuMzEvMDcvMjAyNi4uLlVTRC5IAQAAACB6BQADAAAAAADAcYoxO+/eCPap1jQ7794IOENJUS5OQVNEQVE6Q0FMTS5JUV9TVE9DS19CQVNFRF9BVC45OTQuMzEvMDcvMjAyNi4uLlVTRC5IAQAAACB6BQADAAAAAADOIPYwO+/eCI52xzQ7794IOENJUS5OQVNEQVE6Q0FMTS5JUV9TVE9DS19CQVNFRF9DRi45OTUuMzEvMDcvMjAyNi4uLlVTRC5IAQAAACB6BQACAAAABTMuNzc4AQgAAAAFAAAAATEBAAAACy0yMDM3MjQxNzIxAwAAAAMxNjACAAAABDIxMjcEAAAAATAHAAAACTcvMzEvMjAyNggAAAAJNS8yOS8yMDIxCQAAAAEw1kf2MDvv3gi73MQ0O+/eCD9DSVEuTkFTREFROkNBTE0uSVFfQ0hBTkdFX1RSQURJTkdfQVNTRVRTLjk5Ny4zMS8wNy8yMDI2Li4uVVNELkgBAAAAIHoFAAMAAAAAANZH9jA7794I2j/ENDvv3ghGQ0lRLk5BU0RBUTpDQUxNLklRX0NIQU5HRV9PVEhFUl9ORVRfT1BFUl9BU1NFVFMuOTk4LjMxLzA3LzIwMjYuLi5VU0QuSAEAAAAgegUAAgAAAAYtMC41NTMBCAAAAAUAAAABMQEAAAALLTE4ODEwNjg2NzYDAAAAAzE2MAIAAAAEMjA0NQQAAAABMAcAAAAJNy8zMS8yMDI2CAAAAAg2LzEvMjAyNAkAAAABMNZH9jA7794Ixo/DNDvv</t>
  </si>
  <si>
    <t>3gg6Q0lRLk5BU0RBUTpDQUxNLklRX05FVF9JTlRFUkVTVF9FWFAuOTk5LjMxLzA3LzIwMjYuLi5VU0QuSAEAAAAgegUAAgAAAAY1OS4yNTYBCAAAAAUAAAABMQEAAAALLTE4ODEwNjg2NzUDAAAAAzE2MAIAAAADMzY4BAAAAAEwBwAAAAk3LzMxLzIwMjYIAAAACTUvMzEvMjAyNQkAAAABMMOYijE7794IzQ3VNDvv3gg5Q0lRLk5BU0RBUTpDQUxNLklRX0NBU0hfVEFYRVNfT1BFUi45OTYuMzEvMDcvMjAyNi4uLlVTRC5IAQAAACB6BQADAAAAAABsh/owO+/eCEluvjQ7794IM0NJUS5OQVNEQVE6Q0FMTS5JUV9JTlZFTlRPUlkuOTk5LjMxLzA3LzIwMjYuLi5VU0QuSAEAAAAgegUAAgAAAAYyOTUuNjcBCAAAAAUAAAABMQEAAAALLTE4ODEwNjg2NzUDAAAAAzE2MAIAAAAEMTA0MwQAAAABMAcAAAAJNy8zMS8yMDI2CAAAAAk1LzMxLzIwMjUJAAAAATBZrvowO+/eCHStuzQ7794ILkNJUS5OQVNEQVE6Q0FMTS5JUV9DT0dTLjk5OC4zMS8wNy8yMDI2Li4uVVNELkgBAAAAIHoFAAIAAAAIMTc4NC44NzIBCAAAAAUAAAABMQEAAAALLTE4ODEwNjg2NzYDAAAAAzE2MAIAAAACMzQEAAAAATAHAAAACTcvMzEvMjAyNggAAAAINi8xLzIwMjQJAAAAATDAcYoxO+/eCAOs1zQ7794ILENJUS5OQVNEQVE6Q0FMTS5JUV9HUC45OTQuMzEvMDcvMjAyNi4uLlVTRC5IAQAAACB6BQACAAAABzE3OS41ODgBCAAAAAUAAAABMQEA</t>
  </si>
  <si>
    <t>AAALLTIwODgzNDc0NjkDAAAAAzE2MAIAAAACMTAEAAAAATAHAAAACTcvMzEvMjAyNggAAAAJNS8zMC8yMDIwCQAAAAEwwHGKMTvv3gh+Ntc0O+/eCDRDSVEuTkFTREFROkNBTE0uSVFfRUFSTklOR19DTy45OTguMzEvMDcvMjAyNi4uLlVTRC5IAQAAACB6BQACAAAABzI3Ni4yODIBCAAAAAUAAAABMQEAAAALLTE4ODEwNjg2NzYDAAAAAzE2MAIAAAABNwQAAAABMAcAAAAJNy8zMS8yMDI2CAAAAAg2LzEvMjAyNAkAAAABMMOYijE7794IVjjTNDvv3gg1Q0lRLk5BU0RBUTpDQUxNLklRX1NUT0NLX0JBU0VELjk5OS4zMS8wNy8yMDI2Li4uVVNELkgBAAAAIHoFAAMAAAAAAMBxijE7794IoWzWNDvv3gg4Q0lRLk5BU0RBUTpDQUxNLklRX0dXX0lOVEFOX0FNT1JULjk5NS4zMS8wNy8yMDI2Li4uVVNELkgBAAAAIHoFAAMAAAAAAMBxijE7794ISeXVNDvv3gg0Q0lRLk5BU0RBUTpDQUxNLklRX09USEVSX09QRVIuOTk4LjMxLzA3LzIwMjYuLi5VU0QuSAEAAAAgegUAAwAAAAAAwHGKMTvv3gghl9U0O+/eCD1DSVEuTkFTREFROkNBTE0uSVFfSU5URVJFU1RfSU5WRVNUX0lOQy45OTQuMzEvMDcvMjAyNi4uLlVTRC5IAQAAACB6BQACAAAABjE1LjA1OAEIAAAABQAAAAExAQAAAAstMjA4ODM0NzQ2OQMAAAADMTYwAgAAAAI2NQQAAAABMAcAAAAJNy8zMS8yMDI2CAAAAAk1LzMwLzIwMjAJAAAAATDDmIoxO+/eCNtI</t>
  </si>
  <si>
    <t>1TQ7794IOUNJUS5OQVNEQVE6Q0FMTS5JUV9HQUlOX0FTU0VUU19SRVYuOTk2LjMxLzA3LzIwMjYuLi5VU0QuSAEAAAAgegUAAwAAAAAAwHGKMTvv3giBqtg0O+/eCDBDSVEuTkFTREFROkNBTE0uSVFfTUVSR0VSLjk5OC4zMS8wNy8yMDI2Li4uVVNELkgBAAAAIHoFAAMAAAAAAMOYijE7794Ii5jUNDvv3gg1Q0lRLk5BU0RBUTpDQUxNLklRX0dBSU5fSU5WRVNULjk5OS4zMS8wNy8yMDI2Li4uVVNELkgBAAAAIHoFAAMAAAAAAMOYijE7794IfkrUNDvv3gg6Q0lRLk5BU0RBUTpDQUxNLklRX0FTU0VUX1dSSVRFRE9XTi4xMDAwLjMxLzA3LzIwMjYuLi5VU0QuSAEAAAAgegUAAwAAAAAAw5iKMTvv3giKI9Q0O+/eCC1DSVEuTkFTREFROkNBTE0uSVFfRUJULjk5OC4zMS8wNy8yMDI2Li4uVVNELkgBAAAAIHoFAAIAAAAHMzU5Ljk3MQEIAAAABQAAAAExAQAAAAstMTg4MTA2ODY3NgMAAAADMTYwAgAAAAMxMzkEAAAAATAHAAAACTcvMzEvMjAyNggAAAAINi8xLzIwMjQJAAAAATDDmIoxO+/eCAVz0zQ7794IOENJUS5OQVNEQVE6Q0FMTS5JUV9HV19JTlRBTl9BTU9SVC45OTQuMzEvMDcvMjAyNi4uLlVTRC5IAQAAACB6BQADAAAAAADAcYoxO+/eCEnl1TQ7794IOUNJUS5OQVNEQVE6Q0FMTS5JUV9FWFRSQV9BQ0NfSVRFTVMuOTk5LjMxLzA3LzIwMjYuLi5VU0QuSAEAAAAgegUAAwAAAAAAw5iKMTvv3ghWONM0</t>
  </si>
  <si>
    <t>O+/eCD9DSVEuTkFTREFROkNBTE0uSVFfTUlOT1JJVFlfSU5URVJFU1RfSVMuMTAwMC4zMS8wNy8yMDI2Li4uVVNELkgBAAAAIHoFAAIAAAAFLTEuNDMBCAAAAAUAAAABMQEAAAALLTE4ODEwNjg2NjgDAAAAAzE2MAIAAAACODMEAAAAATAHAAAACTcvMzEvMjAyNggAAAAJNS8zMC8yMDI2CQAAAAEww5iKMTvv3ghCEdM0O+/eCDhDSVEuTkFTREFROkNBTE0uSVFfRElMVVRfRVBTX0VYQ0wuOTk2LjMxLzA3LzIwMjYuLi5VU0QuSAEAAAAgegUAAgAAAAQyLjcyAQgAAAAFAAAAATEBAAAACy0xOTg2NzA4NDMzAwAAAAMxNjACAAAAAzE0MgQAAAABMAcAAAAJNy8zMS8yMDI2CAAAAAk1LzI4LzIwMjIJAAAAATDTv4oxO+/eCMom0jQ7794IMkNJUS5OQVNEQVE6Q0FMTS5JUV9FUFNfTk9STS45OTYuMzEvMDcvMjAyNi4uLlVTRC5IAQAAACB6BQACAAAACDIuMDczMDI0AQgAAAAFAAAAATEBAAAACy0xOTg2NzA4NDMzAwAAAAMxNjACAAAABDQzNzkEAAAAATAHAAAACTcvMzEvMjAyNggAAAAJNS8yOC8yMDIyCQAAAAEw07+KMTvv3gjKJtI0O+/eCDlDSVEuTkFTREFROkNBTE0uSVFfQVNTRVRfV1JJVEVET1dOLjk5OS4zMS8wNy8yMDI2Li4uVVNELkgBAAAAIHoFAAMAAAAAAMOYijE7794IiiPUNDvv3gguQ0lRLk5BU0RBUTpDQUxNLklRX0NPR1MuOTk3LjMxLzA3LzIwMjYuLi5VU0QuSAEAAAAgegUAAgAAAAcxOTQ5</t>
  </si>
  <si>
    <t>Ljc2AQgAAAAFAAAAATEBAAAACy0xOTM0OTc4NDIwAwAAAAMxNjACAAAAAjM0BAAAAAEwBwAAAAk3LzMxLzIwMjYIAAAACDYvMy8yMDIzCQAAAAEwwHGKMTvv3gj/hNc0O+/eCDZDSVEuTkFTREFROkNBTE0uSVFfSU5TX0RJVl9FWFAuMTAwMC4zMS8wNy8yMDI2Li4uVVNELkgBAAAAIHoFAAMAAAAAAMBxijE7794I2V3XNDvv3gg3Q0lRLk5BU0RBUTpDQUxNLklRX0VYUExPUkVfRFJJTEwuOTk1LjMxLzA3LzIwMjYuLi5VU0QuSAEAAAAgegUAAwAAAAAAwHGKMTvv3gj2qdY0O+/eCDVDSVEuTkFTREFROkNBTE0uSVFfU1RPQ0tfQkFTRUQuOTk4LjMxLzA3LzIwMjYuLi5VU0QuSAEAAAAgegUAAwAAAAAAwHGKMTvv3ghMM9Y0O+/eCD5DSVEuTkFTREFROkNBTE0uSVFfTUlOT1JJVFlfSU5URVJFU1RfSVMuOTk5LjMxLzA3LzIwMjYuLi5VU0QuSAEAAAAgegUAAgAAAAUxLjgxNgEIAAAABQAAAAExAQAAAAstMTg4MTA2ODY3NQMAAAADMTYwAgAAAAI4MwQAAAABMAcAAAAJNy8zMS8yMDI2CAAAAAk1LzMxLzIwMjUJAAAAATDDmIoxO+/eCEIR0zQ7794INENJUS5OQVNEQVE6Q0FMTS5JUV9PVEhFUl9PUEVSLjk5Ny4zMS8wNy8yMDI2Li4uVVNELkgBAAAAIHoFAAMAAAAAAMBxijE7794IIZfVNDvv3gg0Q0lRLk5BU0RBUTpDQUxNLklRX0lOQ19FUVVJVFkuOTk2LjMxLzA3LzIwMjYuLi5VU0QuSAEAAAAgegUAAgAA</t>
  </si>
  <si>
    <t>AAUxLjk0MwEIAAAABQAAAAExAQAAAAstMTk4NjcwODQzMwMAAAADMTYwAgAAAAI0NwQAAAABMAcAAAAJNy8zMS8yMDI2CAAAAAk1LzI4LzIwMjIJAAAAATDDmIoxO+/eCM0N1TQ7794IMENJUS5OQVNEQVE6Q0FMTS5JUV9NRVJHRVIuOTk3LjMxLzA3LzIwMjYuLi5VU0QuSAEAAAAgegUAAwAAAAAAw5iKMTvv3gi9cdQ0O+/eCDVDSVEuTkFTREFROkNBTE0uSVFfR0FJTl9JTlZFU1QuOTk4LjMxLzA3LzIwMjYuLi5VU0QuSAEAAAAgegUAAwAAAAAAw5iKMTvv3gh+StQ0O+/eCDNDSVEuTkFTREFROkNBTE0uSVFfRElWX1NIQVJFLjk5Ni4zMS8wNy8yMDI2Li4uVVNELkgBAAAAIHoFAAIAAAAFMC44NzQBCAAAAAUAAAABMQEAAAALLTE5ODY3MDg0MzMDAAAAAzE2MAIAAAAEMzA1OAQAAAABMAcAAAAJNy8zMS8yMDI2CAAAAAk1LzI4LzIwMjIJAAAAATDTv4oxO+/eCATF0TQ7794INUNJUS5OQVNEQVE6Q0FMTS5JUV9JTlNfU0VUVExFLjEwMDAuMzEvMDcvMjAyNi4uLlVTRC5IAQAAACB6BQADAAAAAADDmIoxO+/eCCDV0zQ7794ILUNJUS5OQVNEQVE6Q0FMTS5JUV9FQlQuOTk2LjMxLzA3LzIwMjYuLi5VU0QuSAEAAAAgegUAAgAAAAcxNjYuMDE1AQgAAAAFAAAAATEBAAAACy0xOTg2NzA4NDMzAwAAAAMxNjACAAAAAzEzOQQAAAABMAcAAAAJNy8zMS8yMDI2CAAAAAk1LzI4LzIwMjIJAAAAATDDmIoxO+/eCAVz</t>
  </si>
  <si>
    <t>0zQ7794INENJUS5OQVNEQVE6Q0FMTS5JUV9FQVJOSU5HX0NPLjk5Ny4zMS8wNy8yMDI2Li4uVVNELkgBAAAAIHoFAAIAAAAHNzU2LjczMgEIAAAABQAAAAExAQAAAAstMTkzNDk3ODQyMAMAAAADMTYwAgAAAAE3BAAAAAEwBwAAAAk3LzMxLzIwMjYIAAAACDYvMy8yMDIzCQAAAAEww5iKMTvv3ghWONM0O+/eCDlDSVEuTkFTREFROkNBTE0uSVFfRVhUUkFfQUNDX0lURU1TLjk5OC4zMS8wNy8yMDI2Li4uVVNELkgBAAAAIHoFAAMAAAAAAMOYijE7794IVjjTNDvv3gg6Q0lRLk5BU0RBUTpDQUxNLklRX0VCSVREQVJfRVhDTF9TQkMuOTk5LjMxLzA3LzIwMjYuLi5VU0QuSAEAAAAgegUAAwAAAAAAqo0XMTvv3gi0rs40O+/eCDlDSVEuTkFTREFROkNBTE0uSVFfUFJFRl9ESVZfT1RIRVIuMTAwMC4zMS8wNy8yMDI2Li4uVVNELkgBAAAAIHoFAAMAAAAAANO/ijE7794IKcPSNDvv3gg4Q0lRLk5BU0RBUTpDQUxNLklRX05JX0FWQUlMX0VYQ0wuMTAwMC4zMS8wNy8yMDI2Li4uVVNELkgBAAAAIHoFAAIAAAAHMzE2LjY4MgEIAAAABQAAAAExAQAAAAstMTg4MTA2ODY2OAMAAAADMTYwAgAAAAMzNzkEAAAAATAHAAAACTcvMzEvMjAyNggAAAAJNS8zMC8yMDI2CQAAAAEw07+KMTvv3gggnNI0O+/eCDhDSVEuTkFTREFROkNBTE0uSVFfRElMVVRfRVBTX0VYQ0wuOTk1LjMxLzA3LzIwMjYuLi5VU0QuSAEAAAAgegUA</t>
  </si>
  <si>
    <t>AgAAAAQwLjA0AQgAAAAFAAAAATEBAAAACy0yMDM3MjQxNzIxAwAAAAMxNjACAAAAAzE0MgQAAAABMAcAAAAJNy8zMS8yMDI2CAAAAAk1LzI5LzIwMjEJAAAAATDTv4oxO+/eCMom0jQ7794IMkNJUS5OQVNEQVE6Q0FMTS5JUV9FUFNfTk9STS45OTUuMzEvMDcvMjAyNi4uLlVTRC5IAQAAACB6BQACAAAACS0wLjA3MjMzOAEIAAAABQAAAAExAQAAAAstMjAzNzI0MTcyMQMAAAADMTYwAgAAAAQ0Mzc5BAAAAAEwBwAAAAk3LzMxLzIwMjYIAAAACTUvMjkvMjAyMQkAAAABMNO/ijE7794IE+zRNDvv3ggzQ0lRLk5BU0RBUTpDQUxNLklRX0RBX0VCSVREQS45OTcuMzEvMDcvMjAyNi4uLlVTRC5IAQAAACB6BQACAAAABjcyLjIzNAEIAAAABQAAAAExAQAAAAstMTkzNDk3ODQyMAMAAAADMTYwAgAAAAQyMjA2BAAAAAEwBwAAAAk3LzMxLzIwMjYIAAAACDYvMy8yMDIzCQAAAAEwzNsXMTvv3gjsAcw0O+/eCEFDSVEuTkFTREFROkNBTE0uSVFfTEVBU0VfQURKVVNUTUVOVF9FQklUREEuOTk2LjMxLzA3LzIwMjYuLi5VU0QuSAEAAAAgegUAAwAAAAAA6uaKMTvv3gjyn9A0O+/eCDVDSVEuTkFTREFROkNBTE0uSVFfRUJJVF9FUV9JTkMuOTk5LjMxLzA3LzIwMjYuLi5VU0QuSAEAAAAgegUAAgAAAAgxNTY0LjIzNgEIAAAABQAAAAExAQAAAAstMTg4MTA2ODY3NQMAAAADMTYwAgAAAAUyMTY3NQQAAAABMAcAAAAJNy8z</t>
  </si>
  <si>
    <t>MS8yMDI2CAAAAAk1LzMxLzIwMjUJAAAAATDq5ooxO+/eCKJX0DQ7794IN0NJUS5OQVNEQVE6Q0FMTS5JUV9FQklUX0VYQ0xfU0JDLjk5Ny4zMS8wNy8yMDI2Li4uVVNELkgBAAAAIHoFAAIAAAAHOTY4LjQ1NQEIAAAABQAAAAExAQAAAAstMTkzNDk3ODQyMAMAAAADMTYwAgAAAAUyNDEzNAQAAAABMAcAAAAJNy8zMS8yMDI2CAAAAAg2LzMvMjAyMwkAAAABMIz6ijE7794IS9HPNDvv3gg/Q0lRLk5BU0RBUTpDQUxNLklRX0VCSVRBX0VRX0lOQ19FWENMX1NCQy45OTguMzEvMDcvMjAyNi4uLlVTRC5IAQAAACB6BQACAAAABzMwMi4zNzcBCAAAAAUAAAABMQEAAAALLTE4ODEwNjg2NzYDAAAAAzE2MAIAAAAFMjQxMzIEAAAAATAHAAAACTcvMzEvMjAyNggAAAAINi8xLzIwMjQJAAAAATCqjRcxO+/eCF5wzzQ7794IOkNJUS5OQVNEQVE6Q0FMTS5JUV9HQUlOX0JBUkdBSU5fQUNRLjk5Ny4zMS8wNy8yMDI2Li4uVVNELkgBAAAAIHoFAAMAAAAAAPEpGDE7794IxPLINDvv3gg8Q0lRLk5BU0RBUTpDQUxNLklRX0FTX1JFUE9SVEVEX0VCSVREQS45OTkuMzEvMDcvMjAyNi4uLlVTRC5IAQAAACB6BQADAAAAAAC9tBcxO+/eCMFMzjQ7794IO0NJUS5OQVNEQVE6Q0FMTS5JUV9JTlZFU1RNRU5UX0lOQ09NRS45OTcuMzEvMDcvMjAyNi4uLlVTRC5IAQAAACB6BQADAAAAAAC9tBcxO+/eCHqwzTQ7794IPkNJUS5OQVNE</t>
  </si>
  <si>
    <t>QVE6Q0FMTS5JUV9ERUZFUlJFRF9UQVhFU19UT1RBTC45OTUuMzEvMDcvMjAyNi4uLlVTRC5IAQAAACB6BQACAAAABjIyLjM1MQEIAAAABQAAAAExAQAAAAstMjAzNzI0MTcyMQMAAAADMTYwAgAAAAUzNTM4NQQAAAABMAcAAAAJNy8zMS8yMDI2CAAAAAk1LzI5LzIwMjEJAAAAATC9tBcxO+/eCDTZzDQ7794IM0NJUS5OQVNEQVE6Q0FMTS5JUV9ESUxVVF9OSS4xMDAwLjMxLzA3LzIwMjYuLi5VU0QuSAEAAAAgegUAAgAAAAkzMTYuNzg4MDMBCAAAAAUAAAABMQEAAAALLTE4ODEwNjg2NjgDAAAAAzE2MAIAAAAEMzUyMgQAAAABMAcAAAAJNy8zMS8yMDI2CAAAAAk1LzMwLzIwMjYJAAAAATC9tBcxO+/eCDeLzDQ7794IN0NJUS5OQVNEQVE6Q0FMTS5JUV9DT01NT05fRElWX0NGLjk5OC4zMS8wNy8yMDI2Li4uVVNELkgBAAAAIHoFAAIAAAAHLTkxLjg1NgEIAAAABQAAAAExAQAAAAstMTg4MTA2ODY3NgMAAAADMTYwAgAAAAQyMDc0BAAAAAEwBwAAAAk3LzMxLzIwMjYIAAAACDYvMS8yMDI0CQAAAAEw5m72MDvv3gi5a8E0O+/eCDtDSVEuTkFTREFROkNBTE0uSVFfQ09OVElOR0VOVF9SRU5UQUwuOTk3LjMxLzA3LzIwMjYuLi5VU0QuSAEAAAAgegUAAwAAAAAA6QIYMTvv3gineco0O+/eCDdDSVEuTkFTREFROkNBTE0uSVFfQUlSQ1JBRlRfUkVOVC45OTkuMzEvMDcvMjAyNi4uLlVTRC5IAQAAACB6BQADAAAA</t>
  </si>
  <si>
    <t>AADpAhgxO+/eCHcryjQ7794IQ0NJUS5OQVNEQVE6Q0FMTS5JUV9JTVBVVF9PUEVSX0xFQVNFX0lOVF9FWFAuMTAwMC4zMS8wNy8yMDI2Li4uVVNELkgBAAAAIHoFAAMAAAAAAPEpGDE7794IV7bJNDvv3gg3Q0lRLk5BU0RBUTpDQUxNLklRX01FUkdFUl9TVVBQTEUuOTk2LjMxLzA3LzIwMjYuLi5VU0QuSAEAAAAgegUAAwAAAAAA8SkYMTvv3gglaMk0O+/eCDVDSVEuTkFTREFROkNBTE0uSVFfRklOX0RJVl9FWFAuOTk0LjMxLzA3LzIwMjYuLi5VU0QuSAEAAAAgegUAAwAAAAAAwHGKMTvv3gj/hNc0O+/eCD5DSVEuTkFTREFROkNBTE0uSVFfVE9UQUxfVU5VU1VBTF9TVVBQTEUuOTk0LjMxLzA3LzIwMjYuLi5VU0QuSAEAAAAgegUAAgAAAAYtMi45MTkBCAAAAAUAAAABMQEAAAALLTIwODgzNDc0NjkDAAAAAzE2MAIAAAAFMzMzOTAEAAAAATAHAAAACTcvMzEvMjAyNggAAAAJNS8zMC8yMDIwCQAAAAEw8SkYMTvv3gjfacg0O+/eCERDSVEuTkFTREFROkNBTE0uSVFfU1RPQ0tfT1BUSU9OU19DT01QX1BSRVRBWC4xMDAwLjMxLzA3LzIwMjYuLi5VU0QuSAEAAAAgegUAAwAAAAAAziD2MDvv3ghaxcY0O+/eCC9DSVEuTkFTREFROkNBTE0uSVFfTklfQ0YuOTk5LjMxLzA3LzIwMjYuLi5VU0QuSAEAAAAgegUAAgAAAAgxMjIwLjA0OAEIAAAABQAAAAExAQAAAAstMTg4MTA2ODY3NQMAAAADMTYwAgAAAAQyMTUw</t>
  </si>
  <si>
    <t>BAAAAAEwBwAAAAk3LzMxLzIwMjYIAAAACTUvMzEvMjAyNQkAAAABMM4g9jA7794IHCnGNDvv3gg7Q0lRLk5BU0RBUTpDQUxNLklRX1RPVEFMX0RFQlRfSVNTVUVELjk5Ny4zMS8wNy8yMDI2Li4uVVNELkgBAAAAIHoFAAMAAAAAAOZu9jA7794IES/CNDvv3ggyQ0lRLk5BU0RBUTpDQUxNLklRX09QRVJfSU5DLjk5OS4zMS8wNy8yMDI2Li4uVVNELkgBAAAAIHoFAAIAAAAIMTU1OC4wMzYBCAAAAAUAAAABMQEAAAALLTE4ODEwNjg2NzUDAAAAAzE2MAIAAAACMjEEAAAAATAHAAAACTcvMzEvMjAyNggAAAAJNS8zMS8yMDI1CQAAAAEwwHGKMTvv3gghl9U0O+/eCD1DSVEuTkFTREFROkNBTE0uSVFfREFfU1VQUExfUEFSVElBTF9DRi45OTguMzEvMDcvMjAyNi4uLlVTRC5IAQAAACB6BQADAAAAAAD2lfYwO+/eCNVDwDQ7794IM0NJUS5OQVNEQVE6Q0FMTS5JUV9JTlZFTlRPUlkuOTk3LjMxLzA3LzIwMjYuLi5VU0QuSAEAAAAgegUAAgAAAAcyODQuNDE4AQgAAAAFAAAAATEBAAAACy0xOTM0OTc4NDIwAwAAAAMxNjACAAAABDEwNDMEAAAAATAHAAAACTcvMzEvMjAyNggAAAAINi8zLzIwMjMJAAAAATBZrvowO+/eCHStuzQ7794IOUNJUS5OQVNEQVE6Q0FMTS5JUV9HQUlOX0FTU0VUU19SRVYuOTk1LjMxLzA3LzIwMjYuLi5VU0QuSAEAAAAgegUAAwAAAAAAwHGKMTvv3giBqtg0O+/eCDpDSVEuTkFTREFROkNB</t>
  </si>
  <si>
    <t>TE0uSVFfR0FJTl9JTlZFU1RfUkVWLjEwMDAuMzEvMDcvMjAyNi4uLlVTRC5IAQAAACB6BQADAAAAAADAcYoxO+/eCOs02DQ7794ILkNJUS5OQVNEQVE6Q0FMTS5JUV9JUFJELjk5Ni4zMS8wNy8yMDI2Li4uVVNELkgBAAAAIHoFAAMAAAAAAMOYijE7794IiiPUNDvv3gg1Q0lRLk5BU0RBUTpDQUxNLklRX0lOU19ESVZfRVhQLjk5OC4zMS8wNy8yMDI2Li4uVVNELkgBAAAAIHoFAAMAAAAAAMBxijE7794I2V3XNDvv3gg1Q0lRLk5BU0RBUTpDQUxNLklRX1NUT0NLX0JBU0VELjk5Ny4zMS8wNy8yMDI2Li4uVVNELkgBAAAAIHoFAAMAAAAAAMBxijE7794ITDPWNDvv3ggxQ0lRLk5BU0RBUTpDQUxNLklRX1JEX0VYUC4xMDAwLjMxLzA3LzIwMjYuLi5VU0QuSAEAAAAgegUAAwAAAAAAwHGKMTvv3ghSDNY0O+/eCDRDSVEuTkFTREFROkNBTE0uSVFfT1RIRVJfT1BFUi45OTYuMzEvMDcvMjAyNi4uLlVTRC5IAQAAACB6BQADAAAAAADAcYoxO+/eCD2+1TQ7794IPkNJUS5OQVNEQVE6Q0FMTS5JUV9NSU5PUklUWV9JTlRFUkVTVF9JUy45OTguMzEvMDcvMjAyNi4uLlVTRC5IAQAAACB6BQACAAAABTEuNjA2AQgAAAAFAAAAATEBAAAACy0xODgxMDY4Njc2AwAAAAMxNjACAAAAAjgzBAAAAAEwBwAAAAk3LzMxLzIwMjYIAAAACDYvMS8yMDI0CQAAAAEww5iKMTvv3ghCEdM0O+/eCDRDSVEuTkFTREFROkNBTE0uSVFf</t>
  </si>
  <si>
    <t>SU5DX0VRVUlUWS45OTUuMzEvMDcvMjAyNi4uLlVTRC5IAQAAACB6BQACAAAABTAuNjIyAQgAAAAFAAAAATEBAAAACy0yMDM3MjQxNzIxAwAAAAMxNjACAAAAAjQ3BAAAAAEwBwAAAAk3LzMxLzIwMjYIAAAACTUvMjkvMjAyMQkAAAABMMOYijE7794I3zTVNDvv3gg4Q0lRLk5BU0RBUTpDQUxNLklRX0NVUlJFTkNZX0dBSU4uMTAwMC4zMS8wNy8yMDI2Li4uVVNELkgBAAAAIHoFAAMAAAAAAMOYijE7794IwObUNDvv3gg3Q0lRLk5BU0RBUTpDQUxNLklRX0lNUEFJUk1FTlRfR1cuOTk0LjMxLzA3LzIwMjYuLi5VU0QuSAEAAAAgegUAAwAAAAAAw5iKMTvv3gi9cdQ0O+/eCDVDSVEuTkFTREFROkNBTE0uSVFfR0FJTl9BU1NFVFMuOTk1LjMxLzA3LzIwMjYuLi5VU0QuSAEAAAAgegUAAgAAAAYtMi45ODIBCAAAAAUAAAABMQEAAAALLTIwMzcyNDE3MjEDAAAAAzE2MAIAAAACNTYEAAAAATAHAAAACTcvMzEvMjAyNggAAAAJNS8yOS8yMDIxCQAAAAEww5iKMTvv3gi9cdQ0O+/eCDVDSVEuTkFTREFROkNBTE0uSVFfRUJJVF9FUV9JTkMuOTk4LjMxLzA3LzIwMjYuLi5VU0QuSAEAAAAgegUAAgAAAAcyOTUuODQ2AQgAAAAFAAAAATEBAAAACy0xODgxMDY4Njc2AwAAAAMxNjACAAAABTIxNjc1BAAAAAEwBwAAAAk3LzMxLzIwMjYIAAAACDYvMS8yMDI0CQAAAAEw6uaKMTvv3giiV9A0O+/eCDZDSVEuTkFTREFROkNB</t>
  </si>
  <si>
    <t>TE0uSVFfTEVHQUxfU0VUVExFLjk5Ni4zMS8wNy8yMDI2Li4uVVNELkgBAAAAIHoFAAMAAAAAAMOYijE7794IINXTNDvv3ggtQ0lRLk5BU0RBUTpDQUxNLklRX0VCVC45OTUuMzEvMDcvMjAyNi4uLlVTRC5IAQAAACB6BQACAAAABi05Ljk0OQEIAAAABQAAAAExAQAAAAstMjAzNzI0MTcyMQMAAAADMTYwAgAAAAMxMzkEAAAAATAHAAAACTcvMzEvMjAyNggAAAAJNS8yOS8yMDIxCQAAAAEww5iKMTvv3gj0rdM0O+/eCDRDSVEuTkFTREFROkNBTE0uSVFfRUFSTklOR19DTy45OTYuMzEvMDcvMjAyNi4uLlVTRC5IAQAAACB6BQACAAAABzEzMi40NDEBCAAAAAUAAAABMQEAAAALLTE5ODY3MDg0MzMDAAAAAzE2MAIAAAABNwQAAAABMAcAAAAJNy8zMS8yMDI2CAAAAAk1LzI4LzIwMjIJAAAAATDDmIoxO+/eCAVz0zQ7794IOUNJUS5OQVNEQVE6Q0FMTS5JUV9FWFRSQV9BQ0NfSVRFTVMuOTk3LjMxLzA3LzIwMjYuLi5VU0QuSAEAAAAgegUAAwAAAAAAw5iKMTvv3ghWONM0O+/eCDVDSVEuTkFTREFROkNBTE0uSVFfQ1VSUl9UQVhFUy4xMDAwLjMxLzA3LzIwMjYuLi5VU0QuSAEAAAAgegUAAgAAAAYyNS41MjkBCAAAAAUAAAABMQEAAAALLTE4ODEwNjg2NjgDAAAAAzE2MAIAAAAFMzUzODMEAAAAATAHAAAACTcvMzEvMjAyNggAAAAJNS8zMC8yMDI2CQAAAAEwvbQXMTvv3ghTJ800O+/eCDhDSVEuTkFTREFROkNB</t>
  </si>
  <si>
    <t>TE0uSVFfUFJFRl9ESVZfT1RIRVIuOTk5LjMxLzA3LzIwMjYuLi5VU0QuSAEAAAAgegUAAwAAAAAA07+KMTvv3ggpw9I0O+/eCDhDSVEuTkFTREFROkNBTE0uSVFfQkFTSUNfRVBTX0lOQ0wuOTk2LjMxLzA3LzIwMjYuLi5VU0QuSAEAAAAgegUAAgAAAAgyLjczMDQ5MQEIAAAABQAAAAExAQAAAAstMTk4NjcwODQzMwMAAAADMTYwAgAAAAE5BAAAAAEwBwAAAAk3LzMxLzIwMjYIAAAACTUvMjgvMjAyMgkAAAABMNO/ijE7794IIJzSNDvv3gg4Q0lRLk5BU0RBUTpDQUxNLklRX0RJTFVUX0VQU19FWENMLjk5NC4zMS8wNy8yMDI2Li4uVVNELkgBAAAAIHoFAAIAAAAIMC4zNzk0NTQBCAAAAAUAAAABMQEAAAALLTIwODgzNDc0NjkDAAAAAzE2MAIAAAADMTQyBAAAAAEwBwAAAAk3LzMxLzIwMjYIAAAACTUvMzAvMjAyMAkAAAABMNO/ijE7794IyibSNDvv3ggzQ0lRLk5BU0RBUTpDQUxNLklRX0RJVl9TSEFSRS45OTUuMzEvMDcvMjAyNi4uLlVTRC5IAQAAACB6BQACAAAABTAuMDM0AQgAAAAFAAAAATEBAAAACy0yMDM3MjQxNzIxAwAAAAMxNjACAAAABDMwNTgEAAAAATAHAAAACTcvMzEvMjAyNggAAAAJNS8yOS8yMDIxCQAAAAEw07+KMTvv3ggExdE0O+/eCDRDSVEuTkFTREFROkNBTE0uSVFfUkRfRVhQX0ZOLjEwMDAuMzEvMDcvMjAyNi4uLlVTRC5IAQAAACB6BQADAAAAAADpAhgxO+/eCIzwyjQ7794IP0NJ</t>
  </si>
  <si>
    <t>US5OQVNEQVE6Q0FMTS5JUV9FQklUQV9FUV9JTkNfRVhDTF9TQkMuOTk2LjMxLzA3LzIwMjYuLi5VU0QuSAEAAAAgegUAAgAAAAcxNDQuNDM0AQgAAAAFAAAAATEBAAAACy0xOTg2NzA4NDMzAwAAAAMxNjACAAAABTI0MTMyBAAAAAEwBwAAAAk3LzMxLzIwMjYIAAAACTUvMjgvMjAyMgkAAAABMKqNFzE7794IXnDPNDvv3gg6Q0lRLk5BU0RBUTpDQUxNLklRX0VCSVREQVJfRVhDTF9TQkMuOTk3LjMxLzA3LzIwMjYuLi5VU0QuSAEAAAAgegUAAwAAAAAAqo0XMTvv3gi0rs40O+/eCDxDSVEuTkFTREFROkNBTE0uSVFfQVNfUkVQT1JURURfRUJJVERBLjk5OC4zMS8wNy8yMDI2Li4uVVNELkgBAAAAIHoFAAMAAAAAAL20FzE7794IwUzONDvv3gg7Q0lRLk5BU0RBUTpDQUxNLklRX0lOVkVTVE1FTlRfSU5DT01FLjk5Ni4zMS8wNy8yMDI2Li4uVVNELkgBAAAAIHoFAAMAAAAAAL20FzE7794IerDNNDvv3gg6Q0lRLk5BU0RBUTpDQUxNLklRX0dBSU5fQkFSR0FJTl9BQ1EuOTk2LjMxLzA3LzIwMjYuLi5VU0QuSAEAAAAgegUAAwAAAAAA8SkYMTvv3gjE8sg0O+/eCDJDSVEuTkFTREFROkNBTE0uSVFfRElMVVRfTkkuOTk5LjMxLzA3LzIwMjYuLi5VU0QuSAEAAAAgegUAAgAAAAoxMjE5LjgzMDQ1AQgAAAAFAAAAATEBAAAACy0xODgxMDY4Njc1AwAAAAMxNjACAAAABDM1MjIEAAAAATAHAAAACTcvMzEvMjAyNggA</t>
  </si>
  <si>
    <t>AAAJNS8zMS8yMDI1CQAAAAEwvbQXMTvv3gg3i8w0O+/eCExDSVEuTkFTREFROkNBTE0uSVFfSU5URVJFU1RfRVhQX0xFQVNFX0xJQUJJTElUWV9ERUJULjEwMDAuMzEvMDcvMjAyNi4uLlVTRC5IAQAAACB6BQADAAAAAADM2xcxO+/eCAI9zDQ7794IM0NJUS5OQVNEQVE6Q0FMTS5JUV9EQV9FQklUREEuOTk2LjMxLzA3LzIwMjYuLi5VU0QuSAEAAAAgegUAAgAAAAY2OC4zOTUBCAAAAAUAAAABMQEAAAALLTE5ODY3MDg0MzMDAAAAAzE2MAIAAAAEMjIwNgQAAAABMAcAAAAJNy8zMS8yMDI2CAAAAAk1LzI4LzIwMjIJAAAAATDM2xcxO+/eCOjayzQ7794IM0NJUS5OQVNEQVE6Q0FMTS5JUV9NQVJLRVRJTkcuOTk2LjMxLzA3LzIwMjYuLi5VU0QuSAEAAAAgegUAAwAAAAAA6QIYMTvv3gicPss0O+/eCDRDSVEuTkFTREFROkNBTE0uSVFfQ0FTSF9PUEVSLjEwMDAuMzEvMDcvMjAyNi4uLlVTRC5IAQAAACB6BQACAAAABzQ3OS43NTMBCAAAAAUAAAABMQEAAAALLTE4ODEwNjg2NjgDAAAAAzE2MAIAAAAEMjAwNgQAAAABMAcAAAAJNy8zMS8yMDI2CAAAAAk1LzMwLzIwMjYJAAAAATDWR/YwO+/eCMB7wzQ7794IO0NJUS5OQVNEQVE6Q0FMTS5JUV9DT05USU5HRU5UX1JFTlRBTC45OTYuMzEvMDcvMjAyNi4uLlVTRC5IAQAAACB6BQADAAAAAADpAhgxO+/eCKd5yjQ7794IRENJUS5OQVNEQVE6Q0FMTS5JUV9ERVBS</t>
  </si>
  <si>
    <t>RUNJQVRJT05fUkVOVEFMX0FTU0VUUy45OTQuMzEvMDcvMjAyNi4uLlVTRC5IAQAAACB6BQADAAAAAADpAhgxO+/eCGMEyjQ7794IQkNJUS5OQVNEQVE6Q0FMTS5JUV9JTVBVVF9PUEVSX0xFQVNFX0lOVF9FWFAuOTk5LjMxLzA3LzIwMjYuLi5VU0QuSAEAAAAgegUAAwAAAAAA8SkYMTvv3ghXtsk0O+/eCDdDSVEuTkFTREFROkNBTE0uSVFfTUVSR0VSX1NVUFBMRS45OTUuMzEvMDcvMjAyNi4uLlVTRC5IAQAAACB6BQADAAAAAADxKRgxO+/eCDNByTQ7794IOkNJUS5OQVNEQVE6Q0FMTS5JUV9HQUlOX0JBUkdBSU5fQUNRLjk5NS4zMS8wNy8yMDI2Li4uVVNELkgBAAAAIHoFAAMAAAAAAPEpGDE7794I9bfINDvv3gg4Q0lRLk5BU0RBUTpDQUxNLklRX1NUT0NLX0JBU0VEX0FULjk5NS4zMS8wNy8yMDI2Li4uVVNELkgBAAAAIHoFAAMAAAAAAM4g9jA7794IiifHNDvv3ghAQ0lRLk5BU0RBUTpDQUxNLklRX1NUT0NLX09QVElPTlNfQ09NUF9UQVguOTk1LjMxLzA3LzIwMjYuLi5VU0QuSAEAAAAgegUAAwAAAAAAziD2MDvv3ghaxcY0O+/eCC9DSVEuTkFTREFROkNBTE0uSVFfTklfQ0YuOTk4LjMxLzA3LzIwMjYuLi5VU0QuSAEAAAAgegUAAgAAAAcyNzcuODg4AQgAAAAFAAAAATEBAAAACy0xODgxMDY4Njc2AwAAAAMxNjACAAAABDIxNTAEAAAAATAHAAAACTcvMzEvMjAyNggAAAAINi8xLzIwMjQJAAAAATDO</t>
  </si>
  <si>
    <t>IPYwO+/eCNgBxjQ7794IP0NJUS5OQVNEQVE6Q0FMTS5JUV9NSU5PUklUWV9JTlRFUkVTVF9DRi4xMDAwLjMxLzA3LzIwMjYuLi5VU0QuSAEAAAAgegUAAwAAAAAAziD2MDvv3ggAecU0O+/eCENDSVEuTkFTREFROkNBTE0uSVFfR1dfSU5UQU5fQU1PUlRfUEFSVElBTF9DRi45OTQuMzEvMDcvMjAyNi4uLlVTRC5IAQAAACB6BQADAAAAAAD2lfYwO+/eCNVDwDQ7794IN0NJUS5OQVNEQVE6Q0FMTS5JUV9TQUxFX0lOVEFOX0NGLjk5NC4zMS8wNy8yMDI2Li4uVVNELkgBAAAAIHoFAAMAAAAAAOZu9jA7794IRqTCNDvv3gg8Q0lRLk5BU0RBUTpDQUxNLklRX1RPVEFMX0RFQlRfSVNTVUVELjEwMDAuMzEvMDcvMjAyNi4uLlVTRC5IAQAAACB6BQADAAAAAADmbvYwO+/eCPYHwjQ7794IN0NJUS5OQVNEQVE6Q0FMTS5JUV9DT01NT05fRElWX0NGLjk5Ny4zMS8wNy8yMDI2Li4uVVNELkgBAAAAIHoFAAIAAAAILTI1Mi4yOTIBCAAAAAUAAAABMQEAAAALLTE5MzQ5Nzg0MjADAAAAAzE2MAIAAAAEMjA3NAQAAAABMAcAAAAJNy8zMS8yMDI2CAAAAAg2LzMvMjAyMwkAAAABMOZu9jA7794IuWvBNDvv3gg9Q0lRLk5BU0RBUTpDQUxNLklRX0RBX1NVUFBMX1BBUlRJQUxfQ0YuOTk3LjMxLzA3LzIwMjYuLi5VU0QuSAEAAAAgegUAAwAAAAAA9pX2MDvv3gjVQ8A0O+/eCDtDSVEuTkFTREFROkNBTE0uSVFfQ0FTSF9UQVhF</t>
  </si>
  <si>
    <t>U19JTlZFU1QuOTk4LjMxLzA3LzIwMjYuLi5VU0QuSAEAAAAgegUAAwAAAAAAbIf6MDvv3ghJbr40O+/eCDVDSVEuTkFTREFROkNBTE0uSVFfREFfU1VQUExfQ0YuOTk1LjMxLzA3LzIwMjYuLi5VU0QuSAEAAAAgegUAAgAAAAY1OS40NzcBCAAAAAUAAAABMQEAAAALLTIwMzcyNDE3MjEDAAAAAzE2MAIAAAAEMjE3MQQAAAABMAcAAAAJNy8zMS8yMDI2CAAAAAk1LzI5LzIwMjEJAAAAATDOIPYwO+/eCNgBxjQ7794IOUNJUS5OQVNEQVE6Q0FMTS5JUV9TVE9DS19CQVNFRF9DRi4xMDAwLjMxLzA3LzIwMjYuLi5VU0QuSAEAAAAgegUAAgAAAAU1Ljc1NwEIAAAABQAAAAExAQAAAAstMTg4MTA2ODY2OAMAAAADMTYwAgAAAAQyMTI3BAAAAAEwBwAAAAk3LzMxLzIwMjYIAAAACTUvMzAvMjAyNgkAAAABMNZH9jA7794Iu9zENDvv3ggzQ0lRLk5BU0RBUTpDQUxNLklRX0NBU0hfT1BFUi45OTguMzEvMDcvMjAyNi4uLlVTRC5IAQAAACB6BQACAAAABzQ1MS4zOTgBCAAAAAUAAAABMQEAAAALLTE4ODEwNjg2NzYDAAAAAzE2MAIAAAAEMjAwNgQAAAABMAcAAAAJNy8zMS8yMDI2CAAAAAg2LzEvMjAyNAkAAAABMNZH9jA7794Ixo/DNDvv3gg3Q0lRLk5BU0RBUTpDQUxNLklRX0NPTU1PTl9ESVZfQ0YuOTk2LjMxLzA3LzIwMjYuLi5VU0QuSAEAAAAgegUAAgAAAAYtNi4xMTcBCAAAAAUAAAABMQEAAAALLTE5ODY3MDg0</t>
  </si>
  <si>
    <t>MzMDAAAAAzE2MAIAAAAEMjA3NAQAAAABMAcAAAAJNy8zMS8yMDI2CAAAAAk1LzI4LzIwMjIJAAAAATDmbvYwO+/eCLlrwTQ7794IOUNJUS5OQVNEQVE6Q0FMTS5JUV9FQklUREFfRVhDTF9TQkMuOTk1LjMxLzA3LzIwMjYuLi5VU0QuSAEAAAAgegUAAgAAAAYzOS45NzMBCAAAAAUAAAABMQEAAAALLTIwMzcyNDE3MjEDAAAAAzE2MAIAAAAFMjQxMzUEAAAAATAHAAAACTcvMzEvMjAyNggAAAAJNS8yOS8yMDIxCQAAAAEw6uaKMTvv3giI2tA0O+/eCDhDSVEuTkFTREFROkNBTE0uSVFfR0FJTl9BU1NFVFNfQ0YuOTk5LjMxLzA3LzIwMjYuLi5VU0QuSAEAAAAgegUAAwAAAAAAziD2MDvv3ggAecU0O+/eCDhDSVEuTkFTREFROkNBTE0uSVFfU1RPQ0tfQkFTRURfQ0YuOTk5LjMxLzA3LzIwMjYuLi5VU0QuSAEAAAAgegUAAgAAAAU0LjUyNwEIAAAABQAAAAExAQAAAAstMTg4MTA2ODY3NQMAAAADMTYwAgAAAAQyMTI3BAAAAAEwBwAAAAk3LzMxLzIwMjYIAAAACTUvMzEvMjAyNQkAAAABMNZH9jA7794ItLXENDvv3ggzQ0lRLk5BU0RBUTpDQUxNLklRX0NBU0hfT1BFUi45OTcuMzEvMDcvMjAyNi4uLlVTRC5IAQAAACB6BQACAAAABjg2My4wMQEIAAAABQAAAAExAQAAAAstMTkzNDk3ODQyMAMAAAADMTYwAgAAAAQyMDA2BAAAAAEwBwAAAAk3LzMxLzIwMjYIAAAACDYvMy8yMDIzCQAAAAEw1kf2MDvv3gjGj8M0</t>
  </si>
  <si>
    <t>O+/eCDxDSVEuTkFTREFROkNBTE0uSVFfQ09NTU9OX1BSRUZfRElWX0NGLjk5Ny4zMS8wNy8yMDI2Li4uVVNELkgBAAAAIHoFAAMAAAAAAOZu9jA7794IrzDBNDvv3ghBQ0lRLk5BU0RBUTpDQUxNLklRX0RFRkVSUkVEX0RPTUVTVElDX1RBWEVTLjk5NS4zMS8wNy8yMDI2Li4uVVNELkgBAAAAIHoFAAIAAAAGMjIuMzUxAQgAAAAFAAAAATEBAAAACy0yMDM3MjQxNzIxAwAAAAMxNjACAAAABDMwNTQEAAAAATAHAAAACTcvMzEvMjAyNggAAAAJNS8yOS8yMDIxCQAAAAEwvbQXMTvv3ghTJ800O+/eCEBDSVEuTkFTREFROkNBTE0uSVFfRklOX0RJVl9BU1NFVFNfQ1VSUkVOVC45OTguMzEvMDcvMjAyNi4uLlVTRC5IAQAAACB6BQADAAAAAABZrvowO+/eCHtfuzQ7794IN0NJUS5OQVNEQVE6Q0FMTS5JUV9OSV9BVkFJTF9JTkNMLjk5NC4zMS8wNy8yMDI2Li4uVVNELkgBAAAAIHoFAAIAAAAGMTguMzkxAQgAAAAFAAAAATEBAAAACy0yMDg4MzQ3NDY5AwAAAAMxNjACAAAAAjE2BAAAAAEwBwAAAAk3LzMxLzIwMjYIAAAACTUvMzAvMjAyMAkAAAABMNO/ijE7794IKcPSNDvv3gg4Q0lRLk5BU0RBUTpDQUxNLklRX0RJTFVUX0VQU19OT1JNLjk5Ny4zMS8wNy8yMDI2Li4uVVNELkgBAAAAIHoFAAIAAAAJMTIuODA1MTQzAQgAAAAFAAAAATEBAAAACy0xOTM0OTc4NDIwAwAAAAMxNjACAAAABDQzODAEAAAAATAHAAAA</t>
  </si>
  <si>
    <t>CTcvMzEvMjAyNggAAAAINi8zLzIwMjMJAAAAATDTv4oxO+/eCBPs0TQ7794IQkNJUS5OQVNEQVE6Q0FMTS5JUV9ESVNUUklCVVRBQkxFX0NBU0hfU0hBUkUuOTk3LjMxLzA3LzIwMjYuLi5VU0QuSAEAAAAgegUAAwAAAAAA07+KMTvv3ggKntE0O+/eCD9DSVEuTkFTREFROkNBTE0uSVFfSU1QVVRfT1BFUl9MRUFTRV9ERVBSLjk5OC4zMS8wNy8yMDI2Li4uVVNELkgBAAAAIHoFAAMAAAAAAPEpGDE7794ISY/JNDvv3ghLQ0lRLk5BU0RBUTpDQUxNLklRX0VCSVREQV9FUV9JTkNfRVhDTF9PUEVSX0xFQVNFX0FESi45OTcuMzEvMDcvMjAyNi4uLlVTRC5IAQAAACB6BQACAAAABzEwMzcuMjMBCAAAAAUAAAABMQEAAAALLTE5MzQ5Nzg0MjADAAAAAzE2MAIAAAAFNDg5ODcEAAAAATAHAAAACTcvMzEvMjAyNggAAAAINi8zLzIwMjMJAAAAATDq5ooxO+/eCPKf0DQ7794INUNJUS5OQVNEQVE6Q0FMTS5JUV9FQklUX0VRX0lOQy45OTUuMzEvMDcvMjAyNi4uLlVTRC5IAQAAACB6BQACAAAABi0yMi42NgEIAAAABQAAAAExAQAAAAstMjAzNzI0MTcyMQMAAAADMTYwAgAAAAUyMTY3NQQAAAABMAcAAAAJNy8zMS8yMDI2CAAAAAk1LzI5LzIwMjEJAAAAATDq5ooxO+/eCIAk0DQ7794IL0NJUS5OQVNEQVE6Q0FMTS5JUV9FQklUQS45OTguMzEvMDcvMjAyNi4uLlVTRC5IAQAAACB6BQACAAAABzI5Ni42MTkBCAAAAAUA</t>
  </si>
  <si>
    <t>AAABMQEAAAALLTE4ODEwNjg2NzYDAAAAAzE2MAIAAAAGMTAwNjg5BAAAAAEwBwAAAAk3LzMxLzIwMjYIAAAACDYvMS8yMDI0CQAAAAEwqo0XMTvv3ghL0c80O+/eCDFDSVEuTkFTREFROkNBTE0uSVFfTklfU0ZBUy45OTUuMzEvMDcvMjAyNi4uLlVTRC5IAQAAACB6BQADAAAAAAC9tBcxO+/eCIjXzTQ7794IPENJUS5OQVNEQVE6Q0FMTS5JUV9TVE9DS19PUFRJT05TX0NPTVAuOTk0LjMxLzA3LzIwMjYuLi5VU0QuSAEAAAAgegUAAwAAAAAAziD2MDvv3ghWnsY0O+/eCD5DSVEuTkFTREFROkNBTE0uSVFfQ0FQSVRBTElaRURfSU5URVJFU1QuOTk0LjMxLzA3LzIwMjYuLi5VU0QuSAEAAAAgegUAAwAAAAAAvbQXMTvv3gg3i8w0O+/eCDRDSVEuTkFTREFROkNBTE0uSVFfQ09NTU9OX0RJVi45OTYuMzEvMDcvMjAyNi4uLlVTRC5IAQAAACB6BQACAAAABjQyLjc3MwDM2xcxO+/eCNSMyzQ7794IM0NJUS5OQVNEQVE6Q0FMTS5JUV9NQVJLRVRJTkcuOTk5LjMxLzA3LzIwMjYuLi5VU0QuSAEAAAAgegUAAwAAAAAA6QIYMTvv3gicPss0O+/eCERDSVEuTkFTREFROkNBTE0uSVFfREVQUkVDSUFUSU9OX1JFTlRBTF9BU1NFVFMuOTk4LjMxLzA3LzIwMjYuLi5VU0QuSAEAAAAgegUAAwAAAAAA6QIYMTvv3ghl3ck0O+/eCDxDSVEuTkFTREFROkNBTE0uSVFfSU5WRVNUX1NFQ1VSSVRZX0NGLjk5Ny4zMS8wNy8yMDI2</t>
  </si>
  <si>
    <t>Li4uVVNELkgBAAAAIHoFAAIAAAAILTIzOS4xMjIBCAAAAAUAAAABMQEAAAALLTE5MzQ5Nzg0MjADAAAAAzE2MAIAAAAEMjAyNwQAAAABMAcAAAAJNy8zMS8yMDI2CAAAAAg2LzMvMjAyMwkAAAABMOZu9jA7794IRqTCNDvv3gg4Q0lRLk5BU0RBUTpDQUxNLklRX01FUkdFUl9TVVBQTEUuMTAwMC4zMS8wNy8yMDI2Li4uVVNELkgBAAAAIHoFAAMAAAAAAPEpGDE7794IM0HJNDvv3gg+Q0lRLk5BU0RBUTpDQUxNLklRX1RPVEFMX1VOVVNVQUxfU1VQUExFLjk5Ny4zMS8wNy8yMDI2Li4uVVNELkgBAAAAIHoFAAMAAAAAAPEpGDE7794I32nINDvv3gg4Q0lRLk5BU0RBUTpDQUxNLklRX1NUT0NLX0JBU0VEX0dBLjk5NC4zMS8wNy8yMDI2Li4uVVNELkgBAAAAIHoFAAMAAAAAABpRGDE7794I5sTHNDvv3gg8Q0lRLk5BU0RBUTpDQUxNLklRX1NUT0NLX0JBU0VEX1RPVEFMLjEwMDAuMzEvMDcvMjAyNi4uLlVTRC5IAQAAACB6BQACAAAABTUuNzU3AQgAAAAFAAAAATEBAAAACy0xODgxMDY4NjY4AwAAAAMxNjACAAAABTI0MDM0BAAAAAEwBwAAAAk3LzMxLzIwMjYIAAAACTUvMzAvMjAyNgkAAAABMM4g9jA7794IiifHNDvv3ggsQ0lRLk5BU0RBUTpDQUxNLklRX0dXLjk5NC4zMS8wNy8yMDI2Li4uVVNELkgBAAAAIHoFAAIAAAAGMzUuNTI1AQgAAAAFAAAAATEBAAAACy0yMDg4MzQ3NDY5AwAAAAMxNjACAAAABDEx</t>
  </si>
  <si>
    <t>NzEEAAAAATAHAAAACTcvMzEvMjAyNggAAAAJNS8zMC8yMDIwCQAAAAEwbNX6MDvv3ggxYbo0O+/eCDVDSVEuTkFTREFROkNBTE0uSVFfREFfU1VQUExfQ0YuOTk5LjMxLzA3LzIwMjYuLi5VU0QuSAEAAAAgegUAAgAAAAY5MS44NjMBCAAAAAUAAAABMQEAAAALLTE4ODEwNjg2NzUDAAAAAzE2MAIAAAAEMjE3MQQAAAABMAcAAAAJNy8zMS8yMDI2CAAAAAk1LzMxLzIwMjUJAAAAATDOIPYwO+/eCNgBxjQ7794IOENJUS5OQVNEQVE6Q0FMTS5JUV9HQUlOX0lOVkVTVF9DRi45OTUuMzEvMDcvMjAyNi4uLlVTRC5IAQAAACB6BQACAAAABTIuNjc4AQgAAAAFAAAAATEBAAAACy0yMDM3MjQxNzIxAwAAAAMxNjACAAAABDIwOTAEAAAAATAHAAAACTcvMzEvMjAyNggAAAAJNS8yOS8yMDIxCQAAAAEw1kf2MDvv3gjkUcU0O+/eCDhDSVEuTkFTREFROkNBTE0uSVFfU1RPQ0tfQkFTRURfQ0YuOTk4LjMxLzA3LzIwMjYuLi5VU0QuSAEAAAAgegUAAgAAAAU0LjM1OAEIAAAABQAAAAExAQAAAAstMTg4MTA2ODY3NgMAAAADMTYwAgAAAAQyMTI3BAAAAAEwBwAAAAk3LzMxLzIwMjYIAAAACDYvMS8yMDI0CQAAAAEw1kf2MDvv3gi73MQ0O+/eCDpDSVEuTkFTREFROkNBTE0uSVFfQ0hBTkdFX0lOVkVOVE9SWS45OTkuMzEvMDcvMjAyNi4uLlVTRC5IAQAAACB6BQACAAAABy0xMi4yMjQBCAAAAAUAAAABMQEAAAALLTE4ODEw</t>
  </si>
  <si>
    <t>Njg2NzUDAAAAAzE2MAIAAAAEMjA5OQQAAAABMAcAAAAJNy8zMS8yMDI2CAAAAAk1LzMxLzIwMjUJAAAAATDWR/YwO+/eCAssxDQ7794IPENJUS5OQVNEQVE6Q0FMTS5JUV9ESVNUUklCVVRBQkxFX0NBU0guOTk4LjMxLzA3LzIwMjYuLi5VU0QuSAEAAAAgegUAAwAAAAAAzNsXMTvv3gjo2ss0O+/eCDlDSVEuTkFTREFROkNBTE0uSVFfU1RfREVCVF9SRVBBSUQuMTAwMC4zMS8wNy8yMDI2Li4uVVNELkgBAAAAIHoFAAMAAAAAAOZu9jA7794I9gfCNDvv3gg7Q0lRLk5BU0RBUTpDQUxNLklRX1RPVEFMX0RJVl9QQUlEX0NGLjk5Ny4zMS8wNy8yMDI2Li4uVVNELkgBAAAAIHoFAAIAAAAILTI1Mi4yOTIBCAAAAAUAAAABMQEAAAALLTE5MzQ5Nzg0MjADAAAAAzE2MAIAAAAEMjAyMgQAAAABMAcAAAAJNy8zMS8yMDI2CAAAAAg2LzMvMjAyMwkAAAABMOZu9jA7794IYQnBNDvv3ggxQ0lRLk5BU0RBUTpDQUxNLklRX0RFUF9SVUEuOTk3LjMxLzA3LzIwMjYuLi5VU0QuSAEAAAAgegUAAwAAAAAA9pX2MDvv3ggLCcA0O+/eCDtDSVEuTkFTREFROkNBTE0uSVFfQ0FTSF9UQVhFU19JTlZFU1QuOTk2LjMxLzA3LzIwMjYuLi5VU0QuSAEAAAAgegUAAwAAAAAAbIf6MDvv3gjBRr40O+/eCD9DSVEuTkFTREFROkNBTE0uSVFfSU1QVVRfT1BFUl9MRUFTRV9ERVBSLjk5NS4zMS8wNy8yMDI2Li4uVVNELkgBAAAAIHoFAAMA</t>
  </si>
  <si>
    <t>AAAAAPEpGDE7794ISY/JNDvv3ggxQ0lRLk5BU0RBUTpDQUxNLklRX05JX1NGQVMuOTk0LjMxLzA3LzIwMjYuLi5VU0QuSAEAAAAgegUAAwAAAAAAvbQXMTvv3giI1800O+/eCD5DSVEuTkFTREFROkNBTE0uSVFfQ1VSUl9ET01FU1RJQ19UQVhFUy4xMDAwLjMxLzA3LzIwMjYuLi5VU0QuSAEAAAAgegUAAgAAAAYyNS41MjkBCAAAAAUAAAABMQEAAAALLTE4ODEwNjg2NjgDAAAAAzE2MAIAAAAEMzAyNwQAAAABMAcAAAAJNy8zMS8yMDI2CAAAAAk1LzMwLzIwMjYJAAAAATC9tBcxO+/eCG5OzTQ7794IQUNJUS5OQVNEQVE6Q0FMTS5JUV9ERUZFUlJFRF9ET01FU1RJQ19UQVhFUy45OTQuMzEvMDcvMjAyNi4uLlVTRC5IAQAAACB6BQACAAAABjEwLjI4MQEIAAAABQAAAAExAQAAAAstMjA4ODM0NzQ2OQMAAAADMTYwAgAAAAQzMDU0BAAAAAEwBwAAAAk3LzMxLzIwMjYIAAAACTUvMzAvMjAyMAkAAAABML20FzE7794IUyfNNDvv3gg6Q0lRLk5BU0RBUTpDQUxNLklRX0lOVF9FWFBfSU5DTF9DQVAuOTk5LjMxLzA3LzIwMjYuLi5VU0QuSAEAAAAgegUAAgAAAAUwLjYxMgEIAAAABQAAAAExAQAAAAstMTg4MTA2ODY3NQMAAAADMTYwAgAAAAUyMTg2MQQAAAABMAcAAAAJNy8zMS8yMDI2CAAAAAk1LzMxLzIwMjUJAAAAATDM2xcxO+/eCOgVzDQ7794IOENJUS5OQVNEQVE6Q0FMTS5JUV9TVE9DS19CQVNFRF9DRi45</t>
  </si>
  <si>
    <t>OTcuMzEvMDcvMjAyNi4uLlVTRC5IAQAAACB6BQACAAAABTQuMjA1AQgAAAAFAAAAATEBAAAACy0xOTM0OTc4NDIwAwAAAAMxNjACAAAABDIxMjcEAAAAATAHAAAACTcvMzEvMjAyNggAAAAINi8zLzIwMjMJAAAAATDWR/YwO+/eCLvcxDQ7794INENJUS5OQVNEQVE6Q0FMTS5JUV9DT01NT05fRElWLjk5NS4zMS8wNy8yMDI2Li4uVVNELkgBAAAAIHoFAAIAAAAFMS42NTIAzNsXMTvv3gjUjMs0O+/eCDlDSVEuTkFTREFROkNBTE0uSVFfU0FMRVNfTUFSS0VUSU5HLjk5Ni4zMS8wNy8yMDI2Li4uVVNELkgBAAAAIHoFAAMAAAAAAOkCGDE7794InD7LNDvv3gg7Q0lRLk5BU0RBUTpDQUxNLklRX05FVF9SRU5UQUxfRVhQX0ZOLjk5OC4zMS8wNy8yMDI2Li4uVVNELkgBAAAAIHoFAAMAAAAAAOkCGDE7794IasnKNDvv3ghEQ0lRLk5BU0RBUTpDQUxNLklRX0RFUFJFQ0lBVElPTl9SRU5UQUxfQVNTRVRTLjk5Ny4zMS8wNy8yMDI2Li4uVVNELkgBAAAAIHoFAAMAAAAAAOkCGDE7794IYwTKNDvv3gg3Q0lRLk5BU0RBUTpDQUxNLklRX1VOTEVWRVJFRF9GQ0YuOTk4LjMxLzA3LzIwMjYuLi5VU0QuSAEAAAAgegUAAgAAAAkyMTQuMDcyNzUBCAAAAAUAAAABMQEAAAALLTE4ODEwNjg2NzYDAAAAAzE2MAIAAAAENDQyMwQAAAABMAcAAAAJNy8zMS8yMDI2CAAAAAg2LzEvMjAyNAkAAAABMGyH+jA7794Is729NDvv3gg3</t>
  </si>
  <si>
    <t>Q0lRLk5BU0RBUTpDQUxNLklRX01FUkdFUl9TVVBQTEUuOTk5LjMxLzA3LzIwMjYuLi5VU0QuSAEAAAAgegUAAwAAAAAA8SkYMTvv3ggzQck0O+/eCDtDSVEuTkFTREFROkNBTE0uSVFfTkVHQVRJVkVfR1dfQU1PUlQuOTk2LjMxLzA3LzIwMjYuLi5VU0QuSAEAAAAgegUAAwAAAAAA8SkYMTvv3gjfacg0O+/eCEFDSVEuTkFTREFROkNBTE0uSVFfUkVTVFJfU1RPQ0tfQ09NUF9QUkVUQVguOTk1LjMxLzA3LzIwMjYuLi5VU0QuSAEAAAAgegUAAwAAAAAAziD2MDvv3giKJ8c0O+/eCDVDSVEuTkFTREFROkNBTE0uSVFfREFfU1VQUExfQ0YuOTk4LjMxLzA3LzIwMjYuLi5VU0QuSAEAAAAgegUAAgAAAAY3OC4wNjgBCAAAAAUAAAABMQEAAAALLTE4ODEwNjg2NzYDAAAAAzE2MAIAAAAEMjE3MQQAAAABMAcAAAAJNy8zMS8yMDI2CAAAAAg2LzEvMjAyNAkAAAABMM4g9jA7794I2AHGNDvv3ghBQ0lRLk5BU0RBUTpDQUxNLklRX0VYUExPUkVfRFJJTExfRVhQX1RPVEFMLjk5NC4zMS8wNy8yMDI2Li4uVVNELkgBAAAAIHoFAAMAAAAAAPEpGDE7794IYwTKNDvv3ggzQ0lRLk5BU0RBUTpDQUxNLklRX0NIQU5HRV9BUC45OTUuMzEvMDcvMjAyNi4uLlVTRC5IAQAAACB6BQACAAAABi0xLjQxMgEIAAAABQAAAAExAQAAAAstMjAzNzI0MTcyMQMAAAADMTYwAgAAAAQyMDE3BAAAAAEwBwAAAAk3LzMxLzIwMjYIAAAACTUv</t>
  </si>
  <si>
    <t>MjkvMjAyMQkAAAABMNZH9jA7794IFgXENDvv3gg5Q0lRLk5BU0RBUTpDQUxNLklRX0lOVkVTVF9MT0FOU19DRi45OTguMzEvMDcvMjAyNi4uLlVTRC5IAQAAACB6BQADAAAAAADmbvYwO+/eCEakwjQ7794IOENJUS5OQVNEQVE6Q0FMTS5JUV9TVF9ERUJUX1JFUEFJRC45OTguMzEvMDcvMjAyNi4uLlVTRC5IAQAAACB6BQADAAAAAADmbvYwO+/eCDzhwTQ7794IMUNJUS5OQVNEQVE6Q0FMTS5JUV9ERVBfUlVBLjk5Ni4zMS8wNy8yMDI2Li4uVVNELkgBAAAAIHoFAAMAAAAAAPaV9jA7794IwuG/NDvv3gg7Q0lRLk5BU0RBUTpDQUxNLklRX0dXX0lOVEFOX0FNT1JUX0NGLjk5NC4zMS8wNy8yMDI2Li4uVVNELkgBAAAAIHoFAAIAAAADMi45AQgAAAAFAAAAATEBAAAACy0yMDg4MzQ3NDY5AwAAAAMxNjACAAAABDIxODIEAAAAATAHAAAACTcvMzEvMjAyNggAAAAJNS8zMC8yMDIwCQAAAAEwziD2MDvv3ggq7sU0O+/eCCxDSVEuTkFTREFROkNBTE0uSVFfR1cuOTk3LjMxLzA3LzIwMjYuLi5VU0QuSAEAAAAgegUAAgAAAAY0NC4wMDYBCAAAAAUAAAABMQEAAAALLTE5MzQ5Nzg0MjADAAAAAzE2MAIAAAAEMTE3MQQAAAABMAcAAAAJNy8zMS8yMDI2CAAAAAg2LzMvMjAyMwkAAAABMGzV+jA7794IMWG6NDvv3gg0Q0lRLk5BU0RBUTpDQUxNLklRX0NPTU1PTl9ESVYuOTk0LjMxLzA3LzIwMjYuLi5VU0QuSAEAAAAg</t>
  </si>
  <si>
    <t>egUAAwAAAAAAzNsXMTvv3gjUjMs0O+/eCDlDSVEuTkFTREFROkNBTE0uSVFfU0FMRVNfTUFSS0VUSU5HLjk5NS4zMS8wNy8yMDI2Li4uVVNELkgBAAAAIHoFAAMAAAAAAOkCGDE7794IlhfLNDvv3gg8Q0lRLk5BU0RBUTpDQUxNLklRX0NPTlRJTkdFTlRfUkVOVEFMLjEwMDAuMzEvMDcvMjAyNi4uLlVTRC5IAQAAACB6BQADAAAAAADpAhgxO+/eCKd5yjQ7794IO0NJUS5OQVNEQVE6Q0FMTS5JUV9UT1RBTF9ESVZfUEFJRF9DRi45OTkuMzEvMDcvMjAyNi4uLlVTRC5IAQAAACB6BQACAAAABy0zMzAuMjkBCAAAAAUAAAABMQEAAAALLTE4ODEwNjg2NzUDAAAAAzE2MAIAAAAEMjAyMgQAAAABMAcAAAAJNy8zMS8yMDI2CAAAAAk1LzMxLzIwMjUJAAAAATDmbvYwO+/eCGEJwTQ7794IO0NJUS5OQVNEQVE6Q0FMTS5JUV9HQUlOX0JBUkdBSU5fQUNRLjEwMDAuMzEvMDcvMjAyNi4uLlVTRC5IAQAAACB6BQADAAAAAADxKRgxO+/eCPW3yDQ7794IOENJUS5OQVNEQVE6Q0FMTS5JUV9TVE9DS19CQVNFRF9HQS45OTkuMzEvMDcvMjAyNi4uLlVTRC5IAQAAACB6BQADAAAAAAAaURgxO+/eCObExzQ7794IQUNJUS5OQVNEQVE6Q0FMTS5JUV9SRVNUUl9TVE9DS19DT01QX1BSRVRBWC45OTQuMzEvMDcvMjAyNi4uLlVTRC5IAQAAACB6BQADAAAAAADOIPYwO+/eCIonxzQ7794IPUNJUS5OQVNEQVE6Q0FMTS5JUV9TVE9D</t>
  </si>
  <si>
    <t>S19PUFRJT05TX0NPTVAuMTAwMC4zMS8wNy8yMDI2Li4uVVNELkgBAAAAIHoFAAMAAAAAAM4g9jA7794IN3fGNDvv3ghDQ0lRLk5BU0RBUTpDQUxNLklRX05PTlJFQ1VSUklOR19JTkNPTUVfVEFYRVMuOTk5LjMxLzA3LzIwMjYuLi5VU0QuSAEAAAAgegUAAwAAAAAAvbQXMTvv3ggtssw0O+/eCDhDSVEuTkFTREFROkNBTE0uSVFfR0FJTl9JTlZFU1RfQ0YuOTk4LjMxLzA3LzIwMjYuLi5VU0QuSAEAAAAgegUAAwAAAAAA1kf2MDvv3gjkUcU0O+/eCC9DSVEuTkFTREFROkNBTE0uSVFfQ0FQRVguOTk4LjMxLzA3LzIwMjYuLi5VU0QuSAEAAAAgegUAAgAAAAgtMTQ3LjExNgEIAAAABQAAAAExAQAAAAstMTg4MTA2ODY3NgMAAAADMTYwAgAAAAQyMDIxBAAAAAEwBwAAAAk3LzMxLzIwMjYIAAAACDYvMS8yMDI0CQAAAAEw1kf2MDvv3gjAe8M0O+/eCDlDSVEuTkFTREFROkNBTE0uSVFfSU5WRVNUX0xPQU5TX0NGLjk5Ni4zMS8wNy8yMDI2Li4uVVNELkgBAAAAIHoFAAMAAAAAAOZu9jA7794IRqTCNDvv3gg4Q0lRLk5BU0RBUTpDQUxNLklRX0xUX0RFQlRfUkVQQUlELjk5NC4zMS8wNy8yMDI2Li4uVVNELkgBAAAAIHoFAAIAAAAGLTEuNjk2AQgAAAAFAAAAATEBAAAACy0yMDg4MzQ3NDY5AwAAAAMxNjACAAAABDIwMzYEAAAAATAHAAAACTcvMzEvMjAyNggAAAAJNS8zMC8yMDIwCQAAAAEw5m72MDvv3gg84cE0</t>
  </si>
  <si>
    <t>O+/eCDZDSVEuTkFTREFROkNBTE0uSVFfRUJJVF9FUV9JTkMuMTAwMC4zMS8wNy8yMDI2Li4uVVNELkgBAAAAIHoFAAIAAAAHMzQyLjA1MgEIAAAABQAAAAExAQAAAAstMTg4MTA2ODY2OAMAAAADMTYwAgAAAAUyMTY3NQQAAAABMAcAAAAJNy8zMS8yMDI2CAAAAAk1LzMwLzIwMjYJAAAAATDq5ooxO+/eCKJX0DQ7794IMUNJUS5OQVNEQVE6Q0FMTS5JUV9ERVBfUlVBLjk5NS4zMS8wNy8yMDI2Li4uVVNELkgBAAAAIHoFAAMAAAAAAPaV9jA7794IwuG/NDvv3gg3Q0lRLk5BU0RBUTpDQUxNLklRX1VOTEVWRVJFRF9GQ0YuOTk3LjMxLzA3LzIwMjYuLi5VU0QuSAEAAAAgegUAAgAAAAk1NTAuNTc4MjUBCAAAAAUAAAABMQEAAAALLTE5MzQ5Nzg0MjADAAAAAzE2MAIAAAAENDQyMwQAAAABMAcAAAAJNy8zMS8yMDI2CAAAAAg2LzMvMjAyMwkAAAABMGyH+jA7794Is729NDvv3ggsQ0lRLk5BU0RBUTpDQUxNLklRX0dXLjk5NS4zMS8wNy8yMDI2Li4uVVNELkgBAAAAIHoFAAIAAAAGMzUuNTI1AQgAAAAFAAAAATEBAAAACy0yMDM3MjQxNzIxAwAAAAMxNjACAAAABDExNzEEAAAAATAHAAAACTcvMzEvMjAyNggAAAAJNS8yOS8yMDIxCQAAAAEwbNX6MDvv3ghVOro0O+/eCD1DSVEuTkFTREFROkNBTE0uSVFfQ1VSUl9ET01FU1RJQ19UQVhFUy45OTkuMzEvMDcvMjAyNi4uLlVTRC5IAQAAACB6BQACAAAABjM3My4z</t>
  </si>
  <si>
    <t>NAEIAAAABQAAAAExAQAAAAstMTg4MTA2ODY3NQMAAAADMTYwAgAAAAQzMDI3BAAAAAEwBwAAAAk3LzMxLzIwMjYIAAAACTUvMzEvMjAyNQkAAAABML20FzE7794Ibk7NNDvv3gg8Q0lRLk5BU0RBUTpDQUxNLklRX0NVUlJfRk9SRUlHTl9UQVhFUy45OTYuMzEvMDcvMjAyNi4uLlVTRC5IAQAAACB6BQADAAAAAAC9tBcxO+/eCG5OzTQ7794IPENJUS5OQVNEQVE6Q0FMTS5JUV9ESVNUUklCVVRBQkxFX0NBU0guOTk3LjMxLzA3LzIwMjYuLi5VU0QuSAEAAAAgegUAAwAAAAAAzNsXMTvv3gjo2ss0O+/eCDVDSVEuTkFTREFROkNBTE0uSVFfRklOX0RJVl9FWFAuOTk3LjMxLzA3LzIwMjYuLi5VU0QuSAEAAAAgegUAAwAAAAAAwHGKMTvv3gj/hNc0O+/eCDpDSVEuTkFTREFROkNBTE0uSVFfRUJJVERBX0VYQ0xfU0JDLjEwMDAuMzEvMDcvMjAyNi4uLlVTRC5IAQAAACB6BQACAAAABzQ3My40NTEBCAAAAAUAAAABMQEAAAALLTE4ODEwNjg2NjgDAAAAAzE2MAIAAAAFMjQxMzUEAAAAATAHAAAACTcvMzEvMjAyNggAAAAJNS8zMC8yMDI2CQAAAAEw6uaKMTvv3giI2tA0O+/eCEtDSVEuTkFTREFROkNBTE0uSVFfRUJJVERBX0VRX0lOQ19FWENMX09QRVJfTEVBU0VfQURKLjk5NC4zMS8wNy8yMDI2Li4uVVNELkgBAAAAIHoFAAIAAAAGNTkuOTg4AQgAAAAFAAAAATEBAAAACy0yMDg4MzQ3NDY5AwAAAAMxNjACAAAA</t>
  </si>
  <si>
    <t>BTQ4OTg3BAAAAAEwBwAAAAk3LzMxLzIwMjYIAAAACTUvMzAvMjAyMAkAAAABMOrmijE7794IolfQNDvv3gg5Q0lRLk5BU0RBUTpDQUxNLklRX1NBTEVTX01BUktFVElORy45OTQuMzEvMDcvMjAyNi4uLlVTRC5IAQAAACB6BQADAAAAAADpAhgxO+/eCJYXyzQ7794IQENJUS5OQVNEQVE6Q0FMTS5JUV9FQklUQV9FUV9JTkNfRVhDTF9TQkMuMTAwMC4zMS8wNy8yMDI2Li4uVVNELkgBAAAAIHoFAAIAAAAHMzU0LjU3NAEIAAAABQAAAAExAQAAAAstMTg4MTA2ODY2OAMAAAADMTYwAgAAAAUyNDEzMgQAAAABMAcAAAAJNy8zMS8yMDI2CAAAAAk1LzMwLzIwMjYJAAAAATCqjRcxO+/eCBZJzzQ7794INkNJUS5OQVNEQVE6Q0FMTS5JUV9FQklUREFfQ0FQRVguOTk2LjMxLzA3LzIwMjYuLi5VU0QuSAEAAAAgegUAAgAAAAcxMzQuNDI0AQgAAAAFAAAAATEBAAAACy0xOTg2NzA4NDMzAwAAAAMxNjACAAAABTM1Mzc5BAAAAAEwBwAAAAk3LzMxLzIwMjYIAAAACTUvMjgvMjAyMgkAAAABMKqNFzE7794ItK7ONDvv3ghMQ0lRLk5BU0RBUTpDQUxNLklRX1BST1ZfQkFEX0RFQlRTX1BBVElFTlRfU0VSVklDRV9SRVYuOTk2LjMxLzA3LzIwMjYuLi5VU0QuSAEAAAAgegUAAwAAAAAAvbQXMTvv3gijJc40O+/eCEFDSVEuTkFTREFROkNBTE0uSVFfRVhDSVNFX1RBWEVTX0VYQ0xfU0FMRVMuOTk2LjMxLzA3LzIwMjYuLi5V</t>
  </si>
  <si>
    <t>U0QuSAEAAAAgegUAAwAAAAAAvbQXMTvv3gg1ic00O+/eCDxDSVEuTkFTREFROkNBTE0uSVFfU1RPQ0tfT1BUSU9OU19DT01QLjk5OS4zMS8wNy8yMDI2Li4uVVNELkgBAAAAIHoFAAMAAAAAAM4g9jA7794IN3fGNDvv3ghDQ0lRLk5BU0RBUTpDQUxNLklRX05PTlJFQ1VSUklOR19JTkNPTUVfVEFYRVMuOTk4LjMxLzA3LzIwMjYuLi5VU0QuSAEAAAAgegUAAwAAAAAAvbQXMTvv3ggtssw0O+/eCDpDSVEuTkFTREFROkNBTE0uSVFfSU5UX0VYUF9JTkNMX0NBUC45OTUuMzEvMDcvMjAyNi4uLlVTRC5IAQAAACB6BQACAAAABTAuMjEzAQgAAAAFAAAAATEBAAAACy0yMDM3MjQxNzIxAwAAAAMxNjACAAAABTIxODYxBAAAAAEwBwAAAAk3LzMxLzIwMjYIAAAACTUvMjkvMjAyMQkAAAABMMzbFzE7794I6BXMNDvv3gg8Q0lRLk5BU0RBUTpDQUxNLklRX0RJU1RSSUJVVEFCTEVfQ0FTSC45OTYuMzEvMDcvMjAyNi4uLlVTRC5IAQAAACB6BQADAAAAAADM2xcxO+/eCOjayzQ7794ILUNJUS5OQVNEQVE6Q0FMTS5JUV9ESUMuOTk5LjMxLzA3LzIwMjYuLi5VU0QuSAEAAAAgegUAAwAAAAAA6QIYMTvv3gjfZcs0O+/eCDtDSVEuTkFTREFROkNBTE0uSVFfVE9UQUxfRElWX1BBSURfQ0YuOTk4LjMxLzA3LzIwMjYuLi5VU0QuSAEAAAAgegUAAgAAAActOTEuODU2AQgAAAAFAAAAATEBAAAACy0xODgxMDY4Njc2AwAAAAMx</t>
  </si>
  <si>
    <t>NjACAAAABDIwMjIEAAAAATAHAAAACTcvMzEvMjAyNggAAAAINi8xLzIwMjQJAAAAATDmbvYwO+/eCGrOwDQ7794IOENJUS5OQVNEQVE6Q0FMTS5JUV9NSU5JTVVNX1JFTlRBTC45OTcuMzEvMDcvMjAyNi4uLlVTRC5IAQAAACB6BQADAAAAAADpAhgxO+/eCKd5yjQ7794IP0NJUS5OQVNEQVE6Q0FMTS5JUV9JTVBBSVJNRU5UX0dXX1NVUFBMRS4xMDAwLjMxLzA3LzIwMjYuLi5VU0QuSAEAAAAgegUAAwAAAAAA8SkYMTvv3ggyGsk0O+/eCDxDSVEuTkFTREFROkNBTE0uSVFfTkVHQVRJVkVfR1dfQU1PUlQuMTAwMC4zMS8wNy8yMDI2Li4uVVNELkgBAAAAIHoFAAMAAAAAABpRGDE7794I2ELINDvv3gg5Q0lRLk5BU0RBUTpDQUxNLklRX1NUT0NLX0JBU0VEX1NHQS45OTUuMzEvMDcvMjAyNi4uLlVTRC5IAQAAACB6BQACAAAABTMuNzc4AQgAAAAFAAAAATEBAAAACy0yMDM3MjQxNzIxAwAAAAMxNjACAAAABTIyNjc5BAAAAAEwBwAAAAk3LzMxLzIwMjYIAAAACTUvMjkvMjAyMQkAAAABMMH59TA7794I9p3HNDvv3gg3Q0lRLk5BU0RBUTpDQUxNLklRX0VCSVREQV9FUV9JTkMuOTk3LjMxLzA3LzIwMjYuLi5VU0QuSAEAAAAgegUAAgAAAAcxMDM3LjIzAQgAAAAFAAAAATEBAAAACy0xOTM0OTc4NDIwAwAAAAMxNjACAAAABTIxNjc3BAAAAAEwBwAAAAk3LzMxLzIwMjYIAAAACDYvMy8yMDIzCQAAAAEw6uaKMTvv</t>
  </si>
  <si>
    <t>3ggyUNE0O+/eCDhDSVEuTkFTREFROkNBTE0uSVFfR0FJTl9JTlZFU1RfQ0YuOTk3LjMxLzA3LzIwMjYuLi5VU0QuSAEAAAAgegUAAwAAAAAA1kf2MDvv3gjkUcU0O+/eCDtDSVEuTkFTREFROkNBTE0uSVFfUFJPVl9CQURfREVCVFNfQ0YuOTk2LjMxLzA3LzIwMjYuLi5VU0QuSAEAAAAgegUAAwAAAAAA1kf2MDvv3gi0tcQ0O+/eCDNDSVEuTkFTREFROkNBTE0uSVFfQ0hBTkdFX0FQLjk5OC4zMS8wNy8yMDI2Li4uVVNELkgBAAAAIHoFAAIAAAAFOS4zNTMBCAAAAAUAAAABMQEAAAALLTE4ODEwNjg2NzYDAAAAAzE2MAIAAAAEMjAxNwQAAAABMAcAAAAJNy8zMS8yMDI2CAAAAAg2LzEvMjAyNAkAAAABMNZH9jA7794IFgXENDvv3ggvQ0lRLk5BU0RBUTpDQUxNLklRX0NBUEVYLjk5Ni4zMS8wNy8yMDI2Li4uVVNELkgBAAAAIHoFAAIAAAAHLTcyLjM5OQEIAAAABQAAAAExAQAAAAstMTk4NjcwODQzMwMAAAADMTYwAgAAAAQyMDIxBAAAAAEwBwAAAAk3LzMxLzIwMjYIAAAACTUvMjgvMjAyMgkAAAABMNZH9jA7794IwHvDNDvv3gg9Q0lRLk5BU0RBUTpDQUxNLklRX0FTX1JFUE9SVEVEX0VCSVREQS4xMDAwLjMxLzA3LzIwMjYuLi5VU0QuSAEAAAAgegUAAwAAAAAAvbQXMTvv3gijJc40O+/eCDdDSVEuTkFTREFROkNBTE0uSVFfVU5MRVZFUkVEX0ZDRi45OTQuMzEvMDcvMjAyNi4uLlVTRC5IAQAAACB6BQAC</t>
  </si>
  <si>
    <t>AAAACi04NC4yNzU2MjUBCAAAAAUAAAABMQEAAAALLTIwODgzNDc0NjkDAAAAAzE2MAIAAAAENDQyMwQAAAABMAcAAAAJNy8zMS8yMDI2CAAAAAk1LzMwLzIwMjAJAAAAATBsh/owO+/eCLO9vTQ7794IOkNJUS5OQVNEQVE6Q0FMTS5JUV9GSU5fRElWX0xPQU5TX0xULjk5NS4zMS8wNy8yMDI2Li4uVVNELkgBAAAAIHoFAAMAAAAAAGzV+jA7794IVTq6NDvv3gg0Q0lRLk5BU0RBUTpDQUxNLklRX0RJVl9TSEFSRS4xMDAwLjMxLzA3LzIwMjYuLi5VU0QuSAEAAAAgegUAAgAAAAUyLjQ1OAEIAAAABQAAAAExAQAAAAstMTg4MTA2ODY2OAMAAAADMTYwAgAAAAQzMDU4BAAAAAEwBwAAAAk3LzMxLzIwMjYIAAAACTUvMzAvMjAyNgkAAAABMNO/ijE7794IBMXRNDvv3ghCQ0lRLk5BU0RBUTpDQUxNLklRX0RJU1RSSUJVVEFCTEVfQ0FTSF9TSEFSRS45OTUuMzEvMDcvMjAyNi4uLlVTRC5IAQAAACB6BQADAAAAAADTv4oxO+/eCAqe0TQ7794IOENJUS5OQVNEQVE6Q0FMTS5JUV9QUk9WX0JBRF9ERUJUUy45OTYuMzEvMDcvMjAyNi4uLlVTRC5IAQAAACB6BQADAAAAAADAcYoxO+/eCKGC1jQ7794IS0NJUS5OQVNEQVE6Q0FMTS5JUV9FQklUREFfRVFfSU5DX0VYQ0xfT1BFUl9MRUFTRV9BREouOTk1LjMxLzA3LzIwMjYuLi5VU0QuSAEAAAAgegUAAgAAAAYzNi44MTcBCAAAAAUAAAABMQEAAAALLTIwMzcyNDE3MjED</t>
  </si>
  <si>
    <t>AAAAAzE2MAIAAAAFNDg5ODcEAAAAATAHAAAACTcvMzEvMjAyNggAAAAJNS8yOS8yMDIxCQAAAAEw6uaKMTvv3giiV9A0O+/eCC9DSVEuTkFTREFROkNBTE0uSVFfRUJJVEEuOTk0LjMxLzA3LzIwMjYuLi5VU0QuSAEAAAAgegUAAgAAAAU0LjI1MQEIAAAABQAAAAExAQAAAAstMjA4ODM0NzQ2OQMAAAADMTYwAgAAAAYxMDA2ODkEAAAAATAHAAAACTcvMzEvMjAyNggAAAAJNS8zMC8yMDIwCQAAAAEwjPqKMTvv3ghql880O+/eCDhDSVEuTkFTREFROkNBTE0uSVFfRUJJVERBUl9FUV9JTkMuOTk1LjMxLzA3LzIwMjYuLi5VU0QuSAEAAAAgegUAAwAAAAAAqo0XMTvv3gi+1c40O+/eCDZDSVEuTkFTREFROkNBTE0uSVFfRUJJVERBX0NBUEVYLjk5Ny4zMS8wNy8yMDI2Li4uVVNELkgBAAAAIHoFAAIAAAAHODk5LjkxNQEIAAAABQAAAAExAQAAAAstMTkzNDk3ODQyMAMAAAADMTYwAgAAAAUzNTM3OQQAAAABMAcAAAAJNy8zMS8yMDI2CAAAAAg2LzMvMjAyMwkAAAABMKqNFzE7794ItK7ONDvv3gg1Q0lRLk5BU0RBUTpDQUxNLklRX1JFU1RSVUNUVVJFLjk5NS4zMS8wNy8yMDI2Li4uVVNELkgBAAAAIHoFAAMAAAAAAMOYijE7794Iyr/UNDvv3gg6Q0lRLk5BU0RBUTpDQUxNLklRX0lOVF9FWFBfSU5DTF9DQVAuOTk3LjMxLzA3LzIwMjYuLi5VU0QuSAEAAAAgegUAAgAAAAUwLjU4MwEIAAAABQAAAAExAQAAAAst</t>
  </si>
  <si>
    <t>MTkzNDk3ODQyMAMAAAADMTYwAgAAAAUyMTg2MQQAAAABMAcAAAAJNy8zMS8yMDI2CAAAAAg2LzMvMjAyMwkAAAABMMzbFzE7794I6BXMNDvv3gg5Q0lRLk5BU0RBUTpDQUxNLklRX0dBSU5fQVNTRVRTX1JFVi45OTguMzEvMDcvMjAyNi4uLlVTRC5IAQAAACB6BQADAAAAAADAcYoxO+/eCIGq2DQ7794IM0NJUS5OQVNEQVE6Q0FMTS5JUV9UT1RBTF9SRVYuOTk0LjMxLzA3LzIwMjYuLi5VU0QuSAEAAAAgegUAAgAAAAgxMzUxLjYwOQEIAAAABQAAAAExAQAAAAstMjA4ODM0NzQ2OQMAAAADMTYwAgAAAAIyOAQAAAABMAcAAAAJNy8zMS8yMDI2CAAAAAk1LzMwLzIwMjAJAAAAATDAcYoxO+/eCB/61zQ7794IOkNJUS5OQVNEQVE6Q0FMTS5JUV9GSU5fRElWX0lOVF9FWFAuMTAwMC4zMS8wNy8yMDI2Li4uVVNELkgBAAAAIHoFAAMAAAAAAMBxijE7794I2V3XNDvv3ggtQ0lRLk5BU0RBUTpDQUxNLklRX0VCVC45OTkuMzEvMDcvMjAyNi4uLlVTRC5IAQAAACB6BQACAAAACDE2MDMuMTQyAQgAAAAFAAAAATEBAAAACy0xODgxMDY4Njc1AwAAAAMxNjACAAAAAzEzOQQAAAABMAcAAAAJNy8zMS8yMDI2CAAAAAk1LzMxLzIwMjUJAAAAATDDmIoxO+/eCAVz0zQ7794INENJUS5OQVNEQVE6Q0FMTS5JUV9JTVBBSVJfT0lMLjk5NS4zMS8wNy8yMDI2Li4uVVNELkgBAAAAIHoFAAMAAAAAAMBxijE7794ISeXVNDvv3gg1</t>
  </si>
  <si>
    <t>Q0lRLk5BU0RBUTpDQUxNLklRX09USEVSX09QRVIuMTAwMC4zMS8wNy8yMDI2Li4uVVNELkgBAAAAIHoFAAMAAAAAAMBxijE7794IIZfVNDvv3gg9Q0lRLk5BU0RBUTpDQUxNLklRX0lOVEVSRVNUX0lOVkVTVF9JTkMuOTk2LjMxLzA3LzIwMjYuLi5VU0QuSAEAAAAgegUAAgAAAAYxMS4xMTgBCAAAAAUAAAABMQEAAAALLTE5ODY3MDg0MzMDAAAAAzE2MAIAAAACNjUEAAAAATAHAAAACTcvMzEvMjAyNggAAAAJNS8yOC8yMDIyCQAAAAEww5iKMTvv3gjbSNU0O+/eCDRDSVEuTkFTREFROkNBTE0uSVFfSU5DX0VRVUlUWS45OTkuMzEvMDcvMjAyNi4uLlVTRC5IAQAAACB6BQACAAAAAzYuMgEIAAAABQAAAAExAQAAAAstMTg4MTA2ODY3NQMAAAADMTYwAgAAAAI0NwQAAAABMAcAAAAJNy8zMS8yMDI2CAAAAAk1LzMxLzIwMjUJAAAAATDDmIoxO+/eCM0N1TQ7794IN0NJUS5OQVNEQVE6Q0FMTS5JUV9FQklUREFfRVFfSU5DLjk5Ni4zMS8wNy8yMDI2Li4uVVNELkgBAAAAIHoFAAIAAAAHMjA4Ljc2NgEIAAAABQAAAAExAQAAAAstMTk4NjcwODQzMwMAAAADMTYwAgAAAAUyMTY3NwQAAAABMAcAAAAJNy8zMS8yMDI2CAAAAAk1LzI4LzIwMjIJAAAAATDq5ooxO+/eCDJQ0TQ7794IN0NJUS5OQVNEQVE6Q0FMTS5JUV9JTVBBSVJNRU5UX0dXLjk5OC4zMS8wNy8yMDI2Li4uVVNELkgBAAAAIHoFAAMAAAAAAMOYijE7</t>
  </si>
  <si>
    <t>794IvXHUNDvv3gg1Q0lRLk5BU0RBUTpDQUxNLklRX0dBSU5fQVNTRVRTLjk5OC4zMS8wNy8yMDI2Li4uVVNELkgBAAAAIHoFAAIAAAAGLTAuMDI2AQgAAAAFAAAAATEBAAAACy0xODgxMDY4Njc2AwAAAAMxNjACAAAAAjU2BAAAAAEwBwAAAAk3LzMxLzIwMjYIAAAACDYvMS8yMDI0CQAAAAEww5iKMTvv3gh+StQ0O+/eCC5DSVEuTkFTREFROkNBTE0uSVFfSVBSRC45OTcuMzEvMDcvMjAyNi4uLlVTRC5IAQAAACB6BQADAAAAAADDmIoxO+/eCFD80zQ7794INkNJUS5OQVNEQVE6Q0FMTS5JUV9MRUdBTF9TRVRUTEUuOTk4LjMxLzA3LzIwMjYuLi5VU0QuSAEAAAAgegUAAwAAAAAAw5iKMTvv3ggg1dM0O+/eCDhDSVEuTkFTREFROkNBTE0uSVFfUFJPVl9CQURfREVCVFMuOTk1LjMxLzA3LzIwMjYuLi5VU0QuSAEAAAAgegUAAwAAAAAAwHGKMTvv3gj2qdY0O+/eCDVDSVEuTkFTREFROkNBTE0uSVFfRUFSTklOR19DTy4xMDAwLjMxLzA3LzIwMjYuLi5VU0QuSAEAAAAgegUAAgAAAAczMTguMTEyAQgAAAAFAAAAATEBAAAACy0xODgxMDY4NjY4AwAAAAMxNjACAAAAATcEAAAAATAHAAAACTcvMzEvMjAyNggAAAAJNS8zMC8yMDI2CQAAAAEww5iKMTvv3ghWONM0O+/eCDdDSVEuTkFTREFROkNBTE0uSVFfTklfQVZBSUxfSU5DTC45OTguMzEvMDcvMjAyNi4uLlVTRC5IAQAAACB6BQACAAAABzI3Ny44ODgBCAAA</t>
  </si>
  <si>
    <t>AAUAAAABMQEAAAALLTE4ODEwNjg2NzYDAAAAAzE2MAIAAAACMTYEAAAAATAHAAAACTcvMzEvMjAyNggAAAAINi8xLzIwMjQJAAAAATDTv4oxO+/eCCCc0jQ7794IOENJUS5OQVNEQVE6Q0FMTS5JUV9CQVNJQ19FUFNfSU5DTC45OTguMzEvMDcvMjAyNi4uLlVTRC5IAQAAACB6BQACAAAACDUuNzA0MTI3AQgAAAAFAAAAATEBAAAACy0xODgxMDY4Njc2AwAAAAMxNjACAAAAATkEAAAAATAHAAAACTcvMzEvMjAyNggAAAAINi8xLzIwMjQJAAAAATDTv4oxO+/eCAV10jQ7794IQkNJUS5OQVNEQVE6Q0FMTS5JUV9ESVNUUklCVVRBQkxFX0NBU0hfU0hBUkUuOTk0LjMxLzA3LzIwMjYuLi5VU0QuSAEAAAAgegUAAwAAAAAA07+KMTvv3ggKntE0O+/eCDVDSVEuTkFTREFROkNBTE0uSVFfUkVTVFJVQ1RVUkUuOTk0LjMxLzA3LzIwMjYuLi5VU0QuSAEAAAAgegUAAwAAAAAAw5iKMTvv3gjKv9Q0O+/eCDlDSVEuTkFTREFROkNBTE0uSVFfR0FJTl9BU1NFVFNfUkVWLjk5Ny4zMS8wNy8yMDI2Li4uVVNELkgBAAAAIHoFAAMAAAAAAMBxijE7794IdoPYNDvv3gg2Q0lRLk5BU0RBUTpDQUxNLklRX0lOVF9JTlZfSU5DLjEwMDAuMzEvMDcvMjAyNi4uLlVTRC5IAQAAACB6BQADAAAAAADAcYoxO+/eCOs02DQ7794INUNJUS5OQVNEQVE6Q0FMTS5JUV9GSU5fRElWX0VYUC45OTYuMzEvMDcvMjAyNi4uLlVTRC5IAQAAACB6</t>
  </si>
  <si>
    <t>BQADAAAAAADAcYoxO+/eCP+E1zQ7794IOUNJUS5OQVNEQVE6Q0FMTS5JUV9GSU5fRElWX0lOVF9FWFAuOTk5LjMxLzA3LzIwMjYuLi5VU0QuSAEAAAAgegUAAwAAAAAAwHGKMTvv3gjZXdc0O+/eCDFDSVEuTkFTREFROkNBTE0uSVFfSU5DX1RBWC45OTYuMzEvMDcvMjAyNi4uLlVTRC5IAQAAACB6BQACAAAABjMzLjU3NAEIAAAABQAAAAExAQAAAAstMTk4NjcwODQzMwMAAAADMTYwAgAAAAI3NQQAAAABMAcAAAAJNy8zMS8yMDI2CAAAAAk1LzI4LzIwMjIJAAAAATDDmIoxO+/eCAVz0zQ7794IN0NJUS5OQVNEQVE6Q0FMTS5JUV9QUkVfT1BFTl9DT1NULjk5OC4zMS8wNy8yMDI2Li4uVVNELkgBAAAAIHoFAAMAAAAAAMBxijE7794ITDPWNDvv3gg0Q0lRLk5BU0RBUTpDQUxNLklRX0lNUEFJUl9PSUwuOTk0LjMxLzA3LzIwMjYuLi5VU0QuSAEAAAAgegUAAwAAAAAAwHGKMTvv3gg9vtU0O+/eCDRDSVEuTkFTREFROkNBTE0uSVFfT1RIRVJfT1BFUi45OTkuMzEvMDcvMjAyNi4uLlVTRC5IAQAAACB6BQADAAAAAADAcYoxO+/eCCGX1TQ7794INENJUS5OQVNEQVE6Q0FMTS5JUV9JTkNfRVFVSVRZLjk5OC4zMS8wNy8yMDI2Li4uVVNELkgBAAAAIHoFAAIAAAADMS40AQgAAAAFAAAAATEBAAAACy0xODgxMDY4Njc2AwAAAAMxNjACAAAAAjQ3BAAAAAEwBwAAAAk3LzMxLzIwMjYIAAAACDYvMS8yMDI0CQAAAAEw</t>
  </si>
  <si>
    <t>w5iKMTvv3gjNDdU0O+/eCDhDSVEuTkFTREFROkNBTE0uSVFfQkFTSUNfRVBTX0lOQ0wuOTk3LjMxLzA3LzIwMjYuLi5VU0QuSAEAAAAgegUAAgAAAAkxNS41ODE4MTIBCAAAAAUAAAABMQEAAAALLTE5MzQ5Nzg0MjADAAAAAzE2MAIAAAABOQQAAAABMAcAAAAJNy8zMS8yMDI2CAAAAAg2LzMvMjAyMwkAAAABMNO/ijE7794IBXXSNDvv3gg3Q0lRLk5BU0RBUTpDQUxNLklRX0lNUEFJUk1FTlRfR1cuOTk3LjMxLzA3LzIwMjYuLi5VU0QuSAEAAAAgegUAAwAAAAAAw5iKMTvv3gi9cdQ0O+/eCDVDSVEuTkFTREFROkNBTE0uSVFfR0FJTl9BU1NFVFMuOTk2LjMxLzA3LzIwMjYuLi5VU0QuSAEAAAAgegUAAgAAAAYtMC4zODMBCAAAAAUAAAABMQEAAAALLTE5ODY3MDg0MzMDAAAAAzE2MAIAAAACNTYEAAAAATAHAAAACTcvMzEvMjAyNggAAAAJNS8yOC8yMDIyCQAAAAEww5iKMTvv3gh+StQ0O+/eCDRDSVEuTkFTREFROkNBTE0uSVFfSU5TX1NFVFRMRS45OTQuMzEvMDcvMjAyNi4uLlVTRC5IAQAAACB6BQADAAAAAADDmIoxO+/eCFD80zQ7794IPUNJUS5OQVNEQVE6Q0FMTS5JUV9PVEhFUl9VTlVTVUFMX1NVUFBMLjk5NS4zMS8wNy8yMDI2Li4uVVNELkgBAAAAIHoFAAMAAAAAAMOYijE7794IINXTNDvv3gg+Q0lRLk5BU0RBUTpDQUxNLklRX0VCSVRfRVFfSU5DX0VYQ0xfU0JDLjk5Ny4zMS8wNy8yMDI2Li4u</t>
  </si>
  <si>
    <t>VVNELkgBAAAAIHoFAAIAAAAHOTY5LjIwMQEIAAAABQAAAAExAQAAAAstMTkzNDk3ODQyMAMAAAADMTYwAgAAAAUyNDEzMAQAAAABMAcAAAAJNy8zMS8yMDI2CAAAAAg2LzMvMjAyMwkAAAABMIz6ijE7794IolfQNDvv3ggsQ0lRLk5BU0RBUTpDQUxNLklRX0RPLjk5Ny4zMS8wNy8yMDI2Li4uVVNELkgBAAAAIHoFAAMAAAAAAMOYijE7794IVjjTNDvv3gg0Q0lRLk5BU0RBUTpDQUxNLklRX05JX0NPTVBBTlkuOTk4LjMxLzA3LzIwMjYuLi5VU0QuSAEAAAAgegUAAgAAAAcyNzYuMjgyAQgAAAAFAAAAATEBAAAACy0xODgxMDY4Njc2AwAAAAMxNjACAAAABTQxNTcxBAAAAAEwBwAAAAk3LzMxLzIwMjYIAAAACDYvMS8yMDI0CQAAAAEww5iKMTvv3ghCEdM0O+/eCCxDSVEuTkFTREFROkNBTE0uSVFfTkkuOTk4LjMxLzA3LzIwMjYuLi5VU0QuSAEAAAAgegUAAgAAAAcyNzcuODg4AQgAAAAFAAAAATEBAAAACy0xODgxMDY4Njc2AwAAAAMxNjACAAAAAjE1BAAAAAEwBwAAAAk3LzMxLzIwMjYIAAAACDYvMS8yMDI0CQAAAAEw07+KMTvv3gg26tI0O+/eCDdDSVEuTkFTREFROkNBTE0uSVFfTklfQVZBSUxfSU5DTC45OTcuMzEvMDcvMjAyNi4uLlVTRC5IAQAAACB6BQACAAAABzc1OC4wMjQBCAAAAAUAAAABMQEAAAALLTE5MzQ5Nzg0MjADAAAAAzE2MAIAAAACMTYEAAAAATAHAAAACTcvMzEvMjAyNggAAAAINi8z</t>
  </si>
  <si>
    <t>LzIwMjMJAAAAATDTv4oxO+/eCCCc0jQ7794IPENJUS5OQVNEQVE6Q0FMTS5JUV9DVVJSX0ZPUkVJR05fVEFYRVMuOTk1LjMxLzA3LzIwMjYuLi5VU0QuSAEAAAAgegUAAwAAAAAAvbQXMTvv3ghuTs00O+/eCDhDSVEuTkFTREFROkNBTE0uSVFfRElMVVRfRVBTX0lOQ0wuOTk1LjMxLzA3LzIwMjYuLi5VU0QuSAEAAAAgegUAAgAAAAQwLjA0AQgAAAAFAAAAATEBAAAACy0yMDM3MjQxNzIxAwAAAAMxNjACAAAAATgEAAAAATAHAAAACTcvMzEvMjAyNggAAAAJNS8yOS8yMDIxCQAAAAEw07+KMTvv3gj2TdI0O+/eCDlDSVEuTkFTREFROkNBTE0uSVFfRElMVVRfRVBTX05PUk0uMTAwMC4zMS8wNy8yMDI2Li4uVVNELkgBAAAAIHoFAAIAAAAINS4zNzIxNzkBCAAAAAUAAAABMQEAAAALLTE4ODEwNjg2NjgDAAAAAzE2MAIAAAAENDM4MAQAAAABMAcAAAAJNy8zMS8yMDI2CAAAAAk1LzMwLzIwMjYJAAAAATDTv4oxO+/eCBPs0TQ7794IN0NJUS5OQVNEQVE6Q0FMTS5JUV9FQklUREFfRVFfSU5DLjk5NS4zMS8wNy8yMDI2Li4uVVNELkgBAAAAIHoFAAIAAAAJNDEuMzcyOTk5AQgAAAAFAAAAATEBAAAACy0yMDM3MjQxNzIxAwAAAAMxNjACAAAABTIxNjc3BAAAAAEwBwAAAAk3LzMxLzIwMjYIAAAACTUvMjkvMjAyMQkAAAABMOrmijE7794I5CjRNDvv3gg/Q0lRLk5BU0RBUTpDQUxNLklRX0VCSVREQV9MRUFTRV9B</t>
  </si>
  <si>
    <t>REpVU1RFRC45OTYuMzEvMDcvMjAyNi4uLlVTRC5IAQAAACB6BQACAAAABzIwNi44MjMBCAAAAAUAAAABMQEAAAALLTE5ODY3MDg0MzMDAAAAAzE2MAIAAAAFNDg5OTMEAAAAATAHAAAACTcvMzEvMjAyNggAAAAJNS8yOC8yMDIyCQAAAAEw6uaKMTvv3gjmAdE0O+/eCC1DSVEuTkFTREFROkNBTE0uSVFfRElDLjk5Ny4zMS8wNy8yMDI2Li4uVVNELkgBAAAAIHoFAAMAAAAAAOkCGDE7794I32XLNDvv3gg4Q0lRLk5BU0RBUTpDQUxNLklRX0VCSVRBX0VYQ0xfU0JDLjk5Ny4zMS8wNy8yMDI2Li4uVVNELkgBAAAAIHoFAAIAAAAHOTcwLjY4OQEIAAAABQAAAAExAQAAAAstMTkzNDk3ODQyMAMAAAADMTYwAgAAAAUyNDEzNgQAAAABMAcAAAAJNy8zMS8yMDI2CAAAAAg2LzMvMjAyMwkAAAABMKqNFzE7794IXnDPNDvv3gg2Q0lRLk5BU0RBUTpDQUxNLklRX0VCSVREQV9DQVBFWC45OTUuMzEvMDcvMjAyNi4uLlVTRC5IAQAAACB6BQACAAAABy01OC44NzQBCAAAAAUAAAABMQEAAAALLTIwMzcyNDE3MjEDAAAAAzE2MAIAAAAFMzUzNzkEAAAAATAHAAAACTcvMzEvMjAyNggAAAAJNS8yOS8yMDIxCQAAAAEwqo0XMTvv3gimh840O+/eCExDSVEuTkFTREFROkNBTE0uSVFfUFJPVl9CQURfREVCVFNfUEFUSUVOVF9TRVJWSUNFX1JFVi45OTQuMzEvMDcvMjAyNi4uLlVTRC5IAQAAACB6BQADAAAAAAC9tBcxO+/eCKMl</t>
  </si>
  <si>
    <t>zjQ7794IQUNJUS5OQVNEQVE6Q0FMTS5JUV9FWENJU0VfVEFYRVNfRVhDTF9TQUxFUy45OTUuMzEvMDcvMjAyNi4uLlVTRC5IAQAAACB6BQADAAAAAAC9tBcxO+/eCDWJzTQ7794IPkNJUS5OQVNEQVE6Q0FMTS5JUV9ORUdBVElWRV9HV19BTU9SVF9BVC45OTQuMzEvMDcvMjAyNi4uLlVTRC5IAQAAACB6BQADAAAAAAAaURgxO+/eCNhCyDQ7794IQUNJUS5OQVNEQVE6Q0FMTS5JUV9ERUZFUlJFRF9ET01FU1RJQ19UQVhFUy45OTkuMzEvMDcvMjAyNi4uLlVTRC5IAQAAACB6BQACAAAABTExLjU3AQgAAAAFAAAAATEBAAAACy0xODgxMDY4Njc1AwAAAAMxNjACAAAABDMwNTQEAAAAATAHAAAACTcvMzEvMjAyNggAAAAJNS8zMS8yMDI1CQAAAAEwvbQXMTvv3ghBAM00O+/eCENDSVEuTkFTREFROkNBTE0uSVFfTk9OUkVDVVJSSU5HX0lOQ09NRV9UQVhFUy45OTcuMzEvMDcvMjAyNi4uLlVTRC5IAQAAACB6BQADAAAAAAC9tBcxO+/eCC2yzDQ7794IPkNJUS5OQVNEQVE6Q0FMTS5JUV9DQVBJVEFMSVpFRF9JTlRFUkVTVC45OTguMzEvMDcvMjAyNi4uLlVTRC5IAQAAACB6BQADAAAAAADM2xcxO+/eCABkzDQ7794IPENJUS5OQVNEQVE6Q0FMTS5JUV9ESVNUUklCVVRBQkxFX0NBU0guOTk1LjMxLzA3LzIwMjYuLi5VU0QuSAEAAAAgegUAAwAAAAAAzNsXMTvv3gjo2ss0O+/eCDpDSVEuTkFTREFROkNBTE0uSVFf</t>
  </si>
  <si>
    <t>SU5WRVNUX0xPQU5TX0NGLjEwMDAuMzEvMDcvMjAyNi4uLlVTRC5IAQAAACB6BQADAAAAAADmbvYwO+/eCFB9wjQ7794IOENJUS5OQVNEQVE6Q0FMTS5JUV9ORVRfUkVOVEFMX0VYUC45OTcuMzEvMDcvMjAyNi4uLlVTRC5IAQAAACB6BQADAAAAAADpAhgxO+/eCGrJyjQ7794IQENJUS5OQVNEQVE6Q0FMTS5JUV9JTVBVVF9PUEVSX0xFQVNFX0RFUFIuMTAwMC4zMS8wNy8yMDI2Li4uVVNELkgBAAAAIHoFAAMAAAAAAPEpGDE7794ISY/JNDvv3gg+Q0lRLk5BU0RBUTpDQUxNLklRX0lNUEFJUk1FTlRfR1dfU1VQUExFLjk5Ny4zMS8wNy8yMDI2Li4uVVNELkgBAAAAIHoFAAMAAAAAAPEpGDE7794IM0HJNDvv3ghBQ0lRLk5BU0RBUTpDQUxNLklRX0dBSU5fQkFSR0FJTl9BQ1FfU1VQUExFLjk5OC4zMS8wNy8yMDI2Li4uVVNELkgBAAAAIHoFAAMAAAAAAPEpGDE7794I9bfINDvv3gg+Q0lRLk5BU0RBUTpDQUxNLklRX0VCSVRfRVFfSU5DX0VYQ0xfU0JDLjk5NS4zMS8wNy8yMDI2Li4uVVNELkgBAAAAIHoFAAIAAAAHLTE4Ljg4MgEIAAAABQAAAAExAQAAAAstMjAzNzI0MTcyMQMAAAADMTYwAgAAAAUyNDEzMAQAAAABMAcAAAAJNy8zMS8yMDI2CAAAAAk1LzI5LzIwMjEJAAAAATCM+ooxO+/eCIb4zzQ7794IOUNJUS5OQVNEQVE6Q0FMTS5JUV9TVE9DS19CQVNFRF9TR0EuOTk0LjMxLzA3LzIwMjYuLi5VU0Qu</t>
  </si>
  <si>
    <t>SAEAAAAgegUAAgAAAAUzLjYxNwEIAAAABQAAAAExAQAAAAstMjA4ODM0NzQ2OQMAAAADMTYwAgAAAAUyMjY3OQQAAAABMAcAAAAJNy8zMS8yMDI2CAAAAAk1LzMwLzIwMjAJAAAAATDB+fUwO+/eCPadxzQ7794IPENJUS5OQVNEQVE6Q0FMTS5JUV9TVE9DS19PUFRJT05TX0NPTVAuOTk4LjMxLzA3LzIwMjYuLi5VU0QuSAEAAAAgegUAAwAAAAAAziD2MDvv3ghWnsY0O+/eCDxDSVEuTkFTREFROkNBTE0uSVFfQVNTRVRfV1JJVEVET1dOX0NGLjk5NC4zMS8wNy8yMDI2Li4uVVNELkgBAAAAIHoFAAIAAAAFMi45MTkBCAAAAAUAAAABMQEAAAALLTIwODgzNDc0NjkDAAAAAzE2MAIAAAAEMjAxOQQAAAABMAcAAAAJNy8zMS8yMDI2CAAAAAk1LzMwLzIwMjAJAAAAATDWR/YwO+/eCORRxTQ7794IM0NJUS5OQVNEQVE6Q0FMTS5JUV9DSEFOR0VfQVAuOTk3LjMxLzA3LzIwMjYuLi5VU0QuSAEAAAAgegUAAgAAAAYxNC45NDQBCAAAAAUAAAABMQEAAAALLTE5MzQ5Nzg0MjADAAAAAzE2MAIAAAAEMjAxNwQAAAABMAcAAAAJNy8zMS8yMDI2CAAAAAg2LzMvMjAyMwkAAAABMNZH9jA7794IFgXENDvv3ggyQ0lRLk5BU0RBUTpDQUxNLklRX05JX1NGQVMuMTAwMC4zMS8wNy8yMDI2Li4uVVNELkgBAAAAIHoFAAMAAAAAAL20FzE7794IiNfNNDvv3gg4Q0lRLk5BU0RBUTpDQUxNLklRX1NQRUNJQUxfRElWX0NGLjk5NS4z</t>
  </si>
  <si>
    <t>MS8wNy8yMDI2Li4uVVNELkgBAAAAIHoFAAMAAAAAAOZu9jA7794IYQnBNDvv3gg6Q0lRLk5BU0RBUTpDQUxNLklRX0ZJTl9ESVZfTE9BTlNfTFQuOTk2LjMxLzA3LzIwMjYuLi5VU0QuSAEAAAAgegUAAwAAAAAAbNX6MDvv3ghVOro0O+/eCENDSVEuTkFTREFROkNBTE0uSVFfRElTVFJJQlVUQUJMRV9DQVNIX1NIQVJFLjEwMDAuMzEvMDcvMjAyNi4uLlVTRC5IAQAAACB6BQADAAAAAADTv4oxO+/eCBt30TQ7794IP0NJUS5OQVNEQVE6Q0FMTS5JUV9FQklUREFfTEVBU0VfQURKVVNURUQuOTk0LjMxLzA3LzIwMjYuLi5VU0QuSAEAAAAgegUAAgAAAAY2NC4xNTQBCAAAAAUAAAABMQEAAAALLTIwODgzNDc0NjkDAAAAAzE2MAIAAAAFNDg5OTMEAAAAATAHAAAACTcvMzEvMjAyNggAAAAJNS8zMC8yMDIwCQAAAAEw6uaKMTvv3giI2tA0O+/eCDpDSVEuTkFTREFROkNBTE0uSVFfU0FMRVNfTUFSS0VUSU5HLjEwMDAuMzEvMDcvMjAyNi4uLlVTRC5IAQAAACB6BQADAAAAAADpAhgxO+/eCJYXyzQ7794IMENJUS5OQVNEQVE6Q0FMTS5JUV9FQklUQS4xMDAwLjMxLzA3LzIwMjYuLi5VU0QuSAEAAAAgegUAAgAAAAczNTAuMTE3AQgAAAAFAAAAATEBAAAACy0xODgxMDY4NjY4AwAAAAMxNjACAAAABjEwMDY4OQQAAAABMAcAAAAJNy8zMS8yMDI2CAAAAAk1LzMwLzIwMjYJAAAAATCqjRcxO+/eCGqXzzQ7794IOENJ</t>
  </si>
  <si>
    <t>US5OQVNEQVE6Q0FMTS5JUV9FQklUQV9FWENMX1NCQy45OTYuMzEvMDcvMjAyNi4uLlVTRC5IAQAAACB6BQACAAAABzE0Mi40OTEBCAAAAAUAAAABMQEAAAALLTE5ODY3MDg0MzMDAAAAAzE2MAIAAAAFMjQxMzYEAAAAATAHAAAACTcvMzEvMjAyNggAAAAJNS8yOC8yMDIyCQAAAAEwqo0XMTvv3ghecM80O+/eCDlDSVEuTkFTREFROkNBTE0uSVFfRUJJVERBUl9FUV9JTkMuMTAwMC4zMS8wNy8yMDI2Li4uVVNELkgBAAAAIHoFAAMAAAAAAKqNFzE7794IvtXONDvv3gg2Q0lRLk5BU0RBUTpDQUxNLklRX0VCSVREQV9DQVBFWC45OTQuMzEvMDcvMjAyNi4uLlVTRC5IAQAAACB6BQACAAAABy02NC43MjQBCAAAAAUAAAABMQEAAAALLTIwODgzNDc0NjkDAAAAAzE2MAIAAAAFMzUzNzkEAAAAATAHAAAACTcvMzEvMjAyNggAAAAJNS8zMC8yMDIwCQAAAAEwqo0XMTvv3gimh840O+/eCDNDSVEuTkFTREFROkNBTE0uSVFfQ0hBTkdFX0FQLjk5Ni4zMS8wNy8yMDI2Li4uVVNELkgBAAAAIHoFAAIAAAAGMjkuOTkzAQgAAAAFAAAAATEBAAAACy0xOTg2NzA4NDMzAwAAAAMxNjACAAAABDIwMTcEAAAAATAHAAAACTcvMzEvMjAyNggAAAAJNS8yOC8yMDIyCQAAAAEw1kf2MDvv3ggWBcQ0O+/eCDxDSVEuTkFTREFROkNBTE0uSVFfQ1VSUl9GT1JFSUdOX1RBWEVTLjk5NC4zMS8wNy8yMDI2Li4uVVNELkgBAAAAIHoFAAMA</t>
  </si>
  <si>
    <t>AAAAAL20FzE7794Ibk7NNDvv3ghAQ0lRLk5BU0RBUTpDQUxNLklRX0RFRkVSUkVEX0ZPUkVJR05fVEFYRVMuOTk1LjMxLzA3LzIwMjYuLi5VU0QuSAEAAAAgegUAAwAAAAAAvbQXMTvv3ghBAM00O+/eCDFDSVEuTkFTREFROkNBTE0uSVFfTklfTk9STS45OTQuMzEvMDcvMjAyNi4uLlVTRC5IAQAAACB6BQACAAAACDEyLjU2NDI1AQgAAAAFAAAAATEBAAAACy0yMDg4MzQ3NDY5AwAAAAMxNjACAAAABDQzNzgEAAAAATAHAAAACTcvMzEvMjAyNggAAAAJNS8zMC8yMDIwCQAAAAEwvbQXMTvv3gg02cw0O+/eCDxDSVEuTkFTREFROkNBTE0uSVFfRElTVFJJQlVUQUJMRV9DQVNILjk5NC4zMS8wNy8yMDI2Li4uVVNELkgBAAAAIHoFAAMAAAAAAMzbFzE7794I6NrLNDvv3ggyQ0lRLk5BU0RBUTpDQUxNLklRX0NGX1NIQVJFLjk5OS4zMS8wNy8yMDI2Li4uVVNELkgBAAAAIHoFAAIAAAAJMjEuODI4ODM0AQgAAAAFAAAAATEBAAAACy0xODgxMDY4Njc1AwAAAAMxNjACAAAABTQzOTIzBAAAAAEwBwAAAAk3LzMxLzIwMjYIAAAACTUvMzEvMjAyNQkAAAABMGyH+jA7794IZ5a9NDvv3gg4Q0lRLk5BU0RBUTpDQUxNLklRX05FVF9SRU5UQUxfRVhQLjk5Ni4zMS8wNy8yMDI2Li4uVVNELkgBAAAAIHoFAAMAAAAAAOkCGDE7794IasnKNDvv3gg4Q0lRLk5BU0RBUTpDQUxNLklRX01JTklNVU1fUkVOVEFMLjk5OC4zMS8w</t>
  </si>
  <si>
    <t>Ny8yMDI2Li4uVVNELkgBAAAAIHoFAAMAAAAAAOkCGDE7794Ik1LKNDvv3gg/Q0lRLk5BU0RBUTpDQUxNLklRX0lNUFVUX09QRVJfTEVBU0VfREVQUi45OTkuMzEvMDcvMjAyNi4uLlVTRC5IAQAAACB6BQADAAAAAADxKRgxO+/eCEmPyTQ7794INUNJUS5OQVNEQVE6Q0FMTS5JUV9PSUxfSU1QQUlSLjEwMDAuMzEvMDcvMjAyNi4uLlVTRC5IAQAAACB6BQADAAAAAADOIPYwO+/eCCruxTQ7794IO0NJUS5OQVNEQVE6Q0FMTS5JUV9JTlNfU0VUVExFX1NVUFBMRS45OTkuMzEvMDcvMjAyNi4uLlVTRC5IAQAAACB6BQADAAAAAADxKRgxO+/eCPW3yDQ7794IQENJUS5OQVNEQVE6Q0FMTS5JUV9PVEhFUl9JTlZFU1RfQUNUX1NVUFBMLjk5Ny4zMS8wNy8yMDI2Li4uVVNELkgBAAAAIHoFAAMAAAAAAOZu9jA7794IUH3CNDvv3gg3Q0lRLk5BU0RBUTpDQUxNLklRX0NPTU1PTl9JU1NVRUQuOTk2LjMxLzA3LzIwMjYuLi5VU0QuSAEAAAAgegUAAgAAAAUwLjAwMwEIAAAABQAAAAExAQAAAAstMTk4NjcwODQzMwMAAAADMTYwAgAAAAQyMTY5BAAAAAEwBwAAAAk3LzMxLzIwMjYIAAAACTUvMjgvMjAyMgkAAAABMOZu9jA7794IVrrBNDvv3gg4Q0lRLk5BU0RBUTpDQUxNLklRX1NQRUNJQUxfRElWX0NGLjk5NC4zMS8wNy8yMDI2Li4uVVNELkgBAAAAIHoFAAMAAAAAAOZu9jA7794IYQnBNDvv3gg2Q0lRLk5BU0RBUTpD</t>
  </si>
  <si>
    <t>QUxNLklRX0FNT1JUX0RJQ19DRi45OTYuMzEvMDcvMjAyNi4uLlVTRC5IAQAAACB6BQADAAAAAAD2lfYwO+/eCKV/vzQ7794IN0NJUS5OQVNEQVE6Q0FMTS5JUV9DT01NT05fSVNTVUVELjk5NC4zMS8wNy8yMDI2Li4uVVNELkgBAAAAIHoFAAMAAAAAAOZu9jA7794IVrrBNDvv3gg+Q0lRLk5BU0RBUTpDQUxNLklRX0NVUlJFTlRfUE9SVF9MRUFTRVMuMTAwMC4zMS8wNy8yMDI2Li4uVVNELkgBAAAAIHoFAAMAAAAAAGzV+jA7794Ige24NDvv3gg5Q0lRLk5BU0RBUTpDQUxNLklRX1NBTEVTX01BUktFVElORy45OTkuMzEvMDcvMjAyNi4uLlVTRC5IAQAAACB6BQADAAAAAADpAhgxO+/eCJYXyzQ7794IOENJUS5OQVNEQVE6Q0FMTS5JUV9ORVRfUkVOVEFMX0VYUC45OTUuMzEvMDcvMjAyNi4uLlVTRC5IAQAAACB6BQADAAAAAADpAhgxO+/eCGCiyjQ7794IQUNJUS5OQVNEQVE6Q0FMTS5JUV9TQUxBUklFU19PVEhFUl9CRU5FRklUUy45OTQuMzEvMDcvMjAyNi4uLlVTRC5IAQAAACB6BQADAAAAAADxKRgxO+/eCEmPyTQ7794IOUNJUS5OQVNEQVE6Q0FMTS5JUV9TQUxFU19NQVJLRVRJTkcuOTk4LjMxLzA3LzIwMjYuLi5VU0QuSAEAAAAgegUAAwAAAAAA6QIYMTvv3giWF8s0O+/eCD9DSVEuTkFTREFROkNBTE0uSVFfTkVHQVRJVkVfR1dfQU1PUlRfQVQuMTAwMC4zMS8wNy8yMDI2Li4uVVNELkgBAAAAIHoF</t>
  </si>
  <si>
    <t>AAMAAAAAABpRGDE7794IqxvINDvv3ghCQ0lRLk5BU0RBUTpDQUxNLklRX1JFU1RSX1NUT0NLX0NPTVBfUFJFVEFYLjEwMDAuMzEvMDcvMjAyNi4uLlVTRC5IAQAAACB6BQADAAAAAADOIPYwO+/eCIonxzQ7794INENJUS5OQVNEQVE6Q0FMTS5JUV9PSUxfSU1QQUlSLjk5OC4zMS8wNy8yMDI2Li4uVVNELkgBAAAAIHoFAAMAAAAAAM4g9jA7794ID8fFNDvv3ghAQ0lRLk5BU0RBUTpDQUxNLklRX09USEVSX0lOVkVTVF9BQ1RfU1VQUEwuOTk2LjMxLzA3LzIwMjYuLi5VU0QuSAEAAAAgegUAAgAAAAU3LjY1NQEIAAAABQAAAAExAQAAAAstMTk4NjcwODQzMwMAAAADMTYwAgAAAAQyMDUxBAAAAAEwBwAAAAk3LzMxLzIwMjYIAAAACTUvMjgvMjAyMgkAAAABMOZu9jA7794IRqTCNDvv3gg+Q0lRLk5BU0RBUTpDQUxNLklRX05FR0FUSVZFX0dXX0FNT1JUX0FULjk5OC4zMS8wNy8yMDI2Li4uVVNELkgBAAAAIHoFAAMAAAAAABpRGDE7794I2ELINDvv3gg+Q0lRLk5BU0RBUTpDQUxNLklRX0ZJTl9ESVZfTElBQl9DVVJSRU5ULjk5NC4zMS8wNy8yMDI2Li4uVVNELkgBAAAAIHoFAAMAAAAAAGzV+jA7794Ifsa4NDvv3gg9Q0lRLk5BU0RBUTpDQUxNLklRX0RJU1RSSUJVVEFCTEVfQ0FTSC4xMDAwLjMxLzA3LzIwMjYuLi5VU0QuSAEAAAAgegUAAwAAAAAAzNsXMTvv3gjo2ss0O+/eCEBDSVEuTkFTREFROkNBTE0u</t>
  </si>
  <si>
    <t>SVFfQU5OVV9ESVNUUklCVVRJT05fVU5JVC45OTQuMzEvMDcvMjAyNi4uLlVTRC5IAQAAACB6BQADAAAAAADM2xcxO+/eCNSMyzQ7794INENJUS5OQVNEQVE6Q0FMTS5JUV9DT01NT05fRElWLjk5Ny4zMS8wNy8yMDI2Li4uVVNELkgBAAAAIHoFAAIAAAAHMjUyLjc2NgDM2xcxO+/eCN9lyzQ7794IOUNJUS5OQVNEQVE6Q0FMTS5JUV9DQVNIX0FDUVVJUkVfQ0YuOTk3LjMxLzA3LzIwMjYuLi5VU0QuSAEAAAAgegUAAwAAAAAA1kf2MDvv3giFLcM0O+/eCDhDSVEuTkFTREFROkNBTE0uSVFfTkVUX1JFTlRBTF9FWFAuOTk0LjMxLzA3LzIwMjYuLi5VU0QuSAEAAAAgegUAAwAAAAAA6QIYMTvv3ghgoso0O+/eCEFDSVEuTkFTREFROkNBTE0uSVFfRVhQTE9SRV9EUklMTF9FWFBfVE9UQUwuOTk5LjMxLzA3LzIwMjYuLi5VU0QuSAEAAAAgegUAAwAAAAAA8SkYMTvv3ghl3ck0O+/eCEBDSVEuTkFTREFROkNBTE0uSVFfQVNTRVRfV1JJVEVET1dOX1NVUFBMRS45OTguMzEvMDcvMjAyNi4uLlVTRC5IAQAAACB6BQADAAAAAADxKRgxO+/eCDIayTQ7794IO0NJUS5OQVNEQVE6Q0FMTS5JUV9JTlNfU0VUVExFX1NVUFBMRS45OTcuMzEvMDcvMjAyNi4uLlVTRC5IAQAAACB6BQADAAAAAADxKRgxO+/eCPW3yDQ7794IP0NJUS5OQVNEQVE6Q0FMTS5JUV9FQklUX0VRX0lOQ19FWENMX1NCQy4xMDAwLjMxLzA3LzIwMjYu</t>
  </si>
  <si>
    <t>Li5VU0QuSAEAAAAgegUAAgAAAAczNDcuODA5AQgAAAAFAAAAATEBAAAACy0xODgxMDY4NjY4AwAAAAMxNjACAAAABTI0MTMwBAAAAAEwBwAAAAk3LzMxLzIwMjYIAAAACTUvMzAvMjAyNgkAAAABMIz6ijE7794IgCTQNDvv3gg+Q0lRLk5BU0RBUTpDQUxNLklRX1JFU1RSX1NUT0NLX0NPTVBfVEFYLjk5Ny4zMS8wNy8yMDI2Li4uVVNELkgBAAAAIHoFAAMAAAAAAM4g9jA7794IhwDHNDvv3gg+Q0lRLk5BU0RBUTpDQUxNLklRX1NUT0NLX0JBU0VEX0NPTVBfVEFYLjk5Ni4zMS8wNy8yMDI2Li4uVVNELkgBAAAAIHoFAAMAAAAAAM4g9jA7794IN3fGNDvv3gg0Q0lRLk5BU0RBUTpDQUxNLklRX09JTF9JTVBBSVIuOTk3LjMxLzA3LzIwMjYuLi5VU0QuSAEAAAAgegUAAwAAAAAAziD2MDvv3ggPx8U0O+/eCD1DSVEuTkFTREFROkNBTE0uSVFfQVNTRVRfV1JJVEVET1dOX0NGLjEwMDAuMzEvMDcvMjAyNi4uLlVTRC5IAQAAACB6BQADAAAAAADWR/YwO+/eCNUqxTQ7794IQUNJUS5OQVNEQVE6Q0FMTS5JUV9FWENJU0VfVEFYRVNfSU5DTF9TQUxFUy45OTQuMzEvMDcvMjAyNi4uLlVTRC5IAQAAACB6BQADAAAAAAC9tBcxO+/eCDWJzTQ7794IQENJUS5OQVNEQVE6Q0FMTS5JUV9PVEhFUl9JTlZFU1RfQUNUX1NVUFBMLjk5NS4zMS8wNy8yMDI2Li4uVVNELkgBAAAAIHoFAAMAAAAAAOZu9jA7794IUH3CNDvv3gg3</t>
  </si>
  <si>
    <t>Q0lRLk5BU0RBUTpDQUxNLklRX0NPTU1PTl9JU1NVRUQuOTk4LjMxLzA3LzIwMjYuLi5VU0QuSAEAAAAgegUAAwAAAAAA5m72MDvv3ghWusE0O+/eCEBDSVEuTkFTREFROkNBTE0uSVFfRUJJVERBX0VRX0lOQ19FWENMX1NCQy45OTYuMzEvMDcvMjAyNi4uLlVTRC5IAQAAACB6BQACAAAABzIxMi44MjkBCAAAAAUAAAABMQEAAAALLTE5ODY3MDg0MzMDAAAAAzE2MAIAAAAFMjQxMzEEAAAAATAHAAAACTcvMzEvMjAyNggAAAAJNS8yOC8yMDIyCQAAAAEw6uaKMTvv3ggyUNE0O+/eCEtDSVEuTkFTREFROkNBTE0uSVFfRUJJVERBX0VRX0lOQ19FWENMX09QRVJfTEVBU0VfQURKLjk5OS4zMS8wNy8yMDI2Li4uVVNELkgBAAAAIHoFAAIAAAAIMTY1OC4yNTcBCAAAAAUAAAABMQEAAAALLTE4ODEwNjg2NzUDAAAAAzE2MAIAAAAFNDg5ODcEAAAAATAHAAAACTcvMzEvMjAyNggAAAAJNS8zMS8yMDI1CQAAAAEw6uaKMTvv3gjyn9A0O+/eCDlDSVEuTkFTREFROkNBTE0uSVFfU0FMRVNfTUFSS0VUSU5HLjk5Ny4zMS8wNy8yMDI2Li4uVVNELkgBAAAAIHoFAAMAAAAAAOkCGDE7794IlhfLNDvv3gg2Q0lRLk5BU0RBUTpDQUxNLklRX0VCSVRBX0VRX0lOQy45OTUuMzEvMDcvMjAyNi4uLlVTRC5IAQAAACB6BQACAAAABi0yMi42NgEIAAAABQAAAAExAQAAAAstMjAzNzI0MTcyMQMAAAADMTYwAgAAAAUyMTY3NgQAAAAB</t>
  </si>
  <si>
    <t>MAcAAAAJNy8zMS8yMDI2CAAAAAk1LzI5LzIwMjEJAAAAATCqjRcxO+/eCGqXzzQ7794IP0NJUS5OQVNEQVE6Q0FMTS5JUV9UT1RBTF9SRVZfQVNfUkVQT1JURUQuOTk0LjMxLzA3LzIwMjYuLi5VU0QuSAEAAAAgegUAAwAAAAAAvbQXMTvv3gh0YM40O+/eCExDSVEuTkFTREFROkNBTE0uSVFfUFJPVl9CQURfREVCVFNfUEFUSUVOVF9TRVJWSUNFX1JFVi45OTkuMzEvMDcvMjAyNi4uLlVTRC5IAQAAACB6BQADAAAAAAC9tBcxO+/eCJP+zTQ7794IOUNJUS5OQVNEQVE6Q0FMTS5JUV9JTlRFUkVTVF9JTkNPTUUuOTk1LjMxLzA3LzIwMjYuLi5VU0QuSAEAAAAgegUAAgAAAAYxMS44MzIBCAAAAAUAAAABMQEAAAALLTIwMzcyNDE3MjEDAAAAAzE2MAIAAAADMjEwBAAAAAEwBwAAAAk3LzMxLzIwMjYIAAAACTUvMjkvMjAyMQkAAAABML20FzE7794IiNfNNDvv3gg5Q0lRLk5BU0RBUTpDQUxNLklRX1NUT0NLX0JBU0VEX1NHQS45OTguMzEvMDcvMjAyNi4uLlVTRC5IAQAAACB6BQADAAAAAADB+fUwO+/eCPadxzQ7794IQENJUS5OQVNEQVE6Q0FMTS5JUV9ERUZFUlJFRF9GT1JFSUdOX1RBWEVTLjk5OC4zMS8wNy8yMDI2Li4uVVNELkgBAAAAIHoFAAMAAAAAAL20FzE7794IQQDNNDvv3gg1Q0lRLk5BU0RBUTpDQUxNLklRX0lOVF9FWFBfTFRELjk5Ny4zMS8wNy8yMDI2Li4uVVNELkgBAAAAIHoFAAIAAAAFMC41</t>
  </si>
  <si>
    <t>ODMBCAAAAAUAAAABMQEAAAALLTE5MzQ5Nzg0MjADAAAAAzE2MAIAAAAEMzEwMQQAAAABMAcAAAAJNy8zMS8yMDI2CAAAAAg2LzMvMjAyMwkAAAABMMzbFzE7794IAGTMNDvv3gg9Q0lRLk5BU0RBUTpDQUxNLklRX05PTkNBU0hfUEVOU0lPTl9FWFAuOTk2LjMxLzA3LzIwMjYuLi5VU0QuSAEAAAAgegUAAgAAAAUwLjI1OAEIAAAABQAAAAExAQAAAAstMTk4NjcwODQzMwMAAAADMTYwAgAAAAUyMTY3OAQAAAABMAcAAAAJNy8zMS8yMDI2CAAAAAk1LzI4LzIwMjIJAAAAATDM2xcxO+/eCOwBzDQ7794ISUNJUS5OQVNEQVE6Q0FMTS5JUV9ESVNUUklCVVRBQkxFX0NBU0hfU1RBTkRBUkRJWkVELjk5Ni4zMS8wNy8yMDI2Li4uVVNELkgBAAAAIHoFAAMAAAAAAMzbFzE7794IxLPLNDvv3gg3Q0lRLk5BU0RBUTpDQUxNLklRX0NPTU1PTl9JU1NVRUQuOTk3LjMxLzA3LzIwMjYuLi5VU0QuSAEAAAAgegUAAwAAAAAA5m72MDvv3ghWusE0O+/eCDZDSVEuTkFTREFROkNBTE0uSVFfT1RIRVJfUkVOVEFMLjk5OC4zMS8wNy8yMDI2Li4uVVNELkgBAAAAIHoFAAMAAAAAAOkCGDE7794Ik1LKNDvv3ghAQ0lRLk5BU0RBUTpDQUxNLklRX0FTU0VUX1dSSVRFRE9XTl9TVVBQTEUuOTk2LjMxLzA3LzIwMjYuLi5VU0QuSAEAAAAgegUAAwAAAAAA8SkYMTvv3ggyGsk0O+/eCDtDSVEuTkFTREFROkNBTE0uSVFfSU5TX1NFVFRM</t>
  </si>
  <si>
    <t>RV9TVVBQTEUuOTk2LjMxLzA3LzIwMjYuLi5VU0QuSAEAAAAgegUAAwAAAAAA8SkYMTvv3gj1t8g0O+/eCD5DSVEuTkFTREFROkNBTE0uSVFfTkVHQVRJVkVfR1dfQU1PUlRfQVQuOTk2LjMxLzA3LzIwMjYuLi5VU0QuSAEAAAAgegUAAwAAAAAAGlEYMTvv3gjYQsg0O+/eCEBDSVEuTkFTREFROkNBTE0uSVFfQVNTRVRfV1JJVEVET1dOX1NVUFBMRS45OTQuMzEvMDcvMjAyNi4uLlVTRC5IAQAAACB6BQACAAAABi0yLjkxOQEIAAAABQAAAAExAQAAAAstMjA4ODM0NzQ2OQMAAAADMTYwAgAAAAUzMzM5MQQAAAABMAcAAAAJNy8zMS8yMDI2CAAAAAk1LzMwLzIwMjAJAAAAATDxKRgxO+/eCDIayTQ7794IL0NJUS5OQVNEQVE6Q0FMTS5JUV9EQV9DRi45OTQuMzEvMDcvMjAyNi4uLlVTRC5IAQAAACB6BQACAAAABjU4LjEwMwEIAAAABQAAAAExAQAAAAstMjA4ODM0NzQ2OQMAAAADMTYwAgAAAAQyMTYwBAAAAAEwBwAAAAk3LzMxLzIwMjYIAAAACTUvMzAvMjAyMAkAAAABMM4g9jA7794ID8fFNDvv3ggwQ0lRLk5BU0RBUTpDQUxNLklRX0RPX0NGLjEwMDAuMzEvMDcvMjAyNi4uLlVTRC5IAQAAACB6BQADAAAAAADWR/YwO+/eCBVnxDQ7794IO0NJUS5OQVNEQVE6Q0FMTS5JUV9DSEFOR0VfVU5FQVJOX1JFVi45OTkuMzEvMDcvMjAyNi4uLlVTRC5IAQAAACB6BQADAAAAAADWR/YwO+/eCAjewzQ7794IOUNJUS5O</t>
  </si>
  <si>
    <t>QVNEQVE6Q0FMTS5JUV9DQVNIX0FDUVVJUkVfQ0YuOTk2LjMxLzA3LzIwMjYuLi5VU0QuSAEAAAAgegUAAgAAAActNDQuODIzAQgAAAAFAAAAATEBAAAACy0xOTg2NzA4NDMzAwAAAAMxNjACAAAABDIwNTcEAAAAATAHAAAACTcvMzEvMjAyNggAAAAJNS8yOC8yMDIyCQAAAAEw1kf2MDvv3giFLcM0O+/eCDlDSVEuTkFTREFROkNBTE0uSVFfQ0hBTkdFX0lOQ19UQVguMTAwMC4zMS8wNy8yMDI2Li4uVVNELkgBAAAAIHoFAAIAAAAGLTk0LjgxAQgAAAAFAAAAATEBAAAACy0xODgxMDY4NjY4AwAAAAMxNjACAAAABDIxMDEEAAAAATAHAAAACTcvMzEvMjAyNggAAAAJNS8zMC8yMDI2CQAAAAEw1kf2MDvv3ggI3sM0O+/eCEJDSVEuTkFTREFROkNBTE0uSVFfQU1PUlRfU09GVFdBUkVfQVNTRVRTX0NGLjk5OC4zMS8wNy8yMDI2Li4uVVNELkgBAAAAIHoFAAMAAAAAAPaV9jA7794IpX+/NDvv3ghGQ0lRLk5BU0RBUTpDQUxNLklRX09QRVJBVElOR19MRUFTRV9MSUFCSUxJVElFUy4xMDAwLjMxLzA3LzIwMjYuLi5VU0QuSAEAAAAgegUAAwAAAAAAbIf6MDvv3ghF+rw0O+/eCDZDSVEuTkFTREFROkNBTE0uSVFfT1RIRVJfUkVOVEFMLjk5Ny4zMS8wNy8yMDI2Li4uVVNELkgBAAAAIHoFAAMAAAAAAOkCGDE7794Ik1LKNDvv3ghCQ0lRLk5BU0RBUTpDQUxNLklRX0VYUExPUkVfRFJJTExfRVhQX1RPVEFMLjEwMDAu</t>
  </si>
  <si>
    <t>MzEvMDcvMjAyNi4uLlVTRC5IAQAAACB6BQADAAAAAADxKRgxO+/eCGXdyTQ7794ITUNJUS5OQVNEQVE6Q0FMTS5JUV9PUEVSQVRJTkdfTEVBU0VfTElBQklMSVRJRVNfTk9OQ0FTSC45OTcuMzEvMDcvMjAyNi4uLlVTRC5IAQAAACB6BQADAAAAAABZrvowO+/eCEX6vDQ7794IQ0NJUS5OQVNEQVE6Q0FMTS5JUV9TVE9DS19CQVNFRF9FWFBMT1JFX0RSSUxMLjk5Ni4zMS8wNy8yMDI2Li4uVVNELkgBAAAAIHoFAAMAAAAAAM4g9jA7794I9p3HNDvv3gg+Q0lRLk5BU0RBUTpDQUxNLklRX1JFU1RSX1NUT0NLX0NPTVBfVEFYLjk5OS4zMS8wNy8yMDI2Li4uVVNELkgBAAAAIHoFAAMAAAAAAM4g9jA7794IhwDHNDvv3ggyQ0lRLk5BU0RBUTpDQUxNLklRX0xPQU5TX0NGLjk5OC4zMS8wNy8yMDI2Li4uVVNELkgBAAAAIHoFAAMAAAAAANZH9jA7794IyAPFNDvv3ggvQ0lRLk5BU0RBUTpDQUxNLklRX0RPX0NGLjk5OC4zMS8wNy8yMDI2Li4uVVNELkgBAAAAIHoFAAMAAAAAANZH9jA7794IZY7ENDvv3ghAQ0lRLk5BU0RBUTpDQUxNLklRX1RPVEFMX1JFVl9BU19SRVBPUlRFRC4xMDAwLjMxLzA3LzIwMjYuLi5VU0QuSAEAAAAgegUAAwAAAAAAvbQXMTvv3gjBTM40O+/eCDlDSVEuTkFTREFROkNBTE0uSVFfQ0FTSF9BQ1FVSVJFX0NGLjk5NS4zMS8wNy8yMDI2Li4uVVNELkgBAAAAIHoFAAMAAAAAANZH9jA7794I</t>
  </si>
  <si>
    <t>mgbDNDvv3gg0Q0lRLk5BU0RBUTpDQUxNLklRX0NPTU1PTl9SRVAuOTk0LjMxLzA3LzIwMjYuLi5VU0QuSAEAAAAgegUAAgAAAAUtMC45MQEIAAAABQAAAAExAQAAAAstMjA4ODM0NzQ2OQMAAAADMTYwAgAAAAQyMTY0BAAAAAEwBwAAAAk3LzMxLzIwMjYIAAAACTUvMzAvMjAyMAkAAAABMOZu9jA7794IVrrBNDvv3gg0Q0lRLk5BU0RBUTpDQUxNLklRX0NBU0hfRklOQU4uOTk3LjMxLzA3LzIwMjYuLi5VU0QuSAEAAAAgegUAAgAAAAgtMjU0LjE1OQEIAAAABQAAAAExAQAAAAstMTkzNDk3ODQyMAMAAAADMTYwAgAAAAQyMDA0BAAAAAEwBwAAAAk3LzMxLzIwMjYIAAAACDYvMy8yMDIzCQAAAAEw9pX2MDvv3ginpsA0O+/eCEJDSVEuTkFTREFROkNBTE0uSVFfQU1PUlRfU09GVFdBUkVfQVNTRVRTX0NGLjk5Ny4zMS8wNy8yMDI2Li4uVVNELkgBAAAAIHoFAAMAAAAAAPaV9jA7794IpX+/NDvv3gg1Q0lRLk5BU0RBUTpDQUxNLklRX0FEVkVSVElTSU5HLjk5NS4zMS8wNy8yMDI2Li4uVVNELkgBAAAAIHoFAAIAAAAEMTEuNwEIAAAABQAAAAExAQAAAAstMjAzNzI0MTcyMQMAAAADMTYwAgAAAAQzMDEzBAAAAAEwBwAAAAk3LzMxLzIwMjYIAAAACTUvMjkvMjAyMQkAAAABMOkCGDE7794I32XLNDvv3gg4Q0lRLk5BU0RBUTpDQUxNLklRX09USEVSX0NMX1NVUFBMLjk5NC4zMS8wNy8yMDI2Li4uVVNELkgBAAAA</t>
  </si>
  <si>
    <t>IHoFAAMAAAAAAHr8+jA7794INni4NDvv3gg3Q0lRLk5BU0RBUTpDQUxNLklRX0VCSVRfRVhDTF9TQkMuOTk1LjMxLzA3LzIwMjYuLi5VU0QuSAEAAAAgegUAAgAAAActMTkuNTA0AQgAAAAFAAAAATEBAAAACy0yMDM3MjQxNzIxAwAAAAMxNjACAAAABTI0MTM0BAAAAAEwBwAAAAk3LzMxLzIwMjYIAAAACTUvMjkvMjAyMQkAAAABMIz6ijE7794IhvjPNDvv3gg4Q0lRLk5BU0RBUTpDQUxNLklRX0VCSVRBX0VYQ0xfU0JDLjk5OC4zMS8wNy8yMDI2Li4uVVNELkgBAAAAIHoFAAIAAAAHMzAwLjk3NwEIAAAABQAAAAExAQAAAAstMTg4MTA2ODY3NgMAAAADMTYwAgAAAAUyNDEzNgQAAAABMAcAAAAJNy8zMS8yMDI2CAAAAAg2LzEvMjAyNAkAAAABMKqNFzE7794ImBDPNDvv3gg2Q0lRLk5BU0RBUTpDQUxNLklRX0VCSVREQV9DQVBFWC45OTkuMzEvMDcvMjAyNi4uLlVTRC5IAQAAACB6BQACAAAACDE0OTAuODAyAQgAAAAFAAAAATEBAAAACy0xODgxMDY4Njc1AwAAAAMxNjACAAAABTM1Mzc5BAAAAAEwBwAAAAk3LzMxLzIwMjYIAAAACTUvMzEvMjAyNQkAAAABMKqNFzE7794ItK7ONDvv3ghCQ0lRLk5BU0RBUTpDQUxNLklRX1NBTEFSSUVTX09USEVSX0JFTkVGSVRTLjEwMDAuMzEvMDcvMjAyNi4uLlVTRC5IAQAAACB6BQADAAAAAADxKRgxO+/eCEmPyTQ7794IQ0NJUS5OQVNEQVE6Q0FMTS5JUV9FQVJOSU5H</t>
  </si>
  <si>
    <t>X1BBUkVOVF9FWENMX0VYVFJBLjk5NS4zMS8wNy8yMDI2Li4uVVNELkgBAAAAIHoFAAIAAAAEMi4wNgEIAAAABQAAAAExAQAAAAstMjAzNzI0MTcyMQMAAAADMTYwAgAAAAU0MTU5NgQAAAABMAcAAAAJNy8zMS8yMDI2CAAAAAk1LzI5LzIwMjEJAAAAATC9tBcxO+/eCKMlzjQ7794IPENJUS5OQVNEQVE6Q0FMTS5JUV9DVVJSX0ZPUkVJR05fVEFYRVMuOTk5LjMxLzA3LzIwMjYuLi5VU0QuSAEAAAAgegUAAwAAAAAAvbQXMTvv3ghuTs00O+/eCDFDSVEuTkFTREFROkNBTE0uSVFfTklfTk9STS45OTkuMzEvMDcvMjAyNi4uLlVTRC5IAQAAACB6BQACAAAACzEwMTcuMTE3ODc1AQgAAAAFAAAAATEBAAAACy0xODgxMDY4Njc1AwAAAAMxNjACAAAABDQzNzgEAAAAATAHAAAACTcvMzEvMjAyNggAAAAJNS8zMS8yMDI1CQAAAAEwvbQXMTvv3ggtssw0O+/eCD1DSVEuTkFTREFROkNBTE0uSVFfTk9OQ0FTSF9QRU5TSU9OX0VYUC45OTQuMzEvMDcvMjAyNi4uLlVTRC5IAQAAACB6BQACAAAABTAuNjIxAQgAAAAFAAAAATEBAAAACy0yMDg4MzQ3NDY5AwAAAAMxNjACAAAABTIxNjc4BAAAAAEwBwAAAAk3LzMxLzIwMjYIAAAACTUvMzAvMjAyMAkAAAABMMzbFzE7794I6BXMNDvv3ggsQ0lRLk5BU0RBUTpDQUxNLklRX0ZYLjk5OS4zMS8wNy8yMDI2Li4uVVNELkgBAAAAIHoFAAMAAAAAAPaV9jA7794Ip6bANDvv3ggw</t>
  </si>
  <si>
    <t>Q0lRLk5BU0RBUTpDQUxNLklRX0dBX0VYUC45OTcuMzEvMDcvMjAyNi4uLlVTRC5IAQAAACB6BQADAAAAAADpAhgxO+/eCJYXyzQ7794IOUNJUS5OQVNEQVE6Q0FMTS5JUV9ORVRfUkVOVEFMX0VYUC4xMDAwLjMxLzA3LzIwMjYuLi5VU0QuSAEAAAAgegUAAwAAAAAA6QIYMTvv3ghgoso0O+/eCDZDSVEuTkFTREFROkNBTE0uSVFfT1RIRVJfUkVOVEFMLjk5Ni4zMS8wNy8yMDI2Li4uVVNELkgBAAAAIHoFAAMAAAAAAOkCGDE7794Ik1LKNDvv3gg2Q0lRLk5BU0RBUTpDQUxNLklRX01BSU5UX1JFUEFJUi45OTQuMzEvMDcvMjAyNi4uLlVTRC5IAQAAACB6BQADAAAAAADxKRgxO+/eCFe2yTQ7794IP0NJUS5OQVNEQVE6Q0FMTS5JUV9FQklUREFfTEVBU0VfQURKVVNURUQuOTk5LjMxLzA3LzIwMjYuLi5VU0QuSAEAAAAgegUAAgAAAAgxNjUyLjA1NwEIAAAABQAAAAExAQAAAAstMTg4MTA2ODY3NQMAAAADMTYwAgAAAAU0ODk5MwQAAAABMAcAAAAJNy8zMS8yMDI2CAAAAAk1LzMxLzIwMjUJAAAAATDq5ooxO+/eCIja0DQ7794IOkNJUS5OQVNEQVE6Q0FMTS5JUV9SRVNUUl9TVE9DS19DT01QLjk5NS4zMS8wNy8yMDI2Li4uVVNELkgBAAAAIHoFAAMAAAAAAM4g9jA7794IhwDHNDvv3gg/Q0lRLk5BU0RBUTpDQUxNLklRX1NUT0NLX0JBU0VEX0NPTVBfVEFYLjEwMDAuMzEvMDcvMjAyNi4uLlVTRC5IAQAAACB6</t>
  </si>
  <si>
    <t>BQADAAAAAADOIPYwO+/eCDd3xjQ7794IL0NJUS5OQVNEQVE6Q0FMTS5JUV9ET19DRi45OTcuMzEvMDcvMjAyNi4uLlVTRC5IAQAAACB6BQADAAAAAADWR/YwO+/eCGWOxDQ7794IOENJUS5OQVNEQVE6Q0FMTS5JUV9DSEFOR0VfREVGX1RBWC45OTQuMzEvMDcvMjAyNi4uLlVTRC5IAQAAACB6BQADAAAAAADWR/YwO+/eCMu2wzQ7794IOENJUS5OQVNEQVE6Q0FMTS5JUV9QUk9WX0JBRF9ERUJUUy45OTguMzEvMDcvMjAyNi4uLlVTRC5IAQAAACB6BQADAAAAAADAcYoxO+/eCKGC1jQ7794IQkNJUS5OQVNEQVE6Q0FMTS5JUV9BTU9SVF9TT0ZUV0FSRV9BU1NFVFNfQ0YuOTk1LjMxLzA3LzIwMjYuLi5VU0QuSAEAAAAgegUAAwAAAAAA9pX2MDvv3giEWL80O+/eCE1DSVEuTkFTREFROkNBTE0uSVFfT1BFUkFUSU5HX0xFQVNFX0xJQUJJTElUSUVTX05PTkNBU0guOTk4LjMxLzA3LzIwMjYuLi5VU0QuSAEAAAAgegUAAwAAAAAAWa76MDvv3ggK07w0O+/eCDVDSVEuTkFTREFROkNBTE0uSVFfUFJFRl9FUVVJVFkuOTk5LjMxLzA3LzIwMjYuLi5VU0QuSAEAAAAgegUAAwAAAAAAWvqQMDvv3gh/VLY0O+/eCDlDSVEuTkFTREFROkNBTE0uSVFfVE9UQUxfUkVWX1NIQVJFLjk5NC4zMS8wNy8yMDI2Li4uVVNELkgBAAAAIHoFAAIAAAAJMjcuODg3MjAxAQgAAAAFAAAAATEBAAAACy0yMDg4MzQ3NDY5AwAAAAMxNjAC</t>
  </si>
  <si>
    <t>AAAABDQzODIEAAAAATAHAAAACTcvMzEvMjAyNggAAAAJNS8zMC8yMDIwCQAAAAEw07+KMTvv3ggKntE0O+/eCDBDSVEuTkFTREFROkNBTE0uSVFfTUVSR0VSLjk5NC4zMS8wNy8yMDI2Li4uVVNELkgBAAAAIHoFAAMAAAAAAMOYijE7794Ii5jUNDvv3gg1Q0lRLk5BU0RBUTpDQUxNLklRX0lOU19ESVZfUkVWLjk5NS4zMS8wNy8yMDI2Li4uVVNELkgBAAAAIHoFAAMAAAAAAMBxijE7794Ik9HYNDvv3gg5Q0lRLk5BU0RBUTpDQUxNLklRX0dBSU5fSU5WRVNUX1JFVi45OTguMzEvMDcvMjAyNi4uLlVTRC5IAQAAACB6BQADAAAAAADAcYoxO+/eCDJc2DQ7794ILkNJUS5OQVNEQVE6Q0FMTS5JUV9DT0dTLjk5NC4zMS8wNy8yMDI2Li4uVVNELkgBAAAAIHoFAAIAAAAIMTE3Mi4wMjEBCAAAAAUAAAABMQEAAAALLTIwODgzNDc0NjkDAAAAAzE2MAIAAAACMzQEAAAAATAHAAAACTcvMzEvMjAyNggAAAAJNS8zMC8yMDIwCQAAAAEwwHGKMTvv3ggL09c0O+/eCDVDSVEuTkFTREFROkNBTE0uSVFfSU5TX0RJVl9FWFAuOTk3LjMxLzA3LzIwMjYuLi5VU0QuSAEAAAAgegUAAwAAAAAAwHGKMTvv3gjZXdc0O+/eCDFDSVEuTkFTREFROkNBTE0uSVFfSU5DX1RBWC45OTkuMzEvMDcvMjAyNi4uLlVTRC5IAQAAACB6BQACAAAABjM4NC45MQEIAAAABQAAAAExAQAAAAstMTg4MTA2ODY3NQMAAAADMTYwAgAAAAI3NQQAAAAB</t>
  </si>
  <si>
    <t>MAcAAAAJNy8zMS8yMDI2CAAAAAk1LzMxLzIwMjUJAAAAATDDmIoxO+/eCAVz0zQ7794INENJUS5OQVNEQVE6Q0FMTS5JUV9JTVBBSVJfT0lMLjk5Ny4zMS8wNy8yMDI2Li4uVVNELkgBAAAAIHoFAAMAAAAAAMBxijE7794IPb7VNDvv3gg7Q0lRLk5BU0RBUTpDQUxNLklRX1RPVEFMX09USEVSX09QRVIuMTAwMC4zMS8wNy8yMDI2Li4uVVNELkgBAAAAIHoFAAIAAAAHMzI4LjY5NwEIAAAABQAAAAExAQAAAAstMTg4MTA2ODY2OAMAAAADMTYwAgAAAAMzODAEAAAAATAHAAAACTcvMzEvMjAyNggAAAAJNS8zMC8yMDI2CQAAAAEwwHGKMTvv3gghl9U0O+/eCDpDSVEuTkFTREFROkNBTE0uSVFfTkVUX0lOVEVSRVNUX0VYUC45OTUuMzEvMDcvMjAyNi4uLlVTRC5IAQAAACB6BQACAAAABjExLjYxOQEIAAAABQAAAAExAQAAAAstMjAzNzI0MTcyMQMAAAADMTYwAgAAAAMzNjgEAAAAATAHAAAACTcvMzEvMjAyNggAAAAJNS8yOS8yMDIxCQAAAAEww5iKMTvv3gjfNNU0O+/eCDdDSVEuTkFTREFROkNBTE0uSVFfQ1VSUkVOQ1lfR0FJTi45OTguMzEvMDcvMjAyNi4uLlVTRC5IAQAAACB6BQADAAAAAADDmIoxO+/eCMDm1DQ7794IOENJUS5OQVNEQVE6Q0FMTS5JUV9CQVNJQ19FUFNfRVhDTC45OTcuMzEvMDcvMjAyNi4uLlVTRC5IAQAAACB6BQACAAAACTE1LjU4MTgxMgEIAAAABQAAAAExAQAAAAstMTkzNDk3ODQy</t>
  </si>
  <si>
    <t>MAMAAAADMTYwAgAAAAQzMDY0BAAAAAEwBwAAAAk3LzMxLzIwMjYIAAAACDYvMy8yMDIzCQAAAAEw07+KMTvv3gj2TdI0O+/eCDVDSVEuTkFTREFROkNBTE0uSVFfR0FJTl9JTlZFU1QuOTk1LjMxLzA3LzIwMjYuLi5VU0QuSAEAAAAgegUAAgAAAAYtMS4zNTEBCAAAAAUAAAABMQEAAAALLTIwMzcyNDE3MjEDAAAAAzE2MAIAAAACNjIEAAAAATAHAAAACTcvMzEvMjAyNggAAAAJNS8yOS8yMDIxCQAAAAEww5iKMTvv3gi9cdQ0O+/eCDlDSVEuTkFTREFROkNBTE0uSVFfQVNTRVRfV1JJVEVET1dOLjk5Ni4zMS8wNy8yMDI2Li4uVVNELkgBAAAAIHoFAAMAAAAAAMOYijE7794IiiPUNDvv3gg0Q0lRLk5BU0RBUTpDQUxNLklRX0lOU19TRVRUTEUuOTk3LjMxLzA3LzIwMjYuLi5VU0QuSAEAAAAgegUAAwAAAAAAw5iKMTvv3ggg1dM0O+/eCD1DSVEuTkFTREFROkNBTE0uSVFfT1RIRVJfVU5VU1VBTF9TVVBQTC45OTguMzEvMDcvMjAyNi4uLlVTRC5IAQAAACB6BQACAAAABC01LjUBCAAAAAUAAAABMQEAAAALLTE4ODEwNjg2NzYDAAAAAzE2MAIAAAACODcEAAAAATAHAAAACTcvMzEvMjAyNggAAAAINi8xLzIwMjQJAAAAATDDmIoxO+/eCPSt0zQ7794IMUNJUS5OQVNEQVE6Q0FMTS5JUV9FQklUREFSLjk5NC4zMS8wNy8yMDI2Li4uVVNELkgBAAAAIHoFAAMAAAAAAKqNFzE7794ImBDPNDvv3ggsQ0lRLk5BU0RB</t>
  </si>
  <si>
    <t>UTpDQUxNLklRX0RPLjk5OC4zMS8wNy8yMDI2Li4uVVNELkgBAAAAIHoFAAMAAAAAAMOYijE7794IVjjTNDvv3gg+Q0lRLk5BU0RBUTpDQUxNLklRX01JTk9SSVRZX0lOVEVSRVNUX0lTLjk5Ni4zMS8wNy8yMDI2Li4uVVNELkgBAAAAIHoFAAIAAAAFMC4yMDkBCAAAAAUAAAABMQEAAAALLTE5ODY3MDg0MzMDAAAAAzE2MAIAAAACODMEAAAAATAHAAAACTcvMzEvMjAyNggAAAAJNS8yOC8yMDIyCQAAAAEww5iKMTvv3ghCEdM0O+/eCDhDSVEuTkFTREFROkNBTE0uSVFfUFJFRl9ESVZfT1RIRVIuOTk3LjMxLzA3LzIwMjYuLi5VU0QuSAEAAAAgegUAAwAAAAAA07+KMTvv3ggpw9I0O+/eCDdDSVEuTkFTREFROkNBTE0uSVFfTklfQVZBSUxfRVhDTC45OTguMzEvMDcvMjAyNi4uLlVTRC5IAQAAACB6BQACAAAABzI3Ny44ODgBCAAAAAUAAAABMQEAAAALLTE4ODEwNjg2NzYDAAAAAzE2MAIAAAADMzc5BAAAAAEwBwAAAAk3LzMxLzIwMjYIAAAACDYvMS8yMDI0CQAAAAEw07+KMTvv3gggnNI0O+/eCDlDSVEuTkFTREFROkNBTE0uSVFfSU5URVJFU1RfSU5DT01FLjk5OS4zMS8wNy8yMDI2Li4uVVNELkgBAAAAIHoFAAIAAAAGNTkuODY4AQgAAAAFAAAAATEBAAAACy0xODgxMDY4Njc1AwAAAAMxNjACAAAAAzIxMAQAAAABMAcAAAAJNy8zMS8yMDI2CAAAAAk1LzMxLzIwMjUJAAAAATC9tBcxO+/eCHqwzTQ7794I</t>
  </si>
  <si>
    <t>OENJUS5OQVNEQVE6Q0FMTS5JUV9ESUxVVF9FUFNfSU5DTC45OTYuMzEvMDcvMjAyNi4uLlVTRC5IAQAAACB6BQACAAAABDIuNzIBCAAAAAUAAAABMQEAAAALLTE5ODY3MDg0MzMDAAAAAzE2MAIAAAABOAQAAAABMAcAAAAJNy8zMS8yMDI2CAAAAAk1LzI4LzIwMjIJAAAAATDTv4oxO+/eCPZN0jQ7794IQUNJUS5OQVNEQVE6Q0FMTS5JUV9FQklUREFfRVFfSU5DX0VYQ0xfU0JDLjEwMDAuMzEvMDcvMjAyNi4uLlVTRC5IAQAAACB6BQACAAAABzQ3Mi4xNTEBCAAAAAUAAAABMQEAAAALLTE4ODEwNjg2NjgDAAAAAzE2MAIAAAAFMjQxMzEEAAAAATAHAAAACTcvMzEvMjAyNggAAAAJNS8zMC8yMDI2CQAAAAEw6uaKMTvv3gjkKNE0O+/eCD9DSVEuTkFTREFROkNBTE0uSVFfRUJJVERBX0xFQVNFX0FESlVTVEVELjk5OC4zMS8wNy8yMDI2Li4uVVNELkgBAAAAIHoFAAIAAAAHMzc0LjY4NwEIAAAABQAAAAExAQAAAAstMTg4MTA2ODY3NgMAAAADMTYwAgAAAAU0ODk5MwQAAAABMAcAAAAJNy8zMS8yMDI2CAAAAAg2LzEvMjAyNAkAAAABMOrmijE7794I8p/QNDvv3gg3Q0lRLk5BU0RBUTpDQUxNLklRX0VCSVRfRVhDTF9TQkMuOTk0LjMxLzA3LzIwMjYuLi5VU0QuSAEAAAAgegUAAgAAAAU0Ljk2OAEIAAAABQAAAAExAQAAAAstMjA4ODM0NzQ2OQMAAAADMTYwAgAAAAUyNDEzNAQAAAABMAcAAAAJNy8zMS8yMDI2</t>
  </si>
  <si>
    <t>CAAAAAk1LzMwLzIwMjAJAAAAATCM+ooxO+/eCIb4zzQ7794INUNJUS5OQVNEQVE6Q0FMTS5JUV9BRFZFUlRJU0lORy45OTQuMzEvMDcvMjAyNi4uLlVTRC5IAQAAACB6BQACAAAAATkBCAAAAAUAAAABMQEAAAALLTIwODgzNDc0NjkDAAAAAzE2MAIAAAAEMzAxMwQAAAABMAcAAAAJNy8zMS8yMDI2CAAAAAk1LzMwLzIwMjAJAAAAATDpAhgxO+/eCN9lyzQ7794IQkNJUS5OQVNEQVE6Q0FMTS5JUV9FQklUREFSX0VRX0lOQ19FWENMX1NCQy4xMDAwLjMxLzA3LzIwMjYuLi5VU0QuSAEAAAAgegUAAwAAAAAAqo0XMTvv3gi+1c40O+/eCDtDSVEuTkFTREFROkNBTE0uSVFfRkVFU19PVEhFUl9JTkNPTUUuOTk0LjMxLzA3LzIwMjYuLi5VU0QuSAEAAAAgegUAAwAAAAAAqo0XMTvv3gimh840O+/eCD9DSVEuTkFTREFROkNBTE0uSVFfVE9UQUxfUkVWX0FTX1JFUE9SVEVELjk5OC4zMS8wNy8yMDI2Li4uVVNELkgBAAAAIHoFAAMAAAAAAL20FzE7794IwUzONDvv3ghDQ0lRLk5BU0RBUTpDQUxNLklRX0VBUk5JTkdfUEFSRU5UX0VYQ0xfRVhUUkEuOTk0LjMxLzA3LzIwMjYuLi5VU0QuSAEAAAAgegUAAgAAAAYxOC4zOTEBCAAAAAUAAAABMQEAAAALLTIwODgzNDc0NjkDAAAAAzE2MAIAAAAFNDE1OTYEAAAAATAHAAAACTcvMzEvMjAyNggAAAAJNS8zMC8yMDIwCQAAAAEwvbQXMTvv3gijJc40O+/eCD5DSVEuTkFT</t>
  </si>
  <si>
    <t>REFROkNBTE0uSVFfU1RPQ0tfQkFTRURfQ09NUF9UQVguOTk5LjMxLzA3LzIwMjYuLi5VU0QuSAEAAAAgegUAAwAAAAAAziD2MDvv3ggoUMY0O+/eCDRDSVEuTkFTREFROkNBTE0uSVFfQ1VSUl9UQVhFUy45OTQuMzEvMDcvMjAyNi4uLlVTRC5IAQAAACB6BQACAAAABS04LjU1AQgAAAAFAAAAATEBAAAACy0yMDg4MzQ3NDY5AwAAAAMxNjACAAAABTM1MzgzBAAAAAEwBwAAAAk3LzMxLzIwMjYIAAAACTUvMzAvMjAyMAkAAAABML20FzE7794Ibk7NNDvv3ggxQ0lRLk5BU0RBUTpDQUxNLklRX05JX05PUk0uOTk4LjMxLzA3LzIwMjYuLi5VU0QuSAEAAAAgegUAAgAAAAoyMzAuMDQxNjI1AQgAAAAFAAAAATEBAAAACy0xODgxMDY4Njc2AwAAAAMxNjACAAAABDQzNzgEAAAAATAHAAAACTcvMzEvMjAyNggAAAAINi8xLzIwMjQJAAAAATC9tBcxO+/eCC2yzDQ7794ISUNJUS5OQVNEQVE6Q0FMTS5JUV9ESVNUUklCVVRBQkxFX0NBU0hfU1RBTkRBUkRJWkVELjk5OS4zMS8wNy8yMDI2Li4uVVNELkgBAAAAIHoFAAMAAAAAAMzbFzE7794IxLPLNDvv3ghBQ0lRLk5BU0RBUTpDQUxNLklRX0FOTlVfRElTVFJJQlVUSU9OX1VOSVQuMTAwMC4zMS8wNy8yMDI2Li4uVVNELkgBAAAAIHoFAAMAAAAAAMzbFzE7794IxLPLNDvv3ggsQ0lRLk5BU0RBUTpDQUxNLklRX0ZYLjk5OC4zMS8wNy8yMDI2Li4uVVNELkgBAAAAIHoF</t>
  </si>
  <si>
    <t>AAMAAAAAAPaV9jA7794Ip6bANDvv3gg4Q0lRLk5BU0RBUTpDQUxNLklRX05FVF9SRU5UQUxfRVhQLjk5OS4zMS8wNy8yMDI2Li4uVVNELkgBAAAAIHoFAAMAAAAAAOkCGDE7794IYKLKNDvv3ghBQ0lRLk5BU0RBUTpDQUxNLklRX1NBTEFSSUVTX09USEVSX0JFTkVGSVRTLjk5OS4zMS8wNy8yMDI2Li4uVVNELkgBAAAAIHoFAAMAAAAAAPEpGDE7794IJWjJNDvv3gg6Q0lRLk5BU0RBUTpDQUxNLklRX1NUT0NLX0JBU0VEX0NPR1MuOTk1LjMxLzA3LzIwMjYuLi5VU0QuSAEAAAAgegUAAwAAAAAAGlEYMTvv3girG8g0O+/eCERDSVEuTkFTREFROkNBTE0uSVFfU1RPQ0tfQkFTRURfRVhQTE9SRV9EUklMTC4xMDAwLjMxLzA3LzIwMjYuLi5VU0QuSAEAAAAgegUAAwAAAAAAziD2MDvv3giOdsc0O+/eCD9DSVEuTkFTREFROkNBTE0uSVFfTkVUX1JFTlRBTF9FWFBfU1VQUExFLjk5Ni4zMS8wNy8yMDI2Li4uVVNELkgBAAAAIHoFAAMAAAAAAOkCGDE7794IYKLKNDvv3gg1Q0lRLk5BU0RBUTpDQUxNLklRX09USEVSX0FNT1JULjk5Ni4zMS8wNy8yMDI2Li4uVVNELkgBAAAAIHoFAAMAAAAAAM4g9jA7794ID8fFNDvv3ggvQ0lRLk5BU0RBUTpDQUxNLklRX0RPX0NGLjk5Ni4zMS8wNy8yMDI2Li4uVVNELkgBAAAAIHoFAAMAAAAAANZH9jA7794IZY7ENDvv3gg4Q0lRLk5BU0RBUTpDQUxNLklRX1NUX0RFQlRfSVNT</t>
  </si>
  <si>
    <t>VUVELjk5Ni4zMS8wNy8yMDI2Li4uVVNELkgBAAAAIHoFAAMAAAAAAOZu9jA7794IdFbCNDvv3gg0Q0lRLk5BU0RBUTpDQUxNLklRX0NPTU1PTl9SRVAuOTk5LjMxLzA3LzIwMjYuLi5VU0QuSAEAAAAgegUAAgAAAActNTMuOTUzAQgAAAAFAAAAATEBAAAACy0xODgxMDY4Njc1AwAAAAMxNjACAAAABDIxNjQEAAAAATAHAAAACTcvMzEvMjAyNggAAAAJNS8zMS8yMDI1CQAAAAEw5m72MDvv3gj+ksE0O+/eCD5DSVEuTkFTREFROkNBTE0uSVFfU1RPQ0tfQkFTRURfQ09NUF9UQVguOTk4LjMxLzA3LzIwMjYuLi5VU0QuSAEAAAAgegUAAwAAAAAAziD2MDvv3ggoUMY0O+/eCEBDSVEuTkFTREFROkNBTE0uSVFfQ0FTSF9JTlRFUkVTVF9SRUNFSVZFRC45OTcuMzEvMDcvMjAyNi4uLlVTRC5IAQAAACB6BQADAAAAAABsh/owO+/eCFEKvzQ7794ILkNJUS5OQVNEQVE6Q0FMTS5JUV9BUElDLjk5Ny4zMS8wNy8yMDI2Li4uVVNELkgBAAAAIHoFAAIAAAAGNzIuMTEyAQgAAAAFAAAAATEBAAAACy0xOTM0OTc4NDIwAwAAAAMxNjACAAAABDEwODQEAAAAATAHAAAACTcvMzEvMjAyNggAAAAINi8zLzIwMjMJAAAAATBa+pAwO+/eCF0GtjQ7794IQkNJUS5OQVNEQVE6Q0FMTS5JUV9FWENJU0VfVEFYRVNfSU5DTF9TQUxFUy4xMDAwLjMxLzA3LzIwMjYuLi5VU0QuSAEAAAAgegUAAwAAAAAAvbQXMTvv3gg1ic00O+/eCEBD</t>
  </si>
  <si>
    <t>SVEuTkFTREFROkNBTE0uSVFfQU5OVV9ESVNUUklCVVRJT05fVU5JVC45OTkuMzEvMDcvMjAyNi4uLlVTRC5IAQAAACB6BQADAAAAAADM2xcxO+/eCMSzyzQ7794IQENJUS5OQVNEQVE6Q0FMTS5JUV9DQVNIX0lOVEVSRVNUX1JFQ0VJVkVELjk5Ni4zMS8wNy8yMDI2Li4uVVNELkgBAAAAIHoFAAMAAAAAAGyH+jA7794Ij+O+NDvv3gg3Q0lRLk5BU0RBUTpDQUxNLklRX01BSU5UX1JFUEFJUi4xMDAwLjMxLzA3LzIwMjYuLi5VU0QuSAEAAAAgegUAAwAAAAAA8SkYMTvv3ghl3ck0O+/eCEFDSVEuTkFTREFROkNBTE0uSVFfQVNTRVRfV1JJVEVET1dOX1NVUFBMRS4xMDAwLjMxLzA3LzIwMjYuLi5VU0QuSAEAAAAgegUAAwAAAAAA8SkYMTvv3ggyGsk0O+/eCDtDSVEuTkFTREFROkNBTE0uSVFfU1RPQ0tfQkFTRURfQ09HUy4xMDAwLjMxLzA3LzIwMjYuLi5VU0QuSAEAAAAgegUAAwAAAAAAGlEYMTvv3girG8g0O+/eCDtDSVEuTkFTREFROkNBTE0uSVFfU1RPQ0tfQkFTRURfT1RIRVIuOTk2LjMxLzA3LzIwMjYuLi5VU0QuSAEAAAAgegUAAgAAAAU0LjA2MwEIAAAABQAAAAExAQAAAAstMTk4NjcwODQzMwMAAAADMTYwAgAAAAUyMjY3NgQAAAABMAcAAAAJNy8zMS8yMDI2CAAAAAk1LzI4LzIwMjIJAAAAATDOIPYwO+/eCI52xzQ7794IMUNJUS5OQVNEQVE6Q0FMTS5JUV9HQV9FWFAuMTAwMC4zMS8wNy8yMDI2</t>
  </si>
  <si>
    <t>Li4uVVNELkgBAAAAIHoFAAMAAAAAAOkCGDE7794IjPDKNDvv3gg5Q0lRLk5BU0RBUTpDQUxNLklRX09USEVSX09QRVJfQUNULjEwMDAuMzEvMDcvMjAyNi4uLlVTRC5IAQAAACB6BQACAAAABjY0LjM2OAEIAAAABQAAAAExAQAAAAstMTg4MTA2ODY2OAMAAAADMTYwAgAAAAQyMDQ3BAAAAAEwBwAAAAk3LzMxLzIwMjYIAAAACTUvMzAvMjAyNgkAAAABMNZH9jA7794IFWfENDvv3gg4Q0lRLk5BU0RBUTpDQUxNLklRX1NUX0RFQlRfSVNTVUVELjk5NC4zMS8wNy8yMDI2Li4uVVNELkgBAAAAIHoFAAMAAAAAAOZu9jA7794IdFbCNDvv3gg0Q0lRLk5BU0RBUTpDQUxNLklRX0NPTU1PTl9SRVAuOTk4LjMxLzA3LzIwMjYuLi5VU0QuSAEAAAAgegUAAgAAAAYtMS42ODgBCAAAAAUAAAABMQEAAAALLTE4ODEwNjg2NzYDAAAAAzE2MAIAAAAEMjE2NAQAAAABMAcAAAAJNy8zMS8yMDI2CAAAAAg2LzEvMjAyNAkAAAABMOZu9jA7794I/pLBNDvv3ggsQ0lRLk5BU0RBUTpDQUxNLklRX0ZYLjk5Ny4zMS8wNy8yMDI2Li4uVVNELkgBAAAAIHoFAAMAAAAAAPaV9jA7794Ip6bANDvv3gg4Q0lRLk5BU0RBUTpDQUxNLklRX1NUT0NLX0JBU0VEX1JELjk5NC4zMS8wNy8yMDI2Li4uVVNELkgBAAAAIHoFAAMAAAAAABpRGDE7794IbvTHNDvv3gg7Q0lRLk5BU0RBUTpDQUxNLklRX01JTk9SSVRZX0lOVEVSRVNULjk5NC4zMS8w</t>
  </si>
  <si>
    <t>Ny8yMDI2Li4uVVNELkgBAAAAIHoFAAMAAAAAAFr6kDA7794IA5G1NDvv3gg2Q0lRLk5BU0RBUTpDQUxNLklRX0lOVF9FWFBfTFRELjEwMDAuMzEvMDcvMjAyNi4uLlVTRC5IAQAAACB6BQACAAAABTAuNTU2AQgAAAAFAAAAATEBAAAACy0xODgxMDY4NjY4AwAAAAMxNjACAAAABDMxMDEEAAAAATAHAAAACTcvMzEvMjAyNggAAAAJNS8zMC8yMDI2CQAAAAEwzNsXMTvv3ggCPcw0O+/eCD1DSVEuTkFTREFROkNBTE0uSVFfTk9OQ0FTSF9QRU5TSU9OX0VYUC45OTkuMzEvMDcvMjAyNi4uLlVTRC5IAQAAACB6BQACAAAAAzEuNQEIAAAABQAAAAExAQAAAAstMTg4MTA2ODY3NQMAAAADMTYwAgAAAAUyMTY3OAQAAAABMAcAAAAJNy8zMS8yMDI2CAAAAAk1LzMxLzIwMjUJAAAAATDM2xcxO+/eCOwBzDQ7794IQENJUS5OQVNEQVE6Q0FMTS5JUV9BTk5VX0RJU1RSSUJVVElPTl9VTklULjk5OC4zMS8wNy8yMDI2Li4uVVNELkgBAAAAIHoFAAMAAAAAAMzbFzE7794I1IzLNDvv3ggyQ0lRLk5BU0RBUTpDQUxNLklRX1BSRUZfUkVQLjk5OS4zMS8wNy8yMDI2Li4uVVNELkgBAAAAIHoFAAMAAAAAAOZu9jA7794IuWvBNDvv3gg2Q0lRLk5BU0RBUTpDQUxNLklRX01BSU5UX1JFUEFJUi45OTkuMzEvMDcvMjAyNi4uLlVTRC5IAQAAACB6BQADAAAAAADxKRgxO+/eCGXdyTQ7794IPENJUS5OQVNEQVE6Q0FMTS5JUV9SRVNU</t>
  </si>
  <si>
    <t>UlVDVFVSRV9TVVBQTEUuOTk5LjMxLzA3LzIwMjYuLi5VU0QuSAEAAAAgegUAAwAAAAAA8SkYMTvv3gglaMk0O+/eCEBDSVEuTkFTREFROkNBTE0uSVFfQVNTRVRfV1JJVEVET1dOX1NVUFBMRS45OTkuMzEvMDcvMjAyNi4uLlVTRC5IAQAAACB6BQADAAAAAADxKRgxO+/eCDIayTQ7794IPkNJUS5OQVNEQVE6Q0FMTS5JUV9MRUdBTF9TRVRUTEVfU1VQUExFLjEwMDAuMzEvMDcvMjAyNi4uLlVTRC5IAQAAACB6BQADAAAAAADxKRgxO+/eCPCQyDQ7794ILENJUS5OQVNEQVE6Q0FMTS5JUV9SRS45OTkuMzEvMDcvMjAyNi4uLlVTRC5IAQAAACB6BQACAAAACDI1NjUuOTI4AQgAAAAFAAAAATEBAAAACy0xODgxMDY4Njc1AwAAAAMxNjACAAAABDEyMjIEAAAAATAHAAAACTcvMzEvMjAyNggAAAAJNS8zMS8yMDI1CQAAAAEwWvqQMDvv3ghdBrY0O+/eCD5DSVEuTkFTREFROkNBTE0uSVFfU1RPQ0tfQkFTRURfQ09NUF9UQVguOTk3LjMxLzA3LzIwMjYuLi5VU0QuSAEAAAAgegUAAwAAAAAAziD2MDvv3ggoUMY0O+/eCDVDSVEuTkFTREFROkNBTE0uSVFfT1RIRVJfQU1PUlQuOTk5LjMxLzA3LzIwMjYuLi5VU0QuSAEAAAAgegUAAwAAAAAAziD2MDvv3ggBoMU0O+/eCDlDSVEuTkFTREFROkNBTE0uSVFfQ1JFRElUX0xPU1NfQ0YuMTAwMC4zMS8wNy8yMDI2Li4uVVNELkgBAAAAIHoFAAMAAAAAANZH9jA7794IyAPF</t>
  </si>
  <si>
    <t>NDvv3gg/Q0lRLk5BU0RBUTpDQUxNLklRX0NIQU5HRV9UUkFESU5HX0FTU0VUUy45OTQuMzEvMDcvMjAyNi4uLlVTRC5IAQAAACB6BQADAAAAAADWR/YwO+/eCNo/xDQ7794INUNJUS5OQVNEQVE6Q0FMTS5JUV9EQV9TVVBQTF9DRi45OTYuMzEvMDcvMjAyNi4uLlVTRC5IAQAAACB6BQACAAAABjY4LjM5NQEIAAAABQAAAAExAQAAAAstMTk4NjcwODQzMwMAAAADMTYwAgAAAAQyMTcxBAAAAAEwBwAAAAk3LzMxLzIwMjYIAAAACTUvMjgvMjAyMgkAAAABMM4g9jA7794I2AHGNDvv3ggsQ0lRLk5BU0RBUTpDQUxNLklRX0ZYLjk5NS4zMS8wNy8yMDI2Li4uVVNELkgBAAAAIHoFAAMAAAAAAPaV9jA7794IY2vANDvv3ghNQ0lRLk5BU0RBUTpDQUxNLklRX09QRVJBVElOR19MRUFTRV9MSUFCSUxJVElFU19OT05DQVNILjk5Ni4zMS8wNy8yMDI2Li4uVVNELkgBAAAAIHoFAAMAAAAAAFmu+jA7794ICtO8NDvv3gg0Q0lRLk5BU0RBUTpDQUxNLklRX0NBU0hfRVFVSVYuOTk4LjMxLzA3LzIwMjYuLi5VU0QuSAEAAAAgegUAAgAAAAcyMzcuODc4AQgAAAAFAAAAATEBAAAACy0xODgxMDY4Njc2AwAAAAMxNjACAAAABDEwOTYEAAAAATAHAAAACTcvMzEvMjAyNggAAAAINi8xLzIwMjQJAAAAATBZrvowO+/eCO9wvDQ7794INUNJUS5OQVNEQVE6Q0FMTS5JUV9PVEhFUl9JTlRBTi45OTkuMzEvMDcvMjAyNi4uLlVTRC5I</t>
  </si>
  <si>
    <t>AQAAACB6BQACAAAABjE1LjE1NwEIAAAABQAAAAExAQAAAAstMTg4MTA2ODY3NQMAAAADMTYwAgAAAAQxMDQwBAAAAAEwBwAAAAk3LzMxLzIwMjYIAAAACTUvMzEvMjAyNQkAAAABMGzV+jA7794IVTq6NDvv3gg4Q0lRLk5BU0RBUTpDQUxNLklRX0NIQU5HRV9ERUZfVEFYLjk5NS4zMS8wNy8yMDI2Li4uVVNELkgBAAAAIHoFAAMAAAAAANZH9jA7794Iy7bDNDvv3gg+Q0lRLk5BU0RBUTpDQUxNLklRX1RPVEFMX1VOVVNVQUxfU1VQUExFLjk5Ni4zMS8wNy8yMDI2Li4uVVNELkgBAAAAIHoFAAMAAAAAAPEpGDE7794I32nINDvv3gg5Q0lRLk5BU0RBUTpDQUxNLklRX1NUT0NLX0JBU0VEX1NHQS45OTYuMzEvMDcvMjAyNi4uLlVTRC5IAQAAACB6BQADAAAAAADB+fUwO+/eCPadxzQ7794IQUNJUS5OQVNEQVE6Q0FMTS5JUV9SRVNUUl9TVE9DS19DT01QX1BSRVRBWC45OTkuMzEvMDcvMjAyNi4uLlVTRC5IAQAAACB6BQADAAAAAADOIPYwO+/eCIonxzQ7794IPENJUS5OQVNEQVE6Q0FMTS5JUV9TVE9DS19PUFRJT05TX0NPTVAuOTk3LjMxLzA3LzIwMjYuLi5VU0QuSAEAAAAgegUAAwAAAAAAziD2MDvv3ghWnsY0O+/eCDRDSVEuTkFTREFROkNBTE0uSVFfQ09NTU9OX1JFUC45OTUuMzEvMDcvMjAyNi4uLlVTRC5IAQAAACB6BQACAAAABi0wLjg3MQEIAAAABQAAAAExAQAAAAstMjAzNzI0MTcyMQMAAAADMTYw</t>
  </si>
  <si>
    <t>AgAAAAQyMTY0BAAAAAEwBwAAAAk3LzMxLzIwMjYIAAAACTUvMjkvMjAyMQkAAAABMOZu9jA7794I/pLBNDvv3gg+Q0lRLk5BU0RBUTpDQUxNLklRX01JTk9SSVRZX0lOVEVSRVNUX0NGLjk5OS4zMS8wNy8yMDI2Li4uVVNELkgBAAAAIHoFAAMAAAAAAM4g9jA7794IAHnFNDvv3gg8Q0lRLk5BU0RBUTpDQUxNLklRX0FTU0VUX1dSSVRFRE9XTl9DRi45OTkuMzEvMDcvMjAyNi4uLlVTRC5IAQAAACB6BQADAAAAAADWR/YwO+/eCNUqxTQ7794IOENJUS5OQVNEQVE6Q0FMTS5JUV9DUkVESVRfTE9TU19DRi45OTcuMzEvMDcvMjAyNi4uLlVTRC5IAQAAACB6BQADAAAAAADWR/YwO+/eCMgDxTQ7794IPUNJUS5OQVNEQVE6Q0FMTS5JUV9UQVhfQkVORUZJVF9PUFRJT05TLjk5OS4zMS8wNy8yMDI2Li4uVVNELkgBAAAAIHoFAAMAAAAAANZH9jA7794ItLXENDvv3gg5Q0lRLk5BU0RBUTpDQUxNLklRX05FVF9ERUJUX0lTU1VFRC45OTguMzEvMDcvMjAyNi4uLlVTRC5IAQAAACB6BQACAAAABi0wLjIxNAEIAAAABQAAAAExAQAAAAstMTg4MTA2ODY3NgMAAAADMTYwAgAAAAQyMDAzBAAAAAEwBwAAAAk3LzMxLzIwMjYIAAAACDYvMS8yMDI0CQAAAAEwbIf6MDvv3ghnlr00O+/eCC9DSVEuTkFTREFROkNBTE0uSVFfQ0FQRVguOTk0LjMxLzA3LzIwMjYuLi5VU0QuSAEAAAAgegUAAgAAAAgtMTI0LjE3OAEIAAAABQAA</t>
  </si>
  <si>
    <t>AAExAQAAAAstMjA4ODM0NzQ2OQMAAAADMTYwAgAAAAQyMDIxBAAAAAEwBwAAAAk3LzMxLzIwMjYIAAAACTUvMzAvMjAyMAkAAAABMNZH9jA7794IoVTDNDvv3gg6Q0lRLk5BU0RBUTpDQUxNLklRX0NBU0hfQUNRVUlSRV9DRi4xMDAwLjMxLzA3LzIwMjYuLi5VU0QuSAEAAAAgegUAAgAAAActNDUyLjU3AQgAAAAFAAAAATEBAAAACy0xODgxMDY4NjY4AwAAAAMxNjACAAAABDIwNTcEAAAAATAHAAAACTcvMzEvMjAyNggAAAAJNS8zMC8yMDI2CQAAAAEw1kf2MDvv3giFLcM0O+/eCDhDSVEuTkFTREFROkNBTE0uSVFfU0FMRV9JTlRBTl9DRi4xMDAwLjMxLzA3LzIwMjYuLi5VU0QuSAEAAAAgegUAAwAAAAAA5m72MDvv3ghGpMI0O+/eCDhDSVEuTkFTREFROkNBTE0uSVFfTFRfREVCVF9JU1NVRUQuOTk5LjMxLzA3LzIwMjYuLi5VU0QuSAEAAAAgegUAAwAAAAAA5m72MDvv3ggRL8I0O+/eCD1DSVEuTkFTREFROkNBTE0uSVFfTEVHQUxfU0VUVExFX1NVUFBMRS45OTYuMzEvMDcvMjAyNi4uLlVTRC5IAQAAACB6BQADAAAAAADxKRgxO+/eCPW3yDQ7794IOENJUS5OQVNEQVE6Q0FMTS5JUV9NSVNDX0FESlVTVF9DRi45OTcuMzEvMDcvMjAyNi4uLlVTRC5IAQAAACB6BQADAAAAAAD2lfYwO+/eCKemwDQ7794IQkNJUS5OQVNEQVE6Q0FMTS5JUV9BTU9SVF9TT0ZUV0FSRV9BU1NFVFNfQ0YuOTk5LjMxLzA3LzIw</t>
  </si>
  <si>
    <t>MjYuLi5VU0QuSAEAAAAgegUAAwAAAAAA9pX2MDvv3gilf780O+/eCD5DSVEuTkFTREFROkNBTE0uSVFfQ0FTSF9JTlRFUkVTVF9JTlZFU1QuOTk2LjMxLzA3LzIwMjYuLi5VU0QuSAEAAAAgegUAAwAAAAAAbIf6MDvv3giP4740O+/eCDpDSVEuTkFTREFROkNBTE0uSVFfQ0FTSF9UQVhFU19GSU5BTi45OTQuMzEvMDcvMjAyNi4uLlVTRC5IAQAAACB6BQADAAAAAABsh/owO+/eCMFGvjQ7794IOENJUS5OQVNEQVE6Q0FMTS5JUV9DUkVESVRfTE9TU19DRi45OTYuMzEvMDcvMjAyNi4uLlVTRC5IAQAAACB6BQADAAAAAADWR/YwO+/eCMgDxTQ7794IS0NJUS5OQVNEQVE6Q0FMTS5JUV9MT05HX1RFUk1fREVCVF9SRVBBSURfRVhDTF9MRUFTRVMuOTk5LjMxLzA3LzIwMjYuLi5VU0QuSAEAAAAgegUAAgAAAAYtMi40ODEBCAAAAAUAAAABMQEAAAALLTE4ODEwNjg2NzUDAAAAAzE2MAIAAAAFNDg5ODQEAAAAATAHAAAACTcvMzEvMjAyNggAAAAJNS8zMS8yMDI1CQAAAAEwWa76MDvv3ggK07w0O+/eCDhDSVEuTkFTREFROkNBTE0uSVFfVFJBRElOR19BU1NFVFMuOTk0LjMxLzA3LzIwMjYuLi5VU0QuSAEAAAAgegUAAwAAAAAAWa76MDvv3gjZSbw0O+/eCEBDSVEuTkFTREFROkNBTE0uSVFfRklOX0RJVl9BU1NFVFNfQ1VSUkVOVC45OTYuMzEvMDcvMjAyNi4uLlVTRC5IAQAAACB6BQADAAAAAABZrvowO+/eCHtf</t>
  </si>
  <si>
    <t>uzQ7794IPENJUS5OQVNEQVE6Q0FMTS5JUV9GSU5fRElWX0FTU0VUU19MVC4xMDAwLjMxLzA3LzIwMjYuLi5VU0QuSAEAAAAgegUAAwAAAAAAbNX6MDvv3giLE7o0O+/eCDxDSVEuTkFTREFROkNBTE0uSVFfSU5WRVNUX1NFQ1VSSVRZX0NGLjk5Ni4zMS8wNy8yMDI2Li4uVVNELkgBAAAAIHoFAAIAAAAFLTguMTQBCAAAAAUAAAABMQEAAAALLTE5ODY3MDg0MzMDAAAAAzE2MAIAAAAEMjAyNwQAAAABMAcAAAAJNy8zMS8yMDI2CAAAAAk1LzI4LzIwMjIJAAAAATDmbvYwO+/eCCffwjQ7794IOENJUS5OQVNEQVE6Q0FMTS5JUV9TVE9DS19CQVNFRF9TTS45OTkuMzEvMDcvMjAyNi4uLlVTRC5IAQAAACB6BQADAAAAAAAaURgxO+/eCG70xzQ7794IQUNJUS5OQVNEQVE6Q0FMTS5JUV9SRVNUUl9TVE9DS19DT01QX1BSRVRBWC45OTguMzEvMDcvMjAyNi4uLlVTRC5IAQAAACB6BQADAAAAAADOIPYwO+/eCIonxzQ7794IPENJUS5OQVNEQVE6Q0FMTS5JUV9TVE9DS19PUFRJT05TX0NPTVAuOTk2LjMxLzA3LzIwMjYuLi5VU0QuSAEAAAAgegUAAwAAAAAAziD2MDvv3ghWnsY0O+/eCDxDSVEuTkFTREFROkNBTE0uSVFfQVNTRVRfV1JJVEVET1dOX0NGLjk5OC4zMS8wNy8yMDI2Li4uVVNELkgBAAAAIHoFAAMAAAAAANZH9jA7794I5FHFNDvv3gg4Q0lRLk5BU0RBUTpDQUxNLklRX01JU0NfQURKVVNUX0NGLjk5Ni4z</t>
  </si>
  <si>
    <t>MS8wNy8yMDI2Li4uVVNELkgBAAAAIHoFAAMAAAAAAPaV9jA7794Ip6bANDvv3gg9Q0lRLk5BU0RBUTpDQUxNLklRX1RBWF9CRU5FRklUX09QVElPTlMuOTk4LjMxLzA3LzIwMjYuLi5VU0QuSAEAAAAgegUAAwAAAAAA1kf2MDvv3gi0tcQ0O+/eCDNDSVEuTkFTREFROkNBTE0uSVFfQ0hBTkdFX0FSLjk5OS4zMS8wNy8yMDI2Li4uVVNELkgBAAAAIHoFAAIAAAAILTEwNC45OTcBCAAAAAUAAAABMQEAAAALLTE4ODEwNjg2NzUDAAAAAzE2MAIAAAAEMjAxOAQAAAABMAcAAAAJNy8zMS8yMDI2CAAAAAk1LzMxLzIwMjUJAAAAATDWR/YwO+/eCNo/xDQ7794IO0NJUS5OQVNEQVE6Q0FMTS5JUV9DSEFOR0VfVU5FQVJOX1JFVi45OTguMzEvMDcvMjAyNi4uLlVTRC5IAQAAACB6BQADAAAAAADWR/YwO+/eCAjewzQ7794IM0NJUS5OQVNEQVE6Q0FMTS5JUV9ESVZFU1RfQ0YuOTk3LjMxLzA3LzIwMjYuLi5VU0QuSAEAAAAgegUAAwAAAAAA5m72MDvv3giFLcM0O+/eCC9DSVEuTkFTREFROkNBTE0uSVFfQVJfTFQuOTk2LjMxLzA3LzIwMjYuLi5VU0QuSAEAAAAgegUAAwAAAAAAbNX6MDvv3giLE7o0O+/eCDhDSVEuTkFTREFROkNBTE0uSVFfTFRfREVCVF9JU1NVRUQuOTk4LjMxLzA3LzIwMjYuLi5VU0QuSAEAAAAgegUAAwAAAAAA5m72MDvv3ggRL8I0O+/eCDlDSVEuTkFTREFROkNBTE0uSVFfTFRfREVCVF9SRVBB</t>
  </si>
  <si>
    <t>SUQuMTAwMC4zMS8wNy8yMDI2Li4uVVNELkgBAAAAIHoFAAMAAAAAAOZu9jA7794IPOHBNDvv3gg4Q0lRLk5BU0RBUTpDQUxNLklRX0NPTU1PTl9ESVZfQ0YuMTAwMC4zMS8wNy8yMDI2Li4uVVNELkgBAAAAIHoFAAIAAAAILTIzMS42MjIBCAAAAAUAAAABMQEAAAALLTE4ODEwNjg2NjgDAAAAAzE2MAIAAAAEMjA3NAQAAAABMAcAAAAJNy8zMS8yMDI2CAAAAAk1LzMwLzIwMjYJAAAAATDmbvYwO+/eCLdXwTQ7794IOUNJUS5OQVNEQVE6Q0FMTS5JUV9TUEVDSUFMX0RJVl9DRi4xMDAwLjMxLzA3LzIwMjYuLi5VU0QuSAEAAAAgegUAAwAAAAAA5m72MDvv3ghqzsA0O+/eCDhDSVEuTkFTREFROkNBTE0uSVFfU1RPQ0tfQkFTRURfU00uOTk4LjMxLzA3LzIwMjYuLi5VU0QuSAEAAAAgegUAAwAAAAAAGlEYMTvv3ghu9Mc0O+/eCENDSVEuTkFTREFROkNBTE0uSVFfR1dfSU5UQU5fQU1PUlRfUEFSVElBTF9DRi45OTUuMzEvMDcvMjAyNi4uLlVTRC5IAQAAACB6BQADAAAAAAD2lfYwO+/eCAsJwDQ7794IRUNJUS5OQVNEQVE6Q0FMTS5JUV9TQUxFX1BST0NFRURTX1JFTlRBTF9BU1NFVFMuOTk1LjMxLzA3LzIwMjYuLi5VU0QuSAEAAAAgegUAAwAAAAAA9pX2MDvv3giEWL80O+/eCDlDSVEuTkFTREFROkNBTE0uSVFfTkVUX0RFQlRfSVNTVUVELjk5NS4zMS8wNy8yMDI2Li4uVVNELkgBAAAAIHoFAAIAAAAGLTAu</t>
  </si>
  <si>
    <t>MjA1AQgAAAAFAAAAATEBAAAACy0yMDM3MjQxNzIxAwAAAAMxNjACAAAABDIwMDMEAAAAATAHAAAACTcvMzEvMjAyNggAAAAJNS8yOS8yMDIxCQAAAAEwbIf6MDvv3ghUb700O+/eCDhDSVEuTkFTREFROkNBTE0uSVFfTE9BTlNfRk9SX1NBTEUuOTk2LjMxLzA3LzIwMjYuLi5VU0QuSAEAAAAgegUAAwAAAAAAWa76MDvv3gh7X7s0O+/eCDxDSVEuTkFTREFROkNBTE0uSVFfQVNTRVRfV1JJVEVET1dOX0NGLjk5Ny4zMS8wNy8yMDI2Li4uVVNELkgBAAAAIHoFAAMAAAAAANZH9jA7794I5FHFNDvv3gg4Q0lRLk5BU0RBUTpDQUxNLklRX09USEVSX0NMX1NVUFBMLjk5NS4zMS8wNy8yMDI2Li4uVVNELkgBAAAAIHoFAAMAAAAAAHr8+jA7794IPVG4NDvv3gg0Q0lRLk5BU0RBUTpDQUxNLklRX1JVQV9HUk9TUy4xMDAwLjMxLzA3LzIwMjYuLi5VU0QuSAEAAAAgegUAAwAAAAAAWvqQMDvv3gixQrU0O+/eCEFDSVEuTkFTREFROkNBTE0uSVFfR0FJTl9CQVJHQUlOX0FDUV9TVVBQTEUuOTk3LjMxLzA3LzIwMjYuLi5VU0QuSAEAAAAgegUAAwAAAAAA8SkYMTvv3gj1t8g0O+/eCD1DSVEuTkFTREFROkNBTE0uSVFfTEVHQUxfU0VUVExFX1NVUFBMRS45OTUuMzEvMDcvMjAyNi4uLlVTRC5IAQAAACB6BQADAAAAAADxKRgxO+/eCPCQyDQ7794IQUNJUS5OQVNEQVE6Q0FMTS5JUV9PVEhFUl9JTlZFU1RfQUNUX1NVUFBM</t>
  </si>
  <si>
    <t>LjEwMDAuMzEvMDcvMjAyNi4uLlVTRC5IAQAAACB6BQADAAAAAADmbvYwO+/eCFB9wjQ7794IOENJUS5OQVNEQVE6Q0FMTS5JUV9TVE9DS19CQVNFRF9BVC45OTkuMzEvMDcvMjAyNi4uLlVTRC5IAQAAACB6BQADAAAAAADOIPYwO+/eCE5ixzQ7794IQUNJUS5OQVNEQVE6Q0FMTS5JUV9SRVNUUl9TVE9DS19DT01QX1BSRVRBWC45OTcuMzEvMDcvMjAyNi4uLlVTRC5IAQAAACB6BQADAAAAAADOIPYwO+/eCIonxzQ7794IQ0NJUS5OQVNEQVE6Q0FMTS5JUV9TVE9DS19PUFRJT05TX0NPTVBfUFJFVEFYLjk5OC4zMS8wNy8yMDI2Li4uVVNELkgBAAAAIHoFAAMAAAAAAM4g9jA7794IWsXGNDvv3ggvQ0lRLk5BU0RBUTpDQUxNLklRX0RBX0NGLjk5OS4zMS8wNy8yMDI2Li4uVVNELkgBAAAAIHoFAAIAAAAGOTQuMDIxAQgAAAAFAAAAATEBAAAACy0xODgxMDY4Njc1AwAAAAMxNjACAAAABDIxNjAEAAAAATAHAAAACTcvMzEvMjAyNggAAAAJNS8zMS8yMDI1CQAAAAEwziD2MDvv3ggPx8U0O+/eCEZDSVEuTkFTREFROkNBTE0uSVFfREFfU1VQUExfQ0ZfRVhDTF9PUEVSX0xFQVNFUy45OTkuMzEvMDcvMjAyNi4uLlVTRC5IAQAAACB6BQACAAAABjkxLjg2MwEIAAAABQAAAAExAQAAAAstMTg4MTA2ODY3NQMAAAADMTYwAgAAAAU0ODk4MwQAAAABMAcAAAAJNy8zMS8yMDI2CAAAAAk1LzMxLzIwMjUJAAAAATD2lfYw</t>
  </si>
  <si>
    <t>O+/eCNbNvzQ7794IPUNJUS5OQVNEQVE6Q0FMTS5JUV9UQVhfQkVORUZJVF9PUFRJT05TLjk5Ni4zMS8wNy8yMDI2Li4uVVNELkgBAAAAIHoFAAMAAAAAANZH9jA7794ItLXENDvv3gg7Q0lRLk5BU0RBUTpDQUxNLklRX0NIQU5HRV9VTkVBUk5fUkVWLjk5Ny4zMS8wNy8yMDI2Li4uVVNELkgBAAAAIHoFAAMAAAAAANZH9jA7794ICN7DNDvv3ggzQ0lRLk5BU0RBUTpDQUxNLklRX0RJVkVTVF9DRi45OTYuMzEvMDcvMjAyNi4uLlVTRC5IAQAAACB6BQADAAAAAADmbvYwO+/eCIUtwzQ7794IPENJUS5OQVNEQVE6Q0FMTS5JUV9JTlZFU1RfU0VDVVJJVFlfQ0YuOTk1LjMxLzA3LzIwMjYuLi5VU0QuSAEAAAAgegUAAgAAAAY0Ny40ODgBCAAAAAUAAAABMQEAAAALLTIwMzcyNDE3MjEDAAAAAzE2MAIAAAAEMjAyNwQAAAABMAcAAAAJNy8zMS8yMDI2CAAAAAk1LzI5LzIwMjEJAAAAATDmbvYwO+/eCEakwjQ7794IRUNJUS5OQVNEQVE6Q0FMTS5JUV9SVUFfQ0FQSVRBTF9MRUFTRV9BQ0NVTV9ERVAuOTk4LjMxLzA3LzIwMjYuLi5VU0QuSAEAAAAgegUAAwAAAAAAWvqQMDvv3giPpbQ0O+/eCDhDSVEuTkFTREFROkNBTE0uSVFfTFRfREVCVF9JU1NVRUQuOTk3LjMxLzA3LzIwMjYuLi5VU0QuSAEAAAAgegUAAwAAAAAA5m72MDvv3ggRL8I0O+/eCDdDSVEuTkFTREFROkNBTE0uSVFfQ09NTU9OX0RJVl9DRi45OTku</t>
  </si>
  <si>
    <t>MzEvMDcvMjAyNi4uLlVTRC5IAQAAACB6BQACAAAABy0zMzAuMjkBCAAAAAUAAAABMQEAAAALLTE4ODEwNjg2NzUDAAAAAzE2MAIAAAAEMjA3NAQAAAABMAcAAAAJNy8zMS8yMDI2CAAAAAk1LzMxLzIwMjUJAAAAATDmbvYwO+/eCLdXwTQ7794IOENJUS5OQVNEQVE6Q0FMTS5JUV9TUEVDSUFMX0RJVl9DRi45OTkuMzEvMDcvMjAyNi4uLlVTRC5IAQAAACB6BQADAAAAAADmbvYwO+/eCGrOwDQ7794IOENJUS5OQVNEQVE6Q0FMTS5JUV9NSVNDX0FESlVTVF9DRi45OTUuMzEvMDcvMjAyNi4uLlVTRC5IAQAAACB6BQADAAAAAAD2lfYwO+/eCGNrwDQ7794IN0NJUS5OQVNEQVE6Q0FMTS5JUV9BSVJDUkFGVF9SRU5ULjk5Ny4zMS8wNy8yMDI2Li4uVVNELkgBAAAAIHoFAAMAAAAAAOkCGDE7794IdyvKNDvv3ghGQ0lRLk5BU0RBUTpDQUxNLklRX1NBTEVfUFJPQ0VFRFNfUkVOVEFMX0FTU0VUUy4xMDAwLjMxLzA3LzIwMjYuLi5VU0QuSAEAAAAgegUAAwAAAAAA9pX2MDvv3giEWL80O+/eCDtDSVEuTkFTREFROkNBTE0uSVFfQ0FTSF9UQVhFU19GSU5BTi4xMDAwLjMxLzA3LzIwMjYuLi5VU0QuSAEAAAAgegUAAwAAAAAAbIf6MDvv3gjBRr40O+/eCDhDSVEuTkFTREFROkNBTE0uSVFfVFJBRElOR19BU1NFVFMuOTk4LjMxLzA3LzIwMjYuLi5VU0QuSAEAAAAgegUAAwAAAAAAWa76MDvv3gj0Irw0O+/eCC9DSVEu</t>
  </si>
  <si>
    <t>TkFTREFROkNBTE0uSVFfQVJfTFQuOTk5LjMxLzA3LzIwMjYuLi5VU0QuSAEAAAAgegUAAwAAAAAAbNX6MDvv3ggG7Lk0O+/eCDVDSVEuTkFTREFROkNBTE0uSVFfSVBSRF9TVVBQTEUuOTk2LjMxLzA3LzIwMjYuLi5VU0QuSAEAAAAgegUAAwAAAAAA8SkYMTvv3ggyGsk0O+/eCDBDSVEuTkFTREFROkNBTE0uSVFfR0FfRVhQLjk5NC4zMS8wNy8yMDI2Li4uVVNELkgBAAAAIHoFAAMAAAAAAOkCGDE7794IlhfLNDvv3gg7Q0lRLk5BU0RBUTpDQUxNLklRX05FVF9SRU5UQUxfRVhQX0ZOLjk5NC4zMS8wNy8yMDI2Li4uVVNELkgBAAAAIHoFAAMAAAAAAOkCGDE7794IasnKNDvv3gg/Q0lRLk5BU0RBUTpDQUxNLklRX05FVF9SRU5UQUxfRVhQX1NVUFBMRS45OTUuMzEvMDcvMjAyNi4uLlVTRC5IAQAAACB6BQADAAAAAADpAhgxO+/eCGCiyjQ7794IOENJUS5OQVNEQVE6Q0FMTS5JUV9NSU5JTVVNX1JFTlRBTC45OTYuMzEvMDcvMjAyNi4uLlVTRC5IAQAAACB6BQADAAAAAADpAhgxO+/eCKd5yjQ7794IOENJUS5OQVNEQVE6Q0FMTS5JUV9TVE9DS19CQVNFRF9BVC45OTguMzEvMDcvMjAyNi4uLlVTRC5IAQAAACB6BQADAAAAAADOIPYwO+/eCE5ixzQ7794IQUNJUS5OQVNEQVE6Q0FMTS5JUV9FWFBMT1JFX0RSSUxMX0VYUF9UT1RBTC45OTYuMzEvMDcvMjAyNi4uLlVTRC5IAQAAACB6BQADAAAAAADxKRgxO+/e</t>
  </si>
  <si>
    <t>CGXdyTQ7794IQkNJUS5OQVNEQVE6Q0FMTS5JUV9JTVBVVF9PUEVSX0xFQVNFX0lOVF9FWFAuOTk3LjMxLzA3LzIwMjYuLi5VU0QuSAEAAAAgegUAAwAAAAAA8SkYMTvv3ghXtsk0O+/eCEFDSVEuTkFTREFROkNBTE0uSVFfU0FMQVJJRVNfT1RIRVJfQkVORUZJVFMuOTk4LjMxLzA3LzIwMjYuLi5VU0QuSAEAAAAgegUAAwAAAAAA8SkYMTvv3gglaMk0O+/eCDdDSVEuTkFTREFROkNBTE0uSVFfTUVSR0VSX1NVUFBMRS45OTguMzEvMDcvMjAyNi4uLlVTRC5IAQAAACB6BQADAAAAAADxKRgxO+/eCDNByTQ7794IPENJUS5OQVNEQVE6Q0FMTS5JUV9BU1NFVF9XUklURURPV05fQ0YuOTk2LjMxLzA3LzIwMjYuLi5VU0QuSAEAAAAgegUAAwAAAAAA1kf2MDvv3gjkUcU0O+/eCEFDSVEuTkFTREFROkNBTE0uSVFfR0FJTl9CQVJHQUlOX0FDUV9TVVBQTEUuOTk2LjMxLzA3LzIwMjYuLi5VU0QuSAEAAAAgegUAAwAAAAAA8SkYMTvv3gjE8sg0O+/eCD1DSVEuTkFTREFROkNBTE0uSVFfTEVHQUxfU0VUVExFX1NVUFBMRS45OTQuMzEvMDcvMjAyNi4uLlVTRC5IAQAAACB6BQADAAAAAADxKRgxO+/eCPCQyDQ7794IOkNJUS5OQVNEQVE6Q0FMTS5JUV9TVE9DS19CQVNFRF9DT0dTLjk5OC4zMS8wNy8yMDI2Li4uVVNELkgBAAAAIHoFAAMAAAAAABpRGDE7794IqxvINDvv3gg4Q0lRLk5BU0RBUTpDQUxNLklRX1NUT0NL</t>
  </si>
  <si>
    <t>X0JBU0VEX1NNLjk5Ny4zMS8wNy8yMDI2Li4uVVNELkgBAAAAIHoFAAMAAAAAABpRGDE7794IbvTHNDvv3ghAQ0lRLk5BU0RBUTpDQUxNLklRX09USEVSX0lOVkVTVF9BQ1RfU1VQUEwuOTk5LjMxLzA3LzIwMjYuLi5VU0QuSAEAAAAgegUAAwAAAAAA5m72MDvv3ghQfcI0O+/eCEFDSVEuTkFTREFROkNBTE0uSVFfUkVTVFJfU1RPQ0tfQ09NUF9QUkVUQVguOTk2LjMxLzA3LzIwMjYuLi5VU0QuSAEAAAAgegUAAwAAAAAAziD2MDvv3giKJ8c0O+/eCENDSVEuTkFTREFROkNBTE0uSVFfU1RPQ0tfT1BUSU9OU19DT01QX1BSRVRBWC45OTYuMzEvMDcvMjAyNi4uLlVTRC5IAQAAACB6BQADAAAAAADOIPYwO+/eCJHsxjQ7794IOkNJUS5OQVNEQVE6Q0FMTS5JUV9TVE9DS19CQVNFRF9DT01QLjk5Ni4zMS8wNy8yMDI2Li4uVVNELkgBAAAAIHoFAAMAAAAAAM4g9jA7794IKFDGNDvv3ggvQ0lRLk5BU0RBUTpDQUxNLklRX0RBX0NGLjk5OC4zMS8wNy8yMDI2Li4uVVNELkgBAAAAIHoFAAIAAAAGODAuMjQxAQgAAAAFAAAAATEBAAAACy0xODgxMDY4Njc2AwAAAAMxNjACAAAABDIxNjAEAAAAATAHAAAACTcvMzEvMjAyNggAAAAINi8xLzIwMjQJAAAAATDOIPYwO+/eCA/HxTQ7794IOENJUS5OQVNEQVE6Q0FMTS5JUV9DQVNIX1NUX0lOVkVTVC45OTQuMzEvMDcvMjAyNi4uLlVTRC5IAQAAACB6BQACAAAABzIzMi4y</t>
  </si>
  <si>
    <t>OTMBCAAAAAUAAAABMQEAAAALLTIwODgzNDc0NjkDAAAAAzE2MAIAAAAEMTAwMgQAAAABMAcAAAAJNy8zMS8yMDI2CAAAAAk1LzMwLzIwMjAJAAAAATBZrvowO+/eCNlJvDQ7794IO0NJUS5OQVNEQVE6Q0FMTS5JUV9DSEFOR0VfVU5FQVJOX1JFVi45OTYuMzEvMDcvMjAyNi4uLlVTRC5IAQAAACB6BQADAAAAAADWR/YwO+/eCBYFxDQ7794IRkNJUS5OQVNEQVE6Q0FMTS5JUV9DSEFOR0VfT1RIRVJfTkVUX09QRVJfQVNTRVRTLjk5Ni4zMS8wNy8yMDI2Li4uVVNELkgBAAAAIHoFAAIAAAAGLTcuMTAxAQgAAAAFAAAAATEBAAAACy0xOTg2NzA4NDMzAwAAAAMxNjACAAAABDIwNDUEAAAAATAHAAAACTcvMzEvMjAyNggAAAAJNS8yOC8yMDIyCQAAAAEw1kf2MDvv3gjLtsM0O+/eCDNDSVEuTkFTREFROkNBTE0uSVFfRElWRVNUX0NGLjk5NS4zMS8wNy8yMDI2Li4uVVNELkgBAAAAIHoFAAMAAAAAANZH9jA7794ImgbDNDvv3gg8Q0lRLk5BU0RBUTpDQUxNLklRX0lOVkVTVF9TRUNVUklUWV9DRi45OTQuMzEvMDcvMjAyNi4uLlVTRC5IAQAAACB6BQACAAAABzEwNC4xNTcBCAAAAAUAAAABMQEAAAALLTIwODgzNDc0NjkDAAAAAzE2MAIAAAAEMjAyNwQAAAABMAcAAAAJNy8zMS8yMDI2CAAAAAk1LzMwLzIwMjAJAAAAATDmbvYwO+/eCEakwjQ7794IOUNJUS5OQVNEQVE6Q0FMTS5JUV9ESUxVVF9FUFNfRVhDTC4x</t>
  </si>
  <si>
    <t>MDAwLjMxLzA3LzIwMjYuLi5VU0QuSAEAAAAgegUAAgAAAAQ2LjYzAQgAAAAFAAAAATEBAAAACy0xODgxMDY4NjY4AwAAAAMxNjACAAAAAzE0MgQAAAABMAcAAAAJNy8zMS8yMDI2CAAAAAk1LzMwLzIwMjYJAAAAATDTv4oxO+/eCMom0jQ7794IO0NJUS5OQVNEQVE6Q0FMTS5JUV9UT1RBTF9ERUJUX0lTU1VFRC45OTQuMzEvMDcvMjAyNi4uLlVTRC5IAQAAACB6BQADAAAAAADmbvYwO+/eCBEvwjQ7794IOENJUS5OQVNEQVE6Q0FMTS5JUV9TUEVDSUFMX0RJVl9DRi45OTguMzEvMDcvMjAyNi4uLlVTRC5IAQAAACB6BQADAAAAAADmbvYwO+/eCGrOwDQ7794INUNJUS5OQVNEQVE6Q0FMTS5JUV9NQUlOVF9DQVBFWC45OTcuMzEvMDcvMjAyNi4uLlVTRC5IAQAAACB6BQADAAAAAABsh/owO+/eCFRvvTQ7794IR0NJUS5OQVNEQVE6Q0FMTS5JUV9UT1RBTF9ERUJUX1JFUEFJRF9FWENMX0xFQVNFUy45OTkuMzEvMDcvMjAyNi4uLlVTRC5IAQAAACB6BQACAAAABi0yLjQ4MQEIAAAABQAAAAExAQAAAAstMTg4MTA2ODY3NQMAAAADMTYwAgAAAAU0ODk4NgQAAAABMAcAAAAJNy8zMS8yMDI2CAAAAAk1LzMxLzIwMjUJAAAAATBZrvowO+/eCPa+vDQ7794IN0NJUS5OQVNEQVE6Q0FMTS5JUV9FQklUX0VYQ0xfU0JDLjk5Ni4zMS8wNy8yMDI2Li4uVVNELkgBAAAAIHoFAAIAAAAHMTQyLjQ5MQEIAAAABQAAAAExAQAA</t>
  </si>
  <si>
    <t>AAstMTk4NjcwODQzMwMAAAADMTYwAgAAAAUyNDEzNAQAAAABMAcAAAAJNy8zMS8yMDI2CAAAAAk1LzI4LzIwMjIJAAAAATCM+ooxO+/eCIb4zzQ7794IQUNJUS5OQVNEQVE6Q0FMTS5JUV9ERUZfVEFYX0FTU0VUU19DVVJSRU5ULjEwMDAuMzEvMDcvMjAyNi4uLlVTRC5IAQAAACB6BQADAAAAAABZrvowO+/eCGD9ujQ7794IOUNJUS5OQVNEQVE6Q0FMTS5JUV9MT0FOU19SRUNFSVZfTFQuOTk0LjMxLzA3LzIwMjYuLi5VU0QuSAEAAAAgegUAAwAAAAAAbNX6MDvv3ggG7Lk0O+/eCDdDSVEuTkFTREFROkNBTE0uSVFfTklfQVZBSUxfRVhDTC45OTYuMzEvMDcvMjAyNi4uLlVTRC5IAQAAACB6BQACAAAABjEzMi42NQEIAAAABQAAAAExAQAAAAstMTk4NjcwODQzMwMAAAADMTYwAgAAAAMzNzkEAAAAATAHAAAACTcvMzEvMjAyNggAAAAJNS8yOC8yMDIyCQAAAAEw07+KMTvv3gggnNI0O+/eCDhDSVEuTkFTREFROkNBTE0uSVFfRElMVVRfRVBTX0lOQ0wuOTk0LjMxLzA3LzIwMjYuLi5VU0QuSAEAAAAgegUAAgAAAAgwLjM3OTQ1NAEIAAAABQAAAAExAQAAAAstMjA4ODM0NzQ2OQMAAAADMTYwAgAAAAE4BAAAAAEwBwAAAAk3LzMxLzIwMjYIAAAACTUvMzAvMjAyMAkAAAABMNO/ijE7794I9k3SNDvv3gg8Q0lRLk5BU0RBUTpDQUxNLklRX0FTX1JFUE9SVEVEX0VCSVREQS45OTYuMzEvMDcvMjAyNi4uLlVTRC5I</t>
  </si>
  <si>
    <t>AQAAACB6BQADAAAAAAC9tBcxO+/eCKMlzjQ7794ITkNJUS5OQVNEQVE6Q0FMTS5JUV9ESVNUUklCVVRBQkxFX0NBU0hfUEVSX1NIQVJFX0RJTFVURUQuOTk4LjMxLzA3LzIwMjYuLi5VU0QuSAEAAAAgegUAAwAAAAAA07+KMTvv3ggT7NE0O+/eCDdDSVEuTkFTREFROkNBTE0uSVFfRUJJVERBX0VRX0lOQy45OTQuMzEvMDcvMjAyNi4uLlVTRC5IAQAAACB6BQACAAAABjY0LjY4OAEIAAAABQAAAAExAQAAAAstMjA4ODM0NzQ2OQMAAAADMTYwAgAAAAUyMTY3NwQAAAABMAcAAAAJNy8zMS8yMDI2CAAAAAk1LzMwLzIwMjAJAAAAATDq5ooxO+/eCOQo0TQ7794IOUNJUS5OQVNEQVE6Q0FMTS5JUV9FQklUREFfRVhDTF9TQkMuOTk4LjMxLzA3LzIwMjYuLi5VU0QuSAEAAAAgegUAAgAAAAczNzkuMDQ1AQgAAAAFAAAAATEBAAAACy0xODgxMDY4Njc2AwAAAAMxNjACAAAABTI0MTM1BAAAAAEwBwAAAAk3LzMxLzIwMjYIAAAACDYvMS8yMDI0CQAAAAEw6uaKMTvv3gjmAdE0O+/eCC5DSVEuTkFTREFROkNBTE0uSVFfRUJJVC45OTYuMzEvMDcvMjAyNi4uLlVTRC5IAQAAACB6BQACAAAABzEzOC40MjgBCAAAAAUAAAABMQEAAAALLTE5ODY3MDg0MzMDAAAAAzE2MAIAAAADNDAwBAAAAAEwBwAAAAk3LzMxLzIwMjYIAAAACTUvMjgvMjAyMgkAAAABMOrmijE7794I8p/QNDvv3gg+Q0lRLk5BU0RBUTpDQUxNLklRX0RF</t>
  </si>
  <si>
    <t>RkVSUkVEX1RBWEVTX1RPVEFMLjk5NC4zMS8wNy8yMDI2Li4uVVNELkgBAAAAIHoFAAIAAAAGMTAuMjgxAQgAAAAFAAAAATEBAAAACy0yMDg4MzQ3NDY5AwAAAAMxNjACAAAABTM1Mzg1BAAAAAEwBwAAAAk3LzMxLzIwMjYIAAAACTUvMzAvMjAyMAkAAAABML20FzE7794INNnMNDvv3gg3Q0lRLk5BU0RBUTpDQUxNLklRX0VCSVRBX0VRX0lOQy4xMDAwLjMxLzA3LzIwMjYuLi5VU0QuSAEAAAAgegUAAgAAAAczNDguODE3AQgAAAAFAAAAATEBAAAACy0xODgxMDY4NjY4AwAAAAMxNjACAAAABTIxNjc2BAAAAAEwBwAAAAk3LzMxLzIwMjYIAAAACTUvMzAvMjAyNgkAAAABMKqNFzE7794IapfPNDvv3gg4Q0lRLk5BU0RBUTpDQUxNLklRX0VCSVRBX0VYQ0xfU0JDLjk5NC4zMS8wNy8yMDI2Li4uVVNELkgBAAAAIHoFAAIAAAAFNy44NjgBCAAAAAUAAAABMQEAAAALLTIwODgzNDc0NjkDAAAAAzE2MAIAAAAFMjQxMzYEAAAAATAHAAAACTcvMzEvMjAyNggAAAAJNS8zMC8yMDIwCQAAAAEwqo0XMTvv3ggWSc80O+/eCDhDSVEuTkFTREFROkNBTE0uSVFfRUJJVERBUl9FUV9JTkMuOTk4LjMxLzA3LzIwMjYuLi5VU0QuSAEAAAAgegUAAwAAAAAAqo0XMTvv3gi+1c40O+/eCDZDSVEuTkFTREFROkNBTE0uSVFfRUJJVERBX0NBUEVYLjk5OC4zMS8wNy8yMDI2Li4uVVNELkgBAAAAIHoFAAIAAAAHMjI3LjU3MQEIAAAA</t>
  </si>
  <si>
    <t>BQAAAAExAQAAAAstMTg4MTA2ODY3NgMAAAADMTYwAgAAAAUzNTM3OQQAAAABMAcAAAAJNy8zMS8yMDI2CAAAAAg2LzEvMjAyNAkAAAABMKqNFzE7794IpofONDvv3gg0Q0lRLk5BU0RBUTpDQUxNLklRX0NPTU1PTl9ESVYuOTk5LjMxLzA3LzIwMjYuLi5VU0QuSAEAAAAgegUAAgAAAAc0MDYuNjg5AMzbFzE7794I1IzLNDvv3ghEQ0lRLk5BU0RBUTpDQUxNLklRX0VBUk5JTkdfUEFSRU5UX0VYQ0xfRVhUUkEuMTAwMC4zMS8wNy8yMDI2Li4uVVNELkgBAAAAIHoFAAIAAAAHMzE2LjY4MgEIAAAABQAAAAExAQAAAAstMTg4MTA2ODY2OAMAAAADMTYwAgAAAAU0MTU5NgQAAAABMAcAAAAJNy8zMS8yMDI2CAAAAAk1LzMwLzIwMjYJAAAAATC9tBcxO+/eCJP+zTQ7794IOUNJUS5OQVNEQVE6Q0FMTS5JUV9JTlRFUkVTVF9JTkNPTUUuOTk0LjMxLzA3LzIwMjYuLi5VU0QuSAEAAAAgegUAAgAAAAYxNS4wNTgBCAAAAAUAAAABMQEAAAALLTIwODgzNDc0NjkDAAAAAzE2MAIAAAADMjEwBAAAAAEwBwAAAAk3LzMxLzIwMjYIAAAACTUvMzAvMjAyMAkAAAABML20FzE7794IiNfNNDvv3gg8Q0lRLk5BU0RBUTpDQUxNLklRX0lOVkVTVE1FTlRfSU5DT01FLjEwMDAuMzEvMDcvMjAyNi4uLlVTRC5IAQAAACB6BQADAAAAAAC9tBcxO+/eCHqwzTQ7794IPENJUS5OQVNEQVE6Q0FMTS5JUV9DVVJSX0ZPUkVJR05fVEFYRVMu</t>
  </si>
  <si>
    <t>OTk4LjMxLzA3LzIwMjYuLi5VU0QuSAEAAAAgegUAAwAAAAAAvbQXMTvv3ghuTs00O+/eCEJDSVEuTkFTREFROkNBTE0uSVFfSU1QVVRfT1BFUl9MRUFTRV9JTlRfRVhQLjk5Ni4zMS8wNy8yMDI2Li4uVVNELkgBAAAAIHoFAAMAAAAAAPEpGDE7794IV7bJNDvv3ggxQ0lRLk5BU0RBUTpDQUxNLklRX05JX05PUk0uOTk3LjMxLzA3LzIwMjYuLi5VU0QuSAEAAAAgegUAAgAAAAo2MjUuMzI2Mzc1AQgAAAAFAAAAATEBAAAACy0xOTM0OTc4NDIwAwAAAAMxNjACAAAABDQzNzgEAAAAATAHAAAACTcvMzEvMjAyNggAAAAINi8zLzIwMjMJAAAAATC9tBcxO+/eCC2yzDQ7794IPkNJUS5OQVNEQVE6Q0FMTS5JUV9DQVBJVEFMSVpFRF9JTlRFUkVTVC45OTcuMzEvMDcvMjAyNi4uLlVTRC5IAQAAACB6BQADAAAAAADM2xcxO+/eCABkzDQ7794IS0NJUS5OQVNEQVE6Q0FMTS5JUV9JTlRFUkVTVF9FWFBfTEVBU0VfTElBQklMSVRZX0RFQlQuOTk5LjMxLzA3LzIwMjYuLi5VU0QuSAEAAAAgegUAAwAAAAAAzNsXMTvv3ggCPcw0O+/eCEBDSVEuTkFTREFROkNBTE0uSVFfQU5OVV9ESVNUUklCVVRJT05fVU5JVC45OTcuMzEvMDcvMjAyNi4uLlVTRC5IAQAAACB6BQADAAAAAADM2xcxO+/eCNSMyzQ7794IP0NJUS5OQVNEQVE6Q0FMTS5JUV9UT1RBTF9VTlVTVUFMX1NVUFBMRS4xMDAwLjMxLzA3LzIwMjYuLi5VU0QuSAEA</t>
  </si>
  <si>
    <t>AAAgegUAAwAAAAAA8SkYMTvv3gjfacg0O+/eCD9DSVEuTkFTREFROkNBTE0uSVFfTkVUX1JFTlRBTF9FWFBfU1VQUExFLjk5NC4zMS8wNy8yMDI2Li4uVVNELkgBAAAAIHoFAAMAAAAAAOkCGDE7794IYKLKNDvv3gg4Q0lRLk5BU0RBUTpDQUxNLklRX01JTklNVU1fUkVOVEFMLjk5NS4zMS8wNy8yMDI2Li4uVVNELkgBAAAAIHoFAAMAAAAAAOkCGDE7794Ik1LKNDvv3gg3Q0lRLk5BU0RBUTpDQUxNLklRX0FJUkNSQUZUX1JFTlQuOTk2LjMxLzA3LzIwMjYuLi5VU0QuSAEAAAAgegUAAwAAAAAA6QIYMTvv3giTUso0O+/eCEFDSVEuTkFTREFROkNBTE0uSVFfRVhQTE9SRV9EUklMTF9FWFBfVE9UQUwuOTk1LjMxLzA3LzIwMjYuLi5VU0QuSAEAAAAgegUAAwAAAAAA8SkYMTvv3ghl3ck0O+/eCDpDSVEuTkFTREFROkNBTE0uSVFfU1RPQ0tfQkFTRURfQ09NUC45OTUuMzEvMDcvMjAyNi4uLlVTRC5IAQAAACB6BQADAAAAAADOIPYwO+/eCBwpxjQ7794IPENJUS5OQVNEQVE6Q0FMTS5JUV9SRVNUUlVDVFVSRV9TVVBQTEUuOTk0LjMxLzA3LzIwMjYuLi5VU0QuSAEAAAAgegUAAwAAAAAA8SkYMTvv3gglaMk0O+/eCD5DSVEuTkFTREFROkNBTE0uSVFfSU1QQUlSTUVOVF9HV19TVVBQTEUuOTk1LjMxLzA3LzIwMjYuLi5VU0QuSAEAAAAgegUAAwAAAAAA8SkYMTvv3ggzQck0O+/eCDVDSVEuTkFTREFROkNBTE0u</t>
  </si>
  <si>
    <t>SVFfSVBSRF9TVVBQTEUuOTk1LjMxLzA3LzIwMjYuLi5VU0QuSAEAAAAgegUAAwAAAAAA8SkYMTvv3gjE8sg0O+/eCEFDSVEuTkFTREFROkNBTE0uSVFfR0FJTl9CQVJHQUlOX0FDUV9TVVBQTEUuOTk1LjMxLzA3LzIwMjYuLi5VU0QuSAEAAAAgegUAAwAAAAAA8SkYMTvv3gj1t8g0O+/eCEZDSVEuTkFTREFROkNBTE0uSVFfQ0hBTkdFX09USEVSX05FVF9PUEVSX0FTU0VUUy45OTUuMzEvMDcvMjAyNi4uLlVTRC5IAQAAACB6BQADAAAAAADWR/YwO+/eCMaPwzQ7794IOkNJUS5OQVNEQVE6Q0FMTS5JUV9TVE9DS19CQVNFRF9DT0dTLjk5Ny4zMS8wNy8yMDI2Li4uVVNELkgBAAAAIHoFAAMAAAAAABpRGDE7794IqxvINDvv3ghDQ0lRLk5BU0RBUTpDQUxNLklRX1NUT0NLX0JBU0VEX0VYUExPUkVfRFJJTEwuOTk4LjMxLzA3LzIwMjYuLi5VU0QuSAEAAAAgegUAAwAAAAAAziD2MDvv3gj2ncc0O+/eCDhDSVEuTkFTREFROkNBTE0uSVFfU1RPQ0tfQkFTRURfQVQuOTk3LjMxLzA3LzIwMjYuLi5VU0QuSAEAAAAgegUAAwAAAAAAziD2MDvv3ghOYsc0O+/eCENDSVEuTkFTREFROkNBTE0uSVFfU1RPQ0tfT1BUSU9OU19DT01QX1BSRVRBWC45OTUuMzEvMDcvMjAyNi4uLlVTRC5IAQAAACB6BQADAAAAAADOIPYwO+/eCFrFxjQ7794IOUNJUS5OQVNEQVE6Q0FMTS5JUV9NSVNDX0FESlVTVF9DRi4xMDAwLjMxLzA3</t>
  </si>
  <si>
    <t>LzIwMjYuLi5VU0QuSAEAAAAgegUAAwAAAAAA9pX2MDvv3ghja8A0O+/eCC9DSVEuTkFTREFROkNBTE0uSVFfREFfQ0YuOTk3LjMxLzA3LzIwMjYuLi5VU0QuSAEAAAAgegUAAgAAAAY3Mi4yMzQBCAAAAAUAAAABMQEAAAALLTE5MzQ5Nzg0MjADAAAAAzE2MAIAAAAEMjE2MAQAAAABMAcAAAAJNy8zMS8yMDI2CAAAAAg2LzMvMjAyMwkAAAABMM4g9jA7794ID8fFNDvv3gg4Q0lRLk5BU0RBUTpDQUxNLklRX0dBSU5fQVNTRVRTX0NGLjk5OC4zMS8wNy8yMDI2Li4uVVNELkgBAAAAIHoFAAMAAAAAAM4g9jA7794IAHnFNDvv3gg8Q0lRLk5BU0RBUTpDQUxNLklRX0FTU0VUX1dSSVRFRE9XTl9DRi45OTUuMzEvMDcvMjAyNi4uLlVTRC5IAQAAACB6BQADAAAAAADWR/YwO+/eCNUqxTQ7794IO0NJUS5OQVNEQVE6Q0FMTS5JUV9DSEFOR0VfVU5FQVJOX1JFVi45OTUuMzEvMDcvMjAyNi4uLlVTRC5IAQAAACB6BQADAAAAAADWR/YwO+/eCAjewzQ7794ILkNJUS5OQVNEQVE6Q0FMTS5JUV9FQklULjk5NS4zMS8wNy8yMDI2Li4uVVNELkgBAAAAIHoFAAIAAAAHLTIzLjI4MgEIAAAABQAAAAExAQAAAAstMjAzNzI0MTcyMQMAAAADMTYwAgAAAAM0MDAEAAAAATAHAAAACTcvMzEvMjAyNggAAAAJNS8yOS8yMDIxCQAAAAEw6uaKMTvv3giiV9A0O+/eCDBDSVEuTkFTREFROkNBTE0uSVFfQ0FQRVguMTAwMC4zMS8wNy8y</t>
  </si>
  <si>
    <t>MDI2Li4uVVNELkgBAAAAIHoFAAIAAAAHLTE1MS4yMgEIAAAABQAAAAExAQAAAAstMTg4MTA2ODY2OAMAAAADMTYwAgAAAAQyMDIxBAAAAAEwBwAAAAk3LzMxLzIwMjYIAAAACTUvMzAvMjAyNgkAAAABMNZH9jA7794IoVTDNDvv3gg0Q0lRLk5BU0RBUTpDQUxNLklRX0RJVkVTVF9DRi4xMDAwLjMxLzA3LzIwMjYuLi5VU0QuSAEAAAAgegUAAwAAAAAA5m72MDvv3giaBsM0O+/eCDVDSVEuTkFTREFROkNBTE0uSVFfQ09NTU9OX1JFUC4xMDAwLjMxLzA3LzIwMjYuLi5VU0QuSAEAAAAgegUAAgAAAAgtMTMxLjEyNAEIAAAABQAAAAExAQAAAAstMTg4MTA2ODY2OAMAAAADMTYwAgAAAAQyMTY0BAAAAAEwBwAAAAk3LzMxLzIwMjYIAAAACTUvMzAvMjAyNgkAAAABMOZu9jA7794I/pLBNDvv3gg1Q0lRLk5BU0RBUTpDQUxNLklRX1BSRUZfRElWX0NGLjk5OC4zMS8wNy8yMDI2Li4uVVNELkgBAAAAIHoFAAMAAAAAAOZu9jA7794IrzDBNDvv3ghDQ0lRLk5BU0RBUTpDQUxNLklRX0VBUk5JTkdfUEFSRU5UX0VYQ0xfRVhUUkEuOTk5LjMxLzA3LzIwMjYuLi5VU0QuSAEAAAAgegUAAgAAAAgxMjIwLjA0OAEIAAAABQAAAAExAQAAAAstMTg4MTA2ODY3NQMAAAADMTYwAgAAAAU0MTU5NgQAAAABMAcAAAAJNy8zMS8yMDI2CAAAAAk1LzMxLzIwMjUJAAAAATC9tBcxO+/eCJP+zTQ7794IPUNJUS5OQVNEQVE6Q0FMTS5J</t>
  </si>
  <si>
    <t>UV9HQUlOX0JBUkdBSU5fQUNRX0NGLjk5NS4zMS8wNy8yMDI2Li4uVVNELkgBAAAAIHoFAAMAAAAAAFmu+jA7794I55e8NDvv3gg6Q0lRLk5BU0RBUTpDQUxNLklRX0xPQU5TX1JFQ0VJVl9MVC4xMDAwLjMxLzA3LzIwMjYuLi5VU0QuSAEAAAAgegUAAwAAAAAAbNX6MDvv3gjAxLk0O+/eCE5DSVEuTkFTREFROkNBTE0uSVFfRElTVFJJQlVUQUJMRV9DQVNIX1BFUl9TSEFSRV9ESUxVVEVELjk5Ny4zMS8wNy8yMDI2Li4uVVNELkgBAAAAIHoFAAMAAAAAANO/ijE7794IE+zRNDvv3gg5Q0lRLk5BU0RBUTpDQUxNLklRX0VCSVREQV9FWENMX1NCQy45OTcuMzEvMDcvMjAyNi4uLlVTRC5IAQAAACB6BQACAAAACDEwNDAuNjg5AQgAAAAFAAAAATEBAAAACy0xOTM0OTc4NDIwAwAAAAMxNjACAAAABTI0MTM1BAAAAAEwBwAAAAk3LzMxLzIwMjYIAAAACDYvMy8yMDIzCQAAAAEw6uaKMTvv3gjmAdE0O+/eCEtDSVEuTkFTREFROkNBTE0uSVFfSU5URVJFU1RfRVhQX0xFQVNFX0xJQUJJTElUWV9ERUJULjk5OC4zMS8wNy8yMDI2Li4uVVNELkgBAAAAIHoFAAMAAAAAAMzbFzE7794IAj3MNDvv3gg2Q0lRLk5BU0RBUTpDQUxNLklRX0VCSVRBX0VRX0lOQy45OTkuMzEvMDcvMjAyNi4uLlVTRC5IAQAAACB6BQACAAAACDE1NjYuMzk0AQgAAAAFAAAAATEBAAAACy0xODgxMDY4Njc1AwAAAAMxNjACAAAABTIxNjc2BAAA</t>
  </si>
  <si>
    <t>AAEwBwAAAAk3LzMxLzIwMjYIAAAACTUvMzEvMjAyNQkAAAABMKqNFzE7794IXnDPNDvv3gg4Q0lRLk5BU0RBUTpDQUxNLklRX0VCSVREQVJfRVFfSU5DLjk5Ny4zMS8wNy8yMDI2Li4uVVNELkgBAAAAIHoFAAMAAAAAAKqNFzE7794IvtXONDvv3gg7Q0lRLk5BU0RBUTpDQUxNLklRX0ZFRVNfT1RIRVJfSU5DT01FLjk5NS4zMS8wNy8yMDI2Li4uVVNELkgBAAAAIHoFAAMAAAAAAKqNFzE7794IpofONDvv3gg8Q0lRLk5BU0RBUTpDQUxNLklRX0FTX1JFUE9SVEVEX0VCSVREQS45OTUuMzEvMDcvMjAyNi4uLlVTRC5IAQAAACB6BQADAAAAAAC9tBcxO+/eCKMlzjQ7794IN0NJUS5OQVNEQVE6Q0FMTS5JUV9BSVJDUkFGVF9SRU5ULjk5NS4zMS8wNy8yMDI2Li4uVVNELkgBAAAAIHoFAAMAAAAAAOkCGDE7794IdyvKNDvv3ghBQ0lRLk5BU0RBUTpDQUxNLklRX0VYQ0lTRV9UQVhFU19FWENMX1NBTEVTLjk5Ny4zMS8wNy8yMDI2Li4uVVNELkgBAAAAIHoFAAMAAAAAAL20FzE7794IerDNNDvv3gg8Q0lRLk5BU0RBUTpDQUxNLklRX0NVUlJfRk9SRUlHTl9UQVhFUy45OTcuMzEvMDcvMjAyNi4uLlVTRC5IAQAAACB6BQADAAAAAAC9tBcxO+/eCG5OzTQ7794IQkNJUS5OQVNEQVE6Q0FMTS5JUV9ERUZFUlJFRF9ET01FU1RJQ19UQVhFUy4xMDAwLjMxLzA3LzIwMjYuLi5VU0QuSAEAAAAgegUAAgAAAAY2Ny4zNjMB</t>
  </si>
  <si>
    <t>CAAAAAUAAAABMQEAAAALLTE4ODEwNjg2NjgDAAAAAzE2MAIAAAAEMzA1NAQAAAABMAcAAAAJNy8zMS8yMDI2CAAAAAk1LzMwLzIwMjYJAAAAATC9tBcxO+/eCFMnzTQ7794IPkNJUS5OQVNEQVE6Q0FMTS5JUV9DQVBJVEFMSVpFRF9JTlRFUkVTVC45OTYuMzEvMDcvMjAyNi4uLlVTRC5IAQAAACB6BQADAAAAAAC9tBcxO+/eCABkzDQ7794IQ0NJUS5OQVNEQVE6Q0FMTS5JUV9TVE9DS19CQVNFRF9FWFBMT1JFX0RSSUxMLjk5Ny4zMS8wNy8yMDI2Li4uVVNELkgBAAAAIHoFAAMAAAAAAM4g9jA7794I9p3HNDvv3gg+Q0lRLk5BU0RBUTpDQUxNLklRX05PTkNBU0hfUEVOU0lPTl9FWFAuMTAwMC4zMS8wNy8yMDI2Li4uVVNELkgBAAAAIHoFAAIAAAADMS4xAQgAAAAFAAAAATEBAAAACy0xODgxMDY4NjY4AwAAAAMxNjACAAAABTIxNjc4BAAAAAEwBwAAAAk3LzMxLzIwMjYIAAAACTUvMzAvMjAyNgkAAAABMMzbFzE7794I6BXMNDvv3ghAQ0lRLk5BU0RBUTpDQUxNLklRX0FOTlVfRElTVFJJQlVUSU9OX1VOSVQuOTk2LjMxLzA3LzIwMjYuLi5VU0QuSAEAAAAgegUAAwAAAAAAzNsXMTvv3gjUjMs0O+/eCDRDSVEuTkFTREFROkNBTE0uSVFfQ09NTU9OX0RJVi45OTguMzEvMDcvMjAyNi4uLlVTRC5IAQAAACB6BQACAAAABjkyLjYwNQDM2xcxO+/eCN9lyzQ7794IOENJUS5OQVNEQVE6Q0FMTS5JUV9NSU5JTVVN</t>
  </si>
  <si>
    <t>X1JFTlRBTC45OTQuMzEvMDcvMjAyNi4uLlVTRC5IAQAAACB6BQADAAAAAADpAhgxO+/eCJNSyjQ7794IOENJUS5OQVNEQVE6Q0FMTS5JUV9HQUlOX0FTU0VUU19DRi45OTYuMzEvMDcvMjAyNi4uLlVTRC5IAQAAACB6BQADAAAAAADOIPYwO+/eCAB5xTQ7794IPkNJUS5OQVNEQVE6Q0FMTS5JUV9JTVBBSVJNRU5UX0dXX1NVUFBMRS45OTQuMzEvMDcvMjAyNi4uLlVTRC5IAQAAACB6BQADAAAAAADxKRgxO+/eCDNByTQ7794INUNJUS5OQVNEQVE6Q0FMTS5JUV9JUFJEX1NVUFBMRS45OTQuMzEvMDcvMjAyNi4uLlVTRC5IAQAAACB6BQADAAAAAADxKRgxO+/eCMTyyDQ7794IO0NJUS5OQVNEQVE6Q0FMTS5JUV9ORUdBVElWRV9HV19BTU9SVC45OTcuMzEvMDcvMjAyNi4uLlVTRC5IAQAAACB6BQADAAAAAADxKRgxO+/eCN9pyDQ7794IOkNJUS5OQVNEQVE6Q0FMTS5JUV9TVE9DS19CQVNFRF9DT0dTLjk5Ni4zMS8wNy8yMDI2Li4uVVNELkgBAAAAIHoFAAMAAAAAABpRGDE7794IqxvINDvv3ggvQ0lRLk5BU0RBUTpDQUxNLklRX0NBUEVYLjk5OS4zMS8wNy8yMDI2Li4uVVNELkgBAAAAIHoFAAIAAAAILTE2MS4yNTUBCAAAAAUAAAABMQEAAAALLTE4ODEwNjg2NzUDAAAAAzE2MAIAAAAEMjAyMQQAAAABMAcAAAAJNy8zMS8yMDI2CAAAAAk1LzMxLzIwMjUJAAAAATDWR/YwO+/eCKFUwzQ7794IOENJUS5OQVNE</t>
  </si>
  <si>
    <t>QVE6Q0FMTS5JUV9TVE9DS19CQVNFRF9BVC45OTYuMzEvMDcvMjAyNi4uLlVTRC5IAQAAACB6BQADAAAAAADOIPYwO+/eCE5ixzQ7794IPkNJUS5OQVNEQVE6Q0FMTS5JUV9SRVNUUl9TVE9DS19DT01QX1RBWC45OTguMzEvMDcvMjAyNi4uLlVTRC5IAQAAACB6BQADAAAAAADOIPYwO+/eCIcAxzQ7794IO0NJUS5OQVNEQVE6Q0FMTS5JUV9HV19JTlRBTl9BTU9SVF9DRi45OTguMzEvMDcvMjAyNi4uLlVTRC5IAQAAACB6BQACAAAABTIuMTczAQgAAAAFAAAAATEBAAAACy0xODgxMDY4Njc2AwAAAAMxNjACAAAABDIxODIEAAAAATAHAAAACTcvMzEvMjAyNggAAAAINi8xLzIwMjQJAAAAATDOIPYwO+/eCNgBxjQ7794IL0NJUS5OQVNEQVE6Q0FMTS5JUV9EQV9DRi45OTYuMzEvMDcvMjAyNi4uLlVTRC5IAQAAACB6BQACAAAABjY4LjM5NQEIAAAABQAAAAExAQAAAAstMTk4NjcwODQzMwMAAAADMTYwAgAAAAQyMTYwBAAAAAEwBwAAAAk3LzMxLzIwMjYIAAAACTUvMjgvMjAyMgkAAAABMM4g9jA7794ID8fFNDvv3gg4Q0lRLk5BU0RBUTpDQUxNLklRX01JU0NfQURKVVNUX0NGLjk5OS4zMS8wNy8yMDI2Li4uVVNELkgBAAAAIHoFAAMAAAAAAPaV9jA7794IY2vANDvv3gg3Q0lRLk5BU0RBUTpDQUxNLklRX0lOQ19FUVVJVFlfQ0YuOTk2LjMxLzA3LzIwMjYuLi5VU0QuSAEAAAAgegUAAwAAAAAA1kf2MDvv3gjI</t>
  </si>
  <si>
    <t>A8U0O+/eCDhDSVEuTkFTREFROkNBTE0uSVFfT1RIRVJfT1BFUl9BQ1QuOTk4LjMxLzA3LzIwMjYuLi5VU0QuSAEAAAAgegUAAgAAAActMTIuNjg2AQgAAAAFAAAAATEBAAAACy0xODgxMDY4Njc2AwAAAAMxNjACAAAABDIwNDcEAAAAATAHAAAACTcvMzEvMjAyNggAAAAINi8xLzIwMjQJAAAAATDWR/YwO+/eCBVnxDQ7794INENJUS5OQVNEQVE6Q0FMTS5JUV9DSEFOR0VfQVIuMTAwMC4zMS8wNy8yMDI2Li4uVVNELkgBAAAAIHoFAAIAAAAHMTM5Ljc1MwEIAAAABQAAAAExAQAAAAstMTg4MTA2ODY2OAMAAAADMTYwAgAAAAQyMDE4BAAAAAEwBwAAAAk3LzMxLzIwMjYIAAAACTUvMzAvMjAyNgkAAAABMNZH9jA7794ICyzENDvv3ghGQ0lRLk5BU0RBUTpDQUxNLklRX0NIQU5HRV9PVEhFUl9ORVRfT1BFUl9BU1NFVFMuOTk0LjMxLzA3LzIwMjYuLi5VU0QuSAEAAAAgegUAAwAAAAAA1kf2MDvv3gjGj8M0O+/eCDlDSVEuTkFTREFROkNBTE0uSVFfRklOX0RJVl9ERUJUX0xULjk5NC4zMS8wNy8yMDI2Li4uVVNELkgBAAAAIHoFAAMAAAAAAHr8+jA7794I/8e3NDvv3ggzQ0lRLk5BU0RBUTpDQUxNLklRX0RJVkVTVF9DRi45OTkuMzEvMDcvMjAyNi4uLlVTRC5IAQAAACB6BQADAAAAAADmbvYwO+/eCJoGwzQ7794INUNJUS5OQVNEQVE6Q0FMTS5JUV9QUkVGX0lTU1VFRC45OTcuMzEvMDcvMjAyNi4uLlVTRC5I</t>
  </si>
  <si>
    <t>AQAAACB6BQADAAAAAADmbvYwO+/eCP6SwTQ7794INUNJUS5OQVNEQVE6Q0FMTS5JUV9QUkVGX0RJVl9DRi45OTcuMzEvMDcvMjAyNi4uLlVTRC5IAQAAACB6BQADAAAAAADmbvYwO+/eCK8wwTQ7794IQUNJUS5OQVNEQVE6Q0FMTS5JUV9PVEhFUl9GSU5BTkNFX0FDVF9TVVBQTC45OTcuMzEvMDcvMjAyNi4uLlVTRC5IAQAAACB6BQADAAAAAADmbvYwO+/eCGrOwDQ7794IN0NJUS5OQVNEQVE6Q0FMTS5JUV9JTkNfRVFVSVRZX0NGLjk5NS4zMS8wNy8yMDI2Li4uVVNELkgBAAAAIHoFAAIAAAAGLTAuNjIyAQgAAAAFAAAAATEBAAAACy0yMDM3MjQxNzIxAwAAAAMxNjACAAAABDIwODYEAAAAATAHAAAACTcvMzEvMjAyNggAAAAJNS8yOS8yMDIxCQAAAAEw1kf2MDvv3gi73MQ0O+/eCERDSVEuTkFTREFROkNBTE0uSVFfR1dfSU5UQU5fQU1PUlRfUEFSVElBTF9DRi4xMDAwLjMxLzA3LzIwMjYuLi5VU0QuSAEAAAAgegUAAwAAAAAA9pX2MDvv3gjVQ8A0O+/eCD1DSVEuTkFTREFROkNBTE0uSVFfQ0FTSF9JTlRFUkVTVF9GSU5BTi45OTguMzEvMDcvMjAyNi4uLlVTRC5IAQAAACB6BQADAAAAAABsh/owO+/eCEG8vjQ7794INUNJUS5OQVNEQVE6Q0FMTS5JUV9NQUlOVF9DQVBFWC45OTguMzEvMDcvMjAyNi4uLlVTRC5IAQAAACB6BQADAAAAAABsh/owO+/eCHNIvTQ7794IO0NJUS5OQVNEQVE6Q0FMTS5JUV9E</t>
  </si>
  <si>
    <t>RUZfVEFYX0FTU0VUU19MVC45OTkuMzEvMDcvMjAyNi4uLlVTRC5IAQAAACB6BQADAAAAAABs1fowO+/eCMDEuTQ7794INkNJUS5OQVNEQVE6Q0FMTS5JUV9DQVNIX0lOVkVTVC4xMDAwLjMxLzA3LzIwMjYuLi5VU0QuSAEAAAAgegUAAgAAAAgtNTAzLjg4NAEIAAAABQAAAAExAQAAAAstMTg4MTA2ODY2OAMAAAADMTYwAgAAAAQyMDA1BAAAAAEwBwAAAAk3LzMxLzIwMjYIAAAACTUvMzAvMjAyNgkAAAABMOZu9jA7794IdFbCNDvv3gg/Q0lRLk5BU0RBUTpDQUxNLklRX0dQUEVfRVhDTF9PUEVSX0xFQVNFUy45OTYuMzEvMDcvMjAyNi4uLlVTRC5IAQAAACB6BQACAAAACDEzNTUuNTg0AQgAAAAFAAAAATEBAAAACy0xOTg2NzA4NDMzAwAAAAMxNjACAAAABTQ4OTc0BAAAAAEwBwAAAAk3LzMxLzIwMjYIAAAACTUvMjgvMjAyMgkAAAABMFr6kDA7794IZVe0NDvv3gg7Q0lRLk5BU0RBUTpDQUxNLklRX0dXX0lOVEFOX0FNT1JUX0NGLjk5Ny4zMS8wNy8yMDI2Li4uVVNELkgBAAAAIHoFAAIAAAAFMi4yMzQBCAAAAAUAAAABMQEAAAALLTE5MzQ5Nzg0MjADAAAAAzE2MAIAAAAEMjE4MgQAAAABMAcAAAAJNy8zMS8yMDI2CAAAAAg2LzMvMjAyMwkAAAABMM4g9jA7794I2AHGNDvv3ggvQ0lRLk5BU0RBUTpDQUxNLklRX0RBX0NGLjk5NS4zMS8wNy8yMDI2Li4uVVNELkgBAAAAIHoFAAIAAAAGNTkuNDc3AQgAAAAF</t>
  </si>
  <si>
    <t>AAAAATEBAAAACy0yMDM3MjQxNzIxAwAAAAMxNjACAAAABDIxNjAEAAAAATAHAAAACTcvMzEvMjAyNggAAAAJNS8yOS8yMDIxCQAAAAEwziD2MDvv3ggBoMU0O+/eCDhDSVEuTkFTREFROkNBTE0uSVFfR0FJTl9BU1NFVFNfQ0YuOTk1LjMxLzA3LzIwMjYuLi5VU0QuSAEAAAAgegUAAgAAAAUyLjk4MgEIAAAABQAAAAExAQAAAAstMjAzNzI0MTcyMQMAAAADMTYwAgAAAAQyMDI2BAAAAAEwBwAAAAk3LzMxLzIwMjYIAAAACTUvMjkvMjAyMQkAAAABMM4g9jA7794IAHnFNDvv3gg0Q0lRLk5BU0RBUTpDQUxNLklRX05FVF9DSEFOR0UuOTk0LjMxLzA3LzIwMjYuLi5VU0QuSAEAAAAgegUAAgAAAAU4Ljg4MwEIAAAABQAAAAExAQAAAAstMjA4ODM0NzQ2OQMAAAADMTYwAgAAAAQyMDkzBAAAAAEwBwAAAAk3LzMxLzIwMjYIAAAACTUvMzAvMjAyMAkAAAABMPaV9jA7794IY2vANDvv3gg4Q0lRLk5BU0RBUTpDQUxNLklRX09USEVSX09QRVJfQUNULjk5Ny4zMS8wNy8yMDI2Li4uVVNELkgBAAAAIHoFAAIAAAAGMjEuNjg0AQgAAAAFAAAAATEBAAAACy0xOTM0OTc4NDIwAwAAAAMxNjACAAAABDIwNDcEAAAAATAHAAAACTcvMzEvMjAyNggAAAAINi8zLzIwMjMJAAAAATDWR/YwO+/eCBVnxDQ7794IOkNJUS5OQVNEQVE6Q0FMTS5JUV9DSEFOR0VfSU5WRU5UT1JZLjk5Ni4zMS8wNy8yMDI2Li4uVVNELkgBAAAAIHoF</t>
  </si>
  <si>
    <t>AAIAAAAHLTM2LjE1MgEIAAAABQAAAAExAQAAAAstMTk4NjcwODQzMwMAAAADMTYwAgAAAAQyMDk5BAAAAAEwBwAAAAk3LzMxLzIwMjYIAAAACTUvMjgvMjAyMgkAAAABMNZH9jA7794ICyzENDvv3gg1Q0lRLk5BU0RBUTpDQUxNLklRX1NBTEVfUFBFX0NGLjk5NS4zMS8wNy8yMDI2Li4uVVNELkgBAAAAIHoFAAIAAAAEMy4zOQEIAAAABQAAAAExAQAAAAstMjAzNzI0MTcyMQMAAAADMTYwAgAAAAQyMDQyBAAAAAEwBwAAAAk3LzMxLzIwMjYIAAAACTUvMjkvMjAyMQkAAAABMNZH9jA7794IoVTDNDvv3ggzQ0lRLk5BU0RBUTpDQUxNLklRX0RJVkVTVF9DRi45OTguMzEvMDcvMjAyNi4uLlVTRC5IAQAAACB6BQADAAAAAADmbvYwO+/eCJoGwzQ7794IPkNJUS5OQVNEQVE6Q0FMTS5JUV9DSEFOR0VfREVGX1RBWF9UT1RBTC45OTUuMzEvMDcvMjAyNi4uLlVTRC5IAQAAACB6BQACAAAABjIyLjM1MQEIAAAABQAAAAExAQAAAAstMjAzNzI0MTcyMQMAAAADMTYwAgAAAAUzMDkyNAQAAAABMAcAAAAJNy8zMS8yMDI2CAAAAAk1LzI5LzIwMjEJAAAAATBsh/owO+/eCJ8LvjQ7794IO0NJUS5OQVNEQVE6Q0FMTS5JUV9UT1RBTF9ERUJUX1JFUEFJRC45OTYuMzEvMDcvMjAyNi4uLlVTRC5IAQAAACB6BQACAAAABi0wLjIxNQEIAAAABQAAAAExAQAAAAstMTk4NjcwODQzMwMAAAADMTYwAgAAAAQyMTY2BAAAAAEwBwAA</t>
  </si>
  <si>
    <t>AAk3LzMxLzIwMjYIAAAACTUvMjgvMjAyMgkAAAABMOZu9jA7794IPOHBNDvv3gg1Q0lRLk5BU0RBUTpDQUxNLklRX1BSRUZfSVNTVUVELjk5Ni4zMS8wNy8yMDI2Li4uVVNELkgBAAAAIHoFAAMAAAAAAOZu9jA7794I/pLBNDvv3gg8Q0lRLk5BU0RBUTpDQUxNLklRX0NPTU1PTl9QUkVGX0RJVl9DRi45OTQuMzEvMDcvMjAyNi4uLlVTRC5IAQAAACB6BQADAAAAAADmbvYwO+/eCK8wwTQ7794IQUNJUS5OQVNEQVE6Q0FMTS5JUV9PVEhFUl9GSU5BTkNFX0FDVF9TVVBQTC45OTYuMzEvMDcvMjAyNi4uLlVTRC5IAQAAACB6BQADAAAAAADmbvYwO+/eCGrOwDQ7794IMENJUS5OQVNEQVE6Q0FMTS5JUV9HQV9FWFAuOTk5LjMxLzA3LzIwMjYuLi5VU0QuSAEAAAAgegUAAwAAAAAA6QIYMTvv3giM8Mo0O+/eCDRDSVEuTkFTREFROkNBTE0uSVFfREVQUkVfU1VQUC45OTcuMzEvMDcvMjAyNi4uLlVTRC5IAQAAACB6BQACAAAABDY5LjQBCAAAAAUAAAABMQEAAAALLTE5MzQ5Nzg0MjADAAAAAzE2MAIAAAAEMjE0MwQAAAABMAcAAAAJNy8zMS8yMDI2CAAAAAg2LzMvMjAyMwkAAAABMPaV9jA7794I1UPANDvv3ghAQ0lRLk5BU0RBUTpDQUxNLklRX0RBX0NGX0VYQ0xfT1BFUl9MRUFTRVMuOTk5LjMxLzA3LzIwMjYuLi5VU0QuSAEAAAAgegUAAgAAAAY5NC4wMjEBCAAAAAUAAAABMQEAAAALLTE4ODEwNjg2NzUDAAAA</t>
  </si>
  <si>
    <t>AzE2MAIAAAAFNDg5ODUEAAAAATAHAAAACTcvMzEvMjAyNggAAAAJNS8zMS8yMDI1CQAAAAEw9pX2MDvv3gjWzb80O+/eCDdDSVEuTkFTREFROkNBTE0uSVFfQ0FTSF9JTlRFUkVTVC45OTkuMzEvMDcvMjAyNi4uLlVTRC5IAQAAACB6BQADAAAAAABsh/owO+/eCH0xvzQ7794IPUNJUS5OQVNEQVE6Q0FMTS5JUV9DQVNIX0lOVEVSRVNUX0ZJTkFOLjk5Ny4zMS8wNy8yMDI2Li4uVVNELkgBAAAAIHoFAAMAAAAAAGyH+jA7794IQby+NDvv3gg6Q0lRLk5BU0RBUTpDQUxNLklRX1NUT0NLX0JBU0VEX0NPR1MuOTk0LjMxLzA3LzIwMjYuLi5VU0QuSAEAAAAgegUAAwAAAAAAGlEYMTvv3girG8g0O+/eCD1DSVEuTkFTREFROkNBTE0uSVFfR0FJTl9CQVJHQUlOX0FDUV9DRi45OTcuMzEvMDcvMjAyNi4uLlVTRC5IAQAAACB6BQADAAAAAABZrvowO+/eCOeXvDQ7794ILENJUS5OQVNEQVE6Q0FMTS5JUV9BUi45OTcuMzEvMDcvMjAyNi4uLlVTRC5IAQAAACB6BQACAAAABjExMC45OAEIAAAABQAAAAExAQAAAAstMTkzNDk3ODQyMAMAAAADMTYwAgAAAAQxMDIxBAAAAAEwBwAAAAk3LzMxLzIwMjYIAAAACDYvMy8yMDIzCQAAAAEwWa76MDvv3gj0Irw0O+/eCDhDSVEuTkFTREFROkNBTE0uSVFfT1RIRVJfQ0FfU1VQUEwuOTk1LjMxLzA3LzIwMjYuLi5VU0QuSAEAAAAgegUAAwAAAAAAWa76MDvv3ghg/bo0O+/eCDhD</t>
  </si>
  <si>
    <t>SVEuTkFTREFROkNBTE0uSVFfREVGX0NIQVJHRVNfTFQuOTk1LjMxLzA3LzIwMjYuLi5VU0QuSAEAAAAgegUAAwAAAAAAbNX6MDvv3gjLsLk0O+/eCDtDSVEuTkFTREFROkNBTE0uSVFfU1RPQ0tfQkFTRURfQ09NUC4xMDAwLjMxLzA3LzIwMjYuLi5VU0QuSAEAAAAgegUAAwAAAAAAziD2MDvv3ggcKcY0O+/eCDxDSVEuTkFTREFROkNBTE0uSVFfTkVUX1JFTlRBTF9FWFBfRk4uMTAwMC4zMS8wNy8yMDI2Li4uVVNELkgBAAAAIHoFAAMAAAAAAOkCGDE7794IasnKNDvv3ghCQ0lRLk5BU0RBUTpDQUxNLklRX0dBSU5fQkFSR0FJTl9BQ1FfU1VQUExFLjEwMDAuMzEvMDcvMjAyNi4uLlVTRC5IAQAAACB6BQADAAAAAADxKRgxO+/eCPW3yDQ7794IPkNJUS5OQVNEQVE6Q0FMTS5JUV9PVEhFUl9VTlVTVUFMX1NVUFBMRS45OTYuMzEvMDcvMjAyNi4uLlVTRC5IAQAAACB6BQADAAAAAADxKRgxO+/eCPCQyDQ7794IO0NJUS5OQVNEQVE6Q0FMTS5JUV9ORUdBVElWRV9HV19BTU9SVC45OTUuMzEvMDcvMjAyNi4uLlVTRC5IAQAAACB6BQADAAAAAADxKRgxO+/eCNhCyDQ7794IPkNJUS5OQVNEQVE6Q0FMTS5JUV9UQVhfQkVORUZJVF9PUFRJT05TLjEwMDAuMzEvMDcvMjAyNi4uLlVTRC5IAQAAACB6BQADAAAAAADWR/YwO+/eCLS1xDQ7794IOUNJUS5OQVNEQVE6Q0FMTS5JUV9TVE9DS19CQVNFRF9TTS4xMDAwLjMx</t>
  </si>
  <si>
    <t>LzA3LzIwMjYuLi5VU0QuSAEAAAAgegUAAwAAAAAAGlEYMTvv3ghu9Mc0O+/eCENDSVEuTkFTREFROkNBTE0uSVFfU1RPQ0tfQkFTRURfRVhQTE9SRV9EUklMTC45OTUuMzEvMDcvMjAyNi4uLlVTRC5IAQAAACB6BQADAAAAAADOIPYwO+/eCI52xzQ7794IPkNJUS5OQVNEQVE6Q0FMTS5JUV9SRVNUUl9TVE9DS19DT01QX1RBWC45OTYuMzEvMDcvMjAyNi4uLlVTRC5IAQAAACB6BQADAAAAAADOIPYwO+/eCIonxzQ7794IQUNJUS5OQVNEQVE6Q0FMTS5JUV9TVE9DS19CQVNFRF9DT01QX1BSRVRBWC45OTguMzEvMDcvMjAyNi4uLlVTRC5IAQAAACB6BQACAAAABTQuMzU4AM4g9jA7794IN3fGNDvv3gg9Q0lRLk5BU0RBUTpDQUxNLklRX1NBTEVfUkVBTF9FU1RBVEVfQ0YuOTk0LjMxLzA3LzIwMjYuLi5VU0QuSAEAAAAgegUAAwAAAAAA5m72MDvv3giaBsM0O+/eCDtDSVEuTkFTREFROkNBTE0uSVFfR1dfSU5UQU5fQU1PUlRfQ0YuOTk2LjMxLzA3LzIwMjYuLi5VU0QuSAEAAAAgegUAAwAAAAAAziD2MDvv3gjYAcY0O+/eCDBDSVEuTkFTREFROkNBTE0uSVFfREFfQ0YuMTAwMC4zMS8wNy8yMDI2Li4uVVNELkgBAAAAIHoFAAIAAAAHMTI0LjM0MgEIAAAABQAAAAExAQAAAAstMTg4MTA2ODY2OAMAAAADMTYwAgAAAAQyMTYwBAAAAAEwBwAAAAk3LzMxLzIwMjYIAAAACTUvMzAvMjAyNgkAAAABMM4g9jA7794I</t>
  </si>
  <si>
    <t>AaDFNDvv3gg4Q0lRLk5BU0RBUTpDQUxNLklRX0dBSU5fQVNTRVRTX0NGLjk5NC4zMS8wNy8yMDI2Li4uVVNELkgBAAAAIHoFAAIAAAAFMC4wODIBCAAAAAUAAAABMQEAAAALLTIwODgzNDc0NjkDAAAAAzE2MAIAAAAEMjAyNgQAAAABMAcAAAAJNy8zMS8yMDI2CAAAAAk1LzMwLzIwMjAJAAAAATDOIPYwO+/eCAB5xTQ7794IN0NJUS5OQVNEQVE6Q0FMTS5JUV9JTkNfRVFVSVRZX0NGLjk5NC4zMS8wNy8yMDI2Li4uVVNELkgBAAAAIHoFAAIAAAAGLTAuNTM0AQgAAAAFAAAAATEBAAAACy0yMDg4MzQ3NDY5AwAAAAMxNjACAAAABDIwODYEAAAAATAHAAAACTcvMzEvMjAyNggAAAAJNS8zMC8yMDIwCQAAAAEw1kf2MDvv3gi73MQ0O+/eCDVDSVEuTkFTREFROkNBTE0uSVFfUFJFRl9JU1NVRUQuOTk1LjMxLzA3LzIwMjYuLi5VU0QuSAEAAAAgegUAAwAAAAAA5m72MDvv3gi5a8E0O+/eCDhDSVEuTkFTREFROkNBTE0uSVFfT1RIRVJfT1BFUl9BQ1QuOTk2LjMxLzA3LzIwMjYuLi5VU0QuSAEAAAAgegUAAgAAAAYtMy42MzIBCAAAAAUAAAABMQEAAAALLTE5ODY3MDg0MzMDAAAAAzE2MAIAAAAEMjA0NwQAAAABMAcAAAAJNy8zMS8yMDI2CAAAAAk1LzI4LzIwMjIJAAAAATDWR/YwO+/eCBVnxDQ7794IOkNJUS5OQVNEQVE6Q0FMTS5JUV9DSEFOR0VfSU5WRU5UT1JZLjk5NS4zMS8wNy8yMDI2Li4uVVNELkgBAAAA</t>
  </si>
  <si>
    <t>IHoFAAIAAAAHLTMxLjE1OQEIAAAABQAAAAExAQAAAAstMjAzNzI0MTcyMQMAAAADMTYwAgAAAAQyMDk5BAAAAAEwBwAAAAk3LzMxLzIwMjYIAAAACTUvMjkvMjAyMQkAAAABMNZH9jA7794IFgXENDvv3ghHQ0lRLk5BU0RBUTpDQUxNLklRX0NIQU5HRV9PVEhFUl9ORVRfT1BFUl9BU1NFVFMuMTAwMC4zMS8wNy8yMDI2Li4uVVNELkgBAAAAIHoFAAIAAAAHLTMzLjAyMwEIAAAABQAAAAExAQAAAAstMTg4MTA2ODY2OAMAAAADMTYwAgAAAAQyMDQ1BAAAAAEwBwAAAAk3LzMxLzIwMjYIAAAACTUvMzAvMjAyNgkAAAABMNZH9jA7794Ixo/DNDvv3gg1Q0lRLk5BU0RBUTpDQUxNLklRX1NBTEVfUFBFX0NGLjk5NC4zMS8wNy8yMDI2Li4uVVNELkgBAAAAIHoFAAIAAAAFMy4zMDYBCAAAAAUAAAABMQEAAAALLTIwODgzNDc0NjkDAAAAAzE2MAIAAAAEMjA0MgQAAAABMAcAAAAJNy8zMS8yMDI2CAAAAAk1LzMwLzIwMjAJAAAAATDWR/YwO+/eCKFUwzQ7794IN0NJUS5OQVNEQVE6Q0FMTS5JUV9DQVNIX0lOVEVSRVNULjk5Ny4zMS8wNy8yMDI2Li4uVVNELkgBAAAAIHoFAAMAAAAAAGyH+jA7794IfTG/NDvv3gg8Q0lRLk5BU0RBUTpDQUxNLklRX0lOVkVTVF9TRUNVUklUWV9DRi45OTkuMzEvMDcvMjAyNi4uLlVTRC5IAQAAACB6BQACAAAACC0zMDEuOTAzAQgAAAAFAAAAATEBAAAACy0xODgxMDY4Njc1AwAAAAMx</t>
  </si>
  <si>
    <t>NjACAAAABDIwMjcEAAAAATAHAAAACTcvMzEvMjAyNggAAAAJNS8zMS8yMDI1CQAAAAEw5m72MDvv3ghGpMI0O+/eCDVDSVEuTkFTREFROkNBTE0uSVFfQ0FTSF9JTlZFU1QuOTk4LjMxLzA3LzIwMjYuLi5VU0QuSAEAAAAgegUAAgAAAAgtNDEyLjU4NgEIAAAABQAAAAExAQAAAAstMTg4MTA2ODY3NgMAAAADMTYwAgAAAAQyMDA1BAAAAAEwBwAAAAk3LzMxLzIwMjYIAAAACDYvMS8yMDI0CQAAAAEw5m72MDvv3gh0VsI0O+/eCDtDSVEuTkFTREFROkNBTE0uSVFfVE9UQUxfREVCVF9JU1NVRUQuOTk5LjMxLzA3LzIwMjYuLi5VU0QuSAEAAAAgegUAAwAAAAAA5m72MDvv3gj2B8I0O+/eCDtDSVEuTkFTREFROkNBTE0uSVFfVE9UQUxfREVCVF9SRVBBSUQuOTk1LjMxLzA3LzIwMjYuLi5VU0QuSAEAAAAgegUAAgAAAAYtMC4yMDUBCAAAAAUAAAABMQEAAAALLTIwMzcyNDE3MjEDAAAAAzE2MAIAAAAEMjE2NgQAAAABMAcAAAAJNy8zMS8yMDI2CAAAAAk1LzI5LzIwMjEJAAAAATDmbvYwO+/eCFa6wTQ7794IMENJUS5OQVNEQVE6Q0FMTS5JUV9FQklUREEuOTk0LjMxLzA3LzIwMjYuLi5VU0QuSAEAAAAgegUAAgAAAAY1OS40NTQBCAAAAAUAAAABMQEAAAALLTIwODgzNDc0NjkDAAAAAzE2MAIAAAAENDA1MQQAAAABMAcAAAAJNy8zMS8yMDI2CAAAAAk1LzMwLzIwMjAJAAAAATDq5ooxO+/eCDJQ0TQ7794IQUNJ</t>
  </si>
  <si>
    <t>US5OQVNEQVE6Q0FMTS5JUV9PVEhFUl9GSU5BTkNFX0FDVF9TVVBQTC45OTQuMzEvMDcvMjAyNi4uLlVTRC5IAQAAACB6BQACAAAABi0wLjc1NQEIAAAABQAAAAExAQAAAAstMjA4ODM0NzQ2OQMAAAADMTYwAgAAAAQyMDUwBAAAAAEwBwAAAAk3LzMxLzIwMjYIAAAACTUvMzAvMjAyMAkAAAABMOZu9jA7794Ias7ANDvv3gg0Q0lRLk5BU0RBUTpDQUxNLklRX05FVF9DSEFOR0UuOTk5LjMxLzA3LzIwMjYuLi5VU0QuSAEAAAAgegUAAgAAAAcyNjIuNTQxAQgAAAAFAAAAATEBAAAACy0xODgxMDY4Njc1AwAAAAMxNjACAAAABDIwOTMEAAAAATAHAAAACTcvMzEvMjAyNggAAAAJNS8zMS8yMDI1CQAAAAEw9pX2MDvv3ghja8A0O+/eCDRDSVEuTkFTREFROkNBTE0uSVFfREVQUkVfU1VQUC45OTYuMzEvMDcvMjAyNi4uLlVTRC5IAQAAACB6BQACAAAABDY1LjgBCAAAAAUAAAABMQEAAAALLTE5ODY3MDg0MzMDAAAAAzE2MAIAAAAEMjE0MwQAAAABMAcAAAAJNy8zMS8yMDI2CAAAAAk1LzI4LzIwMjIJAAAAATD2lfYwO+/eCAsJwDQ7794IQENJUS5OQVNEQVE6Q0FMTS5JUV9EQV9DRl9FWENMX09QRVJfTEVBU0VTLjk5Ny4zMS8wNy8yMDI2Li4uVVNELkgBAAAAIHoFAAIAAAAGNzIuMjM0AQgAAAAFAAAAATEBAAAACy0xOTM0OTc4NDIwAwAAAAMxNjACAAAABTQ4OTg1BAAAAAEwBwAAAAk3LzMxLzIwMjYIAAAACDYv</t>
  </si>
  <si>
    <t>My8yMDIzCQAAAAEw9pX2MDvv3gjWzb80O+/eCDlDSVEuTkFTREFROkNBTE0uSVFfRUJJVEFfRVhDTF9TQkMuMTAwMC4zMS8wNy8yMDI2Li4uVVNELkgBAAAAIHoFAAIAAAAHMzU1Ljg3NAEIAAAABQAAAAExAQAAAAstMTg4MTA2ODY2OAMAAAADMTYwAgAAAAUyNDEzNgQAAAABMAcAAAAJNy8zMS8yMDI2CAAAAAk1LzMwLzIwMjYJAAAAATCqjRcxO+/eCBZJzzQ7794IPUNJUS5OQVNEQVE6Q0FMTS5JUV9DQVNIX0lOVEVSRVNUX0ZJTkFOLjk5NS4zMS8wNy8yMDI2Li4uVVNELkgBAAAAIHoFAAMAAAAAAGyH+jA7794IQby+NDvv3ggtQ0lRLk5BU0RBUTpDQUxNLklRX0FSLjEwMDAuMzEvMDcvMjAyNi4uLlVTRC5IAQAAACB6BQACAAAABzEzNi4yNDkBCAAAAAUAAAABMQEAAAALLTE4ODEwNjg2NjgDAAAAAzE2MAIAAAAEMTAyMQQAAAABMAcAAAAJNy8zMS8yMDI2CAAAAAk1LzMwLzIwMjYJAAAAATBZrvowO+/eCPQivDQ7794IOENJUS5OQVNEQVE6Q0FMTS5JUV9PVEhFUl9DQV9TVVBQTC45OTguMzEvMDcvMjAyNi4uLlVTRC5IAQAAACB6BQADAAAAAABs1fowO+/eCFLWujQ7794IQkNJUS5OQVNEQVE6Q0FMTS5JUV9GSU5BTkNFX0xFQVNFU19MT05HX1RFUk0uOTk3LjMxLzA3LzIwMjYuLi5VU0QuSAEAAAAgegUAAwAAAAAAYjWRMDvv3gg44rM0O+/eCDpDSVEuTkFTREFROkNBTE0uSVFfSU5URVJFU1RfSU5D</t>
  </si>
  <si>
    <t>T01FLjEwMDAuMzEvMDcvMjAyNi4uLlVTRC5IAQAAACB6BQACAAAABjU4LjQwMQEIAAAABQAAAAExAQAAAAstMTg4MTA2ODY2OAMAAAADMTYwAgAAAAMyMTAEAAAAATAHAAAACTcvMzEvMjAyNggAAAAJNS8zMC8yMDI2CQAAAAEwvbQXMTvv3gh6sM00O+/eCDhDSVEuTkFTREFROkNBTE0uSVFfRUJJVERBX0VRX0lOQy4xMDAwLjMxLzA3LzIwMjYuLi5VU0QuSAEAAAAgegUAAgAAAAc0NjYuMzk0AQgAAAAFAAAAATEBAAAACy0xODgxMDY4NjY4AwAAAAMxNjACAAAABTIxNjc3BAAAAAEwBwAAAAk3LzMxLzIwMjYIAAAACTUvMzAvMjAyNgkAAAABMOrmijE7794I5CjRNDvv3ghBQ0lRLk5BU0RBUTpDQUxNLklRX0xFQVNFX0FESlVTVE1FTlRfRUJJVERBLjk5OC4zMS8wNy8yMDI2Li4uVVNELkgBAAAAIHoFAAMAAAAAAOrmijE7794I8p/QNDvv3gg+Q0lRLk5BU0RBUTpDQUxNLklRX0VCSVRfRVFfSU5DX0VYQ0xfU0JDLjk5Ni4zMS8wNy8yMDI2Li4uVVNELkgBAAAAIHoFAAIAAAAHMTQ0LjQzNAEIAAAABQAAAAExAQAAAAstMTk4NjcwODQzMwMAAAADMTYwAgAAAAUyNDEzMAQAAAABMAcAAAAJNy8zMS8yMDI2CAAAAAk1LzI4LzIwMjIJAAAAATCM+ooxO+/eCKJX0DQ7794IP0NJUS5OQVNEQVE6Q0FMTS5JUV9FQklUQV9FUV9JTkNfRVhDTF9TQkMuOTk0LjMxLzA3LzIwMjYuLi5VU0QuSAEAAAAgegUAAgAAAAU4</t>
  </si>
  <si>
    <t>LjQwMgEIAAAABQAAAAExAQAAAAstMjA4ODM0NzQ2OQMAAAADMTYwAgAAAAUyNDEzMgQAAAABMAcAAAAJNy8zMS8yMDI2CAAAAAk1LzMwLzIwMjAJAAAAATCqjRcxO+/eCGqXzzQ7794IM0NJUS5OQVNEQVE6Q0FMTS5JUV9EQV9FQklUREEuOTk1LjMxLzA3LzIwMjYuLi5VU0QuSAEAAAAgegUAAgAAAAY1OS40NzcBCAAAAAUAAAABMQEAAAALLTIwMzcyNDE3MjEDAAAAAzE2MAIAAAAEMjIwNgQAAAABMAcAAAAJNy8zMS8yMDI2CAAAAAk1LzI5LzIwMjEJAAAAATDM2xcxO+/eCOwBzDQ7794IOENJUS5OQVNEQVE6Q0FMTS5JUV9FQklUREFSX0VRX0lOQy45OTQuMzEvMDcvMjAyNi4uLlVTRC5IAQAAACB6BQADAAAAAACqjRcxO+/eCL7VzjQ7794IOkNJUS5OQVNEQVE6Q0FMTS5JUV9FQklUREFSX0VYQ0xfU0JDLjk5OC4zMS8wNy8yMDI2Li4uVVNELkgBAAAAIHoFAAMAAAAAAKqNFzE7794ItK7ONDvv3gg/Q0lRLk5BU0RBUTpDQUxNLklRX1RPVEFMX1JFVl9BU19SRVBPUlRFRC45OTYuMzEvMDcvMjAyNi4uLlVTRC5IAQAAACB6BQADAAAAAAC9tBcxO+/eCHRgzjQ7794IQ0NJUS5OQVNEQVE6Q0FMTS5JUV9FQVJOSU5HX1BBUkVOVF9FWENMX0VYVFJBLjk5Ni4zMS8wNy8yMDI2Li4uVVNELkgBAAAAIHoFAAIAAAAGMTMyLjY1AQgAAAAFAAAAATEBAAAACy0xOTg2NzA4NDMzAwAAAAMxNjACAAAABTQxNTk2BAAA</t>
  </si>
  <si>
    <t>AAEwBwAAAAk3LzMxLzIwMjYIAAAACTUvMjgvMjAyMgkAAAABML20FzE7794IiNfNNDvv3gg7Q0lRLk5BU0RBUTpDQUxNLklRX05FVF9SRU5UQUxfRVhQX0ZOLjk5OS4zMS8wNy8yMDI2Li4uVVNELkgBAAAAIHoFAAMAAAAAAOkCGDE7794IasnKNDvv3ghBQ0lRLk5BU0RBUTpDQUxNLklRX0VYQ0lTRV9UQVhFU19FWENMX1NBTEVTLjk5NC4zMS8wNy8yMDI2Li4uVVNELkgBAAAAIHoFAAMAAAAAAL20FzE7794INYnNNDvv3gg9Q0lRLk5BU0RBUTpDQUxNLklRX0NVUlJfRE9NRVNUSUNfVEFYRVMuOTk4LjMxLzA3LzIwMjYuLi5VU0QuSAEAAAAgegUAAgAAAAY5My4zNjEBCAAAAAUAAAABMQEAAAALLTE4ODEwNjg2NzYDAAAAAzE2MAIAAAAEMzAyNwQAAAABMAcAAAAJNy8zMS8yMDI2CAAAAAg2LzEvMjAyNAkAAAABML20FzE7794Ibk7NNDvv3ghAQ0lRLk5BU0RBUTpDQUxNLklRX0RFRkVSUkVEX0ZPUkVJR05fVEFYRVMuOTk0LjMxLzA3LzIwMjYuLi5VU0QuSAEAAAAgegUAAwAAAAAAvbQXMTvv3ghBAM00O+/eCD5DSVEuTkFTREFROkNBTE0uSVFfREVGRVJSRURfVEFYRVNfVE9UQUwuOTk5LjMxLzA3LzIwMjYuLi5VU0QuSAEAAAAgegUAAgAAAAUxMS41NwEIAAAABQAAAAExAQAAAAstMTg4MTA2ODY3NQMAAAADMTYwAgAAAAUzNTM4NQQAAAABMAcAAAAJNy8zMS8yMDI2CAAAAAk1LzMxLzIwMjUJAAAAATC9</t>
  </si>
  <si>
    <t>tBcxO+/eCDTZzDQ7794IO0NJUS5OQVNEQVE6Q0FMTS5JUV9ORUdBVElWRV9HV19BTU9SVC45OTQuMzEvMDcvMjAyNi4uLlVTRC5IAQAAACB6BQADAAAAAADxKRgxO+/eCNhCyDQ7794IPENJUS5OQVNEQVE6Q0FMTS5JUV9ESVNUUklCVVRBQkxFX0NBU0guOTk5LjMxLzA3LzIwMjYuLi5VU0QuSAEAAAAgegUAAwAAAAAAzNsXMTvv3gjo2ss0O+/eCC1DSVEuTkFTREFROkNBTE0uSVFfRElDLjk5NS4zMS8wNy8yMDI2Li4uVVNELkgBAAAAIHoFAAMAAAAAAOkCGDE7794I1IzLNDvv3ggzQ0lRLk5BU0RBUTpDQUxNLklRX01BUktFVElORy45OTguMzEvMDcvMjAyNi4uLlVTRC5IAQAAACB6BQADAAAAAADpAhgxO+/eCJw+yzQ7794IMENJUS5OQVNEQVE6Q0FMTS5JUV9HQV9FWFAuOTk4LjMxLzA3LzIwMjYuLi5VU0QuSAEAAAAgegUAAwAAAAAA6QIYMTvv3giM8Mo0O+/eCC9DSVEuTkFTREFROkNBTE0uSVFfTklfQ0YuOTk3LjMxLzA3LzIwMjYuLi5VU0QuSAEAAAAgegUAAgAAAAc3NTguMDI0AQgAAAAFAAAAATEBAAAACy0xOTM0OTc4NDIwAwAAAAMxNjACAAAABDIxNTAEAAAAATAHAAAACTcvMzEvMjAyNggAAAAINi8zLzIwMjMJAAAAATDOIPYwO+/eCBwpxjQ7794IQENJUS5OQVNEQVE6Q0FMTS5JUV9ORVRfUkVOVEFMX0VYUF9TVVBQTEUuMTAwMC4zMS8wNy8yMDI2Li4uVVNELkgBAAAAIHoFAAMAAAAAAOkC</t>
  </si>
  <si>
    <t>GDE7794IYKLKNDvv3gg4Q0lRLk5BU0RBUTpDQUxNLklRX0FJUkNSQUZUX1JFTlQuMTAwMC4zMS8wNy8yMDI2Li4uVVNELkgBAAAAIHoFAAMAAAAAAOkCGDE7794IdyvKNDvv3ghBQ0lRLk5BU0RBUTpDQUxNLklRX0dBSU5fQkFSR0FJTl9BQ1FfU1VQUExFLjk5OS4zMS8wNy8yMDI2Li4uVVNELkgBAAAAIHoFAAMAAAAAAPEpGDE7794I9bfINDvv3gg+Q0lRLk5BU0RBUTpDQUxNLklRX09USEVSX1VOVVNVQUxfU1VQUExFLjk5NS4zMS8wNy8yMDI2Li4uVVNELkgBAAAAIHoFAAMAAAAAAPEpGDE7794I8JDINDvv3gg6Q0lRLk5BU0RBUTpDQUxNLklRX0NIQU5HRV9JTlZFTlRPUlkuOTk0LjMxLzA3LzIwMjYuLi5VU0QuSAEAAAAgegUAAgAAAAYtOS43MDQBCAAAAAUAAAABMQEAAAALLTIwODgzNDc0NjkDAAAAAzE2MAIAAAAEMjA5OQQAAAABMAcAAAAJNy8zMS8yMDI2CAAAAAk1LzMwLzIwMjAJAAAAATDWR/YwO+/eCBYFxDQ7794IOENJUS5OQVNEQVE6Q0FMTS5JUV9TVE9DS19CQVNFRF9HQS45OTYuMzEvMDcvMjAyNi4uLlVTRC5IAQAAACB6BQADAAAAAAAaURgxO+/eCG70xzQ7794IQ0NJUS5OQVNEQVE6Q0FMTS5JUV9TVE9DS19CQVNFRF9FWFBMT1JFX0RSSUxMLjk5NC4zMS8wNy8yMDI2Li4uVVNELkgBAAAAIHoFAAMAAAAAAM4g9jA7794IjnbHNDvv3gg+Q0lRLk5BU0RBUTpDQUxNLklRX1JFU1RSX1NU</t>
  </si>
  <si>
    <t>T0NLX0NPTVBfVEFYLjk5NC4zMS8wNy8yMDI2Li4uVVNELkgBAAAAIHoFAAMAAAAAAM4g9jA7794IhwDHNDvv3ghBQ0lRLk5BU0RBUTpDQUxNLklRX1NUT0NLX0JBU0VEX0NPTVBfUFJFVEFYLjk5Ny4zMS8wNy8yMDI2Li4uVVNELkgBAAAAIHoFAAIAAAAFNC4yMDUAziD2MDvv3gg3d8Y0O+/eCDtDSVEuTkFTREFROkNBTE0uSVFfVE9UQUxfREVCVF9SRVBBSUQuOTk0LjMxLzA3LzIwMjYuLi5VU0QuSAEAAAAgegUAAgAAAAYtMS42OTYBCAAAAAUAAAABMQEAAAALLTIwODgzNDc0NjkDAAAAAzE2MAIAAAAEMjE2NgQAAAABMAcAAAAJNy8zMS8yMDI2CAAAAAk1LzMwLzIwMjAJAAAAATDmbvYwO+/eCFa6wTQ7794IO0NJUS5OQVNEQVE6Q0FMTS5JUV9HV19JTlRBTl9BTU9SVF9DRi45OTUuMzEvMDcvMjAyNi4uLlVTRC5IAQAAACB6BQADAAAAAADOIPYwO+/eCCruxTQ7794INUNJUS5OQVNEQVE6Q0FMTS5JUV9PVEhFUl9BTU9SVC45OTcuMzEvMDcvMjAyNi4uLlVTRC5IAQAAACB6BQADAAAAAADOIPYwO+/eCA/HxTQ7794IO0NJUS5OQVNEQVE6Q0FMTS5JUV9QUk9WX0JBRF9ERUJUU19DRi45OTcuMzEvMDcvMjAyNi4uLlVTRC5IAQAAACB6BQADAAAAAADWR/YwO+/eCLS1xDQ7794IOENJUS5OQVNEQVE6Q0FMTS5JUV9PVEhFUl9PUEVSX0FDVC45OTUuMzEvMDcvMjAyNi4uLlVTRC5IAQAAACB6BQACAAAABjIx</t>
  </si>
  <si>
    <t>Ljg0MQEIAAAABQAAAAExAQAAAAstMjAzNzI0MTcyMQMAAAADMTYwAgAAAAQyMDQ3BAAAAAEwBwAAAAk3LzMxLzIwMjYIAAAACTUvMjkvMjAyMQkAAAABMNZH9jA7794IFWfENDvv3gg3Q0lRLk5BU0RBUTpDQUxNLklRX0NBU0hfSU5URVJFU1QuOTk1LjMxLzA3LzIwMjYuLi5VU0QuSAEAAAAgegUAAgAAAAUwLjUwOAEIAAAABQAAAAExAQAAAAstMjAzNzI0MTcyMQMAAAADMTYwAgAAAAQzMDI4BAAAAAEwBwAAAAk3LzMxLzIwMjYIAAAACTUvMjkvMjAyMQkAAAABMDVg+jA7794IfTG/NDvv3gg8Q0lRLk5BU0RBUTpDQUxNLklRX0NIQU5HRV9VTkVBUk5fUkVWLjEwMDAuMzEvMDcvMjAyNi4uLlVTRC5IAQAAACB6BQADAAAAAADWR/YwO+/eCAjewzQ7794IRkNJUS5OQVNEQVE6Q0FMTS5JUV9DSEFOR0VfT1RIRVJfTkVUX09QRVJfQVNTRVRTLjk5OS4zMS8wNy8yMDI2Li4uVVNELkgBAAAAIHoFAAIAAAAGLTUuMzM0AQgAAAAFAAAAATEBAAAACy0xODgxMDY4Njc1AwAAAAMxNjACAAAABDIwNDUEAAAAATAHAAAACTcvMzEvMjAyNggAAAAJNS8zMS8yMDI1CQAAAAEw1kf2MDvv3gjGj8M0O+/eCDxDSVEuTkFTREFROkNBTE0uSVFfSU5WRVNUX1NFQ1VSSVRZX0NGLjk5OC4zMS8wNy8yMDI2Li4uVVNELkgBAAAAIHoFAAIAAAAILTIxMS45OTYBCAAAAAUAAAABMQEAAAALLTE4ODEwNjg2NzYDAAAAAzE2MAIAAAAE</t>
  </si>
  <si>
    <t>MjAyNwQAAAABMAcAAAAJNy8zMS8yMDI2CAAAAAg2LzEvMjAyNAkAAAABMOZu9jA7794IRqTCNDvv3gg7Q0lRLk5BU0RBUTpDQUxNLklRX1RPVEFMX0RFQlRfSVNTVUVELjk5OC4zMS8wNy8yMDI2Li4uVVNELkgBAAAAIHoFAAMAAAAAAOZu9jA7794I9gfCNDvv3ggxQ0lRLk5BU0RBUTpDQUxNLklRX1BFTlNJT04uOTk1LjMxLzA3LzIwMjYuLi5VU0QuSAEAAAAgegUAAwAAAAAAevz6MDvv3gjaebc0O+/eCDZDSVEuTkFTREFROkNBTE0uSVFfUFJFRl9JU1NVRUQuMTAwMC4zMS8wNy8yMDI2Li4uVVNELkgBAAAAIHoFAAMAAAAAAOZu9jA7794I/pLBNDvv3ghCQ0lRLk5BU0RBUTpDQUxNLklRX09USEVSX0ZJTkFOQ0VfQUNUX1NVUFBMLjEwMDAuMzEvMDcvMjAyNi4uLlVTRC5IAQAAACB6BQADAAAAAAD2lfYwO+/eCGrOwDQ7794INENJUS5OQVNEQVE6Q0FMTS5JUV9ORVRfQ0hBTkdFLjk5OC4zMS8wNy8yMDI2Li4uVVNELkgBAAAAIHoFAAIAAAAHLTU0Ljk0NgEIAAAABQAAAAExAQAAAAstMTg4MTA2ODY3NgMAAAADMTYwAgAAAAQyMDkzBAAAAAEwBwAAAAk3LzMxLzIwMjYIAAAACDYvMS8yMDI0CQAAAAEw9pX2MDvv3ghja8A0O+/eCEBDSVEuTkFTREFROkNBTE0uSVFfREFfQ0ZfRVhDTF9PUEVSX0xFQVNFUy45OTYuMzEvMDcvMjAyNi4uLlVTRC5IAQAAACB6BQACAAAABjY4LjM5NQEIAAAABQAAAAExAQAA</t>
  </si>
  <si>
    <t>AAstMTk4NjcwODQzMwMAAAADMTYwAgAAAAU0ODk4NQQAAAABMAcAAAAJNy8zMS8yMDI2CAAAAAk1LzI4LzIwMjIJAAAAATD2lfYwO+/eCJimvzQ7794INENJUS5OQVNEQVE6Q0FMTS5JUV9ERVBSRV9TVVBQLjk5OC4zMS8wNy8yMDI2Li4uVVNELkgBAAAAIHoFAAIAAAAENzcuMgEIAAAABQAAAAExAQAAAAstMTg4MTA2ODY3NgMAAAADMTYwAgAAAAQyMTQzBAAAAAEwBwAAAAk3LzMxLzIwMjYIAAAACDYvMS8yMDI0CQAAAAEw9pX2MDvv3ggLCcA0O+/eCDdDSVEuTkFTREFROkNBTE0uSVFfRE9fRklOQU5DRV9DRi45OTcuMzEvMDcvMjAyNi4uLlVTRC5IAQAAACB6BQADAAAAAABsh/owO+/eCHNIvTQ7794INkNJUS5OQVNEQVE6Q0FMTS5JUV9PVEhFUl9SRUNFSVYuOTk2LjMxLzA3LzIwMjYuLi5VU0QuSAEAAAAgegUAAgAAAAY1MC4yOTUBCAAAAAUAAAABMQEAAAALLTE5ODY3MDg0MzMDAAAAAzE2MAIAAAAEMTIwNgQAAAABMAcAAAAJNy8zMS8yMDI2CAAAAAk1LzI4LzIwMjIJAAAAATBZrvowO+/eCPQivDQ7794IMkNJUS5OQVNEQVE6Q0FMTS5JUV9UT1RBTF9DQS45OTQuMzEvMDcvMjAyNi4uLlVTRC5IAQAAACB6BQACAAAABzUyMi4yNTEBCAAAAAUAAAABMQEAAAALLTIwODgzNDc0NjkDAAAAAzE2MAIAAAAEMTAwOAQAAAABMAcAAAAJNy8zMS8yMDI2CAAAAAk1LzMwLzIwMjAJAAAAATBs1fowO+/eCGD9</t>
  </si>
  <si>
    <t>ujQ7794IOUNJUS5OQVNEQVE6Q0FMTS5JUV9PVEhFUl9MVF9BU1NFVFMuOTk4LjMxLzA3LzIwMjYuLi5VU0QuSAEAAAAgegUAAgAAAAYxMi43MjEBCAAAAAUAAAABMQEAAAALLTE4ODEwNjg2NzYDAAAAAzE2MAIAAAAEMTA2MAQAAAABMAcAAAAJNy8zMS8yMDI2CAAAAAg2LzEvMjAyNAkAAAABMGzV+jA7794Ilom5NDvv3ghDQ0lRLk5BU0RBUTpDQUxNLklRX05PTlJFQ1VSUklOR19JTkNPTUVfVEFYRVMuOTk1LjMxLzA3LzIwMjYuLi5VU0QuSAEAAAAgegUAAwAAAAAAvbQXMTvv3gg02cw0O+/eCDtDSVEuTkFTREFROkNBTE0uSVFfVE9UQUxfT1BFUl9MRUFTRVMuOTk4LjMxLzA3LzIwMjYuLi5VU0QuSAEAAAAgegUAAwAAAAAAYjWRMDvv3ggiWbM0O+/eCDVDSVEuTkFTREFROkNBTE0uSVFfUFJFRl9JU1NVRUQuOTk5LjMxLzA3LzIwMjYuLi5VU0QuSAEAAAAgegUAAwAAAAAA5m72MDvv3gj+ksE0O+/eCEFDSVEuTkFTREFROkNBTE0uSVFfT1RIRVJfRklOQU5DRV9BQ1RfU1VQUEwuOTk5LjMxLzA3LzIwMjYuLi5VU0QuSAEAAAAgegUAAwAAAAAA9pX2MDvv3ghqzsA0O+/eCDRDSVEuTkFTREFROkNBTE0uSVFfTkVUX0NIQU5HRS45OTcuMzEvMDcvMjAyNi4uLlVTRC5IAQAAACB6BQACAAAABjIzMy43NAEIAAAABQAAAAExAQAAAAstMTkzNDk3ODQyMAMAAAADMTYwAgAAAAQyMDkzBAAAAAEwBwAAAAk3LzMx</t>
  </si>
  <si>
    <t>LzIwMjYIAAAACDYvMy8yMDIzCQAAAAEw9pX2MDvv3ghja8A0O+/eCDtDSVEuTkFTREFROkNBTE0uSVFfTkVUX1JFTlRBTF9FWFBfRk4uOTk3LjMxLzA3LzIwMjYuLi5VU0QuSAEAAAAgegUAAwAAAAAA6QIYMTvv3ghqyco0O+/eCERDSVEuTkFTREFROkNBTE0uSVFfQ0hBTkdFX05FVF9XT1JLSU5HX0NBUElUQUwuOTk3LjMxLzA3LzIwMjYuLi5VU0QuSAEAAAAgegUAAgAAAAYtOC4wNTIBCAAAAAUAAAABMQEAAAALLTE5MzQ5Nzg0MjADAAAAAzE2MAIAAAAENDQyMQQAAAABMAcAAAAJNy8zMS8yMDI2CAAAAAg2LzMvMjAyMwkAAAABMGyH+jA7794Inwu+NDvv3gg3Q0lRLk5BU0RBUTpDQUxNLklRX0RPX0ZJTkFOQ0VfQ0YuOTk0LjMxLzA3LzIwMjYuLi5VU0QuSAEAAAAgegUAAwAAAAAAbIf6MDvv3giwIb00O+/eCDZDSVEuTkFTREFROkNBTE0uSVFfT1RIRVJfUkVDRUlWLjk5Ny4zMS8wNy8yMDI2Li4uVVNELkgBAAAAIHoFAAIAAAAGNzYuMjMzAQgAAAAFAAAAATEBAAAACy0xOTM0OTc4NDIwAwAAAAMxNjACAAAABDEyMDYEAAAAATAHAAAACTcvMzEvMjAyNggAAAAINi8zLzIwMjMJAAAAATBZrvowO+/eCM77uzQ7794INENJUS5OQVNEQVE6Q0FMTS5JUV9DVVJSX1RBWEVTLjk5OS4zMS8wNy8yMDI2Li4uVVNELkgBAAAAIHoFAAIAAAAGMzczLjM0AQgAAAAFAAAAATEBAAAACy0xODgxMDY4Njc1AwAAAAMx</t>
  </si>
  <si>
    <t>NjACAAAABTM1MzgzBAAAAAEwBwAAAAk3LzMxLzIwMjYIAAAACTUvMzEvMjAyNQkAAAABML20FzE7794IUyfNNDvv3gg/Q0lRLk5BU0RBUTpDQUxNLklRX0lNUFVUX09QRVJfTEVBU0VfREVQUi45OTcuMzEvMDcvMjAyNi4uLlVTRC5IAQAAACB6BQADAAAAAADxKRgxO+/eCEmPyTQ7794IMkNJUS5OQVNEQVE6Q0FMTS5JUV9ESUxVVF9OSS45OTcuMzEvMDcvMjAyNi4uLlVTRC5IAQAAACB6BQACAAAACTc1Ny45MDM2OAEIAAAABQAAAAExAQAAAAstMTkzNDk3ODQyMAMAAAADMTYwAgAAAAQzNTIyBAAAAAEwBwAAAAk3LzMxLzIwMjYIAAAACDYvMy8yMDIzCQAAAAEwvbQXMTvv3ggtssw0O+/eCElDSVEuTkFTREFROkNBTE0uSVFfRElTVFJJQlVUQUJMRV9DQVNIX1NUQU5EQVJESVpFRC45OTUuMzEvMDcvMjAyNi4uLlVTRC5IAQAAACB6BQADAAAAAADM2xcxO+/eCMSzyzQ7794IM0NJUS5OQVNEQVE6Q0FMTS5JUV9NQVJLRVRJTkcuOTk1LjMxLzA3LzIwMjYuLi5VU0QuSAEAAAAgegUAAwAAAAAA6QIYMTvv3gicPss0O+/eCDBDSVEuTkFTREFROkNBTE0uSVFfR0FfRVhQLjk5Ni4zMS8wNy8yMDI2Li4uVVNELkgBAAAAIHoFAAMAAAAAAOkCGDE7794IlhfLNDvv3gg4Q0lRLk5BU0RBUTpDQUxNLklRX1NUT0NLX0JBU0VEX1JELjk5Ni4zMS8wNy8yMDI2Li4uVVNELkgBAAAAIHoFAAMAAAAAABpRGDE7794IqxvI</t>
  </si>
  <si>
    <t>NDvv3gg/Q0lRLk5BU0RBUTpDQUxNLklRX05FVF9SRU5UQUxfRVhQX1NVUFBMRS45OTguMzEvMDcvMjAyNi4uLlVTRC5IAQAAACB6BQADAAAAAADpAhgxO+/eCKd5yjQ7794INkNJUS5OQVNEQVE6Q0FMTS5JUV9PVEhFUl9SRU5UQUwuOTk1LjMxLzA3LzIwMjYuLi5VU0QuSAEAAAAgegUAAwAAAAAA6QIYMTvv3giTUso0O+/eCERDSVEuTkFTREFROkNBTE0uSVFfREVQUkVDSUFUSU9OX1JFTlRBTF9BU1NFVFMuOTk2LjMxLzA3LzIwMjYuLi5VU0QuSAEAAAAgegUAAwAAAAAA6QIYMTvv3gh3K8o0O+/eCDZDSVEuTkFTREFROkNBTE0uSVFfTUFJTlRfUkVQQUlSLjk5Ni4zMS8wNy8yMDI2Li4uVVNELkgBAAAAIHoFAAMAAAAAAPEpGDE7794IZd3JNDvv3gg3Q0lRLk5BU0RBUTpDQUxNLklRX0lOQ19FUVVJVFlfQ0YuOTk5LjMxLzA3LzIwMjYuLi5VU0QuSAEAAAAgegUAAwAAAAAA1kf2MDvv3gi73MQ0O+/eCDxDSVEuTkFTREFROkNBTE0uSVFfUkVTVFJVQ1RVUkVfU1VQUExFLjk5OC4zMS8wNy8yMDI2Li4uVVNELkgBAAAAIHoFAAMAAAAAAPEpGDE7794IJWjJNDvv3gg+Q0lRLk5BU0RBUTpDQUxNLklRX0lNUEFJUk1FTlRfR1dfU1VQUExFLjk5OS4zMS8wNy8yMDI2Li4uVVNELkgBAAAAIHoFAAMAAAAAAPEpGDE7794IMhrJNDvv3gg1Q0lRLk5BU0RBUTpDQUxNLklRX0lQUkRfU1VQUExFLjk5Ny4zMS8wNy8y</t>
  </si>
  <si>
    <t>MDI2Li4uVVNELkgBAAAAIHoFAAMAAAAAAPEpGDE7794IxPLINDvv3gg7Q0lRLk5BU0RBUTpDQUxNLklRX0lOU19TRVRUTEVfU1VQUExFLjk5NC4zMS8wNy8yMDI2Li4uVVNELkgBAAAAIHoFAAMAAAAAAPEpGDE7794I9bfINDvv3gg5Q0lRLk5BU0RBUTpDQUxNLklRX0lOVkVTVF9MT0FOU19DRi45OTQuMzEvMDcvMjAyNi4uLlVTRC5IAQAAACB6BQADAAAAAADmbvYwO+/eCEakwjQ7794IQENJUS5OQVNEQVE6Q0FMTS5JUV9TVE9DS19PUFRJT05TX0NPTVBfVEFYLjk5Ny4zMS8wNy8yMDI2Li4uVVNELkgBAAAAIHoFAAMAAAAAAM4g9jA7794IWsXGNDvv3ggvQ0lRLk5BU0RBUTpDQUxNLklRX05JX0NGLjk5NS4zMS8wNy8yMDI2Li4uVVNELkgBAAAAIHoFAAIAAAAEMi4wNgEIAAAABQAAAAExAQAAAAstMjAzNzI0MTcyMQMAAAADMTYwAgAAAAQyMTUwBAAAAAEwBwAAAAk3LzMxLzIwMjYIAAAACTUvMjkvMjAyMQkAAAABMM4g9jA7794IHCnGNDvv3gg1Q0lRLk5BU0RBUTpDQUxNLklRX09USEVSX0FNT1JULjk5NC4zMS8wNy8yMDI2Li4uVVNELkgBAAAAIHoFAAMAAAAAAM4g9jA7794IAaDFNDvv3ggyQ0lRLk5BU0RBUTpDQUxNLklRX0xPQU5TX0NGLjk5Ny4zMS8wNy8yMDI2Li4uVVNELkgBAAAAIHoFAAMAAAAAANZH9jA7794I1SrFNDvv3ggsQ0lRLk5BU0RBUTpDQUxNLklRX0FQLjk5OC4zMS8wNy8yMDI2</t>
  </si>
  <si>
    <t>Li4uVVNELkgBAAAAIHoFAAIAAAAGNzUuODYyAQgAAAAFAAAAATEBAAAACy0xODgxMDY4Njc2AwAAAAMxNjACAAAABDEwMTgEAAAAATAHAAAACTcvMzEvMjAyNggAAAAINi8xLzIwMjQJAAAAATBs1fowO+/eCKViuTQ7794IO0NJUS5OQVNEQVE6Q0FMTS5JUV9QUk9WX0JBRF9ERUJUU19DRi45OTUuMzEvMDcvMjAyNi4uLlVTRC5IAQAAACB6BQADAAAAAADWR/YwO+/eCGWOxDQ7794IOENJUS5OQVNEQVE6Q0FMTS5JUV9PVEhFUl9PUEVSX0FDVC45OTkuMzEvMDcvMjAyNi4uLlVTRC5IAQAAACB6BQACAAAABTkuMzI4AQgAAAAFAAAAATEBAAAACy0xODgxMDY4Njc1AwAAAAMxNjACAAAABDIwNDcEAAAAATAHAAAACTcvMzEvMjAyNggAAAAJNS8zMS8yMDI1CQAAAAEw1kf2MDvv3ggVZ8Q0O+/eCDNDSVEuTkFTREFROkNBTE0uSVFfQ0FTSF9PUEVSLjk5NS4zMS8wNy8yMDI2Li4uVVNELkgBAAAAIHoFAAIAAAAGMjYuMTM2AQgAAAAFAAAAATEBAAAACy0yMDM3MjQxNzIxAwAAAAMxNjACAAAABDIwMDYEAAAAATAHAAAACTcvMzEvMjAyNggAAAAJNS8yOS8yMDIxCQAAAAEw1kf2MDvv3gjGj8M0O+/eCD5DSVEuTkFTREFROkNBTE0uSVFfU0FMRV9SRUFMX0VTVEFURV9DRi4xMDAwLjMxLzA3LzIwMjYuLi5VU0QuSAEAAAAgegUAAwAAAAAA5m72MDvv3ggn38I0O+/eCDVDSVEuTkFTREFROkNBTE0uSVFfSU5UX0lO</t>
  </si>
  <si>
    <t>Vl9JTkMuOTk1LjMxLzA3LzIwMjYuLi5VU0QuSAEAAAAgegUAAwAAAAAAwHGKMTvv3ggyXNg0O+/eCDVDSVEuTkFTREFROkNBTE0uSVFfUFJFRl9JU1NVRUQuOTk4LjMxLzA3LzIwMjYuLi5VU0QuSAEAAAAgegUAAwAAAAAA5m72MDvv3gi5a8E0O+/eCDxDSVEuTkFTREFROkNBTE0uSVFfQ09NTU9OX1BSRUZfRElWX0NGLjk5OS4zMS8wNy8yMDI2Li4uVVNELkgBAAAAIHoFAAMAAAAAAOZu9jA7794IrzDBNDvv3gg0Q0lRLk5BU0RBUTpDQUxNLklRX0NBU0hfRklOQU4uOTk2LjMxLzA3LzIwMjYuLi5VU0QuSAEAAAAgegUAAgAAAAYtNy40NTYBCAAAAAUAAAABMQEAAAALLTE5ODY3MDg0MzMDAAAAAzE2MAIAAAAEMjAwNAQAAAABMAcAAAAJNy8zMS8yMDI2CAAAAAk1LzI4LzIwMjIJAAAAATD2lfYwO+/eCGrOwDQ7794IPkNJUS5OQVNEQVE6Q0FMTS5JUV9ORUdBVElWRV9HV19BTU9SVF9DRi45OTcuMzEvMDcvMjAyNi4uLlVTRC5IAQAAACB6BQADAAAAAAD2lfYwO+/eCJimvzQ7794IOkNJUS5OQVNEQVE6Q0FMTS5JUV9ORVRfSU5URVJFU1RfRVhQLjk5Ny4zMS8wNy8yMDI2Li4uVVNELkgBAAAAIHoFAAIAAAAGMjguMjA5AQgAAAAFAAAAATEBAAAACy0xOTM0OTc4NDIwAwAAAAMxNjACAAAAAzM2OAQAAAABMAcAAAAJNy8zMS8yMDI2CAAAAAg2LzMvMjAyMwkAAAABMMOYijE7794I3zTVNDvv3gg5Q0lRLk5B</t>
  </si>
  <si>
    <t>U0RBUTpDQUxNLklRX0RFRl9UQVhfTElBQl9MVC45OTguMzEvMDcvMjAyNi4uLlVTRC5IAQAAACB6BQACAAAABzE0Mi44NjYBCAAAAAUAAAABMQEAAAALLTE4ODEwNjg2NzYDAAAAAzE2MAIAAAAEMTAyNwQAAAABMAcAAAAJNy8zMS8yMDI2CAAAAAg2LzEvMjAyNAkAAAABMHr8+jA7794IulK3NDvv3ghBQ0lRLk5BU0RBUTpDQUxNLklRX1RPVEFMX0RFQlRfRVhDTF9MRUFTRVMuMTAwMC4zMS8wNy8yMDI2Li4uVVNELkgBAAAAIHoFAAMAAAAAAGI1kTA7794I7OOyNDvv3gg9Q0lRLk5BU0RBUTpDQUxNLklRX0NVUlJfRE9NRVNUSUNfVEFYRVMuOTk2LjMxLzA3LzIwMjYuLi5VU0QuSAEAAAAgegUAAgAAAAYyNy44OTgBCAAAAAUAAAABMQEAAAALLTE5ODY3MDg0MzMDAAAAAzE2MAIAAAAEMzAyNwQAAAABMAcAAAAJNy8zMS8yMDI2CAAAAAk1LzI4LzIwMjIJAAAAATC9tBcxO+/eCG5OzTQ7794INUNJUS5OQVNEQVE6Q0FMTS5JUV9GSU5fRElWX1JFVi45OTcuMzEvMDcvMjAyNi4uLlVTRC5IAQAAACB6BQADAAAAAADAcYoxO+/eCKT42DQ7794IMUNJUS5OQVNEQVE6Q0FMTS5JUV9JTkNfVEFYLjk5Ny4zMS8wNy8yMDI2Li4uVVNELkgBAAAAIHoFAAIAAAAHMjQxLjgxOAEIAAAABQAAAAExAQAAAAstMTkzNDk3ODQyMAMAAAADMTYwAgAAAAI3NQQAAAABMAcAAAAJNy8zMS8yMDI2CAAAAAg2LzMvMjAyMwkAAAAB</t>
  </si>
  <si>
    <t>MMOYijE7794IBXPTNDvv3gg1Q0lRLk5BU0RBUTpDQUxNLklRX0lOU19ESVZfRVhQLjk5OS4zMS8wNy8yMDI2Li4uVVNELkgBAAAAIHoFAAMAAAAAAMBxijE7794I2V3XNDvv3gg3Q0lRLk5BU0RBUTpDQUxNLklRX0VYUExPUkVfRFJJTEwuOTk3LjMxLzA3LzIwMjYuLi5VU0QuSAEAAAAgegUAAwAAAAAAwHGKMTvv3gj2qdY0O+/eCDBDSVEuTkFTREFROkNBTE0uSVFfUkRfRVhQLjk5NS4zMS8wNy8yMDI2Li4uVVNELkgBAAAAIHoFAAMAAAAAAMBxijE7794IUgzWNDvv3gg6Q0lRLk5BU0RBUTpDQUxNLklRX1RPVEFMX09USEVSX09QRVIuOTk5LjMxLzA3LzIwMjYuLi5VU0QuSAEAAAAgegUAAgAAAAcyOTIuODQ5AQgAAAAFAAAAATEBAAAACy0xODgxMDY4Njc1AwAAAAMxNjACAAAAAzM4MAQAAAABMAcAAAAJNy8zMS8yMDI2CAAAAAk1LzMxLzIwMjUJAAAAATDAcYoxO+/eCCGX1TQ7794IOENJUS5OQVNEQVE6Q0FMTS5JUV9ESUxVVF9FUFNfTk9STS45OTUuMzEvMDcvMjAyNi4uLlVTRC5IAQAAACB6BQACAAAACS0wLjA3MjEzOQEIAAAABQAAAAExAQAAAAstMjAzNzI0MTcyMQMAAAADMTYwAgAAAAQ0MzgwBAAAAAEwBwAAAAk3LzMxLzIwMjYIAAAACTUvMjkvMjAyMQkAAAABMNO/ijE7794IE+zRNDvv3ggyQ0lRLk5BU0RBUTpDQUxNLklRX0VCVF9FWENMLjk5NS4zMS8wNy8yMDI2Li4uVVNELkgBAAAAIHoF</t>
  </si>
  <si>
    <t>AAIAAAAGLTUuNjE2AQgAAAAFAAAAATEBAAAACy0yMDM3MjQxNzIxAwAAAAMxNjACAAAAATQEAAAAATAHAAAACTcvMzEvMjAyNggAAAAJNS8yOS8yMDIxCQAAAAEww5iKMTvv3gjA5tQ0O+/eCDdDSVEuTkFTREFROkNBTE0uSVFfSU1QQUlSTUVOVF9HVy45OTUuMzEvMDcvMjAyNi4uLlVTRC5IAQAAACB6BQADAAAAAADDmIoxO+/eCL1x1DQ7794INUNJUS5OQVNEQVE6Q0FMTS5JUV9HQUlOX0FTU0VUUy45OTkuMzEvMDcvMjAyNi4uLlVTRC5IAQAAACB6BQACAAAABTAuMjU5AQgAAAAFAAAAATEBAAAACy0xODgxMDY4Njc1AwAAAAMxNjACAAAAAjU2BAAAAAEwBwAAAAk3LzMxLzIwMjYIAAAACTUvMzEvMjAyNQkAAAABMMOYijE7794IfkrUNDvv3gg2Q0lRLk5BU0RBUTpDQUxNLklRX0xFR0FMX1NFVFRMRS45OTcuMzEvMDcvMjAyNi4uLlVTRC5IAQAAACB6BQADAAAAAADDmIoxO+/eCCDV0zQ7794IOkNJUS5OQVNEQVE6Q0FMTS5JUV9FQklUREFSX0VYQ0xfU0JDLjk5NS4zMS8wNy8yMDI2Li4uVVNELkgBAAAAIHoFAAMAAAAAAKqNFzE7794ItK7ONDvv3gg0Q0lRLk5BU0RBUTpDQUxNLklRX05JX0NPTVBBTlkuOTk1LjMxLzA3LzIwMjYuLi5VU0QuSAEAAAAgegUAAgAAAAQyLjA2AQgAAAAFAAAAATEBAAAACy0yMDM3MjQxNzIxAwAAAAMxNjACAAAABTQxNTcxBAAAAAEwBwAAAAk3LzMxLzIwMjYIAAAACTUv</t>
  </si>
  <si>
    <t>MjkvMjAyMQkAAAABMMOYijE7794IQhHTNDvv3ggsQ0lRLk5BU0RBUTpDQUxNLklRX05JLjk5OS4zMS8wNy8yMDI2Li4uVVNELkgBAAAAIHoFAAIAAAAIMTIyMC4wNDgBCAAAAAUAAAABMQEAAAALLTE4ODEwNjg2NzUDAAAAAzE2MAIAAAACMTUEAAAAATAHAAAACTcvMzEvMjAyNggAAAAJNS8zMS8yMDI1CQAAAAEw07+KMTvv3gg26tI0O+/eCDdDSVEuTkFTREFROkNBTE0uSVFfTklfQVZBSUxfRVhDTC45OTkuMzEvMDcvMjAyNi4uLlVTRC5IAQAAACB6BQACAAAACDEyMjAuMDQ4AQgAAAAFAAAAATEBAAAACy0xODgxMDY4Njc1AwAAAAMxNjACAAAAAzM3OQQAAAABMAcAAAAJNy8zMS8yMDI2CAAAAAk1LzMxLzIwMjUJAAAAATDTv4oxO+/eCCCc0jQ7794IOENJUS5OQVNEQVE6Q0FMTS5JUV9ESUxVVF9FUFNfSU5DTC45OTcuMzEvMDcvMjAyNi4uLlVTRC5IAQAAACB6BQACAAAABTE1LjUyAQgAAAAFAAAAATEBAAAACy0xOTM0OTc4NDIwAwAAAAMxNjACAAAAATgEAAAAATAHAAAACTcvMzEvMjAyNggAAAAINi8zLzIwMjMJAAAAATDTv4oxO+/eCPZN0jQ7794INENJUS5OQVNEQVE6Q0FMTS5JUV9DVVJSX1RBWEVTLjk5OC4zMS8wNy8yMDI2Li4uVVNELkgBAAAAIHoFAAIAAAAGOTMuMzYxAQgAAAAFAAAAATEBAAAACy0xODgxMDY4Njc2AwAAAAMxNjACAAAABTM1MzgzBAAAAAEwBwAAAAk3LzMxLzIwMjYIAAAA</t>
  </si>
  <si>
    <t>CDYvMS8yMDI0CQAAAAEwvbQXMTvv3ghTJ800O+/eCEBDSVEuTkFTREFROkNBTE0uSVFfRUJJVERBX0VRX0lOQ19FWENMX1NCQy45OTUuMzEvMDcvMjAyNi4uLlVTRC5IAQAAACB6BQACAAAABjQwLjU5NQEIAAAABQAAAAExAQAAAAstMjAzNzI0MTcyMQMAAAADMTYwAgAAAAUyNDEzMQQAAAABMAcAAAAJNy8zMS8yMDI2CAAAAAk1LzI5LzIwMjEJAAAAATDq5ooxO+/eCOQo0TQ7794ILkNJUS5OQVNEQVE6Q0FMTS5JUV9FQklULjk5OS4zMS8wNy8yMDI2Li4uVVNELkgBAAAAIHoFAAIAAAAIMTU1OC4wMzYBCAAAAAUAAAABMQEAAAALLTE4ODEwNjg2NzUDAAAAAzE2MAIAAAADNDAwBAAAAAEwBwAAAAk3LzMxLzIwMjYIAAAACTUvMzEvMjAyNQkAAAABMOrmijE7794IolfQNDvv3ggvQ0lRLk5BU0RBUTpDQUxNLklRX0VCSVRBLjk5Ny4zMS8wNy8yMDI2Li4uVVNELkgBAAAAIHoFAAIAAAAHOTY2LjQ4NAEIAAAABQAAAAExAQAAAAstMTkzNDk3ODQyMAMAAAADMTYwAgAAAAYxMDA2ODkEAAAAATAHAAAACTcvMzEvMjAyNggAAAAINi8zLzIwMjMJAAAAATCqjRcxO+/eCEvRzzQ7794IMUNJUS5OQVNEQVE6Q0FMTS5JUV9FQklUREFSLjk5NS4zMS8wNy8yMDI2Li4uVVNELkgBAAAAIHoFAAMAAAAAAKqNFzE7794ImBDPNDvv3gguQ0lRLk5BU0RBUTpDQUxNLklRX0RJQy4xMDAwLjMxLzA3LzIwMjYuLi5VU0QuSAEA</t>
  </si>
  <si>
    <t>AAAgegUAAwAAAAAA6QIYMTvv3gjfZcs0O+/eCDtDSVEuTkFTREFROkNBTE0uSVFfRkVFU19PVEhFUl9JTkNPTUUuOTk5LjMxLzA3LzIwMjYuLi5VU0QuSAEAAAAgegUAAwAAAAAAqo0XMTvv3gimh840O+/eCExDSVEuTkFTREFROkNBTE0uSVFfUFJPVl9CQURfREVCVFNfUEFUSUVOVF9TRVJWSUNFX1JFVi45OTcuMzEvMDcvMjAyNi4uLlVTRC5IAQAAACB6BQADAAAAAAC9tBcxO+/eCKMlzjQ7794IOUNJUS5OQVNEQVE6Q0FMTS5JUV9JTlRFUkVTVF9JTkNPTUUuOTk3LjMxLzA3LzIwMjYuLi5VU0QuSAEAAAAgegUAAgAAAAYyOC43OTIBCAAAAAUAAAABMQEAAAALLTE5MzQ5Nzg0MjADAAAAAzE2MAIAAAADMjEwBAAAAAEwBwAAAAk3LzMxLzIwMjYIAAAACDYvMy8yMDIzCQAAAAEwvbQXMTvv3giI1800O+/eCD1DSVEuTkFTREFROkNBTE0uSVFfQ1VSUl9ET01FU1RJQ19UQVhFUy45OTUuMzEvMDcvMjAyNi4uLlVTRC5IAQAAACB6BQACAAAABi0zNC4zNgEIAAAABQAAAAExAQAAAAstMjAzNzI0MTcyMQMAAAADMTYwAgAAAAQzMDI3BAAAAAEwBwAAAAk3LzMxLzIwMjYIAAAACTUvMjkvMjAyMQkAAAABML20FzE7794Ibk7NNDvv3gg2Q0lRLk5BU0RBUTpDQUxNLklRX09USEVSX1JFTlRBTC45OTQuMzEvMDcvMjAyNi4uLlVTRC5IAQAAACB6BQADAAAAAADpAhgxO+/eCJNSyjQ7794IQ0NJUS5OQVNEQVE6Q0FM</t>
  </si>
  <si>
    <t>TS5JUV9OT05SRUNVUlJJTkdfSU5DT01FX1RBWEVTLjk5NC4zMS8wNy8yMDI2Li4uVVNELkgBAAAAIHoFAAMAAAAAAL20FzE7794INNnMNDvv3ggyQ0lRLk5BU0RBUTpDQUxNLklRX0RJTFVUX05JLjk5Ni4zMS8wNy8yMDI2Li4uVVNELkgBAAAAIHoFAAIAAAAJMTMyLjU1NjQ4AQgAAAAFAAAAATEBAAAACy0xOTg2NzA4NDMzAwAAAAMxNjACAAAABDM1MjIEAAAAATAHAAAACTcvMzEvMjAyNggAAAAJNS8yOC8yMDIyCQAAAAEwvbQXMTvv3gg3i8w0O+/eCDVDSVEuTkFTREFROkNBTE0uSVFfSU5UX0VYUF9MVEQuOTk4LjMxLzA3LzIwMjYuLi5VU0QuSAEAAAAgegUAAgAAAAUwLjU0OQEIAAAABQAAAAExAQAAAAstMTg4MTA2ODY3NgMAAAADMTYwAgAAAAQzMTAxBAAAAAEwBwAAAAk3LzMxLzIwMjYIAAAACDYvMS8yMDI0CQAAAAEwzNsXMTvv3ggAZMw0O+/eCElDSVEuTkFTREFROkNBTE0uSVFfRElTVFJJQlVUQUJMRV9DQVNIX1NUQU5EQVJESVpFRC45OTQuMzEvMDcvMjAyNi4uLlVTRC5IAQAAACB6BQADAAAAAADM2xcxO+/eCMSzyzQ7794IPkNJUS5OQVNEQVE6Q0FMTS5JUV9JTVBBSVJNRU5UX0dXX1NVUFBMRS45OTguMzEvMDcvMjAyNi4uLlVTRC5IAQAAACB6BQADAAAAAADxKRgxO+/eCDIayTQ7794IM0NJUS5OQVNEQVE6Q0FMTS5JUV9NQVJLRVRJTkcuOTk0LjMxLzA3LzIwMjYuLi5VU0QuSAEAAAAg</t>
  </si>
  <si>
    <t>egUAAwAAAAAA6QIYMTvv3gicPss0O+/eCDBDSVEuTkFTREFROkNBTE0uSVFfR0FfRVhQLjk5NS4zMS8wNy8yMDI2Li4uVVNELkgBAAAAIHoFAAMAAAAAAOkCGDE7794IjPDKNDvv3gg7Q0lRLk5BU0RBUTpDQUxNLklRX05FVF9SRU5UQUxfRVhQX0ZOLjk5Ni4zMS8wNy8yMDI2Li4uVVNELkgBAAAAIHoFAAMAAAAAAOkCGDE7794IasnKNDvv3gg/Q0lRLk5BU0RBUTpDQUxNLklRX05FVF9SRU5UQUxfRVhQX1NVUFBMRS45OTcuMzEvMDcvMjAyNi4uLlVTRC5IAQAAACB6BQADAAAAAADpAhgxO+/eCKd5yjQ7794IQENJUS5OQVNEQVE6Q0FMTS5JUV9TVE9DS19PUFRJT05TX0NPTVBfVEFYLjk5Ni4zMS8wNy8yMDI2Li4uVVNELkgBAAAAIHoFAAMAAAAAAM4g9jA7794IWsXGNDvv3ghEQ0lRLk5BU0RBUTpDQUxNLklRX0RFUFJFQ0lBVElPTl9SRU5UQUxfQVNTRVRTLjk5NS4zMS8wNy8yMDI2Li4uVVNELkgBAAAAIHoFAAMAAAAAAOkCGDE7794IYwTKNDvv3gg2Q0lRLk5BU0RBUTpDQUxNLklRX01BSU5UX1JFUEFJUi45OTUuMzEvMDcvMjAyNi4uLlVTRC5IAQAAACB6BQADAAAAAADxKRgxO+/eCFe2yTQ7794IP0NJUS5OQVNEQVE6Q0FMTS5JUV9JTVBVVF9PUEVSX0xFQVNFX0RFUFIuOTk2LjMxLzA3LzIwMjYuLi5VU0QuSAEAAAAgegUAAwAAAAAA8SkYMTvv3ghXtsk0O+/eCDxDSVEuTkFTREFROkNBTE0uSVFf</t>
  </si>
  <si>
    <t>UkVTVFJVQ1RVUkVfU1VQUExFLjk5Ny4zMS8wNy8yMDI2Li4uVVNELkgBAAAAIHoFAAMAAAAAAPEpGDE7794IJWjJNDvv3gg7Q0lRLk5BU0RBUTpDQUxNLklRX1BST1ZfQkFEX0RFQlRTX0NGLjk5NC4zMS8wNy8yMDI2Li4uVVNELkgBAAAAIHoFAAMAAAAAANZH9jA7794IZY7ENDvv3gg6Q0lRLk5BU0RBUTpDQUxNLklRX0dBSU5fQkFSR0FJTl9BQ1EuOTk0LjMxLzA3LzIwMjYuLi5VU0QuSAEAAAAgegUAAwAAAAAA8SkYMTvv3gjE8sg0O+/eCDhDSVEuTkFTREFROkNBTE0uSVFfU1RPQ0tfQkFTRURfUkQuOTk1LjMxLzA3LzIwMjYuLi5VU0QuSAEAAAAgegUAAwAAAAAAGlEYMTvv3ghu9Mc0O+/eCDtDSVEuTkFTREFROkNBTE0uSVFfU1RPQ0tfQkFTRURfVE9UQUwuOTk0LjMxLzA3LzIwMjYuLi5VU0QuSAEAAAAgegUAAgAAAAUzLjYxNwEIAAAABQAAAAExAQAAAAstMjA4ODM0NzQ2OQMAAAADMTYwAgAAAAUyNDAzNAQAAAABMAcAAAAJNy8zMS8yMDI2CAAAAAk1LzMwLzIwMjAJAAAAATDOIPYwO+/eCIonxzQ7794IP0NJUS5OQVNEQVE6Q0FMTS5JUV9SRVNUUl9TVE9DS19DT01QX1RBWC4xMDAwLjMxLzA3LzIwMjYuLi5VU0QuSAEAAAAgegUAAwAAAAAAziD2MDvv3giHAMc0O+/eCDtDSVEuTkFTREFROkNBTE0uSVFfVE9UQUxfREVCVF9SRVBBSUQuOTk5LjMxLzA3LzIwMjYuLi5VU0QuSAEAAAAgegUAAgAA</t>
  </si>
  <si>
    <t>AAYtMi40ODEBCAAAAAUAAAABMQEAAAALLTE4ODEwNjg2NzUDAAAAAzE2MAIAAAAEMjE2NgQAAAABMAcAAAAJNy8zMS8yMDI2CAAAAAk1LzMxLzIwMjUJAAAAATDmbvYwO+/eCFa6wTQ7794IQkNJUS5OQVNEQVE6Q0FMTS5JUV9TVE9DS19CQVNFRF9DT01QX1BSRVRBWC4xMDAwLjMxLzA3LzIwMjYuLi5VU0QuSAEAAAAgegUAAgAAAAU1Ljc1NwDOIPYwO+/eCDd3xjQ7794IL0NJUS5OQVNEQVE6Q0FMTS5JUV9OSV9DRi45OTQuMzEvMDcvMjAyNi4uLlVTRC5IAQAAACB6BQACAAAABjE4LjM5MQEIAAAABQAAAAExAQAAAAstMjA4ODM0NzQ2OQMAAAADMTYwAgAAAAQyMTUwBAAAAAEwBwAAAAk3LzMxLzIwMjYIAAAACTUvMzAvMjAyMAkAAAABMM4g9jA7794IHCnGNDvv3gg5Q0lRLk5BU0RBUTpDQUxNLklRX0dBSU5fQVNTRVRTX0NGLjEwMDAuMzEvMDcvMjAyNi4uLlVTRC5IAQAAACB6BQADAAAAAADOIPYwO+/eCAB5xTQ7794IOENJUS5OQVNEQVE6Q0FMTS5JUV9TVE9DS19CQVNFRF9DRi45OTYuMzEvMDcvMjAyNi4uLlVTRC5IAQAAACB6BQACAAAABTQuMDYzAQgAAAAFAAAAATEBAAAACy0xOTg2NzA4NDMzAwAAAAMxNjACAAAABDIxMjcEAAAAATAHAAAACTcvMzEvMjAyNggAAAAJNS8yOC8yMDIyCQAAAAEw1kf2MDvv3gjIA8U0O+/eCERDSVEuTkFTREFROkNBTE0uSVFfQ0hBTkdFX05FVF9XT1JLSU5HX0NB</t>
  </si>
  <si>
    <t>UElUQUwuOTk5LjMxLzA3LzIwMjYuLi5VU0QuSAEAAAAgegUAAgAAAAU2NS45MgEIAAAABQAAAAExAQAAAAstMTg4MTA2ODY3NQMAAAADMTYwAgAAAAQ0NDIxBAAAAAEwBwAAAAk3LzMxLzIwMjYIAAAACTUvMzEvMjAyNQkAAAABMGyH+jA7794Inwu+NDvv3gg/Q0lRLk5BU0RBUTpDQUxNLklRX0NIQU5HRV9UUkFESU5HX0FTU0VUUy45OTYuMzEvMDcvMjAyNi4uLlVTRC5IAQAAACB6BQADAAAAAADWR/YwO+/eCBVnxDQ7794IM0NJUS5OQVNEQVE6Q0FMTS5JUV9DQVNIX09QRVIuOTk0LjMxLzA3LzIwMjYuLi5VU0QuSAEAAAAgegUAAgAAAAY3My42MDkBCAAAAAUAAAABMQEAAAALLTIwODgzNDc0NjkDAAAAAzE2MAIAAAAEMjAwNgQAAAABMAcAAAAJNy8zMS8yMDI2CAAAAAk1LzMwLzIwMjAJAAAAATDWR/YwO+/eCMaPwzQ7794IOUNJUS5OQVNEQVE6Q0FMTS5JUV9DQVNIX0FDUVVJUkVfQ0YuOTk0LjMxLzA3LzIwMjYuLi5VU0QuSAEAAAAgegUAAgAAAAYtNDQuNjUBCAAAAAUAAAABMQEAAAALLTIwODgzNDc0NjkDAAAAAzE2MAIAAAAEMjA1NwQAAAABMAcAAAAJNy8zMS8yMDI2CAAAAAk1LzMwLzIwMjAJAAAAATDWR/YwO+/eCKFUwzQ7794IPUNJUS5OQVNEQVE6Q0FMTS5JUV9TQUxFX1JFQUxfRVNUQVRFX0NGLjk5OS4zMS8wNy8yMDI2Li4uVVNELkgBAAAAIHoFAAMAAAAAAOZu9jA7794IJ9/CNDvv3gg7</t>
  </si>
  <si>
    <t>Q0lRLk5BU0RBUTpDQUxNLklRX0NBU0hfSU5URVJFU1RfTkVULjk5OC4zMS8wNy8yMDI2Li4uVVNELkgBAAAAIHoFAAMAAAAAAGyH+jA7794IUQq/NDvv3ggyQ0lRLk5BU0RBUTpDQUxNLklRX1BSRUZfUkVQLjk5NC4zMS8wNy8yMDI2Li4uVVNELkgBAAAAIHoFAAMAAAAAAOZu9jA7794IuWvBNDvv3gg8Q0lRLk5BU0RBUTpDQUxNLklRX0NPTU1PTl9QUkVGX0RJVl9DRi45OTguMzEvMDcvMjAyNi4uLlVTRC5IAQAAACB6BQADAAAAAADmbvYwO+/eCK8wwTQ7794INENJUS5OQVNEQVE6Q0FMTS5JUV9DQVNIX0ZJTkFOLjk5NS4zMS8wNy8yMDI2Li4uVVNELkgBAAAAIHoFAAIAAAAGLTIuNzIzAQgAAAAFAAAAATEBAAAACy0yMDM3MjQxNzIxAwAAAAMxNjACAAAABDIwMDQEAAAAATAHAAAACTcvMzEvMjAyNggAAAAJNS8yOS8yMDIxCQAAAAEw9pX2MDvv3ginpsA0O+/eCDxDSVEuTkFTREFROkNBTE0uSVFfQ0FTSF9JTlRFUkVTVF9ORVQuMTAwMC4zMS8wNy8yMDI2Li4uVVNELkgBAAAAIHoFAAMAAAAAAGyH+jA7794IfTG/NDvv3gg1Q0lRLk5BU0RBUTpDQUxNLklRX1BSRUZfUkVERUVNLjk5NS4zMS8wNy8yMDI2Li4uVVNELkgBAAAAIHoFAAMAAAAAAHr8+jA7794IUba2NDvv3gg0Q0lRLk5BU0RBUTpDQUxNLklRX1RPVEFMX0xJQUIuOTk1LjMxLzA3LzIwMjYuLi5VU0QuSAEAAAAgegUAAgAAAAcyMTYuMzkz</t>
  </si>
  <si>
    <t>AQgAAAAFAAAAATEBAAAACy0yMDM3MjQxNzIxAwAAAAMxNjACAAAABDEyNzYEAAAAATAHAAAACTcvMzEvMjAyNggAAAAJNS8yOS8yMDIxCQAAAAEwevz6MDvv3ghRtrY0O+/eCDxDSVEuTkFTREFROkNBTE0uSVFfVEJWX1NIQVJFX1JFUE9SVEVELjk5Ny4zMS8wNy8yMDI2Li4uVVNELkgBAAAAIHoFAAMAAAAAAGI1kTA7794IlG6yNDvv3ghHQ0lRLk5BU0RBUTpDQUxNLklRX0RFUFJFQ0lBVElPTl9SRU5UQUxfQVNTRVRTX0NGLjk5OS4zMS8wNy8yMDI2Li4uVVNELkgBAAAAIHoFAAMAAAAAAPaV9jA7794ICwnANDvv3gg/Q0lRLk5BU0RBUTpDQUxNLklRX05FR0FUSVZFX0dXX0FNT1JUX0NGLjEwMDAuMzEvMDcvMjAyNi4uLlVTRC5IAQAAACB6BQADAAAAAAD2lfYwO+/eCJimvzQ7794ILENJUS5OQVNEQVE6Q0FMTS5JUV9OSS45OTcuMzEvMDcvMjAyNi4uLlVTRC5IAQAAACB6BQACAAAABzc1OC4wMjQBCAAAAAUAAAABMQEAAAALLTE5MzQ5Nzg0MjADAAAAAzE2MAIAAAACMTUEAAAAATAHAAAACTcvMzEvMjAyNggAAAAINi8zLzIwMjMJAAAAATDTv4oxO+/eCDbq0jQ7794INUNJUS5OQVNEQVE6Q0FMTS5JUV9JUFJEX1NVUFBMRS45OTEuMzEvMDcvMjAyNi4uLlVTRC5IAQAAACB6BQADAAAAAADxKRgxO+/eCO2rojI7794IQkNJUS5OQVNEQVE6Q0FMTS5JUV9FQklUREFSX0VRX0lOQ19FWENMX1NCQy4yMDAw</t>
  </si>
  <si>
    <t>LjMxLzA3LzIwMjYuLi5VU0QuSAEAAAAgegUAAwAAAAAAqo0XMTvv3ghNjpkyO+/eCEtDSVEuTkFTREFROkNBTE0uSVFfSU5URVJFU1RfRVhQX0xFQVNFX0xJQUJJTElUWV9ERUJULjk5MS4zMS8wNy8yMDI2Li4uVVNELkgBAAAAIHoFAAMAAAAAAMzbFzE7794IzGSdMjvv3gg+Q0lRLk5BU0RBUTpDQUxNLklRX0RFRkVSUkVEX1RBWEVTX1RPVEFMLjk5My4zMS8wNy8yMDI2Li4uVVNELkgBAAAAIHoFAAIAAAAFNi4xMjMBCAAAAAUAAAABMQEAAAALLTIxNDI0MjkwMzkDAAAAAzE2MAIAAAAFMzUzODUEAAAAATAHAAAACTcvMzEvMjAyNggAAAAINi8xLzIwMTkJAAAAATC9tBcxO+/eCDTZzDQ7794IQUNJUS5OQVNEQVE6Q0FMTS5JUV9FWENJU0VfVEFYRVNfSU5DTF9TQUxFUy45OTIuMzEvMDcvMjAyNi4uLlVTRC5IAQAAACB6BQADAAAAAAC9tBcxO+/eCDWJzTQ7794IQENJUS5OQVNEQVE6Q0FMTS5JUV9BTk5VX0RJU1RSSUJVVElPTl9VTklULjk5MS4zMS8wNy8yMDI2Li4uVVNELkgBAAAAIHoFAAMAAAAAAMzbFzE7794IPnGeMjvv3ggvQ0lRLk5BU0RBUTpDQUxNLklRX0RBX0NGLjk5My4zMS8wNy8yMDI2Li4uVVNELkgBAAAAIHoFAAIAAAAFNTQuNjUBCAAAAAUAAAABMQEAAAALLTIxNDI0MjkwMzkDAAAAAzE2MAIAAAAEMjE2MAQAAAABMAcAAAAJNy8zMS8yMDI2CAAAAAg2LzEvMjAxOQkAAAABMM4g9jA7</t>
  </si>
  <si>
    <t>794ID8fFNDvv3gg4Q0lRLk5BU0RBUTpDQUxNLklRX1NUX0RFQlRfSVNTVUVELjk5Mi4zMS8wNy8yMDI2Li4uVVNELkgBAAAAIHoFAAMAAAAAAOZu9jA7794IdFbCNDvv3gg2Q0lRLk5BU0RBUTpDQUxNLklRX0VCSVRBX0VRX0lOQy45OTMuMzEvMDcvMjAyNi4uLlVTRC5IAQAAACB6BQACAAAABTUzLjM5AQgAAAAFAAAAATEBAAAACy0yMTQyNDI5MDM5AwAAAAMxNjACAAAABTIxNjc2BAAAAAEwBwAAAAk3LzMxLzIwMjYIAAAACDYvMS8yMDE5CQAAAAEwqo0XMTvv3ghql880O+/eCC5DSVEuTkFTREFROkNBTE0uSVFfRUJJVC45OTMuMzEvMDcvMjAyNi4uLlVTRC5IAQAAACB6BQACAAAABjQ1LjgxNAEIAAAABQAAAAExAQAAAAstMjE0MjQyOTAzOQMAAAADMTYwAgAAAAM0MDAEAAAAATAHAAAACTcvMzEvMjAyNggAAAAINi8xLzIwMTkJAAAAATDq5ooxO+/eCKJX0DQ7794IOkNJUS5OQVNEQVE6Q0FMTS5JUV9JTlRFUkVTVF9JTkNPTUUuMjAwMC4zMS8wNy8yMDI2Li4uVVNELkgBAAAAIHoFAAIAAAAGNTguNDAxAQgAAAAFAAAAATEBAAAACy0xODgxMDY4Mjk1AwAAAAMxNjACAAAAAzIxMAQAAAABMAcAAAAJNy8zMS8yMDI2CAAAAAk1LzMwLzIwMjYJAAAAATC9tBcxO+/eCFHymjI7794IQkNJUS5OQVNEQVE6Q0FMTS5JUV9TQUxBUklFU19PVEhFUl9CRU5FRklUUy4yMDAwLjMxLzA3LzIwMjYuLi5VU0QuSAEA</t>
  </si>
  <si>
    <t>AAAgegUAAwAAAAAA8SkYMTvv3gil+6EyO+/eCD9DSVEuTkFTREFROkNBTE0uSVFfTkVUX1JFTlRBTF9FWFBfU1VQUExFLjk5MC4zMS8wNy8yMDI2Li4uVVNELkgBAAAAIHoFAAIAAAAENC4wOQEIAAAABQAAAAExAQAAAAoxODk2ODIwNTE3AwAAAAMxNjACAAAABTI0MjYzBAAAAAEwBwAAAAk3LzMxLzIwMjYIAAAACTUvMjgvMjAxNgkAAAABMOkCGDE7794IHTGgMjvv3gg/Q0lRLk5BU0RBUTpDQUxNLklRX1NUT0NLX0JBU0VEX0NPTVBfVEFYLjIwMDAuMzEvMDcvMjAyNi4uLlVTRC5IAQAAACB6BQADAAAAAADOIPYwO+/eCESypjI7794IOkNJUS5OQVNEQVE6Q0FMTS5JUV9TVE9DS19CQVNFRF9DT0dTLjk5My4zMS8wNy8yMDI2Li4uVVNELkgBAAAAIHoFAAMAAAAAABpRGDE7794IqxvINDvv3gg9Q0lRLk5BU0RBUTpDQUxNLklRX0xFR0FMX1NFVFRMRV9TVVBQTEUuOTkzLjMxLzA3LzIwMjYuLi5VU0QuSAEAAAAgegUAAwAAAAAA8SkYMTvv3gjwkMg0O+/eCDpDSVEuTkFTREFROkNBTE0uSVFfUkVTVFJfU1RPQ0tfQ09NUC45OTAuMzEvMDcvMjAyNi4uLlVTRC5IAQAAACB6BQADAAAAAADOIPYwO+/eCO+SpTI7794IQENJUS5OQVNEQVE6Q0FMTS5JUV9PVEhFUl9JTlZFU1RfQUNUX1NVUFBMLjk5My4zMS8wNy8yMDI2Li4uVVNELkgBAAAAIHoFAAMAAAAAAOZu9jA7794IUH3CNDvv3ggwQ0lRLk5BU0RBUTpD</t>
  </si>
  <si>
    <t>QUxNLklRX0dBX0VYUC45OTAuMzEvMDcvMjAyNi4uLlVTRC5IAQAAACB6BQADAAAAAADpAhgxO+/eCAi8nzI7794IPENJUS5OQVNEQVE6Q0FMTS5JUV9VTkVBUk5fUkVWX0NVUlJFTlQuOTkxLjMxLzA3LzIwMjYuLi5VU0QuSAEAAAAgegUAAwAAAAAAbNX6MDvv3ggsBr4yO+/eCDVDSVEuTkFTREFROkNBTE0uSVFfQ0FTSF9GSU5BTi4yMDAwLjMxLzA3LzIwMjYuLi5VU0QuSAEAAAAgegUAAgAAAAgtMzYyLjc0NgEIAAAABQAAAAExAQAAAAstMTg4MTA2ODI5NQMAAAADMTYwAgAAAAQyMDA0BAAAAAEwBwAAAAk3LzMxLzIwMjYIAAAACTUvMzAvMjAyNgkAAAABMPaV9jA7794IAZivMjvv3ggxQ0lRLk5BU0RBUTpDQUxNLklRX0ZJTElOR19DVVJSRU5DWS45OTAuMzEvMDcvMjAyNgEAAAAgegUAAwAAAANVU0QA6QIYMTvv3ghmdNoyO+/eCEFDSVEuTkFTREFROkNBTE0uSVFfU0FMQVJJRVNfT1RIRVJfQkVORUZJVFMuOTkyLjMxLzA3LzIwMjYuLi5VU0QuSAEAAAAgegUAAwAAAAAA8SkYMTvv3ghJj8k0O+/eCDZDSVEuTkFTREFROkNBTE0uSVFfTUFJTlRfUkVQQUlSLjk5MS4zMS8wNy8yMDI2Li4uVVNELkgBAAAAIHoFAAMAAAAAAPEpGDE7794IX1+hMjvv3ggzQ0lRLk5BU0RBUTpDQUxNLklRX0xPQU5TX0NGLjIwMDAuMzEvMDcvMjAyNi4uLlVTRC5IAQAAACB6BQADAAAAAADWR/YwO+/eCOnUqDI7794IPkNJ</t>
  </si>
  <si>
    <t>US5OQVNEQVE6Q0FMTS5JUV9TVE9DS19CQVNFRF9DT01QX1RBWC45OTMuMzEvMDcvMjAyNi4uLlVTRC5IAQAAACB6BQADAAAAAADOIPYwO+/eCChQxjQ7794IOUNJUS5OQVNEQVE6Q0FMTS5JUV9FQklUQV9FWENMX1NCQy4yMDAwLjMxLzA3LzIwMjYuLi5VU0QuSAEAAAAgegUAAgAAAAczNTUuODc0AQgAAAAFAAAAATEBAAAACy0xODgxMDY4Mjk1AwAAAAMxNjACAAAABTI0MTM2BAAAAAEwBwAAAAk3LzMxLzIwMjYIAAAACTUvMzAvMjAyNgkAAAABMKqNFzE7794I1QOZMjvv3ggxQ0lRLk5BU0RBUTpDQUxNLklRX05JX05PUk0uOTkxLjMxLzA3LzIwMjYuLi5VU0QuSAEAAAAgegUAAgAAAAktNjkuMTM0NzUBCAAAAAUAAAABMQEAAAAKMTk3MjAxMjEyMQMAAAADMTYwAgAAAAQ0Mzc4BAAAAAEwBwAAAAk3LzMxLzIwMjYIAAAACDYvMy8yMDE3CQAAAAEwvbQXMTvv3gikyJwyO+/eCD1DSVEuTkFTREFROkNBTE0uSVFfQ1VSUl9GT1JFSUdOX1RBWEVTLjIwMDAuMzEvMDcvMjAyNi4uLlVTRC5IAQAAACB6BQADAAAAAAC9tBcxO+/eCIC1mzI7794IQENJUS5OQVNEQVE6Q0FMTS5JUV9BTk5VX0RJU1RSSUJVVElPTl9VTklULjk5My4zMS8wNy8yMDI2Li4uVVNELkgBAAAAIHoFAAMAAAAAAMzbFzE7794IxLPLNDvv3gg/Q0lRLk5BU0RBUTpDQUxNLklRX05FVF9SRU5UQUxfRVhQX1NVUFBMRS45OTEuMzEvMDcvMjAy</t>
  </si>
  <si>
    <t>Ni4uLlVTRC5IAQAAACB6BQACAAAABTMuOTc1AQgAAAAFAAAAATEBAAAACjE5NzIwMTIxMjEDAAAAAzE2MAIAAAAFMjQyNjMEAAAAATAHAAAACTcvMzEvMjAyNggAAAAINi8zLzIwMTcJAAAAATDpAhgxO+/eCB0xoDI7794IN0NJUS5OQVNEQVE6Q0FMTS5JUV9BTU9SVF9ESUNfQ0YuMjAwMC4zMS8wNy8yMDI2Li4uVVNELkgBAAAAIHoFAAMAAAAAAPaV9jA7794I0VmxMjvv3gg0Q0lRLk5BU0RBUTpDQUxNLklRX0NBU0hfRklOQU4uOTkzLjMxLzA3LzIwMjYuLi5VU0QuSAEAAAAgegUAAgAAAActNDYuNDUyAQgAAAAFAAAAATEBAAAACy0yMTQyNDI5MDM5AwAAAAMxNjACAAAABDIwMDQEAAAAATAHAAAACTcvMzEvMjAyNggAAAAINi8xLzIwMTkJAAAAATD2lfYwO+/eCGrOwDQ7794IQENJUS5OQVNEQVE6Q0FMTS5JUV9FQklUREFfTEVBU0VfQURKVVNURUQuMjAwMC4zMS8wNy8yMDI2Li4uVVNELkgBAAAAIHoFAAIAAAAHNDY3LjY5NAEIAAAABQAAAAExAQAAAAstMTg4MTA2ODI5NQMAAAADMTYwAgAAAAU0ODk5MwQAAAABMAcAAAAJNy8zMS8yMDI2CAAAAAk1LzMwLzIwMjYJAAAAATDq5ooxO+/eCBNplzI7794IN0NJUS5OQVNEQVE6Q0FMTS5JUV9FQklUREFfQ0FQRVguMjAwMC4zMS8wNy8yMDI2Li4uVVNELkgBAAAAIHoFAAIAAAAHMzE2LjQ3NAEIAAAABQAAAAExAQAAAAstMTg4MTA2ODI5NQMAAAADMTYw</t>
  </si>
  <si>
    <t>AgAAAAUzNTM3OQQAAAABMAcAAAAJNy8zMS8yMDI2CAAAAAk1LzMwLzIwMjYJAAAAATCqjRcxO+/eCDvfmTI7794IQUNJUS5OQVNEQVE6Q0FMTS5JUV9FQklUREFSX0VRX0lOQ19FWENMX1NCQy45OTMuMzEvMDcvMjAyNi4uLlVTRC5IAQAAACB6BQADAAAAAACqjRcxO+/eCL7VzjQ7794IO0NJUS5OQVNEQVE6Q0FMTS5JUV9DSEFOR0VfVU5FQVJOX1JFVi45OTAuMzEvMDcvMjAyNi4uLlVTRC5IAQAAACB6BQADAAAAAADWR/YwO+/eCAOrqjI7794IL0NJUS5OQVNEQVE6Q0FMTS5JUV9ET19DRi45OTIuMzEvMDcvMjAyNi4uLlVTRC5IAQAAACB6BQADAAAAAADWR/YwO+/eCGWOxDQ7794IMUNJUS5OQVNEQVE6Q0FMTS5JUV9QRVJJT0RMRU5HVEhfSVMuOTkzLjMxLzA3LzIwMjYBAAAAIHoFAAEAAAACMTIA6uaKMTvv3gg88ac0O+/eCD9DSVEuTkFTREFROkNBTE0uSVFfRklOX0RJVl9MSUFCX0NVUlJFTlQuMjAwMC4zMS8wNy8yMDI2Li4uVVNELkgBAAAAIHoFAAMAAAAAAGzV+jA7794IJN+9Mjvv3ghNQ0lRLk5BU0RBUTpDQUxNLklRX09QRVJBVElOR19MRUFTRV9MSUFCSUxJVElFU19OT05DQVNILjk5MS4zMS8wNy8yMDI2Li4uVVNELkgBAAAAIHoFAAMAAAAAAGyH+jA7794InOC0Mjvv3gg2Q0lRLk5BU0RBUTpDQUxNLklRX09USEVSX1JFTlRBTC45OTEuMzEvMDcvMjAyNi4uLlVTRC5IAQAAACB6BQADAAAA</t>
  </si>
  <si>
    <t>AADpAhgxO+/eCFO7oDI7794INUNJUS5OQVNEQVE6Q0FMTS5JUV9BRFZFUlRJU0lORy45OTAuMzEvMDcvMjAyNi4uLlVTRC5IAQAAACB6BQACAAAABDEwLjMBCAAAAAUAAAABMQEAAAAKMTg5NjgyMDUxNwMAAAADMTYwAgAAAAQzMDEzBAAAAAEwBwAAAAk3LzMxLzIwMjYIAAAACTUvMjgvMjAxNgkAAAABMOkCGDE7794Imw2fMjvv3ggxQ0lRLk5BU0RBUTpDQUxNLklRX0ZJTElOR19DVVJSRU5DWS45OTEuMzEvMDcvMjAyNgEAAAAgegUAAwAAAANVU0QA6QIYMTvv3ghmdNoyO+/eCEFDSVEuTkFTREFROkNBTE0uSVFfU0FMQVJJRVNfT1RIRVJfQkVORUZJVFMuOTkzLjMxLzA3LzIwMjYuLi5VU0QuSAEAAAAgegUAAwAAAAAA8SkYMTvv3ghJj8k0O+/eCDlDSVEuTkFTREFROkNBTE0uSVFfU1RPQ0tfQkFTRURfU0dBLjk5MS4zMS8wNy8yMDI2Li4uVVNELkgBAAAAIHoFAAIAAAAFMy40MjcBCAAAAAUAAAABMQEAAAAKMTk3MjAxMjEyMQMAAAADMTYwAgAAAAUyMjY3OQQAAAABMAcAAAAJNy8zMS8yMDI2CAAAAAg2LzMvMjAxNwkAAAABMMH59TA7794IorukMjvv3gg+Q0lRLk5BU0RBUTpDQUxNLklRX1NUT0NLX0JBU0VEX0NPTVBfVEFYLjk5MC4zMS8wNy8yMDI2Li4uVVNELkgBAAAAIHoFAAMAAAAAAM4g9jA7794IPYumMjvv3ghCQ0lRLk5BU0RBUTpDQUxNLklRX0FNT1JUX1NPRlRXQVJFX0FTU0VUU19DRi45</t>
  </si>
  <si>
    <t>OTMuMzEvMDcvMjAyNi4uLlVTRC5IAQAAACB6BQADAAAAAAD2lfYwO+/eCKV/vzQ7794IOENJUS5OQVNEQVE6Q0FMTS5JUV9TUEVDSUFMX0RJVl9DRi45OTIuMzEvMDcvMjAyNi4uLlVTRC5IAQAAACB6BQADAAAAAADmbvYwO+/eCGEJwTQ7794IOUNJUS5OQVNEQVE6Q0FMTS5JUV9DQVNIX0FDUVVJUkVfQ0YuOTkwLjMxLzA3LzIwMjYuLi5VU0QuSAEAAAAgegUAAwAAAAAA1kf2MDvv3ghjw6syO+/eCDlDSVEuTkFTREFROkNBTE0uSVFfTkVUX0RFQlRfSVNTVUVELjk5MS4zMS8wNy8yMDI2Li4uVVNELkgBAAAAIHoFAAIAAAAGLTE2LjUxAQgAAAAFAAAAATEBAAAACjE5NzIwMTIxMjEDAAAAAzE2MAIAAAAEMjAwMwQAAAABMAcAAAAJNy8zMS8yMDI2CAAAAAg2LzMvMjAxNwkAAAABMGyH+jA7794IDhm0Mjvv3gg5Q0lRLk5BU0RBUTpDQUxNLklRX1NUT0NLX0JBU0VEX1NHQS45OTIuMzEvMDcvMjAyNi4uLlVTRC5IAQAAACB6BQACAAAABTMuNDY3AQgAAAAFAAAAATEBAAAACjIwNDU3NDkzMTADAAAAAzE2MAIAAAAFMjI2NzkEAAAAATAHAAAACTcvMzEvMjAyNggAAAAINi8yLzIwMTgJAAAAATDB+fUwO+/eCPadxzQ7794IP0NJUS5OQVNEQVE6Q0FMTS5JUV9JTVBBSVJNRU5UX0dXX1NVUFBMRS4yMDAwLjMxLzA3LzIwMjYuLi5VU0QuSAEAAAAgegUAAwAAAAAA8SkYMTvv3gixhKIyO+/eCDtDSVEuTkFTREFR</t>
  </si>
  <si>
    <t>OkNBTE0uSVFfQ0hBTkdFX1VORUFSTl9SRVYuOTkyLjMxLzA3LzIwMjYuLi5VU0QuSAEAAAAgegUAAwAAAAAA1kf2MDvv3ggI3sM0O+/eCC9DSVEuTkFTREFROkNBTE0uSVFfRE9fQ0YuOTkzLjMxLzA3LzIwMjYuLi5VU0QuSAEAAAAgegUAAwAAAAAA1kf2MDvv3ghljsQ0O+/eCDxDSVEuTkFTREFROkNBTE0uSVFfQVNTRVRfV1JJVEVET1dOX0NGLjk5MC4zMS8wNy8yMDI2Li4uVVNELkgBAAAAIHoFAAMAAAAAANZH9jA7794IuZmoMjvv3gg5Q0lRLk5BU0RBUTpDQUxNLklRX0NBU0hfQUNRVUlSRV9DRi45OTMuMzEvMDcvMjAyNi4uLlVTRC5IAQAAACB6BQACAAAABy0xNy44ODkBCAAAAAUAAAABMQEAAAALLTIxNDI0MjkwMzkDAAAAAzE2MAIAAAAEMjA1NwQAAAABMAcAAAAJNy8zMS8yMDI2CAAAAAg2LzEvMjAxOQkAAAABMNZH9jA7794IoVTDNDvv3gg8Q0lRLk5BU0RBUTpDQUxNLklRX1BST1ZfQkFEX0RFQlRTX0NGLjIwMDAuMzEvMDcvMjAyNi4uLlVTRC5IAQAAACB6BQADAAAAAADWR/YwO+/eCISsqTI7794IPENJUS5OQVNEQVE6Q0FMTS5JUV9BU1NFVF9XUklURURPV05fQ0YuOTkyLjMxLzA3LzIwMjYuLi5VU0QuSAEAAAAgegUAAwAAAAAA1kf2MDvv3gjVKsU0O+/eCEFDSVEuTkFTREFROkNBTE0uSVFfRVhQTE9SRV9EUklMTF9FWFBfVE9UQUwuOTkwLjMxLzA3LzIwMjYuLi5VU0QuSAEAAAAgegUA</t>
  </si>
  <si>
    <t>AwAAAAAA8SkYMTvv3ghfX6EyO+/eCDZDSVEuTkFTREFROkNBTE0uSVFfT1RIRVJfUkVOVEFMLjk5My4zMS8wNy8yMDI2Li4uVVNELkgBAAAAIHoFAAMAAAAAAOkCGDE7794Ik1LKNDvv3ghBQ0lRLk5BU0RBUTpDQUxNLklRX0VYUExPUkVfRFJJTExfRVhQX1RPVEFMLjk5MS4zMS8wNy8yMDI2Li4uVVNELkgBAAAAIHoFAAMAAAAAAPEpGDE7794IOjihMjvv3gg9Q0lRLk5BU0RBUTpDQUxNLklRX1NUT0NLX09QVElPTlNfQ09NUC4yMDAwLjMxLzA3LzIwMjYuLi5VU0QuSAEAAAAgegUAAwAAAAAAziD2MDvv3ggrZKYyO+/eCEFDSVEuTkFTREFROkNBTE0uSVFfUkVTVFJfU1RPQ0tfQ09NUF9QUkVUQVguOTkxLjMxLzA3LzIwMjYuLi5VU0QuSAEAAAAgegUAAwAAAAAAziD2MDvv3gjKa6UyO+/eCDlDSVEuTkFTREFROkNBTE0uSVFfU1RPQ0tfQkFTRURfU0dBLjk5My4zMS8wNy8yMDI2Li4uVVNELkgBAAAAIHoFAAIAAAAFMy42MTkBCAAAAAUAAAABMQEAAAALLTIxNDI0MjkwMzkDAAAAAzE2MAIAAAAFMjI2NzkEAAAAATAHAAAACTcvMzEvMjAyNggAAAAINi8xLzIwMTkJAAAAATDB+fUwO+/eCPadxzQ7794IPkNJUS5OQVNEQVE6Q0FMTS5JUV9ORUdBVElWRV9HV19BTU9SVF9BVC45OTEuMzEvMDcvMjAyNi4uLlVTRC5IAQAAACB6BQADAAAAAAAaURgxO+/eCEf4ozI7794IL0NJUS5OQVNEQVE6Q0FMTS5JUV9D</t>
  </si>
  <si>
    <t>QUxDX1RZUEVfSVMuMjAwMC4zMS8wNy8yMDI2AQAAACB6BQADAAAAA1JFUADpAhgxO+/eCJO91zI7794IMUNJUS5OQVNEQVE6Q0FMTS5JUV9GSUxJTkdfQ1VSUkVOQ1kuOTkzLjMxLzA3LzIwMjYBAAAAIHoFAAMAAAADVVNEAOkCGDE7794ItkCnNDvv3gg1Q0lRLk5BU0RBUTpDQUxNLklRX0NPTU1PTl9ESVYuMjAwMC4zMS8wNy8yMDI2Li4uVVNELkgBAAAAIHoFAAIAAAAHMTE3LjUwMgDM2xcxO+/eCIa/njI7794IO0NJUS5OQVNEQVE6Q0FMTS5JUV9JTlNfU0VUVExFX1NVUFBMRS45OTEuMzEvMDcvMjAyNi4uLlVTRC5IAQAAACB6BQADAAAAAADxKRgxO+/eCBchozI7794IQENJUS5OQVNEQVE6Q0FMTS5JUV9BU1NFVF9XUklURURPV05fU1VQUExFLjk5MS4zMS8wNy8yMDI2Li4uVVNELkgBAAAAIHoFAAMAAAAAAPEpGDE7794IsYSiMjvv3ghAQ0lRLk5BU0RBUTpDQUxNLklRX0VCSVREQV9FUV9JTkNfRVhDTF9TQkMuOTkwLjMxLzA3LzIwMjYuLi5VU0QuSAEAAAAgegUAAgAAAAc1MjIuOTkzAQgAAAAFAAAAATEBAAAACjE4OTY4MjA1MTcDAAAAAzE2MAIAAAAFMjQxMzEEAAAAATAHAAAACTcvMzEvMjAyNggAAAAJNS8yOC8yMDE2CQAAAAEw6uaKMTvv3gjxs5YyO+/eCEFDSVEuTkFTREFROkNBTE0uSVFfRVhDSVNFX1RBWEVTX0VYQ0xfU0FMRVMuOTkzLjMxLzA3LzIwMjYuLi5VU0QuSAEAAAAgegUAAwAA</t>
  </si>
  <si>
    <t>AAAAvbQXMTvv3gg1ic00O+/eCENDSVEuTkFTREFROkNBTE0uSVFfRUFSTklOR19QQVJFTlRfRVhDTF9FWFRSQS45OTAuMzEvMDcvMjAyNi4uLlVTRC5IAQAAACB6BQACAAAABzMxNi4wNDEBCAAAAAUAAAABMQEAAAAKMTg5NjgyMDUxNwMAAAADMTYwAgAAAAU0MTU5NgQAAAABMAcAAAAJNy8zMS8yMDI2CAAAAAk1LzI4LzIwMTYJAAAAATC9tBcxO+/eCNd8mjI7794IPUNJUS5OQVNEQVE6Q0FMTS5JUV9OT05DQVNIX1BFTlNJT05fRVhQLjk5MS4zMS8wNy8yMDI2Li4uVVNELkgBAAAAIHoFAAIAAAAFMC42MTYBCAAAAAUAAAABMQEAAAAKMTk3MjAxMjEyMQMAAAADMTYwAgAAAAUyMTY3OAQAAAABMAcAAAAJNy8zMS8yMDI2CAAAAAg2LzMvMjAxNwkAAAABMMzbFzE7794I+rOdMjvv3gg1Q0lRLk5BU0RBUTpDQUxNLklRX0lOVF9FWFBfTFRELjk5My4zMS8wNy8yMDI2Li4uVVNELkgBAAAAIHoFAAMAAAAAAMzbFzE7794IAGTMNDvv3gg1Q0lRLk5BU0RBUTpDQUxNLklRX1NBTEVfUFBFX0NGLjk5Mi4zMS8wNy8yMDI2Li4uVVNELkgBAAAAIHoFAAIAAAAFMC45NjMBCAAAAAUAAAABMQEAAAAKMjA0NTc0OTMxMAMAAAADMTYwAgAAAAQyMDQyBAAAAAEwBwAAAAk3LzMxLzIwMjYIAAAACDYvMi8yMDE4CQAAAAEw1kf2MDvv3gihVMM0O+/eCDtDSVEuTkFTREFROkNBTE0uSVFfUFJPVl9CQURfREVCVFNfQ0YuOTkz</t>
  </si>
  <si>
    <t>LjMxLzA3LzIwMjYuLi5VU0QuSAEAAAAgegUAAwAAAAAA1kf2MDvv3ghljsQ0O+/eCDJDSVEuTkFTREFROkNBTE0uSVFfQ0ZfU0hBUkUuOTkzLjMxLzA3LzIwMjYuLi5VU0QuSAEAAAAgegUAAgAAAAgwLjk3MTcxMgEIAAAABQAAAAExAQAAAAstMjE0MjQyOTAzOQMAAAADMTYwAgAAAAU0MzkyMwQAAAABMAcAAAAJNy8zMS8yMDI2CAAAAAg2LzEvMjAxOQkAAAABMGyH+jA7794IZ5a9NDvv3ghGQ0lRLk5BU0RBUTpDQUxNLklRX0RBX1NVUFBMX0NGX0VYQ0xfT1BFUl9MRUFTRVMuOTkzLjMxLzA3LzIwMjYuLi5VU0QuSAEAAAAgegUAAgAAAAU1MS44NQEIAAAABQAAAAExAQAAAAstMjE0MjQyOTAzOQMAAAADMTYwAgAAAAU0ODk4MwQAAAABMAcAAAAJNy8zMS8yMDI2CAAAAAg2LzEvMjAxOQkAAAABMPaV9jA7794IwuG/NDvv3gguQ0lRLk5BU0RBUTpDQUxNLklRX0VCSVQuOTkwLjMxLzA3LzIwMjYuLi5VU0QuSAEAAAAgegUAAgAAAAc0NzAuMzE0AQgAAAAFAAAAATEBAAAACjE4OTY4MjA1MTcDAAAAAzE2MAIAAAADNDAwBAAAAAEwBwAAAAk3LzMxLzIwMjYIAAAACTUvMjgvMjAxNgkAAAABMOrmijE7794IbLeXMjvv3gg5Q0lRLk5BU0RBUTpDQUxNLklRX1NBTEVTX01BUktFVElORy45OTMuMzEvMDcvMjAyNi4uLlVTRC5IAQAAACB6BQADAAAAAADpAhgxO+/eCJYXyzQ7794IQUNJUS5OQVNEQVE6Q0FMTS5J</t>
  </si>
  <si>
    <t>UV9FWFBMT1JFX0RSSUxMX0VYUF9UT1RBTC45OTIuMzEvMDcvMjAyNi4uLlVTRC5IAQAAACB6BQADAAAAAADxKRgxO+/eCGXdyTQ7794INENJUS5OQVNEQVE6Q0FMTS5JUV9PSUxfSU1QQUlSLjk5My4zMS8wNy8yMDI2Li4uVVNELkgBAAAAIHoFAAMAAAAAAM4g9jA7794IKu7FNDvv3ghBQ0lRLk5BU0RBUTpDQUxNLklRX1JFU1RSX1NUT0NLX0NPTVBfUFJFVEFYLjk5Mi4zMS8wNy8yMDI2Li4uVVNELkgBAAAAIHoFAAMAAAAAAM4g9jA7794IiifHNDvv3gg4Q0lRLk5BU0RBUTpDQUxNLklRX0xUX0RFQlRfUkVQQUlELjk5Mi4zMS8wNy8yMDI2Li4uVVNELkgBAAAAIHoFAAIAAAAGLTQuODQ5AQgAAAAFAAAAATEBAAAACjIwNDU3NDkzMTADAAAAAzE2MAIAAAAEMjAzNgQAAAABMAcAAAAJNy8zMS8yMDI2CAAAAAg2LzIvMjAxOAkAAAABMOZu9jA7794I9gfCNDvv3ghBQ0lRLk5BU0RBUTpDQUxNLklRX0VCSVREQVJfRVFfSU5DX0VYQ0xfU0JDLjk5MC4zMS8wNy8yMDI2Li4uVVNELkgBAAAAIHoFAAIAAAAHNTI3LjA4MwEIAAAABQAAAAExAQAAAAoxODk2ODIwNTE3AwAAAAMxNjACAAAABTI0MTMzBAAAAAEwBwAAAAk3LzMxLzIwMjYIAAAACTUvMjgvMjAxNgkAAAABMKqNFzE7794IAlKZMjvv3ggyQ0lRLk5BU0RBUTpDQUxNLklRX05JX1NGQVMuMjAwMC4zMS8wNy8yMDI2Li4uVVNELkgBAAAAIHoFAAMAAAAA</t>
  </si>
  <si>
    <t>AL20FzE7794IUfKaMjvv3gg0Q0lRLk5BU0RBUTpDQUxNLklRX0NPTU1PTl9ESVYuOTkyLjMxLzA3LzIwMjYuLi5VU0QuSAEAAAAgegUAAgAAAAYxNy4wOTMAzNsXMTvv3gjUjMs0O+/eCD1DSVEuTkFTREFROkNBTE0uSVFfTk9OQ0FTSF9QRU5TSU9OX0VYUC45OTIuMzEvMDcvMjAyNi4uLlVTRC5IAQAAACB6BQACAAAABTAuNjkzAQgAAAAFAAAAATEBAAAACjIwNDU3NDkzMTADAAAAAzE2MAIAAAAFMjE2NzgEAAAAATAHAAAACTcvMzEvMjAyNggAAAAINi8yLzIwMTgJAAAAATDM2xcxO+/eCOgVzDQ7794IOENJUS5OQVNEQVE6Q0FMTS5JUV9NSU5JTVVNX1JFTlRBTC45OTMuMzEvMDcvMjAyNi4uLlVTRC5IAQAAACB6BQADAAAAAADpAhgxO+/eCJNSyjQ7794IQ0NJUS5OQVNEQVE6Q0FMTS5JUV9PVEhFUl9OT05fT1BFUl9FWFBfU1VQUEwuMjAwMC4zMS8wNy8yMDI2Li4uVVNELkgBAAAAIHoFAAIAAAAGMTMuMDkyAQgAAAAFAAAAATEBAAAACy0xODgxMDY4Mjk1AwAAAAMxNjACAAAAAjg1BAAAAAEwBwAAAAk3LzMxLzIwMjYIAAAACTUvMzAvMjAyNgkAAAABMMOYijE7794IzQuRMjvv3gg7Q0lRLk5BU0RBUTpDQUxNLklRX1NQRUNJQUxfRElWX1NIQVJFLjk5MC4zMS8wNy8yMDI2Li4uVVNELkgBAAAAIHoFAAMAAAAAANO/ijE7794InT6WMjvv3ggwQ0lRLk5BU0RBUTpDQUxNLklRX0VCSVRBLjIwMDAuMzEv</t>
  </si>
  <si>
    <t>MDcvMjAyNi4uLlVTRC5IAQAAACB6BQACAAAABzM1MC4xMTcBCAAAAAUAAAABMQEAAAALLTE4ODEwNjgyOTUDAAAAAzE2MAIAAAAGMTAwNjg5BAAAAAEwBwAAAAk3LzMxLzIwMjYIAAAACTUvMzAvMjAyNgkAAAABMKqNFzE7794IzqGYMjvv3gguQ0lRLk5BU0RBUTpDQUxNLklRX0VCSVQuOTkxLjMxLzA3LzIwMjYuLi5VU0QuSAEAAAAgegUAAgAAAAgtMTMwLjQ4MgEIAAAABQAAAAExAQAAAAoxOTcyMDEyMTIxAwAAAAMxNjACAAAAAzQwMAQAAAABMAcAAAAJNy8zMS8yMDI2CAAAAAg2LzMvMjAxNwkAAAABMOrmijE7794IbLeXMjvv3gg/Q0lRLk5BU0RBUTpDQUxNLklRX1RPVEFMX1JFVl9BU19SRVBPUlRFRC45OTEuMzEvMDcvMjAyNi4uLlVTRC5IAQAAACB6BQADAAAAAAC9tBcxO+/eCHoGmjI7794ILUNJUS5OQVNEQVE6Q0FMTS5JUV9QRVJJT0REQVRFLjIwMDAuMzEvMDcvMjAyNgEAAAAgegUABQAAAAozMC8wNS8yMDI2AMBxijE7794I9IXVMjvv3ggzQ0lRLk5BU0RBUTpDQUxNLklRX1NHQV9TVVBQTC45OTIuMzEvMDcvMjAyNi4uLlVTRC5IAQAAACB6BQACAAAABzE3OS4zMTYBCAAAAAUAAAABMQEAAAAKMjA0NTc0OTMxMAMAAAADMTYwAgAAAAMxMDIEAAAAATAHAAAACTcvMzEvMjAyNggAAAAINi8yLzIwMTgJAAAAATDAcYoxO+/eCJbX1jQ7794IOkNJUS5OQVNEQVE6Q0FMTS5JUV9ORVRfSU5URVJF</t>
  </si>
  <si>
    <t>U1RfRVhQLjk5My4zMS8wNy8yMDI2Li4uVVNELkgBAAAAIHoFAAIAAAAGMTcuODE2AQgAAAAFAAAAATEBAAAACy0yMTQyNDI5MDM5AwAAAAMxNjACAAAAAzM2OAQAAAABMAcAAAAJNy8zMS8yMDI2CAAAAAg2LzEvMjAxOQkAAAABMMOYijE7794I20jVNDvv3gg2Q0lRLk5BU0RBUTpDQUxNLklRX0lOVEVSRVNUX0VYUC45OTAuMzEvMDcvMjAyNi4uLlVTRC5IAQAAACB6BQACAAAABi0xLjE1NgEIAAAABQAAAAExAQAAAAoxODk2ODIwNTE3AwAAAAMxNjACAAAAAjgyBAAAAAEwBwAAAAk3LzMxLzIwMjYIAAAACTUvMjgvMjAxNgkAAAABMMBxijE7794IXBuQMjvv3ggyQ0lRLk5BU0RBUTpDQUxNLklRX0RBX1NVUFBMLjk5MS4zMS8wNy8yMDI2Li4uVVNELkgBAAAAIHoFAAMAAAAAAMBxijE7794I5UOPMjvv3ggsQ0lRLk5BU0RBUTpDQUxNLklRX05JLjk5MC4zMS8wNy8yMDI2Li4uVVNELkgBAAAAIHoFAAIAAAAHMzE2LjA0MQEIAAAABQAAAAExAQAAAAoxODk2ODIwNTE3AwAAAAMxNjACAAAAAjE1BAAAAAEwBwAAAAk3LzMxLzIwMjYIAAAACTUvMjgvMjAxNgkAAAABMNO/ijE7794IfCyUMjvv3gg6Q0lRLk5BU0RBUTpDQUxNLklRX0VYVFJBX0FDQ19JVEVNUy4yMDAwLjMxLzA3LzIwMjYuLi5VU0QuSAEAAAAgegUAAwAAAAAAw5iKMTvv3ghm3pMyO+/eCE5DSVEuTkFTREFROkNBTE0uSVFfRElTVFJJQlVUQUJM</t>
  </si>
  <si>
    <t>RV9DQVNIX1BFUl9TSEFSRV9ESUxVVEVELjk5MC4zMS8wNy8yMDI2Li4uVVNELkgBAAAAIHoFAAMAAAAAANO/ijE7794I9Z+VMjvv3gguQ0lRLk5BU0RBUTpDQUxNLklRX0NPR1MuOTkxLjMxLzA3LzIwMjYuLi5VU0QuSAEAAAAgegUAAgAAAAgxMDI4Ljk2MwEIAAAABQAAAAExAQAAAAoxOTcyMDEyMTIxAwAAAAMxNjACAAAAAjM0BAAAAAEwBwAAAAk3LzMxLzIwMjYIAAAACDYvMy8yMDE3CQAAAAEwwHGKMTvv3giAQooyO+/eCDVDSVEuTkFTREFROkNBTE0uSVFfSU5TX0RJVl9SRVYuOTkyLjMxLzA3LzIwMjYuLi5VU0QuSAEAAAAgegUAAwAAAAAAwHGKMTvv3gik+Ng0O+/eCDJDSVEuTkFTREFROkNBTE0uSVFfREFfU1VQUEwuOTkyLjMxLzA3LzIwMjYuLi5VU0QuSAEAAAAgegUAAwAAAAAAwHGKMTvv3ghSDNY0O+/eCDZDSVEuTkFTREFROkNBTE0uSVFfU1RPQ0tfQkFTRUQuMjAwMC4zMS8wNy8yMDI2Li4uVVNELkgBAAAAIHoFAAMAAAAAAMBxijE7794I4eGOMjvv3ggzQ0lRLk5BU0RBUTpDQUxNLklRX1NHQV9TVVBQTC45OTMuMzEvMDcvMjAyNi4uLlVTRC5IAQAAACB6BQACAAAABzE3Ny4wNDUBCAAAAAUAAAABMQEAAAALLTIxNDI0MjkwMzkDAAAAAzE2MAIAAAADMTAyBAAAAAEwBwAAAAk3LzMxLzIwMjYIAAAACDYvMS8yMDE5CQAAAAEwwHGKMTvv3giW19Y0O+/eCDZDSVEuTkFTREFROkNBTE0uSVFf</t>
  </si>
  <si>
    <t>SU5URVJFU1RfRVhQLjk5MS4zMS8wNy8yMDI2Li4uVVNELkgBAAAAIHoFAAIAAAAGLTAuMzE4AQgAAAAFAAAAATEBAAAACjE5NzIwMTIxMjEDAAAAAzE2MAIAAAACODIEAAAAATAHAAAACTcvMzEvMjAyNggAAAAINi8zLzIwMTcJAAAAATDAcYoxO+/eCFwbkDI7794IMkNJUS5OQVNEQVE6Q0FMTS5JUV9FQlRfRVhDTC45OTAuMzEvMDcvMjAyNi4uLlVTRC5IAQAAACB6BQACAAAABzQ4NS42NjUBCAAAAAUAAAABMQEAAAAKMTg5NjgyMDUxNwMAAAADMTYwAgAAAAE0BAAAAAEwBwAAAAk3LzMxLzIwMjYIAAAACTUvMjgvMjAxNgkAAAABMMOYijE7794IzQuRMjvv3gg/Q0lRLk5BU0RBUTpDQUxNLklRX0VCSVREQV9MRUFTRV9BREpVU1RFRC45OTAuMzEvMDcvMjAyNi4uLlVTRC5IAQAAACB6BQACAAAABzUxNC45MDYBCAAAAAUAAAABMQEAAAAKMTg5NjgyMDUxNwMAAAADMTYwAgAAAAU0ODk5MwQAAAABMAcAAAAJNy8zMS8yMDI2CAAAAAk1LzI4LzIwMTYJAAAAATDq5ooxO+/eCCsClzI7794IPENJUS5OQVNEQVE6Q0FMTS5JUV9JTlZFU1RNRU5UX0lOQ09NRS4yMDAwLjMxLzA3LzIwMjYuLi5VU0QuSAEAAAAgegUAAwAAAAAAvbQXMTvv3ghbQJsyO+/eCEBDSVEuTkFTREFROkNBTE0uSVFfRUJJVEFfRVFfSU5DX0VYQ0xfU0JDLjIwMDAuMzEvMDcvMjAyNi4uLlVTRC5IAQAAACB6BQACAAAABzM1NC41NzQBCAAA</t>
  </si>
  <si>
    <t>AAUAAAABMQEAAAALLTE4ODEwNjgyOTUDAAAAAzE2MAIAAAAFMjQxMzIEAAAAATAHAAAACTcvMzEvMjAyNggAAAAJNS8zMC8yMDI2CQAAAAEwqo0XMTvv3gj775gyO+/eCDZDSVEuTkFTREFROkNBTE0uSVFfSU5UX0lOVl9JTkMuMjAwMC4zMS8wNy8yMDI2Li4uVVNELkgBAAAAIHoFAAMAAAAAAMBxijE7794IJQeKMjvv3ghBQ0lRLk5BU0RBUTpDQUxNLklRX0RFRkVSUkVEX0RPTUVTVElDX1RBWEVTLjk5My4zMS8wNy8yMDI2Li4uVVNELkgBAAAAIHoFAAIAAAAFNi4xMjMBCAAAAAUAAAABMQEAAAALLTIxNDI0MjkwMzkDAAAAAzE2MAIAAAAEMzA1NAQAAAABMAcAAAAJNy8zMS8yMDI2CAAAAAg2LzEvMjAxOQkAAAABML20FzE7794IUyfNNDvv3ghGQ0lRLk5BU0RBUTpDQUxNLklRX0RBX1NVUFBMX0NGX0VYQ0xfT1BFUl9MRUFTRVMuOTkxLjMxLzA3LzIwMjYuLi5VU0QuSAEAAAAgegUAAgAAAAY0Ni45MTMBCAAAAAUAAAABMQEAAAAKMTk3MjAxMjEyMQMAAAADMTYwAgAAAAU0ODk4MwQAAAABMAcAAAAJNy8zMS8yMDI2CAAAAAg2LzMvMjAxNwkAAAABMPaV9jA7794ImL2wMjvv3gg4Q0lRLk5BU0RBUTpDQUxNLklRX0xUX0RFQlRfUkVQQUlELjk5My4zMS8wNy8yMDI2Li4uVVNELkgBAAAAIHoFAAIAAAAGLTMuNzU0AQgAAAAFAAAAATEBAAAACy0yMTQyNDI5MDM5AwAAAAMxNjACAAAABDIwMzYEAAAAATAH</t>
  </si>
  <si>
    <t>AAAACTcvMzEvMjAyNggAAAAINi8xLzIwMTkJAAAAATDmbvYwO+/eCDzhwTQ7794IOkNJUS5OQVNEQVE6Q0FMTS5JUV9JTlZFU1RfTE9BTlNfQ0YuMjAwMC4zMS8wNy8yMDI2Li4uVVNELkgBAAAAIHoFAAMAAAAAAOZu9jA7794InYasMjvv3ggwQ0lRLk5BU0RBUTpDQUxNLklRX0ZJTElOR0RBVEVfSVMuMjAwMC4zMS8wNy8yMDI2AQAAACB6BQAFAAAACjIyLzA3LzIwMjYA6uaKMTvv3ggeXdYyO+/eCD5DSVEuTkFTREFROkNBTE0uSVFfRUJJVF9FUV9JTkNfRVhDTF9TQkMuOTkxLjMxLzA3LzIwMjYuLi5VU0QuSAEAAAAgegUAAgAAAAgtMTI1LjY2NQEIAAAABQAAAAExAQAAAAoxOTcyMDEyMTIxAwAAAAMxNjACAAAABTI0MTMwBAAAAAEwBwAAAAk3LzMxLzIwMjYIAAAACDYvMy8yMDE3CQAAAAEw6uaKMTvv3gi0BZgyO+/eCEFDSVEuTkFTREFROkNBTE0uSVFfRVhQTE9SRV9EUklMTF9FWFBfVE9UQUwuOTkzLjMxLzA3LzIwMjYuLi5VU0QuSAEAAAAgegUAAwAAAAAA8SkYMTvv3ghjBMo0O+/eCDhDSVEuTkFTREFROkNBTE0uSVFfTkVUX1JFTlRBTF9FWFAuOTkxLjMxLzA3LzIwMjYuLi5VU0QuSAEAAAAgegUAAwAAAAAA6QIYMTvv3ggbCqAyO+/eCEFDSVEuTkFTREFROkNBTE0uSVFfUkVTVFJfU1RPQ0tfQ09NUF9QUkVUQVguOTkzLjMxLzA3LzIwMjYuLi5VU0QuSAEAAAAgegUAAwAAAAAAziD2MDvv3giK</t>
  </si>
  <si>
    <t>J8c0O+/eCEJDSVEuTkFTREFROkNBTE0uSVFfR0FJTl9CQVJHQUlOX0FDUV9TVVBQTEUuMjAwMC4zMS8wNy8yMDI2Li4uVVNELkgBAAAAIHoFAAMAAAAAAPEpGDE7794IFyGjMjvv3gg8Q0lRLk5BU0RBUTpDQUxNLklRX0dXX0lOVEFOX0FNT1JUX0NGLjIwMDAuMzEvMDcvMjAyNi4uLlVTRC5IAQAAACB6BQACAAAABTYuNzY1AQgAAAAFAAAAATEBAAAACy0xODgxMDY4Mjk1AwAAAAMxNjACAAAABDIxODIEAAAAATAHAAAACTcvMzEvMjAyNggAAAAJNS8zMC8yMDI2CQAAAAEwziD2MDvv3gjqdacyO+/eCD5DSVEuTkFTREFROkNBTE0uSVFfQ0FQSVRBTElaRURfSU5URVJFU1QuOTkxLjMxLzA3LzIwMjYuLi5VU0QuSAEAAAAgegUAAgAAAAMxLjEBCAAAAAUAAAABMQEAAAAKMTk3MjAxMjEyMQMAAAADMTYwAgAAAAQzMDMyBAAAAAEwBwAAAAk3LzMxLzIwMjYIAAAACDYvMy8yMDE3CQAAAAEwvbQXMTvv3gjQFp0yO+/eCEBDSVEuTkFTREFROkNBTE0uSVFfREVGRVJSRURfRk9SRUlHTl9UQVhFUy45OTAuMzEvMDcvMjAyNi4uLlVTRC5IAQAAACB6BQADAAAAAAC9tBcxO+/eCK8DnDI7794INENJUS5OQVNEQVE6Q0FMTS5JUV9DT01NT05fRElWLjk5My4zMS8wNy8yMDI2Li4uVVNELkgBAAAAIHoFAAMAAAAAAMzbFzE7794I1IzLNDvv3ghDQ0lRLk5BU0RBUTpDQUxNLklRX0RJU1RSSUJVVEFCTEVfQ0FTSF9TSEFS</t>
  </si>
  <si>
    <t>RVNfRElMVVRFRC45OTMuMzEvMDcvMjAyNgEAAAAgegUAAwAAAAAA07+KMTvv3ghBP6g0O+/eCEBDSVEuTkFTREFROkNBTE0uSVFfSU1QVVRfT1BFUl9MRUFTRV9ERVBSLjIwMDAuMzEvMDcvMjAyNi4uLlVTRC5IAQAAACB6BQADAAAAAADxKRgxO+/eCKHUoTI7794INUNJUS5OQVNEQVE6Q0FMTS5JUV9JTlNfRElWX1JFVi45OTMuMzEvMDcvMjAyNi4uLlVTRC5IAQAAACB6BQADAAAAAADAcYoxO+/eCKT42DQ7794ILUNJUS5OQVNEQVE6Q0FMTS5JUV9SRVYuOTkwLjMxLzA3LzIwMjYuLi5VU0QuSAEAAAAgegUAAgAAAAcxOTA4LjY1AQgAAAAFAAAAATEBAAAACjE4OTY4MjA1MTcDAAAAAzE2MAIAAAADMTEyBAAAAAEwBwAAAAk3LzMxLzIwMjYIAAAACTUvMjgvMjAxNgkAAAABMMBxijE7794IZxqJMjvv3ghBQ0lRLk5BU0RBUTpDQUxNLklRX0VCSVREQVJfRVFfSU5DX0VYQ0xfU0JDLjk5MS4zMS8wNy8yMDI2Li4uVVNELkgBAAAAIHoFAAIAAAAHLTcyLjU3NwEIAAAABQAAAAExAQAAAAoxOTcyMDEyMTIxAwAAAAMxNjACAAAABTI0MTMzBAAAAAEwBwAAAAk3LzMxLzIwMjYIAAAACDYvMy8yMDE3CQAAAAEwqo0XMTvv3ggCUpkyO+/eCDZDSVEuTkFTREFROkNBTE0uSVFfRUJJVEFfRVFfSU5DLjk5MC4zMS8wNy8yMDI2Li4uVVNELkgBAAAAIHoFAAIAAAAGNDc3LjkzAQgAAAAFAAAAATEBAAAACjE4OTY4MjA1</t>
  </si>
  <si>
    <t>MTcDAAAAAzE2MAIAAAAFMjE2NzYEAAAAATAHAAAACTcvMzEvMjAyNggAAAAJNS8yOC8yMDE2CQAAAAEwqo0XMTvv3gjiepgyO+/eCDlDSVEuTkFTREFROkNBTE0uSVFfSU5URVJFU1RfSU5DT01FLjk5MC4zMS8wNy8yMDI2Li4uVVNELkgBAAAAIHoFAAIAAAAGMTEuMjQ0AQgAAAAFAAAAATEBAAAACjE4OTY4MjA1MTcDAAAAAzE2MAIAAAADMjEwBAAAAAEwBwAAAAk3LzMxLzIwMjYIAAAACTUvMjgvMjAxNgkAAAABML20FzE7794IUfKaMjvv3gg7Q0lRLk5BU0RBUTpDQUxNLklRX05FR0FUSVZFX0dXX0FNT1JULjk5My4zMS8wNy8yMDI2Li4uVVNELkgBAAAAIHoFAAMAAAAAAPEpGDE7794I2ELINDvv3ggzQ0lRLk5BU0RBUTpDQUxNLklRX0NIQU5HRV9BUC45OTMuMzEvMDcvMjAyNi4uLlVTRC5IAQAAACB6BQACAAAABy0xNC4zMzgBCAAAAAUAAAABMQEAAAALLTIxNDI0MjkwMzkDAAAAAzE2MAIAAAAEMjAxNwQAAAABMAcAAAAJNy8zMS8yMDI2CAAAAAg2LzEvMjAxOQkAAAABMNZH9jA7794IFgXENDvv3gg9Q0lRLk5BU0RBUTpDQUxNLklRX1RBWF9CRU5FRklUX09QVElPTlMuOTkwLjMxLzA3LzIwMjYuLi5VU0QuSAEAAAAgegUAAwAAAAAA1kf2MDvv3ghgcakyO+/eCD5DSVEuTkFTREFROkNBTE0uSVFfQ0FQSVRBTElaRURfSU5URVJFU1QuOTkyLjMxLzA3LzIwMjYuLi5VU0QuSAEAAAAgegUAAgAAAAUw</t>
  </si>
  <si>
    <t>LjIxNwEIAAAABQAAAAExAQAAAAoyMDQ1NzQ5MzEwAwAAAAMxNjACAAAABDMwMzIEAAAAATAHAAAACTcvMzEvMjAyNggAAAAINi8yLzIwMTgJAAAAATC9tBcxO+/eCABkzDQ7794IOUNJUS5OQVNEQVE6Q0FMTS5JUV9JTlRFUkVTVF9JTkNPTUUuOTkxLjMxLzA3LzIwMjYuLi5VU0QuSAEAAAAgegUAAgAAAAYxMC43NjgBCAAAAAUAAAABMQEAAAAKMTk3MjAxMjEyMQMAAAADMTYwAgAAAAMyMTAEAAAAATAHAAAACTcvMzEvMjAyNggAAAAINi8zLzIwMTcJAAAAATC9tBcxO+/eCDnLmjI7794IO0NJUS5OQVNEQVE6Q0FMTS5JUV9UT1RBTF9ESVZfUEFJRF9DRi45OTMuMzEvMDcvMjAyNi4uLlVTRC5IAQAAACB6BQACAAAABy00MS43MTMBCAAAAAUAAAABMQEAAAALLTIxNDI0MjkwMzkDAAAAAzE2MAIAAAAEMjAyMgQAAAABMAcAAAAJNy8zMS8yMDI2CAAAAAg2LzEvMjAxOQkAAAABMOZu9jA7794IYQnBNDvv3gg4Q0lRLk5BU0RBUTpDQUxNLklRX05FVF9SRU5UQUxfRVhQLjk5My4zMS8wNy8yMDI2Li4uVVNELkgBAAAAIHoFAAMAAAAAAOkCGDE7794IYKLKNDvv3ggtQ0lRLk5BU0RBUTpDQUxNLklRX0RJQy45OTIuMzEvMDcvMjAyNi4uLlVTRC5IAQAAACB6BQADAAAAAADpAhgxO+/eCN9lyzQ7794IPkNJUS5OQVNEQVE6Q0FMTS5JUV9JTVBBSVJNRU5UX0dXX1NVUFBMRS45OTMuMzEvMDcvMjAyNi4uLlVTRC5I</t>
  </si>
  <si>
    <t>AQAAACB6BQADAAAAAADxKRgxO+/eCDNByTQ7794IQUNJUS5OQVNEQVE6Q0FMTS5JUV9TQUxBUklFU19PVEhFUl9CRU5FRklUUy45OTEuMzEvMDcvMjAyNi4uLlVTRC5IAQAAACB6BQADAAAAAADxKRgxO+/eCKHUoTI7794IQUNJUS5OQVNEQVE6Q0FMTS5JUV9HQUlOX0JBUkdBSU5fQUNRX1NVUFBMRS45OTAuMzEvMDcvMjAyNi4uLlVTRC5IAQAAACB6BQADAAAAAADxKRgxO+/eCPn5ojI7794IOENJUS5OQVNEQVE6Q0FMTS5JUV9HQUlOX0lOVkVTVF9DRi45OTMuMzEvMDcvMjAyNi4uLlVTRC5IAQAAACB6BQACAAAABTAuOTYyAQgAAAAFAAAAATEBAAAACy0yMTQyNDI5MDM5AwAAAAMxNjACAAAABDIwOTAEAAAAATAHAAAACTcvMzEvMjAyNggAAAAINi8xLzIwMTkJAAAAATDWR/YwO+/eCORRxTQ7794IPENJUS5OQVNEQVE6Q0FMTS5JUV9TVE9DS19PUFRJT05TX0NPTVAuOTkyLjMxLzA3LzIwMjYuLi5VU0QuSAEAAAAgegUAAwAAAAAAziD2MDvv3ghWnsY0O+/eCDlDSVEuTkFTREFROkNBTE0uSVFfU1RPQ0tfQkFTRURfR0EuMjAwMC4zMS8wNy8yMDI2Li4uVVNELkgBAAAAIHoFAAMAAAAAAMH59TA7794IfJSkMjvv3gg0Q0lRLk5BU0RBUTpDQUxNLklRX0NBU0hfT1BFUi4yMDAwLjMxLzA3LzIwMjYuLi5VU0QuSAEAAAAgegUAAgAAAAc0NzkuNzUzAQgAAAAFAAAAATEBAAAACy0xODgxMDY4Mjk1AwAAAAMx</t>
  </si>
  <si>
    <t>NjACAAAABDIwMDYEAAAAATAHAAAACTcvMzEvMjAyNggAAAAJNS8zMC8yMDI2CQAAAAEw1kf2MDvv3ggydasyO+/eCERDSVEuTkFTREFROkNBTE0uSVFfTk9OUkVDVVJSSU5HX0lOQ09NRV9UQVhFUy4yMDAwLjMxLzA3LzIwMjYuLi5VU0QuSAEAAAAgegUAAwAAAAAAvbQXMTvv3giHoZwyO+/eCEFDSVEuTkFTREFROkNBTE0uSVFfRVhDSVNFX1RBWEVTX0VYQ0xfU0FMRVMuOTkwLjMxLzA3LzIwMjYuLi5VU0QuSAEAAAAgegUAAwAAAAAAvbQXMTvv3ghbQJsyO+/eCD5DSVEuTkFTREFROkNBTE0uSVFfQ0FQSVRBTElaRURfSU5URVJFU1QuOTkzLjMxLzA3LzIwMjYuLi5VU0QuSAEAAAAgegUAAwAAAAAAvbQXMTvv3gg3i8w0O+/eCDxDSVEuTkFTREFROkNBTE0uSVFfQ09OVElOR0VOVF9SRU5UQUwuMjAwMC4zMS8wNy8yMDI2Li4uVVNELkgBAAAAIHoFAAMAAAAAAOkCGDE7794IBZSgMjvv3gguQ0lRLk5BU0RBUTpDQUxNLklRX0NBTENfVFlQRV9JUy45OTAuMzEvMDcvMjAyNgEAAAAgegUAAwAAAANSRVAA6QIYMTvv3ghPltcyO+/eCDtDSVEuTkFTREFROkNBTE0uSVFfTkVUX1JFTlRBTF9FWFBfRk4uOTkxLjMxLzA3LzIwMjYuLi5VU0QuSAEAAAAgegUAAgAAAAUzLjk3NQEIAAAABQAAAAExAQAAAAoxOTcyMDEyMTIxAwAAAAMxNjACAAAABDMxNzAEAAAAATAHAAAACTcvMzEvMjAyNggAAAAINi8zLzIwMTcJ</t>
  </si>
  <si>
    <t>AAAAATDpAhgxO+/eCBsKoDI7794ILkNJUS5OQVNEQVE6Q0FMTS5JUV9DQUxDX1RZUEVfSVMuOTkxLjMxLzA3LzIwMjYBAAAAIHoFAAMAAAADUkVQAOkCGDE7794IT5bXMjvv3ghBQ0lRLk5BU0RBUTpDQUxNLklRX0dBSU5fQkFSR0FJTl9BQ1FfU1VQUExFLjk5MS4zMS8wNy8yMDI2Li4uVVNELkgBAAAAIHoFAAMAAAAAAPEpGDE7794I+fmiMjvv3gg4Q0lRLk5BU0RBUTpDQUxNLklRX01JTklNVU1fUkVOVEFMLjk5MC4zMS8wNy8yMDI2Li4uVVNELkgBAAAAIHoFAAMAAAAAAOkCGDE7794IBZSgMjvv3ggvQ0lRLk5BU0RBUTpDQUxNLklRX0NBUEVYLjk5MC4zMS8wNy8yMDI2Li4uVVNELkgBAAAAIHoFAAIAAAAHLTc2LjEyNQEIAAAABQAAAAExAQAAAAoxODk2ODIwNTE3AwAAAAMxNjACAAAABDIwMjEEAAAAATAHAAAACTcvMzEvMjAyNggAAAAJNS8yOC8yMDE2CQAAAAEw1kf2MDvv3ggydasyO+/eCExDSVEuTkFTREFROkNBTE0uSVFfUFJPVl9CQURfREVCVFNfUEFUSUVOVF9TRVJWSUNFX1JFVi45OTEuMzEvMDcvMjAyNi4uLlVTRC5IAQAAACB6BQADAAAAAAC9tBcxO+/eCFRBmjI7794IQ0NJUS5OQVNEQVE6Q0FMTS5JUV9ESVNUUklCVVRBQkxFX0NBU0hfU0hBUkVTX0RJTFVURUQuOTkwLjMxLzA3LzIwMjYBAAAAIHoFAAMAAAAAANO/ijE7794IG7/WMjvv3gg0Q0lRLk5BU0RBUTpDQUxNLklRX0RBX0VC</t>
  </si>
  <si>
    <t>SVREQS4yMDAwLjMxLzA3LzIwMjYuLi5VU0QuSAEAAAAgegUAAgAAAAcxMjQuMzQyAQgAAAAFAAAAATEBAAAACy0xODgxMDY4Mjk1AwAAAAMxNjACAAAABDIyMDYEAAAAATAHAAAACTcvMzEvMjAyNggAAAAJNS8zMC8yMDI2CQAAAAEwzNsXMTvv3ggaKZ4yO+/eCDpDSVEuTkFTREFROkNBTE0uSVFfSU5UX0VYUF9JTkNMX0NBUC45OTIuMzEvMDcvMjAyNi4uLlVTRC5IAQAAACB6BQACAAAABTAuNDgyAQgAAAAFAAAAATEBAAAACjIwNDU3NDkzMTADAAAAAzE2MAIAAAAFMjE4NjEEAAAAATAHAAAACTcvMzEvMjAyNggAAAAINi8yLzIwMTgJAAAAATDM2xcxO+/eCOgVzDQ7794IQ0NJUS5OQVNEQVE6Q0FMTS5JUV9OT05SRUNVUlJJTkdfSU5DT01FX1RBWEVTLjk5My4zMS8wNy8yMDI2Li4uVVNELkgBAAAAIHoFAAMAAAAAAL20FzE7794INNnMNDvv3gg2Q0lRLk5BU0RBUTpDQUxNLklRX0VCSVREQV9DQVBFWC45OTAuMzEvMDcvMjAyNi4uLlVTRC5IAQAAACB6BQACAAAABzQzOC43ODEBCAAAAAUAAAABMQEAAAAKMTg5NjgyMDUxNwMAAAADMTYwAgAAAAUzNTM3OQQAAAABMAcAAAAJNy8zMS8yMDI2CAAAAAk1LzI4LzIwMTYJAAAAATCqjRcxO+/eCLO1mTI7794IMkNJUS5OQVNEQVE6Q0FMTS5JUV9FQklUREFSLjIwMDAuMzEvMDcvMjAyNi4uLlVTRC5IAQAAACB6BQADAAAAAACqjRcxO+/eCPgqmTI7794IOENJ</t>
  </si>
  <si>
    <t>US5OQVNEQVE6Q0FMTS5JUV9FQklUQV9FWENMX1NCQy45OTEuMzEvMDcvMjAyNi4uLlVTRC5IAQAAACB6BQACAAAACC0xMjQuODU1AQgAAAAFAAAAATEBAAAACjE5NzIwMTIxMjEDAAAAAzE2MAIAAAAFMjQxMzYEAAAAATAHAAAACTcvMzEvMjAyNggAAAAINi8zLzIwMTcJAAAAATCqjRcxO+/eCP/ImDI7794IPENJUS5OQVNEQVE6Q0FMTS5JUV9DVVJSX0ZPUkVJR05fVEFYRVMuOTkwLjMxLzA3LzIwMjYuLi5VU0QuSAEAAAAgegUAAwAAAAAAvbQXMTvv3giAtZsyO+/eCEFDSVEuTkFTREFROkNBTE0uSVFfRVhDSVNFX1RBWEVTX0VYQ0xfU0FMRVMuOTkxLjMxLzA3LzIwMjYuLi5VU0QuSAEAAAAgegUAAwAAAAAAvbQXMTvv3ghbQJsyO+/eCDJDSVEuTkFTREFROkNBTE0uSVFfRFJfUkFUSU9fUFJJTUFSWS45OTAuMzEvMDcvMjAyNgEAAAAgegUAAwAAAAAA07+KMTvv3gjLDtYyO+/eCENDSVEuTkFTREFROkNBTE0uSVFfRElTVFJJQlVUQUJMRV9DQVNIX1NIQVJFU19ESUxVVEVELjk5MS4zMS8wNy8yMDI2AQAAACB6BQADAAAAAADTv4oxO+/eCBu/1jI7794IOUNJUS5OQVNEQVE6Q0FMTS5JUV9ESUxVVF9FUFNfRVhDTC4yMDAwLjMxLzA3LzIwMjYuLi5VU0QuSAEAAAAgegUAAgAAAAQ2LjYzAQgAAAAFAAAAATEBAAAACy0xODgxMDY4Mjk1AwAAAAMxNjACAAAAAzE0MgQAAAABMAcAAAAJNy8zMS8yMDI2CAAA</t>
  </si>
  <si>
    <t>AAk1LzMwLzIwMjYJAAAAATDTv4oxO+/eCPhRlTI7794IMUNJUS5OQVNEQVE6Q0FMTS5JUV9FQklUREEuMjAwMC4zMS8wNy8yMDI2Li4uVVNELkgBAAAAIHoFAAIAAAAHNDY3LjY5NAEIAAAABQAAAAExAQAAAAstMTg4MTA2ODI5NQMAAAADMTYwAgAAAAQ0MDUxBAAAAAEwBwAAAAk3LzMxLzIwMjYIAAAACTUvMzAvMjAyNgkAAAABMOrmijE7794IBY2WMjvv3ggxQ0lRLk5BU0RBUTpDQUxNLklRX1BFUklPRExFTkdUSF9JUy45OTIuMzEvMDcvMjAyNgEAAAAgegUAAQAAAAIxMgDq5ooxO+/eCDEYqDQ7794ILkNJUS5OQVNEQVE6Q0FMTS5JUV9JUFJELjk5Mi4zMS8wNy8yMDI2Li4uVVNELkgBAAAAIHoFAAMAAAAAAMOYijE7794IUPzTNDvv3ggvQ0lRLk5BU0RBUTpDQUxNLklRX0JBU0lDX1dFSUdIVC4yMDAwLjMxLzA3LzIwMjYBAAAAIHoFAAIAAAAFNDcuNjUA07+KMTvv3gj+rNUyO+/eCDlDSVEuTkFTREFROkNBTE0uSVFfQkFTSUNfRVBTX0lOQ0wuMjAwMC4zMS8wNy8yMDI2Li4uVVNELkgBAAAAIHoFAAIAAAAINi42NDYwMDIBCAAAAAUAAAABMQEAAAALLTE4ODEwNjgyOTUDAAAAAzE2MAIAAAABOQQAAAABMAcAAAAJNy8zMS8yMDI2CAAAAAk1LzMwLzIwMjYJAAAAATDTv4oxO+/eCKbclDI7794ILENJUS5OQVNEQVE6Q0FMTS5JUV9OSS45OTMuMzEvMDcvMjAyNi4uLlVTRC5IAQAAACB6BQACAAAABjU0</t>
  </si>
  <si>
    <t>LjIyOQEIAAAABQAAAAExAQAAAAstMjE0MjQyOTAzOQMAAAADMTYwAgAAAAIxNQQAAAABMAcAAAAJNy8zMS8yMDI2CAAAAAg2LzEvMjAxOQkAAAABMNO/ijE7794INurSNDvv3gg0Q0lRLk5BU0RBUTpDQUxNLklRX05JX0NPTVBBTlkuOTkyLjMxLzA3LzIwMjYuLi5VU0QuSAEAAAAgegUAAgAAAAcxMjYuMTk2AQgAAAAFAAAAATEBAAAACjIwNDU3NDkzMTADAAAAAzE2MAIAAAAFNDE1NzEEAAAAATAHAAAACTcvMzEvMjAyNggAAAAINi8yLzIwMTgJAAAAATDDmIoxO+/eCFY40zQ7794IOUNJUS5OQVNEQVE6Q0FMTS5JUV9TVF9ERUJUX1JFUEFJRC4yMDAwLjMxLzA3LzIwMjYuLi5VU0QuSAEAAAAgegUAAwAAAAAA5m72MDvv3ggcla0yO+/eCDxDSVEuTkFTREFROkNBTE0uSVFfSU5WRVNUX1NFQ1VSSVRZX0NGLjk5MC4zMS8wNy8yMDI2Li4uVVNELkgBAAAAIHoFAAIAAAAHLTE1MS4zMQEIAAAABQAAAAExAQAAAAoxODk2ODIwNTE3AwAAAAMxNjACAAAABDIwMjcEAAAAATAHAAAACTcvMzEvMjAyNggAAAAJNS8yOC8yMDE2CQAAAAEw5m72MDvv3giXOKwyO+/eCCxDSVEuTkFTREFROkNBTE0uSVFfRE8uOTkxLjMxLzA3LzIwMjYuLi5VU0QuSAEAAAAgegUAAwAAAAAAw5iKMTvv3gjtaJMyO+/eCDFDSVEuTkFTREFROkNBTE0uSVFfSU5DX1RBWC45OTAuMzEvMDcvMjAyNi4uLlVTRC5IAQAAACB6BQACAAAABzE2</t>
  </si>
  <si>
    <t>OS4yMDIBCAAAAAUAAAABMQEAAAAKMTg5NjgyMDUxNwMAAAADMTYwAgAAAAI3NQQAAAABMAcAAAAJNy8zMS8yMDI2CAAAAAk1LzI4LzIwMTYJAAAAATDDmIoxO+/eCI0OkzI7794IN0NJUS5OQVNEQVE6Q0FMTS5JUV9MRUdBTF9TRVRUTEUuMjAwMC4zMS8wNy8yMDI2Li4uVVNELkgBAAAAIHoFAAMAAAAAAMOYijE7794I4r2SMjvv3gg4Q0lRLk5BU0RBUTpDQUxNLklRX1NUX0RFQlRfUkVQQUlELjk5My4zMS8wNy8yMDI2Li4uVVNELkgBAAAAIHoFAAMAAAAAAOZu9jA7794I9gfCNDvv3gg8Q0lRLk5BU0RBUTpDQUxNLklRX0lOVkVTVF9TRUNVUklUWV9DRi45OTEuMzEvMDcvMjAyNi4uLlVTRC5IAQAAACB6BQACAAAABzE5OC41NDMBCAAAAAUAAAABMQEAAAAKMTk3MjAxMjEyMQMAAAADMTYwAgAAAAQyMDI3BAAAAAEwBwAAAAk3LzMxLzIwMjYIAAAACDYvMy8yMDE3CQAAAAEw5m72MDvv3giXOKwyO+/eCDpDSVEuTkFTREFROkNBTE0uSVFfQ0hBTkdFX0lOVkVOVE9SWS45OTMuMzEvMDcvMjAyNi4uLlVTRC5IAQAAACB6BQACAAAABi0yLjI4NQEIAAAABQAAAAExAQAAAAstMjE0MjQyOTAzOQMAAAADMTYwAgAAAAQyMDk5BAAAAAEwBwAAAAk3LzMxLzIwMjYIAAAACDYvMS8yMDE5CQAAAAEw1kf2MDvv3ggWBcQ0O+/eCEBDSVEuTkFTREFROkNBTE0uSVFfRklOX0RJVl9MT0FOU19DVVJSRU5ULjIwMDAuMzEv</t>
  </si>
  <si>
    <t>MDcvMjAyNi4uLlVTRC5IAQAAACB6BQADAAAAAABZrvowO+/eCBbOuTI7794IMUNJUS5OQVNEQVE6Q0FMTS5JUV9ERVBfUlVBLjk5MC4zMS8wNy8yMDI2Li4uVVNELkgBAAAAIHoFAAMAAAAAAPaV9jA7794ImL2wMjvv3gg4Q0lRLk5BU0RBUTpDQUxNLklRX1NUT0NLX0JBU0VEX1NNLjk5MS4zMS8wNy8yMDI2Li4uVVNELkgBAAAAIHoFAAMAAAAAABpRGDE7794IbG2kMjvv3gg+Q0lRLk5BU0RBUTpDQUxNLklRX1RPVEFMX1VOVVNVQUxfU1VQUExFLjk5MC4zMS8wNy8yMDI2Li4uVVNELkgBAAAAIHoFAAIAAAAFMC43OTgBCAAAAAUAAAABMQEAAAAKMTg5NjgyMDUxNwMAAAADMTYwAgAAAAUzMzM5MAQAAAABMAcAAAAJNy8zMS8yMDI2CAAAAAk1LzI4LzIwMTYJAAAAATDxKRgxO+/eCPmpozI7794IM0NJUS5OQVNEQVE6Q0FMTS5JUV9DSEFOR0VfQVIuOTkxLjMxLzA3LzIwMjYuLi5VU0QuSAEAAAAgegUAAgAAAActMzcuMjIyAQgAAAAFAAAAATEBAAAACjE5NzIwMTIxMjEDAAAAAzE2MAIAAAAEMjAxOAQAAAABMAcAAAAJNy8zMS8yMDI2CAAAAAg2LzMvMjAxNwkAAAABMNZH9jA7794I4TWqMjvv3gg4Q0lRLk5BU0RBUTpDQUxNLklRX0dBSU5fSU5WRVNUX0NGLjk5MC4zMS8wNy8yMDI2Li4uVVNELkgBAAAAIHoFAAIAAAAFNi41OTkBCAAAAAUAAAABMQEAAAAKMTg5NjgyMDUxNwMAAAADMTYwAgAAAAQyMDkw</t>
  </si>
  <si>
    <t>BAAAAAEwBwAAAAk3LzMxLzIwMjYIAAAACTUvMjgvMjAxNgkAAAABMM4g9jA7794IknKoMjvv3gg6Q0lRLk5BU0RBUTpDQUxNLklRX0NBU0hfVEFYRVNfT1BFUi4yMDAwLjMxLzA3LzIwMjYuLi5VU0QuSAEAAAAgegUAAwAAAAAAbIf6MDvv3gg/4LIyO+/eCDlDSVEuTkFTREFROkNBTE0uSVFfU1RPQ0tfQkFTRURfQ0YuMjAwMC4zMS8wNy8yMDI2Li4uVVNELkgBAAAAIHoFAAIAAAAFNS43NTcBCAAAAAUAAAABMQEAAAALLTE4ODEwNjgyOTUDAAAAAzE2MAIAAAAEMjEyNwQAAAABMAcAAAAJNy8zMS8yMDI2CAAAAAk1LzMwLzIwMjYJAAAAATDWR/YwO+/eCGhKqTI7794IP0NJUS5OQVNEQVE6Q0FMTS5JUV9GSU5fRElWX0xPQU5TX0NVUlJFTlQuOTkwLjMxLzA3LzIwMjYuLi5VU0QuSAEAAAAgegUAAwAAAAAAWa76MDvv3ggPp7kyO+/eCDtDSVEuTkFTREFROkNBTE0uSVFfQ0FTSF9UQVhFU19JTlZFU1QuOTkwLjMxLzA3LzIwMjYuLi5VU0QuSAEAAAAgegUAAwAAAAAAbIf6MDvv3gg/4LIyO+/eCEBDSVEuTkFTREFROkNBTE0uSVFfU1RPQ0tfT1BUSU9OU19DT01QX1RBWC45OTMuMzEvMDcvMjAyNi4uLlVTRC5IAQAAACB6BQADAAAAAADOIPYwO+/eCFrFxjQ7794IO0NJUS5OQVNEQVE6Q0FMTS5JUV9TVE9DS19CQVNFRF9UT1RBTC45OTAuMzEvMDcvMjAyNi4uLlVTRC5IAQAAACB6BQACAAAABTMuMDcxAQgA</t>
  </si>
  <si>
    <t>AAAFAAAAATEBAAAACjE4OTY4MjA1MTcDAAAAAzE2MAIAAAAFMjQwMzQEAAAAATAHAAAACTcvMzEvMjAyNggAAAAJNS8yOC8yMDE2CQAAAAEwziD2MDvv3giwRKUyO+/eCD9DSVEuTkFTREFROkNBTE0uSVFfREVGRVJSRURfVEFYRVNfVE9UQUwuMjAwMC4zMS8wNy8yMDI2Li4uVVNELkgBAAAAIHoFAAIAAAAGNjcuMzYzAQgAAAAFAAAAATEBAAAACy0xODgxMDY4Mjk1AwAAAAMxNjACAAAABTM1Mzg1BAAAAAEwBwAAAAk3LzMxLzIwMjYIAAAACTUvMzAvMjAyNgkAAAABML20FzE7794IenqcMjvv3gg8Q0lRLk5BU0RBUTpDQUxNLklRX0RJU1RSSUJVVEFCTEVfQ0FTSF9QQVlPVVQuMjAwMC4zMS8wNy8yMDI2AQAAACB6BQADAAAAAADM2xcxO+/eCHEN1zI7794IOENJUS5OQVNEQVE6Q0FMTS5JUV9TVE9DS19CQVNFRF9TTS45OTIuMzEvMDcvMjAyNi4uLlVTRC5IAQAAACB6BQADAAAAAAAaURgxO+/eCG70xzQ7794IPkNJUS5OQVNEQVE6Q0FMTS5JUV9UT1RBTF9VTlVTVUFMX1NVUFBMRS45OTMuMzEvMDcvMjAyNi4uLlVTRC5IAQAAACB6BQADAAAAAADxKRgxO+/eCPCQyDQ7794IM0NJUS5OQVNEQVE6Q0FMTS5JUV9DSEFOR0VfQVIuOTkyLjMxLzA3LzIwMjYuLi5VU0QuSAEAAAAgegUAAgAAAAYzMS40MDIBCAAAAAUAAAABMQEAAAAKMjA0NTc0OTMxMAMAAAADMTYwAgAAAAQyMDE4BAAAAAEwBwAAAAk3LzMx</t>
  </si>
  <si>
    <t>LzIwMjYIAAAACDYvMi8yMDE4CQAAAAEw1kf2MDvv3gjaP8Q0O+/eCCxDSVEuTkFTREFROkNBTE0uSVFfU0FNRV9TVE9SRS45OTAuMzEvMDcvMjAyNgEAAAAgegUAAwAAAAAAvbQXMTvv3gjhl9YyO+/eCDhDSVEuTkFTREFROkNBTE0uSVFfRUJJVERBUl9FUV9JTkMuOTkyLjMxLzA3LzIwMjYuLi5VU0QuSAEAAAAgegUAAwAAAAAAqo0XMTvv3gi+1c40O+/eCC9DSVEuTkFTREFROkNBTE0uSVFfRUJJVEEuOTkyLjMxLzA3LzIwMjYuLi5VU0QuSAEAAAAgegUAAgAAAAYxODQuNTMBCAAAAAUAAAABMQEAAAAKMjA0NTc0OTMxMAMAAAADMTYwAgAAAAYxMDA2ODkEAAAAATAHAAAACTcvMzEvMjAyNggAAAAINi8yLzIwMTgJAAAAATCM+ooxO+/eCGqXzzQ7794IQkNJUS5OQVNEQVE6Q0FMTS5JUV9FWENJU0VfVEFYRVNfSU5DTF9TQUxFUy4yMDAwLjMxLzA3LzIwMjYuLi5VU0QuSAEAAAAgegUAAwAAAAAAvbQXMTvv3gh9jpsyO+/eCDFDSVEuTkFTREFROkNBTE0uSVFfTklfU0ZBUy45OTAuMzEvMDcvMjAyNi4uLlVTRC5IAQAAACB6BQADAAAAAAC9tBcxO+/eCDnLmjI7794IQkNJUS5OQVNEQVE6Q0FMTS5JUV9ESVNUUklCVVRBQkxFX0NBU0hfU0hBUkUuOTkyLjMxLzA3LzIwMjYuLi5VU0QuSAEAAAAgegUAAwAAAAAA07+KMTvv3ggKntE0O+/eCDhDSVEuTkFTREFROkNBTE0uSVFfRElMVVRfRVBTX05PUk0uOTkw</t>
  </si>
  <si>
    <t>LjMxLzA3LzIwMjYuLi5VU0QuSAEAAAAgegUAAgAAAAg2LjIzNDU2MgEIAAAABQAAAAExAQAAAAoxODk2ODIwNTE3AwAAAAMxNjACAAAABDQzODAEAAAAATAHAAAACTcvMzEvMjAyNggAAAAJNS8yOC8yMDE2CQAAAAEw07+KMTvv3ggTeZUyO+/eCEtDSVEuTkFTREFROkNBTE0uSVFfRUJJVERBX0VRX0lOQ19FWENMX09QRVJfTEVBU0VfQURKLjk5Mi4zMS8wNy8yMDI2Li4uVVNELkgBAAAAIHoFAAIAAAAHMjM5LjI3MwEIAAAABQAAAAExAQAAAAoyMDQ1NzQ5MzEwAwAAAAMxNjACAAAABTQ4OTg3BAAAAAEwBwAAAAk3LzMxLzIwMjYIAAAACDYvMi8yMDE4CQAAAAEw6uaKMTvv3gjyn9A0O+/eCDlDSVEuTkFTREFROkNBTE0uSVFfRUJJVERBX0VYQ0xfU0JDLjk5MC4zMS8wNy8yMDI2Li4uVVNELkgBAAAAIHoFAAIAAAAHNTE3Ljk3NwEIAAAABQAAAAExAQAAAAoxODk2ODIwNTE3AwAAAAMxNjACAAAABTI0MTM1BAAAAAEwBwAAAAk3LzMxLzIwMjYIAAAACTUvMjgvMjAxNgkAAAABMOrmijE7794IEduWMjvv3gg3Q0lRLk5BU0RBUTpDQUxNLklRX0VCSVREQV9FUV9JTkMuOTkyLjMxLzA3LzIwMjYuLi5VU0QuSAEAAAAgegUAAgAAAAcyMzkuMjczAQgAAAAFAAAAATEBAAAACjIwNDU3NDkzMTADAAAAAzE2MAIAAAAFMjE2NzcEAAAAATAHAAAACTcvMzEvMjAyNggAAAAINi8yLzIwMTgJAAAAATDq5ooxO+/eCDJQ</t>
  </si>
  <si>
    <t>0TQ7794ILUNJUS5OQVNEQVE6Q0FMTS5JUV9HUC4yMDAwLjMxLzA3LzIwMjYuLi5VU0QuSAEAAAAgegUAAgAAAAc2NzIuMDQ5AQgAAAAFAAAAATEBAAAACy0xODgxMDY4Mjk1AwAAAAMxNjACAAAAAjEwBAAAAAEwBwAAAAk3LzMxLzIwMjYIAAAACTUvMzAvMjAyNgkAAAABMMBxijE7794IoqSNMjvv3ggzQ0lRLk5BU0RBUTpDQUxNLklRX1RPVEFMX1JFVi45OTEuMzEvMDcvMjAyNi4uLlVTRC5IAQAAACB6BQACAAAACDEwNzQuNTEzAQgAAAAFAAAAATEBAAAACjE5NzIwMTIxMjEDAAAAAzE2MAIAAAACMjgEAAAAATAHAAAACTcvMzEvMjAyNggAAAAINi8zLzIwMTcJAAAAATDAcYoxO+/eCIBCijI7794IOENJUS5OQVNEQVE6Q0FMTS5JUV9HV19JTlRBTl9BTU9SVC45OTMuMzEvMDcvMjAyNi4uLlVTRC5IAQAAACB6BQADAAAAAADAcYoxO+/eCD2+1TQ7794INUNJUS5OQVNEQVE6Q0FMTS5JUV9SRVNUUlVDVFVSRS45OTEuMzEvMDcvMjAyNi4uLlVTRC5IAQAAACB6BQADAAAAAADDmIoxO+/eCGlhkTI7794IPUNJUS5OQVNEQVE6Q0FMTS5JUV9JTlRFUkVTVF9JTlZFU1RfSU5DLjk5Mi4zMS8wNy8yMDI2Li4uVVNELkgBAAAAIHoFAAIAAAAGMTEuOTgzAQgAAAAFAAAAATEBAAAACjIwNDU3NDkzMTADAAAAAzE2MAIAAAACNjUEAAAAATAHAAAACTcvMzEvMjAyNggAAAAINi8yLzIwMTgJAAAAATDDmIoxO+/eCNtI</t>
  </si>
  <si>
    <t>1TQ7794IPkNJUS5OQVNEQVE6Q0FMTS5JUV9TQUxFX1JFQUxfRVNUQVRFX0NGLjIwMDAuMzEvMDcvMjAyNi4uLlVTRC5IAQAAACB6BQADAAAAAADmbvYwO+/eCJc4rDI7794IM0NJUS5OQVNEQVE6Q0FMTS5JUV9DQVNIX09QRVIuOTkzLjMxLzA3LzIwMjYuLi5VU0QuSAEAAAAgegUAAgAAAAcxMTUuMDg1AQgAAAAFAAAAATEBAAAACy0yMTQyNDI5MDM5AwAAAAMxNjACAAAABDIwMDYEAAAAATAHAAAACTcvMzEvMjAyNggAAAAINi8xLzIwMTkJAAAAATDWR/YwO+/eCMaPwzQ7794IM0NJUS5OQVNEQVE6Q0FMTS5JUV9DSEFOR0VfQVIuOTkzLjMxLzA3LzIwMjYuLi5VU0QuSAEAAAAgegUAAgAAAAYxNi4wMTIBCAAAAAUAAAABMQEAAAALLTIxNDI0MjkwMzkDAAAAAzE2MAIAAAAEMjAxOAQAAAABMAcAAAAJNy8zMS8yMDI2CAAAAAg2LzEvMjAxOQkAAAABMNZH9jA7794I2j/ENDvv3gg7Q0lRLk5BU0RBUTpDQUxNLklRX0NBU0hfVEFYRVNfSU5WRVNULjk5My4zMS8wNy8yMDI2Li4uVVNELkgBAAAAIHoFAAMAAAAAAGyH+jA7794ISW6+NDvv3gg4Q0lRLk5BU0RBUTpDQUxNLklRX1BST1ZfQkFEX0RFQlRTLjk5Mi4zMS8wNy8yMDI2Li4uVVNELkgBAAAAIHoFAAMAAAAAAMBxijE7794I9qnWNDvv3ggzQ0lRLk5BU0RBUTpDQUxNLklRX01BUktFVElORy45OTAuMzEvMDcvMjAyNi4uLlVTRC5IAQAAACB6BQADAAAA</t>
  </si>
  <si>
    <t>AADpAhgxO+/eCOltnzI7794IOENJUS5OQVNEQVE6Q0FMTS5JUV9TVE9DS19CQVNFRF9TTS45OTMuMzEvMDcvMjAyNi4uLlVTRC5IAQAAACB6BQADAAAAAAAaURgxO+/eCG70xzQ7794IOENJUS5OQVNEQVE6Q0FMTS5JUV9TVE9DS19CQVNFRF9DRi45OTMuMzEvMDcvMjAyNi4uLlVTRC5IAQAAACB6BQACAAAABTMuNjE5AQgAAAAFAAAAATEBAAAACy0yMTQyNDI5MDM5AwAAAAMxNjACAAAABDIxMjcEAAAAATAHAAAACTcvMzEvMjAyNggAAAAINi8xLzIwMTkJAAAAATDWR/YwO+/eCLvcxDQ7794IPkNJUS5OQVNEQVE6Q0FMTS5JUV9NSU5PUklUWV9JTlRFUkVTVF9DRi45OTEuMzEvMDcvMjAyNi4uLlVTRC5IAQAAACB6BQADAAAAAADOIPYwO+/eCDg5qDI7794IOENJUS5OQVNEQVE6Q0FMTS5JUV9TVE9DS19CQVNFRF9BVC45OTIuMzEvMDcvMjAyNi4uLlVTRC5IAQAAACB6BQADAAAAAADOIPYwO+/eCE5ixzQ7794INUNJUS5OQVNEQVE6Q0FMTS5JUV9DVVJSX1RBWEVTLjIwMDAuMzEvMDcvMjAyNi4uLlVTRC5IAQAAACB6BQACAAAABjI1LjUyOQEIAAAABQAAAAExAQAAAAstMTg4MTA2ODI5NQMAAAADMTYwAgAAAAUzNTM4MwQAAAABMAcAAAAJNy8zMS8yMDI2CAAAAAk1LzMwLzIwMjYJAAAAATC9tBcxO+/eCK8DnDI7794IPUNJUS5OQVNEQVE6Q0FMTS5JUV9DVVJSX0RPTUVTVElDX1RBWEVTLjk5MC4zMS8w</t>
  </si>
  <si>
    <t>Ny8yMDI2Li4uVVNELkgBAAAAIHoFAAIAAAAGMTQ5LjgxAQgAAAAFAAAAATEBAAAACjE4OTY4MjA1MTcDAAAAAzE2MAIAAAAEMzAyNwQAAAABMAcAAAAJNy8zMS8yMDI2CAAAAAk1LzI4LzIwMTYJAAAAATC9tBcxO+/eCH2OmzI7794INENJUS5OQVNEQVE6Q0FMTS5JUV9DT01NT05fRElWLjk5MS4zMS8wNy8yMDI2Li4uVVNELkgBAAAAIHoFAAMAAAAAAMzbFzE7794Iz5ieMjvv3ghMQ0lRLk5BU0RBUTpDQUxNLklRX0lOVEVSRVNUX0VYUF9MRUFTRV9MSUFCSUxJVFlfREVCVC4yMDAwLjMxLzA3LzIwMjYuLi5VU0QuSAEAAAAgegUAAwAAAAAAzNsXMTvv3gjMZJ0yO+/eCDRDSVEuTkFTREFROkNBTE0uSVFfUkRfRVhQX0ZOLjIwMDAuMzEvMDcvMjAyNi4uLlVTRC5IAQAAACB6BQADAAAAAADpAhgxO+/eCPbinzI7794IQUNJUS5OQVNEQVE6Q0FMTS5JUV9ESVNUUklCVVRBQkxFX0NBU0hfU0hBUkVTX0JBU0lDLjk5MC4zMS8wNy8yMDI2AQAAACB6BQADAAAAAADTv4oxO+/eCOGX1jI7794IOUNJUS5OQVNEQVE6Q0FMTS5JUV9FQklUREFfRVhDTF9TQkMuOTkxLjMxLzA3LzIwMjYuLi5VU0QuSAEAAAAgegUAAgAAAActNzcuOTQyAQgAAAAFAAAAATEBAAAACjE5NzIwMTIxMjEDAAAAAzE2MAIAAAAFMjQxMzUEAAAAATAHAAAACTcvMzEvMjAyNggAAAAINi8zLzIwMTcJAAAAATDq5ooxO+/eCBHbljI7794IMUNJ</t>
  </si>
  <si>
    <t>US5OQVNEQVE6Q0FMTS5JUV9OSV9TRkFTLjk5Mi4zMS8wNy8yMDI2Li4uVVNELkgBAAAAIHoFAAMAAAAAAL20FzE7794Ik/7NNDvv3ggsQ0lRLk5BU0RBUTpDQUxNLklRX1NBTUVfU1RPUkUuOTkxLjMxLzA3LzIwMjYBAAAAIHoFAAMAAAAAAL20FzE7794IL4TWMjvv3gg4Q0lRLk5BU0RBUTpDQUxNLklRX0VCSVREQVJfRVFfSU5DLjk5My4zMS8wNy8yMDI2Li4uVVNELkgBAAAAIHoFAAMAAAAAAKqNFzE7794IvtXONDvv3gg1Q0lRLk5BU0RBUTpDQUxNLklRX1JFU1RSVUNUVVJFLjk5Mi4zMS8wNy8yMDI2Li4uVVNELkgBAAAAIHoFAAMAAAAAAMOYijE7794Iyr/UNDvv3gg4Q0lRLk5BU0RBUTpDQUxNLklRX0NVUlJFTkNZX0dBSU4uMjAwMC4zMS8wNy8yMDI2Li4uVVNELkgBAAAAIHoFAAMAAAAAAMOYijE7794IpOSQMjvv3gg3Q0lRLk5BU0RBUTpDQUxNLklRX0VCSVREQV9FUV9JTkMuOTkzLjMxLzA3LzIwMjYuLi5VU0QuSAEAAAAgegUAAgAAAAYxMDUuMjQBCAAAAAUAAAABMQEAAAALLTIxNDI0MjkwMzkDAAAAAzE2MAIAAAAFMjE2NzcEAAAAATAHAAAACTcvMzEvMjAyNggAAAAINi8xLzIwMTkJAAAAATDq5ooxO+/eCDJQ0TQ7794IL0NJUS5OQVNEQVE6Q0FMTS5JUV9GSUxJTkdEQVRFX0lTLjk5MC4zMS8wNy8yMDI2AQAAACB6BQAFAAAACjIzLzA3LzIwMTgA6uaKMTvv3ggWNtYyO+/eCEJDSVEuTkFT</t>
  </si>
  <si>
    <t>REFROkNBTE0uSVFfRElTVFJJQlVUQUJMRV9DQVNIX1NIQVJFLjk5My4zMS8wNy8yMDI2Li4uVVNELkgBAAAAIHoFAAMAAAAAANO/ijE7794ICp7RNDvv3gg1Q0lRLk5BU0RBUTpDQUxNLklRX0ZJTl9ESVZfUkVWLjk5My4zMS8wNy8yMDI2Li4uVVNELkgBAAAAIHoFAAMAAAAAAMBxijE7794IpPjYNDvv3ggxQ0lRLk5BU0RBUTpDQUxNLklRX1JEX0VYUC4yMDAwLjMxLzA3LzIwMjYuLi5VU0QuSAEAAAAgegUAAwAAAAAAwHGKMTvv3ginHI8yO+/eCDNDSVEuTkFTREFROkNBTE0uSVFfU0dBX1NVUFBMLjk5MC4zMS8wNy8yMDI2Li4uVVNELkgBAAAAIHoFAAIAAAAGMTc3Ljc2AQgAAAAFAAAAATEBAAAACjE4OTY4MjA1MTcDAAAAAzE2MAIAAAADMTAyBAAAAAEwBwAAAAk3LzMxLzIwMjYIAAAACTUvMjgvMjAxNgkAAAABMMBxijE7794IoqSNMjvv3gg9Q0lRLk5BU0RBUTpDQUxNLklRX0lOVEVSRVNUX0lOVkVTVF9JTkMuOTkzLjMxLzA3LzIwMjYuLi5VU0QuSAEAAAAgegUAAgAAAAUxOC40NgEIAAAABQAAAAExAQAAAAstMjE0MjQyOTAzOQMAAAADMTYwAgAAAAI2NQQAAAABMAcAAAAJNy8zMS8yMDI2CAAAAAg2LzEvMjAxOQkAAAABMMOYijE7794I20jVNDvv3ggyQ0lRLk5BU0RBUTpDQUxNLklRX09QRVJfSU5DLjk5MC4zMS8wNy8yMDI2Li4uVVNELkgBAAAAIHoFAAIAAAAHNDcwLjMxNAEIAAAABQAAAAEx</t>
  </si>
  <si>
    <t>AQAAAAoxODk2ODIwNTE3AwAAAAMxNjACAAAAAjIxBAAAAAEwBwAAAAk3LzMxLzIwMjYIAAAACTUvMjgvMjAxNgkAAAABMMBxijE7794Ic/SPMjvv3gg5Q0lRLk5BU0RBUTpDQUxNLklRX1BSRUZfRElWX09USEVSLjIwMDAuMzEvMDcvMjAyNi4uLlVTRC5IAQAAACB6BQADAAAAAADTv4oxO+/eCHwslDI7794IQUNJUS5OQVNEQVE6Q0FMTS5JUV9ESVNUUklCVVRBQkxFX0NBU0hfU0hBUkVTX0JBU0lDLjk5MS4zMS8wNy8yMDI2AQAAACB6BQADAAAAAADTv4oxO+/eCOGX1jI7794IM0NJUS5OQVNEQVE6Q0FMTS5JUV9UT1RBTF9SRVYuOTkyLjMxLzA3LzIwMjYuLi5VU0QuSAEAAAAgegUAAgAAAAgxNTAyLjkzMgEIAAAABQAAAAExAQAAAAoyMDQ1NzQ5MzEwAwAAAAMxNjACAAAAAjI4BAAAAAEwBwAAAAk3LzMxLzIwMjYIAAAACDYvMi8yMDE4CQAAAAEwwHGKMTvv3ggf+tc0O+/eCDpDSVEuTkFTREFROkNBTE0uSVFfR0FJTl9JTlZFU1RfUkVWLjIwMDAuMzEvMDcvMjAyNi4uLlVTRC5IAQAAACB6BQADAAAAAADAcYoxO+/eCADgiTI7794INUNJUS5OQVNEQVE6Q0FMTS5JUV9SRVNUUlVDVFVSRS45OTMuMzEvMDcvMjAyNi4uLlVTRC5IAQAAACB6BQADAAAAAADDmIoxO+/eCMq/1DQ7794IQkNJUS5OQVNEQVE6Q0FMTS5JUV9PVEhFUl9OT05fT1BFUl9FWFBfU1VQUEwuOTkwLjMxLzA3LzIwMjYuLi5VU0QuSAEA</t>
  </si>
  <si>
    <t>AAAgegUAAgAAAAUwLjI0NwEIAAAABQAAAAExAQAAAAoxODk2ODIwNTE3AwAAAAMxNjACAAAAAjg1BAAAAAEwBwAAAAk3LzMxLzIwMjYIAAAACTUvMjgvMjAxNgkAAAABMMOYijE7794IpOSQMjvv3ggyQ0lRLk5BU0RBUTpDQUxNLklRX09QRVJfSU5DLjk5MS4zMS8wNy8yMDI2Li4uVVNELkgBAAAAIHoFAAIAAAAILTEzMC40ODIBCAAAAAUAAAABMQEAAAAKMTk3MjAxMjEyMQMAAAADMTYwAgAAAAIyMQQAAAABMAcAAAAJNy8zMS8yMDI2CAAAAAg2LzMvMjAxNwkAAAABMMBxijE7794Ic/SPMjvv3gg1Q0lRLk5BU0RBUTpDQUxNLklRX0lOU19TRVRUTEUuMjAwMC4zMS8wNy8yMDI2Li4uVVNELkgBAAAAIHoFAAMAAAAAAMOYijE7794Il5aSMjvv3gg4Q0lRLk5BU0RBUTpDQUxNLklRX05JX0FWQUlMX0VYQ0wuMjAwMC4zMS8wNy8yMDI2Li4uVVNELkgBAAAAIHoFAAIAAAAHMzE2LjY4MgEIAAAABQAAAAExAQAAAAstMTg4MTA2ODI5NQMAAAADMTYwAgAAAAMzNzkEAAAAATAHAAAACTcvMzEvMjAyNggAAAAJNS8zMC8yMDI2CQAAAAEw07+KMTvv3giatZQyO+/eCDhDSVEuTkFTREFROkNBTE0uSVFfTFRfREVCVF9JU1NVRUQuOTkyLjMxLzA3LzIwMjYuLi5VU0QuSAEAAAAgegUAAwAAAAAA5m72MDvv3ggRL8I0O+/eCDdDSVEuTkFTREFROkNBTE0uSVFfU0FMRV9JTlRBTl9DRi45OTAuMzEvMDcvMjAyNi4uLlVT</t>
  </si>
  <si>
    <t>RC5IAQAAACB6BQADAAAAAADmbvYwO+/eCJc4rDI7794INkNJUS5OQVNEQVE6Q0FMTS5JUV9JTlNfRElWX0VYUC4yMDAwLjMxLzA3LzIwMjYuLi5VU0QuSAEAAAAgegUAAwAAAAAAwHGKMTvv3gj0t4oyO+/eCDNDSVEuTkFTREFROkNBTE0uSVFfVE9UQUxfUkVWLjk5My4zMS8wNy8yMDI2Li4uVVNELkgBAAAAIHoFAAIAAAAIMTM2MS4xODgBCAAAAAUAAAABMQEAAAALLTIxNDI0MjkwMzkDAAAAAzE2MAIAAAACMjgEAAAAATAHAAAACTcvMzEvMjAyNggAAAAINi8xLzIwMTkJAAAAATDAcYoxO+/eCB/61zQ7794IMENJUS5OQVNEQVE6Q0FMTS5JUV9SRF9FWFAuOTkyLjMxLzA3LzIwMjYuLi5VU0QuSAEAAAAgegUAAwAAAAAAwHGKMTvv3ghSDNY0O+/eCEBDSVEuTkFTREFROkNBTE0uSVFfU1RPQ0tfT1BUSU9OU19DT01QX1RBWC45OTEuMzEvMDcvMjAyNi4uLlVTRC5IAQAAACB6BQADAAAAAADOIPYwO+/eCM4VpjI7794IOkNJUS5OQVNEQVE6Q0FMTS5JUV9HQUlOX0JBUkdBSU5fQUNRLjk5MC4zMS8wNy8yMDI2Li4uVVNELkgBAAAAIHoFAAMAAAAAAPEpGDE7794Iz9KiMjvv3gg+Q0lRLk5BU0RBUTpDQUxNLklRX01JTk9SSVRZX0lOVEVSRVNUX0NGLjk5Mi4zMS8wNy8yMDI2Li4uVVNELkgBAAAAIHoFAAMAAAAAAM4g9jA7794IAaDFNDvv3ggwQ0lRLk5BU0RBUTpDQUxNLklRX05JX0NGLjIwMDAuMzEvMDcv</t>
  </si>
  <si>
    <t>MjAyNi4uLlVTRC5IAQAAACB6BQACAAAABzMxNi42ODIBCAAAAAUAAAABMQEAAAALLTE4ODEwNjgyOTUDAAAAAzE2MAIAAAAEMjE1MAQAAAABMAcAAAAJNy8zMS8yMDI2CAAAAAk1LzMwLzIwMjYJAAAAATDOIPYwO+/eCFMUpzI7794IM0NJUS5OQVNEQVE6Q0FMTS5JUV9QUkVGX1JFUC4yMDAwLjMxLzA3LzIwMjYuLi5VU0QuSAEAAAAgegUAAwAAAAAA5m72MDvv3ggIga4yO+/eCDNDSVEuTkFTREFROkNBTE0uSVFfRElMVVRfTkkuMjAwMC4zMS8wNy8yMDI2Li4uVVNELkgBAAAAIHoFAAIAAAAJMzE2Ljc4ODAzAQgAAAAFAAAAATEBAAAACy0xODgxMDY4Mjk1AwAAAAMxNjACAAAABDM1MjIEAAAAATAHAAAACTcvMzEvMjAyNggAAAAJNS8zMC8yMDI2CQAAAAEwvbQXMTvv3gjQFp0yO+/eCEFDSVEuTkFTREFROkNBTE0uSVFfREVGRVJSRURfRE9NRVNUSUNfVEFYRVMuOTkwLjMxLzA3LzIwMjYuLi5VU0QuSAEAAAAgegUAAgAAAAYxOS4zOTIBCAAAAAUAAAABMQEAAAAKMTg5NjgyMDUxNwMAAAADMTYwAgAAAAQzMDU0BAAAAAEwBwAAAAk3LzMxLzIwMjYIAAAACTUvMjgvMjAxNgkAAAABML20FzE7794IrwOcMjvv3ghCQ0lRLk5BU0RBUTpDQUxNLklRX0lNUFVUX09QRVJfTEVBU0VfSU5UX0VYUC45OTMuMzEvMDcvMjAyNi4uLlVTRC5IAQAAACB6BQADAAAAAADxKRgxO+/eCFe2yTQ7794IRENJUS5OQVNEQVE6</t>
  </si>
  <si>
    <t>Q0FMTS5JUV9ERVBSRUNJQVRJT05fUkVOVEFMX0FTU0VUUy45OTAuMzEvMDcvMjAyNi4uLlVTRC5IAQAAACB6BQADAAAAAADpAhgxO+/eCPQQoTI7794IO0NJUS5OQVNEQVE6Q0FMTS5JUV9ORVRfUkVOVEFMX0VYUF9GTi45OTAuMzEvMDcvMjAyNi4uLlVTRC5IAQAAACB6BQACAAAABDQuMDkBCAAAAAUAAAABMQEAAAAKMTg5NjgyMDUxNwMAAAADMTYwAgAAAAQzMTcwBAAAAAEwBwAAAAk3LzMxLzIwMjYIAAAACTUvMjgvMjAxNgkAAAABMOkCGDE7794I9uKfMjvv3gg9Q0lRLk5BU0RBUTpDQUxNLklRX0NVUlJfRE9NRVNUSUNfVEFYRVMuOTkzLjMxLzA3LzIwMjYuLi5VU0QuSAEAAAAgegUAAgAAAAQ5LjYyAQgAAAAFAAAAATEBAAAACy0yMTQyNDI5MDM5AwAAAAMxNjACAAAABDMwMjcEAAAAATAHAAAACTcvMzEvMjAyNggAAAAINi8xLzIwMTkJAAAAATC9tBcxO+/eCG5OzTQ7794IMUNJUS5OQVNEQVE6Q0FMTS5JUV9OSV9TRkFTLjk5My4zMS8wNy8yMDI2Li4uVVNELkgBAAAAIHoFAAMAAAAAAL20FzE7794Ik/7NNDvv3gg8Q0lRLk5BU0RBUTpDQUxNLklRX0FTX1JFUE9SVEVEX0VCSVREQS45OTAuMzEvMDcvMjAyNi4uLlVTRC5IAQAAACB6BQADAAAAAAC9tBcxO+/eCFRBmjI7794ILENJUS5OQVNEQVE6Q0FMTS5JUV9TQU1FX1NUT1JFLjk5Mi4zMS8wNy8yMDI2AQAAACB6BQADAAAAAAC9tBcxO+/eCGDK</t>
  </si>
  <si>
    <t>pzQ7794IS0NJUS5OQVNEQVE6Q0FMTS5JUV9JTlRFUkVTVF9FWFBfTEVBU0VfTElBQklMSVRZX0RFQlQuOTkyLjMxLzA3LzIwMjYuLi5VU0QuSAEAAAAgegUAAwAAAAAAzNsXMTvv3ggCPcw0O+/eCDlDSVEuTkFTREFROkNBTE0uSVFfRUJJVERBX0VYQ0xfU0JDLjk5Mi4zMS8wNy8yMDI2Li4uVVNELkgBAAAAIHoFAAIAAAAHMjM5LjIyMwEIAAAABQAAAAExAQAAAAoyMDQ1NzQ5MzEwAwAAAAMxNjACAAAABTI0MTM1BAAAAAEwBwAAAAk3LzMxLzIwMjYIAAAACDYvMi8yMDE4CQAAAAEw6uaKMTvv3gjmAdE0O+/eCC9DSVEuTkFTREFROkNBTE0uSVFfRklMSU5HREFURV9JUy45OTEuMzEvMDcvMjAyNgEAAAAgegUABQAAAAoyMi8wNy8yMDE5AOrmijE7794IFjbWMjvv3gg6Q0lRLk5BU0RBUTpDQUxNLklRX0VCSVREQVJfRVhDTF9TQkMuOTkwLjMxLzA3LzIwMjYuLi5VU0QuSAEAAAAgegUAAgAAAAc1MjIuMDY3AQgAAAAFAAAAATEBAAAACjE4OTY4MjA1MTcDAAAAAzE2MAIAAAAFMjQxMzcEAAAAATAHAAAACTcvMzEvMjAyNggAAAAJNS8yOC8yMDE2CQAAAAEwqo0XMTvv3ghNjpkyO+/eCD9DSVEuTkFTREFROkNBTE0uSVFfRUJJVEFfRVFfSU5DX0VYQ0xfU0JDLjk5MC4zMS8wNy8yMDI2Li4uVVNELkgBAAAAIHoFAAIAAAAHNDgxLjAwMQEIAAAABQAAAAExAQAAAAoxODk2ODIwNTE3AwAAAAMxNjACAAAABTI0</t>
  </si>
  <si>
    <t>MTMyBAAAAAEwBwAAAAk3LzMxLzIwMjYIAAAACTUvMjgvMjAxNgkAAAABMKqNFzE7794I/8iYMjvv3gg1Q0lRLk5BU0RBUTpDQUxNLklRX0VCSVRfRVFfSU5DLjk5MC4zMS8wNy8yMDI2Li4uVVNELkgBAAAAIHoFAAIAAAAGNDc1LjMzAQgAAAAFAAAAATEBAAAACjE4OTY4MjA1MTcDAAAAAzE2MAIAAAAFMjE2NzUEAAAAATAHAAAACTcvMzEvMjAyNggAAAAJNS8yOC8yMDE2CQAAAAEw6uaKMTvv3gi0BZgyO+/eCC9DSVEuTkFTREFROkNBTE0uSVFfTklfQ0YuOTkzLjMxLzA3LzIwMjYuLi5VU0QuSAEAAAAgegUAAgAAAAY1NC4yMjkBCAAAAAUAAAABMQEAAAALLTIxNDI0MjkwMzkDAAAAAzE2MAIAAAAEMjE1MAQAAAABMAcAAAAJNy8zMS8yMDI2CAAAAAg2LzEvMjAxOQkAAAABMM4g9jA7794IHCnGNDvv3ghDQ0lRLk5BU0RBUTpDQUxNLklRX1NUT0NLX09QVElPTlNfQ09NUF9QUkVUQVguOTkyLjMxLzA3LzIwMjYuLi5VU0QuSAEAAAAgegUAAwAAAAAAziD2MDvv3ghaxcY0O+/eCDdDSVEuTkFTREFROkNBTE0uSVFfU0FMRV9JTlRBTl9DRi45OTEuMzEvMDcvMjAyNi4uLlVTRC5IAQAAACB6BQADAAAAAADmbvYwO+/eCJc4rDI7794IPkNJUS5OQVNEQVE6Q0FMTS5JUV9DQVNIX0lOVEVSRVNUX0lOVkVTVC45OTEuMzEvMDcvMjAyNi4uLlVTRC5IAQAAACB6BQADAAAAAABsh/owO+/eCFdXsjI7794IN0NJUS5O</t>
  </si>
  <si>
    <t>QVNEQVE6Q0FMTS5JUV9DT01NT05fRElWX0NGLjk5MC4zMS8wNy8yMDI2Li4uVVNELkgBAAAAIHoFAAIAAAAILTEyMC45NDIBCAAAAAUAAAABMQEAAAAKMTg5NjgyMDUxNwMAAAADMTYwAgAAAAQyMDc0BAAAAAEwBwAAAAk3LzMxLzIwMjYIAAAACTUvMjgvMjAxNgkAAAABMOZu9jA7794ICIGuMjvv3gg7Q0lRLk5BU0RBUTpDQUxNLklRX0NPTlRJTkdFTlRfUkVOVEFMLjk5MC4zMS8wNy8yMDI2Li4uVVNELkgBAAAAIHoFAAMAAAAAAOkCGDE7794ILYCgMjvv3ggzQ0lRLk5BU0RBUTpDQUxNLklRX1JEX0VYUF9GTi45OTMuMzEvMDcvMjAyNi4uLlVTRC5IAQAAACB6BQADAAAAAADpAhgxO+/eCIzwyjQ7794IMUNJUS5OQVNEQVE6Q0FMTS5JUV9SRVNUQVRFTUVOVF9JUy4yMDAwLjMxLzA3LzIwMjYBAAAAIHoFAAMAAAABTwDpAhgxO+/eCE+W1zI7794IOkNJUS5OQVNEQVE6Q0FMTS5JUV9HQUlOX0JBUkdBSU5fQUNRLjk5My4zMS8wNy8yMDI2Li4uVVNELkgBAAAAIHoFAAMAAAAAAPEpGDE7794IxPLINDvv3gg+Q0lRLk5BU0RBUTpDQUxNLklRX01JTk9SSVRZX0lOVEVSRVNUX0NGLjk5My4zMS8wNy8yMDI2Li4uVVNELkgBAAAAIHoFAAMAAAAAAM4g9jA7794IAaDFNDvv3ghBQ0lRLk5BU0RBUTpDQUxNLklRX0RFRkVSUkVEX0RPTUVTVElDX1RBWEVTLjk5MS4zMS8wNy8yMDI2Li4uVVNELkgBAAAAIHoFAAIA</t>
  </si>
  <si>
    <t>AAAGMTQuODMzAQgAAAAFAAAAATEBAAAACjE5NzIwMTIxMjEDAAAAAzE2MAIAAAAEMzA1NAQAAAABMAcAAAAJNy8zMS8yMDI2CAAAAAg2LzMvMjAxNwkAAAABML20FzE7794IrwOcMjvv3gg7Q0lRLk5BU0RBUTpDQUxNLklRX0RJU1RSSUJVVEFCTEVfQ0FTSF9QQVlPVVQuOTkwLjMxLzA3LzIwMjYBAAAAIHoFAAMAAAAAAMzbFzE7794IZObWMjvv3ggzQ0lRLk5BU0RBUTpDQUxNLklRX0RBX0VCSVREQS45OTEuMzEvMDcvMjAyNi4uLlVTRC5IAQAAACB6BQACAAAABjQ5LjExMwEIAAAABQAAAAExAQAAAAoxOTcyMDEyMTIxAwAAAAMxNjACAAAABDIyMDYEAAAAATAHAAAACTcvMzEvMjAyNggAAAAINi8zLzIwMTcJAAAAATDM2xcxO+/eCBgCnjI7794IMkNJUS5OQVNEQVE6Q0FMTS5JUV9ESUxVVF9OSS45OTMuMzEvMDcvMjAyNi4uLlVTRC5IAQAAACB6BQACAAAACDU0LjQxOTY4AQgAAAAFAAAAATEBAAAACy0yMTQyNDI5MDM5AwAAAAMxNjACAAAABDM1MjIEAAAAATAHAAAACTcvMzEvMjAyNggAAAAINi8xLzIwMTkJAAAAATC9tBcxO+/eCDeLzDQ7794INUNJUS5OQVNEQVE6Q0FMTS5JUV9FQklUX0VRX0lOQy45OTEuMzEvMDcvMjAyNi4uLlVTRC5IAQAAACB6BQACAAAACC0xMjkuMDkyAQgAAAAFAAAAATEBAAAACjE5NzIwMTIxMjEDAAAAAzE2MAIAAAAFMjE2NzUEAAAAATAHAAAACTcvMzEvMjAyNggAAAAI</t>
  </si>
  <si>
    <t>Ni8zLzIwMTcJAAAAATDq5ooxO+/eCLQFmDI7794IOUNJUS5OQVNEQVE6Q0FMTS5JUV9FQklUREFfRVhDTF9TQkMuOTkzLjMxLzA3LzIwMjYuLi5VU0QuSAEAAAAgegUAAgAAAAcxMDQuMDgzAQgAAAAFAAAAATEBAAAACy0yMTQyNDI5MDM5AwAAAAMxNjACAAAABTI0MTM1BAAAAAEwBwAAAAk3LzMxLzIwMjYIAAAACDYvMS8yMDE5CQAAAAEw6uaKMTvv3gjkKNE0O+/eCDxDSVEuTkFTREFROkNBTE0uSVFfQVNfUkVQT1JURURfRUJJVERBLjk5MS4zMS8wNy8yMDI2Li4uVVNELkgBAAAAIHoFAAMAAAAAAL20FzE7794IVEGaMjvv3gg6Q0lRLk5BU0RBUTpDQUxNLklRX0VCSVREQVJfRVhDTF9TQkMuOTkzLjMxLzA3LzIwMjYuLi5VU0QuSAEAAAAgegUAAwAAAAAAqo0XMTvv3gi+1c40O+/eCD9DSVEuTkFTREFROkNBTE0uSVFfRUJJVEFfRVFfSU5DX0VYQ0xfU0JDLjk5Mi4zMS8wNy8yMDI2Li4uVVNELkgBAAAAIHoFAAIAAAAHMTkxLjUxNAEIAAAABQAAAAExAQAAAAoyMDQ1NzQ5MzEwAwAAAAMxNjACAAAABTI0MTMyBAAAAAEwBwAAAAk3LzMxLzIwMjYIAAAACDYvMi8yMDE4CQAAAAEwqo0XMTvv3ghecM80O+/eCDhDSVEuTkFTREFROkNBTE0uSVFfQkFTSUNfRVBTX0lOQ0wuOTkwLjMxLzA3LzIwMjYuLi5VU0QuSAEAAAAgegUAAgAAAAg2LjU1NzU0NwEIAAAABQAAAAExAQAAAAoxODk2ODIwNTE3AwAAAAMx</t>
  </si>
  <si>
    <t>NjACAAAAATkEAAAAATAHAAAACTcvMzEvMjAyNggAAAAJNS8yOC8yMDE2CQAAAAEw07+KMTvv3giatZQyO+/eCDdDSVEuTkFTREFROkNBTE0uSVFfTklfQVZBSUxfSU5DTC45OTAuMzEvMDcvMjAyNi4uLlVTRC5IAQAAACB6BQACAAAABzMxNi4wNDEBCAAAAAUAAAABMQEAAAAKMTg5NjgyMDUxNwMAAAADMTYwAgAAAAIxNgQAAAABMAcAAAAJNy8zMS8yMDI2CAAAAAk1LzI4LzIwMTYJAAAAATDTv4oxO+/eCHwslDI7794IP0NJUS5OQVNEQVE6Q0FMTS5JUV9NSU5PUklUWV9JTlRFUkVTVF9JUy4yMDAwLjMxLzA3LzIwMjYuLi5VU0QuSAEAAAAgegUAAgAAAAUtMS40MwEIAAAABQAAAAExAQAAAAstMTg4MTA2ODI5NQMAAAADMTYwAgAAAAI4MwQAAAABMAcAAAAJNy8zMS8yMDI2CAAAAAk1LzMwLzIwMjYJAAAAATDDmIoxO+/eCGsFlDI7794IL0NJUS5OQVNEQVE6Q0FMTS5JUV9GSUxJTkdEQVRFX0lTLjk5Mi4zMS8wNy8yMDI2AQAAACB6BQAFAAAACjIwLzA3LzIwMjAA6uaKMTvv3ggxGKg0O+/eCEFDSVEuTkFTREFROkNBTE0uSVFfRElTVFJJQlVUQUJMRV9DQVNIX1NIQVJFU19CQVNJQy45OTIuMzEvMDcvMjAyNgEAAAAgegUAAwAAAAAA07+KMTvv3gg9Zqg0O+/eCDBDSVEuTkFTREFROkNBTE0uSVFfUkRfRVhQLjk5My4zMS8wNy8yMDI2Li4uVVNELkgBAAAAIHoFAAMAAAAAAMBxijE7794IUgzWNDvv3ghC</t>
  </si>
  <si>
    <t>Q0lRLk5BU0RBUTpDQUxNLklRX09USEVSX05PTl9PUEVSX0VYUF9TVVBQTC45OTEuMzEvMDcvMjAyNi4uLlVTRC5IAQAAACB6BQACAAAABTcuNzg4AQgAAAAFAAAAATEBAAAACjE5NzIwMTIxMjEDAAAAAzE2MAIAAAACODUEAAAAATAHAAAACTcvMzEvMjAyNggAAAAINi8zLzIwMTcJAAAAATDDmIoxO+/eCKTkkDI7794ILUNJUS5OQVNEQVE6Q0FMTS5JUV9FQlQuOTkwLjMxLzA3LzIwMjYuLi5VU0QuSAEAAAAgegUAAgAAAAc0ODcuMjQ5AQgAAAAFAAAAATEBAAAACjE4OTY4MjA1MTcDAAAAAzE2MAIAAAADMTM5BAAAAAEwBwAAAAk3LzMxLzIwMjYIAAAACTUvMjgvMjAxNgkAAAABMMOYijE7794IjQ6TMjvv3gg2Q0lRLk5BU0RBUTpDQUxNLklRX0xFR0FMX1NFVFRMRS45OTAuMzEvMDcvMjAyNi4uLlVTRC5IAQAAACB6BQADAAAAAADDmIoxO+/eCJeWkjI7794IOkNJUS5OQVNEQVE6Q0FMTS5JUV9BU1NFVF9XUklURURPV04uMjAwMC4zMS8wNy8yMDI2Li4uVVNELkgBAAAAIHoFAAMAAAAAAMOYijE7794I/DiSMjvv3gg1Q0lRLk5BU0RBUTpDQUxNLklRX0lOVF9JTlZfSU5DLjk5MS4zMS8wNy8yMDI2Li4uVVNELkgBAAAAIHoFAAMAAAAAAMBxijE7794IAOCJMjvv3gg5Q0lRLk5BU0RBUTpDQUxNLklRX0ZJTl9ESVZfSU5UX0VYUC45OTAuMzEvMDcvMjAyNi4uLlVTRC5IAQAAACB6BQADAAAAAADAcYoxO+/e</t>
  </si>
  <si>
    <t>CPS3ijI7794IMkNJUS5OQVNEQVE6Q0FMTS5JUV9PUEVSX0lOQy45OTIuMzEvMDcvMjAyNi4uLlVTRC5IAQAAACB6BQACAAAABjE4MS43MwEIAAAABQAAAAExAQAAAAoyMDQ1NzQ5MzEwAwAAAAMxNjACAAAAAjIxBAAAAAEwBwAAAAk3LzMxLzIwMjYIAAAACDYvMi8yMDE4CQAAAAEwwHGKMTvv3gghl9U0O+/eCDVDSVEuTkFTREFROkNBTE0uSVFfSU1QQUlSX09JTC4yMDAwLjMxLzA3LzIwMjYuLi5VU0QuSAEAAAAgegUAAwAAAAAAwHGKMTvv3gggko8yO+/eCDNDSVEuTkFTREFROkNBTE0uSVFfU1RfSU5WRVNULjk5MC4zMS8wNy8yMDI2Li4uVVNELkgBAAAAIHoFAAIAAAAHMzYwLjQ5OQEIAAAABQAAAAExAQAAAAoxODk2ODIwNTE3AwAAAAMxNjACAAAABDEwNjkEAAAAATAHAAAACTcvMzEvMjAyNggAAAAJNS8yOC8yMDE2CQAAAAEwWa76MDvv3gj6t7UyO+/eCDNDSVEuTkFTREFROkNBTE0uSVFfRElWX1NIQVJFLjk5MC4zMS8wNy8yMDI2Li4uVVNELkgBAAAAIHoFAAIAAAAFMi4xNzUBCAAAAAUAAAABMQEAAAAKMTg5NjgyMDUxNwMAAAADMTYwAgAAAAQzMDU4BAAAAAEwBwAAAAk3LzMxLzIwMjYIAAAACTUvMjgvMjAxNgkAAAABMNO/ijE7794IGe6VMjvv3ghBQ0lRLk5BU0RBUTpDQUxNLklRX0RJU1RSSUJVVEFCTEVfQ0FTSF9TSEFSRVNfQkFTSUMuOTkzLjMxLzA3LzIwMjYBAAAAIHoFAAMAAAAAANO/</t>
  </si>
  <si>
    <t>ijE7794IPWaoNDvv3gg/Q0lRLk5BU0RBUTpDQUxNLklRX0VCSVRBX0VRX0lOQ19FWENMX1NCQy45OTMuMzEvMDcvMjAyNi4uLlVTRC5IAQAAACB6BQACAAAABjU3LjAwOQEIAAAABQAAAAExAQAAAAstMjE0MjQyOTAzOQMAAAADMTYwAgAAAAUyNDEzMgQAAAABMAcAAAAJNy8zMS8yMDI2CAAAAAg2LzEvMjAxOQkAAAABMKqNFzE7794IapfPNDvv3gg1Q0lRLk5BU0RBUTpDQUxNLklRX0VCSVRfRVFfSU5DLjk5Mi4zMS8wNy8yMDI2Li4uVVNELkgBAAAAIHoFAAIAAAAHMTg1LjI0NwEIAAAABQAAAAExAQAAAAoyMDQ1NzQ5MzEwAwAAAAMxNjACAAAABTIxNjc1BAAAAAEwBwAAAAk3LzMxLzIwMjYIAAAACDYvMi8yMDE4CQAAAAEw6uaKMTvv3giiV9A0O+/eCD9DSVEuTkFTREFROkNBTE0uSVFfT1RIRVJfVU5VU1VBTF9TVVBQTEUuMjAwMC4zMS8wNy8yMDI2Li4uVVNELkgBAAAAIHoFAAMAAAAAAPEpGDE7794ING+jMjvv3gg3Q0lRLk5BU0RBUTpDQUxNLklRX0NPTU1PTl9ESVZfQ0YuOTkyLjMxLzA3LzIwMjYuLi5VU0QuSAEAAAAgegUAAwAAAAAA5m72MDvv3gi3V8E0O+/eCDdDSVEuTkFTREFROkNBTE0uSVFfU0FMRV9JTlRBTl9DRi45OTMuMzEvMDcvMjAyNi4uLlVTRC5IAQAAACB6BQADAAAAAADmbvYwO+/eCCffwjQ7794ILkNJUS5OQVNEQVE6Q0FMTS5JUV9CQVNJQ19XRUlHSFQuOTkwLjMxLzA3LzIw</t>
  </si>
  <si>
    <t>MjYBAAAAIHoFAAIAAAAGNDguMTk1ANO/ijE7794I9IXVMjvv3gg4Q0lRLk5BU0RBUTpDQUxNLklRX0JBU0lDX0VQU19JTkNMLjk5MS4zMS8wNy8yMDI2Li4uVVNELkgBAAAAIHoFAAIAAAAJLTEuNTM1ODc1AQgAAAAFAAAAATEBAAAACjE5NzIwMTIxMjEDAAAAAzE2MAIAAAABOQQAAAABMAcAAAAJNy8zMS8yMDI2CAAAAAg2LzMvMjAxNwkAAAABMNO/ijE7794Ijo6UMjvv3gg7Q0lRLk5BU0RBUTpDQUxNLklRX0RJU1RSSUJVVEFCTEVfQ0FTSF9QQVlPVVQuOTkyLjMxLzA3LzIwMjYBAAAAIHoFAAMAAAAAAMzbFzE7794ID6OnNDvv3gg3Q0lRLk5BU0RBUTpDQUxNLklRX01FUkdFUl9TVVBQTEUuOTkyLjMxLzA3LzIwMjYuLi5VU0QuSAEAAAAgegUAAwAAAAAA8SkYMTvv3gglaMk0O+/eCDdDSVEuTkFTREFROkNBTE0uSVFfT1RIRVJfUkVOVEFMLjIwMDAuMzEvMDcvMjAyNi4uLlVTRC5IAQAAACB6BQADAAAAAADpAhgxO+/eCIbioDI7794IO0NJUS5OQVNEQVE6Q0FMTS5JUV9DT05USU5HRU5UX1JFTlRBTC45OTIuMzEvMDcvMjAyNi4uLlVTRC5IAQAAACB6BQADAAAAAADpAhgxO+/eCKd5yjQ7794IMkNJUS5OQVNEQVE6Q0FMTS5JUV9GSUxJTkdfQ1VSUkVOQ1kuMjAwMC4zMS8wNy8yMDI2AQAAACB6BQADAAAAA1VTRADpAhgxO+/eCMOb2jI7794INUNJUS5OQVNEQVE6Q0FMTS5JUV9JUFJEX1NVUFBMRS45</t>
  </si>
  <si>
    <t>OTMuMzEvMDcvMjAyNi4uLlVTRC5IAQAAACB6BQADAAAAAADxKRgxO+/eCMTyyDQ7794IQENJUS5OQVNEQVE6Q0FMTS5JUV9DSEFOR0VfVFJBRElOR19BU1NFVFMuMjAwMC4zMS8wNy8yMDI2Li4uVVNELkgBAAAAIHoFAAMAAAAAANZH9jA7794I0w6qMjvv3gg7Q0lRLk5BU0RBUTpDQUxNLklRX0lOVkVTVE1FTlRfSU5DT01FLjk5MC4zMS8wNy8yMDI2Li4uVVNELkgBAAAAIHoFAAMAAAAAAL20FzE7794IUxmbMjvv3gg8Q0lRLk5BU0RBUTpDQUxNLklRX0FTX1JFUE9SVEVEX0VCSVREQS45OTIuMzEvMDcvMjAyNi4uLlVTRC5IAQAAACB6BQADAAAAAAC9tBcxO+/eCMFMzjQ7794IMkNJUS5OQVNEQVE6Q0FMTS5JUV9FRkZFQ1RfVEFYX1JBVEUuMjAwMC4zMS8wNy8yMDI2AQAAACB6BQACAAAABzIyLjYwMTIBCAAAAAUAAAABMQEAAAALLTE4ODEwNjgyOTUDAAAAAzE2MAIAAAAENDM3NgQAAAABMAcAAAAJNy8zMS8yMDI2CAAAAAk1LzMwLzIwMjYJAAAAATDM2xcxO+/eCIA01zI7794IO0NJUS5OQVNEQVE6Q0FMTS5JUV9ESVNUUklCVVRBQkxFX0NBU0hfUEFZT1VULjk5My4zMS8wNy8yMDI2AQAAACB6BQADAAAAAADM2xcxO+/eCA+jpzQ7794IN0NJUS5OQVNEQVE6Q0FMTS5JUV9BSVJDUkFGVF9SRU5ULjk5MC4zMS8wNy8yMDI2Li4uVVNELkgBAAAAIHoFAAMAAAAAAOkCGDE7794IhuKgMjvv3gg1Q0lRLk5B</t>
  </si>
  <si>
    <t>U0RBUTpDQUxNLklRX0FEVkVSVElTSU5HLjk5MS4zMS8wNy8yMDI2Li4uVVNELkgBAAAAIHoFAAIAAAAEMTAuMwEIAAAABQAAAAExAQAAAAoxOTcyMDEyMTIxAwAAAAMxNjACAAAABDMwMTMEAAAAATAHAAAACTcvMzEvMjAyNggAAAAINi8zLzIwMTcJAAAAATDpAhgxO+/eCJsNnzI7794IQUNJUS5OQVNEQVE6Q0FMTS5JUV9MRUFTRV9BREpVU1RNRU5UX0VCSVREQS45OTMuMzEvMDcvMjAyNi4uLlVTRC5IAQAAACB6BQADAAAAAADq5ooxO+/eCIja0DQ7794IQ0NJUS5OQVNEQVE6Q0FMTS5JUV9FQVJOSU5HX1BBUkVOVF9FWENMX0VYVFJBLjk5MS4zMS8wNy8yMDI2Li4uVVNELkgBAAAAIHoFAAIAAAAHLTc0LjI3OAEIAAAABQAAAAExAQAAAAoxOTcyMDEyMTIxAwAAAAMxNjACAAAABTQxNTk2BAAAAAEwBwAAAAk3LzMxLzIwMjYIAAAACDYvMy8yMDE3CQAAAAEwvbQXMTvv3ggOpJoyO+/eCDxDSVEuTkFTREFROkNBTE0uSVFfQVNfUkVQT1JURURfRUJJVERBLjk5My4zMS8wNy8yMDI2Li4uVVNELkgBAAAAIHoFAAMAAAAAAL20FzE7794IoyXONDvv3ghBQ0lRLk5BU0RBUTpDQUxNLklRX0RFRkVSUkVEX0ZPUkVJR05fVEFYRVMuMjAwMC4zMS8wNy8yMDI2Li4uVVNELkgBAAAAIHoFAAMAAAAAAL20FzE7794IenqcMjvv3gg7Q0lRLk5BU0RBUTpDQUxNLklRX0lOVkVTVE1FTlRfSU5DT01FLjk5Mi4zMS8wNy8y</t>
  </si>
  <si>
    <t>MDI2Li4uVVNELkgBAAAAIHoFAAMAAAAAAL20FzE7794IerDNNDvv3gg5Q0lRLk5BU0RBUTpDQUxNLklRX0RJTFVUX0VQU19JTkNMLjIwMDAuMzEvMDcvMjAyNi4uLlVTRC5IAQAAACB6BQACAAAABDYuNjMBCAAAAAUAAAABMQEAAAALLTE4ODEwNjgyOTUDAAAAAzE2MAIAAAABOAQAAAABMAcAAAAJNy8zMS8yMDI2CAAAAAk1LzMwLzIwMjYJAAAAATDTv4oxO+/eCOQqlTI7794ILkNJUS5OQVNEQVE6Q0FMTS5JUV9CQVNJQ19XRUlHSFQuOTkyLjMxLzA3LzIwMjYBAAAAIHoFAAIAAAAGNDguMzUzANO/ijE7794Ibo2oNDvv3ggwQ0lRLk5BU0RBUTpDQUxNLklRX0VCSVREQS45OTIuMzEvMDcvMjAyNi4uLlVTRC5IAQAAACB6BQACAAAABzIzNS43NTYBCAAAAAUAAAABMQEAAAAKMjA0NTc0OTMxMAMAAAADMTYwAgAAAAQ0MDUxBAAAAAEwBwAAAAk3LzMxLzIwMjYIAAAACDYvMi8yMDE4CQAAAAEw6uaKMTvv3ggbd9E0O+/eCDNDSVEuTkFTREFROkNBTE0uSVFfRElWX1NIQVJFLjk5Mi4zMS8wNy8yMDI2Li4uVVNELkgBAAAAIHoFAAIAAAAFMC4zNTEBCAAAAAUAAAABMQEAAAAKMjA0NTc0OTMxMAMAAAADMTYwAgAAAAQzMDU4BAAAAAEwBwAAAAk3LzMxLzIwMjYIAAAACDYvMi8yMDE4CQAAAAEw07+KMTvv3ggExdE0O+/eCDdDSVEuTkFTREFROkNBTE0uSVFfRUJJVF9FWENMX1NCQy45OTEuMzEvMDcvMjAyNi4u</t>
  </si>
  <si>
    <t>LlVTRC5IAQAAACB6BQACAAAACC0xMjcuMDU1AQgAAAAFAAAAATEBAAAACjE5NzIwMTIxMjEDAAAAAzE2MAIAAAAFMjQxMzQEAAAAATAHAAAACTcvMzEvMjAyNggAAAAINi8zLzIwMTcJAAAAATCM+ooxO+/eCKNTmDI7794IPkNJUS5OQVNEQVE6Q0FMTS5JUV9NSU5PUklUWV9JTlRFUkVTVF9JUy45OTMuMzEvMDcvMjAyNi4uLlVTRC5IAQAAACB6BQACAAAABi0wLjgzMwEIAAAABQAAAAExAQAAAAstMjE0MjQyOTAzOQMAAAADMTYwAgAAAAI4MwQAAAABMAcAAAAJNy8zMS8yMDI2CAAAAAg2LzEvMjAxOQkAAAABMMOYijE7794INurSNDvv3gg5Q0lRLk5BU0RBUTpDQUxNLklRX0VYVFJBX0FDQ19JVEVNUy45OTIuMzEvMDcvMjAyNi4uLlVTRC5IAQAAACB6BQADAAAAAADDmIoxO+/eCFY40zQ7794INENJUS5OQVNEQVE6Q0FMTS5JUV9FQVJOSU5HX0NPLjk5Mi4zMS8wNy8yMDI2Li4uVVNELkgBAAAAIHoFAAIAAAAHMTI2LjE5NgEIAAAABQAAAAExAQAAAAoyMDQ1NzQ5MzEwAwAAAAMxNjACAAAAATcEAAAAATAHAAAACTcvMzEvMjAyNggAAAAINi8yLzIwMTgJAAAAATDDmIoxO+/eCAVz0zQ7794ILUNJUS5OQVNEQVE6Q0FMTS5JUV9FQlQuOTkzLjMxLzA3LzIwMjYuLi5VU0QuSAEAAAAgegUAAgAAAAY3MC44MDUBCAAAAAUAAAABMQEAAAALLTIxNDI0MjkwMzkDAAAAAzE2MAIAAAADMTM5BAAAAAEwBwAAAAk3</t>
  </si>
  <si>
    <t>LzMxLzIwMjYIAAAACDYvMS8yMDE5CQAAAAEww5iKMTvv3gj0rdM0O+/eCDZDSVEuTkFTREFROkNBTE0uSVFfTEVHQUxfU0VUVExFLjk5Mi4zMS8wNy8yMDI2Li4uVVNELkgBAAAAIHoFAAIAAAAGLTgwLjc1AQgAAAAFAAAAATEBAAAACjIwNDU3NDkzMTADAAAAAzE2MAIAAAACNzcEAAAAATAHAAAACTcvMzEvMjAyNggAAAAINi8yLzIwMTgJAAAAATDDmIoxO+/eCCDV0zQ7794INENJUS5OQVNEQVE6Q0FMTS5JUV9JTkNfRVFVSVRZLjk5MC4zMS8wNy8yMDI2Li4uVVNELkgBAAAAIHoFAAIAAAAFNS4wMTYBCAAAAAUAAAABMQEAAAAKMTg5NjgyMDUxNwMAAAADMTYwAgAAAAI0NwQAAAABMAcAAAAJNy8zMS8yMDI2CAAAAAk1LzI4LzIwMTYJAAAAATDDmIoxO+/eCK+QkDI7794INENJUS5OQVNEQVE6Q0FMTS5JUV9PVEhFUl9PUEVSLjk5MS4zMS8wNy8yMDI2Li4uVVNELkgBAAAAIHoFAAMAAAAAAMBxijE7794IIJKPMjvv3gguQ0lRLk5BU0RBUTpDQUxNLklRX0lQUkQuOTkxLjMxLzA3LzIwMjYuLi5VU0QuSAEAAAAgegUAAwAAAAAAw5iKMTvv3gj8OJIyO+/eCDVDSVEuTkFTREFROkNBTE0uSVFfR0FJTl9BU1NFVFMuOTkwLjMxLzA3LzIwMjYuLi5VU0QuSAEAAAAgegUAAgAAAAUxLjU2MwEIAAAABQAAAAExAQAAAAoxODk2ODIwNTE3AwAAAAMxNjACAAAAAjU2BAAAAAEwBwAAAAk3LzMxLzIwMjYIAAAACTUv</t>
  </si>
  <si>
    <t>MjgvMjAxNgkAAAABMMOYijE7794It+qRMjvv3ggxQ0lRLk5BU0RBUTpDQUxNLklRX01FUkdFUi4yMDAwLjMxLzA3LzIwMjYuLi5VU0QuSAEAAAAgegUAAgAAAAYtMC41OTQBCAAAAAUAAAABMQEAAAALLTE4ODEwNjgyOTUDAAAAAzE2MAIAAAACODAEAAAAATAHAAAACTcvMzEvMjAyNggAAAAJNS8zMC8yMDI2CQAAAAEww5iKMTvv3giniJEyO+/eCDRDSVEuTkFTREFROkNBTE0uSVFfQ1VSUl9UQVhFUy45OTAuMzEvMDcvMjAyNi4uLlVTRC5IAQAAACB6BQACAAAABjE0OS44MQEIAAAABQAAAAExAQAAAAoxODk2ODIwNTE3AwAAAAMxNjACAAAABTM1MzgzBAAAAAEwBwAAAAk3LzMxLzIwMjYIAAAACTUvMjgvMjAxNgkAAAABML20FzE7794IntybMjvv3ggvQ0lRLk5BU0RBUTpDQUxNLklRX0NPR1MuMjAwMC4zMS8wNy8yMDI2Li4uVVNELkgBAAAAIHoFAAIAAAAIMjIzOS41ODMBCAAAAAUAAAABMQEAAAALLTE4ODEwNjgyOTUDAAAAAzE2MAIAAAACMzQEAAAAATAHAAAACTcvMzEvMjAyNggAAAAJNS8zMC8yMDI2CQAAAAEwwHGKMTvv3gjcaYoyO+/eCDlDSVEuTkFTREFROkNBTE0uSVFfR0FJTl9BU1NFVFNfUkVWLjk5MC4zMS8wNy8yMDI2Li4uVVNELkgBAAAAIHoFAAMAAAAAAMBxijE7794Iz4+JMjvv3gg1Q0lRLk5BU0RBUTpDQUxNLklRX1NUT0NLX0JBU0VELjk5My4zMS8wNy8yMDI2Li4uVVNELkgBAAAA</t>
  </si>
  <si>
    <t>IHoFAAMAAAAAAMBxijE7794IoWzWNDvv3gg3Q0lRLk5BU0RBUTpDQUxNLklRX0VYUExPUkVfRFJJTEwuOTkwLjMxLzA3LzIwMjYuLi5VU0QuSAEAAAAgegUAAwAAAAAAwHGKMTvv3giO8o0yO+/eCDVDSVEuTkFTREFROkNBTE0uSVFfSU5UX0VYUF9MVEQuOTkwLjMxLzA3LzIwMjYuLi5VU0QuSAEAAAAgegUAAwAAAAAAzNsXMTvv3gi0PZ0yO+/eCENDSVEuTkFTREFROkNBTE0uSVFfRUFSTklOR19QQVJFTlRfRVhDTF9FWFRSQS45OTIuMzEvMDcvMjAyNi4uLlVTRC5IAQAAACB6BQACAAAABzEyNS45MzIBCAAAAAUAAAABMQEAAAAKMjA0NTc0OTMxMAMAAAADMTYwAgAAAAU0MTU5NgQAAAABMAcAAAAJNy8zMS8yMDI2CAAAAAg2LzIvMjAxOAkAAAABML20FzE7794Ik/7NNDvv3gg7Q0lRLk5BU0RBUTpDQUxNLklRX0ZFRVNfT1RIRVJfSU5DT01FLjk5MS4zMS8wNy8yMDI2Li4uVVNELkgBAAAAIHoFAAMAAAAAAKqNFzE7794IegaaMjvv3ggyQ0lRLk5BU0RBUTpDQUxNLklRX0RJTFVUX05JLjk5MC4zMS8wNy8yMDI2Li4uVVNELkgBAAAAIHoFAAIAAAAJMzE1LjgyMzQ1AQgAAAAFAAAAATEBAAAACjE4OTY4MjA1MTcDAAAAAzE2MAIAAAAEMzUyMgQAAAABMAcAAAAJNy8zMS8yMDI2CAAAAAk1LzI4LzIwMTYJAAAAATC9tBcxO+/eCLLvnDI7794IPkNJUS5OQVNEQVE6Q0FMTS5JUV9ERUZFUlJFRF9UQVhFU19U</t>
  </si>
  <si>
    <t>T1RBTC45OTAuMzEvMDcvMjAyNi4uLlVTRC5IAQAAACB6BQACAAAABjE5LjM5MgEIAAAABQAAAAExAQAAAAoxODk2ODIwNTE3AwAAAAMxNjACAAAABTM1Mzg1BAAAAAEwBwAAAAk3LzMxLzIwMjYIAAAACTUvMjgvMjAxNgkAAAABML20FzE7794IenqcMjvv3gg4Q0lRLk5BU0RBUTpDQUxNLklRX0RJTFVUX0VQU19JTkNMLjk5MC4zMS8wNy8yMDI2Li4uVVNELkgBAAAAIHoFAAIAAAAENi41MwEIAAAABQAAAAExAQAAAAoxODk2ODIwNTE3AwAAAAMxNjACAAAAATgEAAAAATAHAAAACTcvMzEvMjAyNggAAAAJNS8yOC8yMDE2CQAAAAEw07+KMTvv3gjSA5UyO+/eCD5DSVEuTkFTREFROkNBTE0uSVFfTUlOT1JJVFlfSU5URVJFU1RfSVMuOTkwLjMxLzA3LzIwMjYuLi5VU0QuSAEAAAAgegUAAgAAAAYtMi4wMDYBCAAAAAUAAAABMQEAAAAKMTg5NjgyMDUxNwMAAAADMTYwAgAAAAI4MwQAAAABMAcAAAAJNy8zMS8yMDI2CAAAAAk1LzI4LzIwMTYJAAAAATDDmIoxO+/eCGbekzI7794IQUNJUS5OQVNEQVE6Q0FMTS5JUV9FWENJU0VfVEFYRVNfRVhDTF9TQUxFUy45OTIuMzEvMDcvMjAyNi4uLlVTRC5IAQAAACB6BQADAAAAAAC9tBcxO+/eCHqwzTQ7794IO0NJUS5OQVNEQVE6Q0FMTS5JUV9GRUVTX09USEVSX0lOQ09NRS45OTMuMzEvMDcvMjAyNi4uLlVTRC5IAQAAACB6BQADAAAAAACqjRcxO+/eCKaHzjQ7794I</t>
  </si>
  <si>
    <t>LkNJUS5OQVNEQVE6Q0FMTS5JUV9ESUMuMjAwMC4zMS8wNy8yMDI2Li4uVVNELkgBAAAAIHoFAAMAAAAAAOkCGDE7794Imw2fMjvv3ggxQ0lRLk5BU0RBUTpDQUxNLklRX0ZJTElOR19DVVJSRU5DWS45OTIuMzEvMDcvMjAyNgEAAAAgegUAAwAAAANVU0QA6QIYMTvv3gjKZ6c0O+/eCDVDSVEuTkFTREFROkNBTE0uSVFfSU5UX0VYUF9MVEQuOTkyLjMxLzA3LzIwMjYuLi5VU0QuSAEAAAAgegUAAwAAAAAAzNsXMTvv3ggAZMw0O+/eCDVDSVEuTkFTREFROkNBTE0uSVFfU1RPQ0tfQkFTRUQuOTkwLjMxLzA3LzIwMjYuLi5VU0QuSAEAAAAgegUAAwAAAAAAwHGKMTvv3gi9QI4yO+/eCDlDSVEuTkFTREFROkNBTE0uSVFfQVNTRVRfV1JJVEVET1dOLjk5MC4zMS8wNy8yMDI2Li4uVVNELkgBAAAAIHoFAAMAAAAAAMOYijE7794I6xGSMjvv3ggyQ0lRLk5BU0RBUTpDQUxNLklRX0VQU19OT1JNLjk5MC4zMS8wNy8yMDI2Li4uVVNELkgBAAAAIHoFAAIAAAAINi4yNTY1NTQBCAAAAAUAAAABMQEAAAAKMTg5NjgyMDUxNwMAAAADMTYwAgAAAAQ0Mzc5BAAAAAEwBwAAAAk3LzMxLzIwMjYIAAAACTUvMjgvMjAxNgkAAAABMNO/ijE7794I+FGVMjvv3ggwQ0lRLk5BU0RBUTpDQUxNLklRX01FUkdFUi45OTIuMzEvMDcvMjAyNi4uLlVTRC5IAQAAACB6BQADAAAAAADDmIoxO+/eCIuY1DQ7794IQkNJUS5OQVNEQVE6Q0FM</t>
  </si>
  <si>
    <t>TS5JUV9PVEhFUl9OT05fT1BFUl9FWFBfU1VQUEwuOTkzLjMxLzA3LzIwMjYuLi5VU0QuSAEAAAAgegUAAgAAAAUyLjQwOAEIAAAABQAAAAExAQAAAAstMjE0MjQyOTAzOQMAAAADMTYwAgAAAAI4NQQAAAABMAcAAAAJNy8zMS8yMDI2CAAAAAg2LzEvMjAxOQkAAAABMMOYijE7794IwObUNDvv3ggyQ0lRLk5BU0RBUTpDQUxNLklRX0VQU19OT1JNLjk5MS4zMS8wNy8yMDI2Li4uVVNELkgBAAAAIHoFAAIAAAAJLTEuNDI5NTI2AQgAAAAFAAAAATEBAAAACjE5NzIwMTIxMjEDAAAAAzE2MAIAAAAENDM3OQQAAAABMAcAAAAJNy8zMS8yMDI2CAAAAAg2LzMvMjAxNwkAAAABMNO/ijE7794I+FGVMjvv3gguQ0lRLk5BU0RBUTpDQUxNLklRX0JBU0lDX1dFSUdIVC45OTMuMzEvMDcvMjAyNgEAAAAgegUAAgAAAAY0OC40NjcA07+KMTvv3ghujag0O+/eCDdDSVEuTkFTREFROkNBTE0uSVFfTklfQVZBSUxfSU5DTC45OTIuMzEvMDcvMjAyNi4uLlVTRC5IAQAAACB6BQACAAAABzEyNS45MzIBCAAAAAUAAAABMQEAAAAKMjA0NTc0OTMxMAMAAAADMTYwAgAAAAIxNgQAAAABMAcAAAAJNy8zMS8yMDI2CAAAAAg2LzIvMjAxOAkAAAABMNO/ijE7794IKcPSNDvv3gg7Q0lRLk5BU0RBUTpDQUxNLklRX1NUT0NLX0JBU0VEX1RPVEFMLjk5My4zMS8wNy8yMDI2Li4uVVNELkgBAAAAIHoFAAIAAAAFMy42MTkBCAAAAAUAAAAB</t>
  </si>
  <si>
    <t>MQEAAAALLTIxNDI0MjkwMzkDAAAAAzE2MAIAAAAFMjQwMzQEAAAAATAHAAAACTcvMzEvMjAyNggAAAAINi8xLzIwMTkJAAAAATDOIPYwO+/eCIonxzQ7794ILUNJUS5OQVNEQVE6Q0FMTS5JUV9ESUMuOTkwLjMxLzA3LzIwMjYuLi5VU0QuSAEAAAAgegUAAwAAAAAAzNsXMTvv3giGv54yO+/eCDhDSVEuTkFTREFROkNBTE0uSVFfUFJPVl9CQURfREVCVFMuOTkzLjMxLzA3LzIwMjYuLi5VU0QuSAEAAAAgegUAAwAAAAAAwHGKMTvv3gihgtY0O+/eCD1DSVEuTkFTREFROkNBTE0uSVFfT1RIRVJfVU5VU1VBTF9TVVBQTC45OTAuMzEvMDcvMjAyNi4uLlVTRC5IAQAAACB6BQADAAAAAADDmIoxO+/eCOK9kjI7794IOUNJUS5OQVNEQVE6Q0FMTS5JUV9BU1NFVF9XUklURURPV04uOTkxLjMxLzA3LzIwMjYuLi5VU0QuSAEAAAAgegUAAwAAAAAAw5iKMTvv3gjrEZIyO+/eCDlDSVEuTkFTREFROkNBTE0uSVFfSU5URVJFU1RfSU5DT01FLjk5Mi4zMS8wNy8yMDI2Li4uVVNELkgBAAAAIHoFAAIAAAAGMTEuOTgzAQgAAAAFAAAAATEBAAAACjIwNDU3NDkzMTADAAAAAzE2MAIAAAADMjEwBAAAAAEwBwAAAAk3LzMxLzIwMjYIAAAACDYvMi8yMDE4CQAAAAEwvbQXMTvv3giI1800O+/eCDZDSVEuTkFTREFROkNBTE0uSVFfRUJJVERBX0NBUEVYLjk5My4zMS8wNy8yMDI2Li4uVVNELkgBAAAAIHoFAAIAAAAGMzIuNDc1</t>
  </si>
  <si>
    <t>AQgAAAAFAAAAATEBAAAACy0yMTQyNDI5MDM5AwAAAAMxNjACAAAABTM1Mzc5BAAAAAEwBwAAAAk3LzMxLzIwMjYIAAAACDYvMS8yMDE5CQAAAAEwqo0XMTvv3gimh840O+/eCDJDSVEuTkFTREFROkNBTE0uSVFfRVBTX05PUk0uOTkzLjMxLzA3LzIwMjYuLi5VU0QuSAEAAAAgegUAAgAAAAgwLjg5NTk4NQEIAAAABQAAAAExAQAAAAstMjE0MjQyOTAzOQMAAAADMTYwAgAAAAQ0Mzc5BAAAAAEwBwAAAAk3LzMxLzIwMjYIAAAACDYvMS8yMDE5CQAAAAEw07+KMTvv3gjKJtI0O+/eCDtDSVEuTkFTREFROkNBTE0uSVFfRkVFU19PVEhFUl9JTkNPTUUuOTkwLjMxLzA3LzIwMjYuLi5VU0QuSAEAAAAgegUAAwAAAAAAqo0XMTvv3gg735kyO+/eCDJDSVEuTkFTREFROkNBTE0uSVFfSU5DX1RBWC4yMDAwLjMxLzA3LzIwMjYuLi5VU0QuSAEAAAAgegUAAgAAAAY5Mi44OTIBCAAAAAUAAAABMQEAAAALLTE4ODEwNjgyOTUDAAAAAzE2MAIAAAACNzUEAAAAATAHAAAACTcvMzEvMjAyNggAAAAJNS8zMC8yMDI2CQAAAAEww5iKMTvv3gjBNZMyO+/eCDZDSVEuTkFTREFROkNBTE0uSVFfTEVHQUxfU0VUVExFLjk5MS4zMS8wNy8yMDI2Li4uVVNELkgBAAAAIHoFAAMAAAAAAMOYijE7794Il5aSMjvv3ghBQ0lRLk5BU0RBUTpDQUxNLklRX0xFQVNFX0FESlVTVE1FTlRfRUJJVERBLjk5MC4zMS8wNy8yMDI2Li4uVVNELkgB</t>
  </si>
  <si>
    <t>AAAAIHoFAAMAAAAAAOrmijE7794IE2mXMjvv3gg5Q0lRLk5BU0RBUTpDQUxNLklRX1NUT0NLX0JBU0VEX1NNLjIwMDAuMzEvMDcvMjAyNi4uLlVTRC5IAQAAACB6BQADAAAAAAAaURgxO+/eCGxtpDI7794ILkNJUS5OQVNEQVE6Q0FMTS5JUV9QQVlPVVRfUkFUSU8uOTkzLjMxLzA3LzIwMjYBAAAAIHoFAAIAAAAFNzYuOTIBCAAAAAUAAAABMQEAAAALLTIxNDI0MjkwMzkDAAAAAzE2MAIAAAAENDM3NwQAAAABMAcAAAAJNy8zMS8yMDI2CAAAAAg2LzEvMjAxOQkAAAABMMzbFzE7794I1HunNDvv3ggsQ0lRLk5BU0RBUTpDQUxNLklRX0dQLjk5Mi4zMS8wNy8yMDI2Li4uVVNELkgBAAAAIHoFAAIAAAAHMzYxLjA0NgEIAAAABQAAAAExAQAAAAoyMDQ1NzQ5MzEwAwAAAAMxNjACAAAAAjEwBAAAAAEwBwAAAAk3LzMxLzIwMjYIAAAACDYvMi8yMDE4CQAAAAEwwHGKMTvv3gh+Ntc0O+/eCDRDSVEuTkFTREFROkNBTE0uSVFfSU1QQUlSX09JTC45OTIuMzEvMDcvMjAyNi4uLlVTRC5IAQAAACB6BQADAAAAAADAcYoxO+/eCD2+1TQ7794ILENJUS5OQVNEQVE6Q0FMTS5JUV9HUC45OTEuMzEvMDcvMjAyNi4uLlVTRC5IAQAAACB6BQACAAAABTQ1LjU1AQgAAAAFAAAAATEBAAAACjE5NzIwMTIxMjEDAAAAAzE2MAIAAAACMTAEAAAAATAHAAAACTcvMzEvMjAyNggAAAAINi8zLzIwMTcJAAAAATDAcYoxO+/eCKKkjTI7</t>
  </si>
  <si>
    <t>794INUNJUS5OQVNEQVE6Q0FMTS5JUV9GSU5fRElWX0VYUC45OTAuMzEvMDcvMjAyNi4uLlVTRC5IAQAAACB6BQADAAAAAADAcYoxO+/eCOKQijI7794IPkNJUS5OQVNEQVE6Q0FMTS5JUV9JTlRFUkVTVF9JTlZFU1RfSU5DLjIwMDAuMzEvMDcvMjAyNi4uLlVTRC5IAQAAACB6BQACAAAABjU4LjQwMQEIAAAABQAAAAExAQAAAAstMTg4MTA2ODI5NQMAAAADMTYwAgAAAAI2NQQAAAABMAcAAAAJNy8zMS8yMDI2CAAAAAk1LzMwLzIwMjYJAAAAATDDmIoxO+/eCKBpkDI7794IMENJUS5OQVNEQVE6Q0FMTS5JUV9SRF9FWFAuOTkwLjMxLzA3LzIwMjYuLi5VU0QuSAEAAAAgegUAAwAAAAAAwHGKMTvv3gjh4Y4yO+/eCCxDSVEuTkFTREFROkNBTE0uSVFfR1AuOTkzLjMxLzA3LzIwMjYuLi5VU0QuSAEAAAAgegUAAgAAAAcyMjIuODU5AQgAAAAFAAAAATEBAAAACy0yMTQyNDI5MDM5AwAAAAMxNjACAAAAAjEwBAAAAAEwBwAAAAk3LzMxLzIwMjYIAAAACDYvMS8yMDE5CQAAAAEwwHGKMTvv3gh+Ntc0O+/eCDpDSVEuTkFTREFROkNBTE0uSVFfTkVUX0lOVEVSRVNUX0VYUC45OTEuMzEvMDcvMjAyNi4uLlVTRC5IAQAAACB6BQACAAAABTEwLjQ1AQgAAAAFAAAAATEBAAAACjE5NzIwMTIxMjEDAAAAAzE2MAIAAAADMzY4BAAAAAEwBwAAAAk3LzMxLzIwMjYIAAAACDYvMy8yMDE3CQAAAAEww5iKMTvv3gigaZAyO+/e</t>
  </si>
  <si>
    <t>CDlDSVEuTkFTREFROkNBTE0uSVFfR0FJTl9BU1NFVFNfUkVWLjk5My4zMS8wNy8yMDI2Li4uVVNELkgBAAAAIHoFAAMAAAAAAMBxijE7794IdoPYNDvv3ggtQ0lRLk5BU0RBUTpDQUxNLklRX1JFVi45OTMuMzEvMDcvMjAyNi4uLlVTRC5IAQAAACB6BQACAAAACDEzNjEuMTg4AQgAAAAFAAAAATEBAAAACy0yMTQyNDI5MDM5AwAAAAMxNjACAAAAAzExMgQAAAABMAcAAAAJNy8zMS8yMDI2CAAAAAg2LzEvMjAxOQkAAAABMMBxijE7794Isx/ZNDvv3ggxQ0lRLk5BU0RBUTpDQUxNLklRX0VGRkVDVF9UQVhfUkFURS45OTIuMzEvMDcvMjAyNgEAAAAgegUAAwAAAAJOTQEIAAAABQAAAAExAQAAAAoyMDQ1NzQ5MzEwAwAAAAMxNjACAAAABDQzNzYEAAAAATAHAAAACTcvMzEvMjAyNggAAAAINi8yLzIwMTgJAAAAATDM2xcxO+/eCNR7pzQ7794IMUNJUS5OQVNEQVE6Q0FMTS5JUV9OSV9OT1JNLjk5MC4zMS8wNy8yMDI2Li4uVVNELkgBAAAAIHoFAAIAAAAKMzAxLjUzNDYyNQEIAAAABQAAAAExAQAAAAoxODk2ODIwNTE3AwAAAAMxNjACAAAABDQzNzgEAAAAATAHAAAACTcvMzEvMjAyNggAAAAJNS8yOC8yMDE2CQAAAAEwvbQXMTvv3gikyJwyO+/eCDhDSVEuTkFTREFROkNBTE0uSVFfUFJPVl9CQURfREVCVFMuOTkwLjMxLzA3LzIwMjYuLi5VU0QuSAEAAAAgegUAAwAAAAAAwHGKMTvv3gikGY4yO+/eCDZDSVEu</t>
  </si>
  <si>
    <t>TkFTREFROkNBTE0uSVFfSU5TX0RJVl9SRVYuMjAwMC4zMS8wNy8yMDI2Li4uVVNELkgBAAAAIHoFAAMAAAAAAMBxijE7794Iz4+JMjvv3gg0Q0lRLk5BU0RBUTpDQUxNLklRX05JX0NPTVBBTlkuOTkwLjMxLzA3LzIwMjYuLi5VU0QuSAEAAAAgegUAAgAAAAczMTguMDQ3AQgAAAAFAAAAATEBAAAACjE4OTY4MjA1MTcDAAAAAzE2MAIAAAAFNDE1NzEEAAAAATAHAAAACTcvMzEvMjAyNggAAAAJNS8yOC8yMDE2CQAAAAEww5iKMTvv3ghht5MyO+/eCDFDSVEuTkFTREFROkNBTE0uSVFfSU5DX1RBWC45OTIuMzEvMDcvMjAyNi4uLlVTRC5IAQAAACB6BQACAAAABi04Ljg1OQEIAAAABQAAAAExAQAAAAoyMDQ1NzQ5MzEwAwAAAAMxNjACAAAAAjc1BAAAAAEwBwAAAAk3LzMxLzIwMjYIAAAACDYvMi8yMDE4CQAAAAEww5iKMTvv3ggFc9M0O+/eCDhDSVEuTkFTREFROkNBTE0uSVFfRUJJVF9FWENMX1NCQy4yMDAwLjMxLzA3LzIwMjYuLi5VU0QuSAEAAAAgegUAAgAAAAczNDkuMTA5AQgAAAAFAAAAATEBAAAACy0xODgxMDY4Mjk1AwAAAAMxNjACAAAABTI0MTM0BAAAAAEwBwAAAAk3LzMxLzIwMjYIAAAACTUvMzAvMjAyNgkAAAABMIz6ijE7794I4nqYMjvv3gg/Q0lRLk5BU0RBUTpDQUxNLklRX0VCSVREQV9MRUFTRV9BREpVU1RFRC45OTMuMzEvMDcvMjAyNi4uLlVTRC5IAQAAACB6BQACAAAABzEwMC40NjQB</t>
  </si>
  <si>
    <t>CAAAAAUAAAABMQEAAAALLTIxNDI0MjkwMzkDAAAAAzE2MAIAAAAFNDg5OTMEAAAAATAHAAAACTcvMzEvMjAyNggAAAAINi8xLzIwMTkJAAAAATDq5ooxO+/eCIja0DQ7794IO0NJUS5OQVNEQVE6Q0FMTS5JUV9TUEVDSUFMX0RJVl9TSEFSRS45OTMuMzEvMDcvMjAyNi4uLlVTRC5IAQAAACB6BQADAAAAAADTv4oxO+/eCBt30TQ7794INENJUS5OQVNEQVE6Q0FMTS5JUV9JTVBBSVJfT0lMLjk5My4zMS8wNy8yMDI2Li4uVVNELkgBAAAAIHoFAAMAAAAAAMBxijE7794IPb7VNDvv3gg1Q0lRLk5BU0RBUTpDQUxNLklRX0ZJTl9ESVZfRVhQLjk5MS4zMS8wNy8yMDI2Li4uVVNELkgBAAAAIHoFAAMAAAAAAMBxijE7794I4pCKMjvv3gg1Q0lRLk5BU0RBUTpDQUxNLklRX0dBSU5fQVNTRVRTLjk5MS4zMS8wNy8yMDI2Li4uVVNELkgBAAAAIHoFAAIAAAAGLTMuNjY0AQgAAAAFAAAAATEBAAAACjE5NzIwMTIxMjEDAAAAAzE2MAIAAAACNTYEAAAAATAHAAAACTcvMzEvMjAyNggAAAAINi8zLzIwMTcJAAAAATDDmIoxO+/eCLfqkTI7794IOkNJUS5OQVNEQVE6Q0FMTS5JUV9ORVRfSU5URVJFU1RfRVhQLjk5MC4zMS8wNy8yMDI2Li4uVVNELkgBAAAAIHoFAAIAAAAGMTAuMDg4AQgAAAAFAAAAATEBAAAACjE4OTY4MjA1MTcDAAAAAzE2MAIAAAADMzY4BAAAAAEwBwAAAAk3LzMxLzIwMjYIAAAACTUvMjgvMjAxNgkA</t>
  </si>
  <si>
    <t>AAABMMOYijE7794IoGmQMjvv3gg4Q0lRLk5BU0RBUTpDQUxNLklRX1BSRUZfRElWX09USEVSLjk5My4zMS8wNy8yMDI2Li4uVVNELkgBAAAAIHoFAAMAAAAAANO/ijE7794IKcPSNDvv3gg5Q0lRLk5BU0RBUTpDQUxNLklRX0dBSU5fQVNTRVRTX1JFVi45OTEuMzEvMDcvMjAyNi4uLlVTRC5IAQAAACB6BQADAAAAAADAcYoxO+/eCM+PiTI7794IOENJUS5OQVNEQVE6Q0FMTS5JUV9QUk9WX0JBRF9ERUJUUy45OTEuMzEvMDcvMjAyNi4uLlVTRC5IAQAAACB6BQADAAAAAADAcYoxO+/eCKQZjjI7794IOENJUS5OQVNEQVE6Q0FMTS5JUV9FWFBMT1JFX0RSSUxMLjIwMDAuMzEvMDcvMjAyNi4uLlVTRC5IAQAAACB6BQADAAAAAADAcYoxO+/eCKQZjjI7794INUNJUS5OQVNEQVE6Q0FMTS5JUV9GSU5fRElWX0VYUC45OTIuMzEvMDcvMjAyNi4uLlVTRC5IAQAAACB6BQADAAAAAADAcYoxO+/eCP+E1zQ7794IMkNJUS5OQVNEQVE6Q0FMTS5JUV9PUEVSX0lOQy45OTMuMzEvMDcvMjAyNi4uLlVTRC5IAQAAACB6BQACAAAABjQ1LjgxNAEIAAAABQAAAAExAQAAAAstMjE0MjQyOTAzOQMAAAADMTYwAgAAAAIyMQQAAAABMAcAAAAJNy8zMS8yMDI2CAAAAAg2LzEvMjAxOQkAAAABMMBxijE7794I6G/VNDvv3gguQ0lRLk5BU0RBUTpDQUxNLklRX0NPR1MuOTkzLjMxLzA3LzIwMjYuLi5VU0QuSAEAAAAgegUAAgAAAAgx</t>
  </si>
  <si>
    <t>MTM4LjMyOQEIAAAABQAAAAExAQAAAAstMjE0MjQyOTAzOQMAAAADMTYwAgAAAAIzNAQAAAABMAcAAAAJNy8zMS8yMDI2CAAAAAg2LzEvMjAxOQkAAAABMMBxijE7794IA6zXNDvv3gg4Q0lRLk5BU0RBUTpDQUxNLklRX0JBU0lDX0VQU19FWENMLjk5My4zMS8wNy8yMDI2Li4uVVNELkgBAAAAIHoFAAIAAAAIMS4xMTg4ODUBCAAAAAUAAAABMQEAAAALLTIxNDI0MjkwMzkDAAAAAzE2MAIAAAAEMzA2NAQAAAABMAcAAAAJNy8zMS8yMDI2CAAAAAg2LzEvMjAxOQkAAAABMNO/ijE7794IBXXSNDvv3ggtQ0lRLk5BU0RBUTpDQUxNLklRX05JLjIwMDAuMzEvMDcvMjAyNi4uLlVTRC5IAQAAACB6BQACAAAABzMxNi42ODIBCAAAAAUAAAABMQEAAAALLTE4ODEwNjgyOTUDAAAAAzE2MAIAAAACMTUEAAAAATAHAAAACTcvMzEvMjAyNggAAAAJNS8zMC8yMDI2CQAAAAEw07+KMTvv3gh8LJQyO+/eCC5DSVEuTkFTREFROkNBTE0uSVFfQ09HUy45OTIuMzEvMDcvMjAyNi4uLlVTRC5IAQAAACB6BQACAAAACDExNDEuODg2AQgAAAAFAAAAATEBAAAACjIwNDU3NDkzMTADAAAAAzE2MAIAAAACMzQEAAAAATAHAAAACTcvMzEvMjAyNggAAAAINi8yLzIwMTgJAAAAATDAcYoxO+/eCAOs1zQ7794IOUNJUS5OQVNEQVE6Q0FMTS5JUV9PVEhFUl9SRVZfU1VQUEwuOTkwLjMxLzA3LzIwMjYuLi5VU0QuSAEAAAAgegUAAwAAAAAA</t>
  </si>
  <si>
    <t>wHGKMTvv3gglB4oyO+/eCD9DSVEuTkFTREFROkNBTE0uSVFfRUJJVERBX0xFQVNFX0FESlVTVEVELjk5MS4zMS8wNy8yMDI2Li4uVVNELkgBAAAAIHoFAAIAAAAHLTgxLjM2OQEIAAAABQAAAAExAQAAAAoxOTcyMDEyMTIxAwAAAAMxNjACAAAABTQ4OTkzBAAAAAEwBwAAAAk3LzMxLzIwMjYIAAAACDYvMy8yMDE3CQAAAAEw6uaKMTvv3ggrApcyO+/eCEFDSVEuTkFTREFROkNBTE0uSVFfR0FJTl9CQVJHQUlOX0FDUV9TVVBQTEUuOTkyLjMxLzA3LzIwMjYuLi5VU0QuSAEAAAAgegUAAwAAAAAA8SkYMTvv3gj1t8g0O+/eCDFDSVEuTkFTREFROkNBTE0uSVFfTklfTk9STS45OTIuMzEvMDcvMjAyNi4uLlVTRC5IAQAAACB6BQACAAAACjEyMy44NTc4NzUBCAAAAAUAAAABMQEAAAAKMjA0NTc0OTMxMAMAAAADMTYwAgAAAAQ0Mzc4BAAAAAEwBwAAAAk3LzMxLzIwMjYIAAAACDYvMi8yMDE4CQAAAAEwvbQXMTvv3ggtssw0O+/eCDRDSVEuTkFTREFROkNBTE0uSVFfSU5TX1NFVFRMRS45OTAuMzEvMDcvMjAyNi4uLlVTRC5IAQAAACB6BQADAAAAAADDmIoxO+/eCA5gkjI7794IOUNJUS5OQVNEQVE6Q0FMTS5JUV9HV19JTlRBTl9BTU9SVC4yMDAwLjMxLzA3LzIwMjYuLi5VU0QuSAEAAAAgegUAAwAAAAAAwHGKMTvv3ggha48yO+/eCDBDSVEuTkFTREFROkNBTE0uSVFfTUVSR0VSLjk5MC4zMS8wNy8yMDI2Li4u</t>
  </si>
  <si>
    <t>VVNELkgBAAAAIHoFAAMAAAAAAMOYijE7794IaWGRMjvv3gg0Q0lRLk5BU0RBUTpDQUxNLklRX05JX0NPTVBBTlkuOTkxLjMxLzA3LzIwMjYuLi5VU0QuSAEAAAAgegUAAgAAAActNzQuNDI3AQgAAAAFAAAAATEBAAAACjE5NzIwMTIxMjEDAAAAAzE2MAIAAAAFNDE1NzEEAAAAATAHAAAACTcvMzEvMjAyNggAAAAINi8zLzIwMTcJAAAAATDDmIoxO+/eCGG3kzI7794IMUNJUS5OQVNEQVE6Q0FMTS5JUV9JTkNfVEFYLjk5My4zMS8wNy8yMDI2Li4uVVNELkgBAAAAIHoFAAIAAAAGMTUuNzQzAQgAAAAFAAAAATEBAAAACy0yMTQyNDI5MDM5AwAAAAMxNjACAAAAAjc1BAAAAAEwBwAAAAk3LzMxLzIwMjYIAAAACDYvMS8yMDE5CQAAAAEww5iKMTvv3ggFc9M0O+/eCDZDSVEuTkFTREFROkNBTE0uSVFfRUJJVERBX0NBUEVYLjk5Mi4zMS8wNy8yMDI2Li4uVVNELkgBAAAAIHoFAAIAAAAHMjE2LjA4NQEIAAAABQAAAAExAQAAAAoyMDQ1NzQ5MzEwAwAAAAMxNjACAAAABTM1Mzc5BAAAAAEwBwAAAAk3LzMxLzIwMjYIAAAACDYvMi8yMDE4CQAAAAEwqo0XMTvv3gi0rs40O+/eCC9DSVEuTkFTREFROkNBTE0uSVFfRUJJVEEuOTkxLjMxLzA3LzIwMjYuLi5VU0QuSAEAAAAgegUAAgAAAAgtMTI4LjI4MgEIAAAABQAAAAExAQAAAAoxOTcyMDEyMTIxAwAAAAMxNjACAAAABjEwMDY4OQQAAAABMAcAAAAJNy8zMS8yMDI2</t>
  </si>
  <si>
    <t>CAAAAAg2LzMvMjAxNwkAAAABMIz6ijE7794I4nqYMjvv3gg7Q0lRLk5BU0RBUTpDQUxNLklRX1RPVEFMX09USEVSX09QRVIuMjAwMC4zMS8wNy8yMDI2Li4uVVNELkgBAAAAIHoFAAIAAAAHMzI4LjY5NwEIAAAABQAAAAExAQAAAAstMTg4MTA2ODI5NQMAAAADMTYwAgAAAAMzODAEAAAAATAHAAAACTcvMzEvMjAyNggAAAAJNS8zMC8yMDI2CQAAAAEwwHGKMTvv3ghz9I8yO+/eCDlDSVEuTkFTREFROkNBTE0uSVFfRVhUUkFfQUNDX0lURU1TLjk5MS4zMS8wNy8yMDI2Li4uVVNELkgBAAAAIHoFAAMAAAAAAMOYijE7794IYbeTMjvv3gg2Q0lRLk5BU0RBUTpDQUxNLklRX0dBSU5fSU5WRVNULjIwMDAuMzEvMDcvMjAyNi4uLlVTRC5IAQAAACB6BQADAAAAAADDmIoxO+/eCLfqkTI7794INUNJUS5OQVNEQVE6Q0FMTS5JUV9HQUlOX0FTU0VUUy45OTIuMzEvMDcvMjAyNi4uLlVTRC5IAQAAACB6BQACAAAABi0wLjQ3MwEIAAAABQAAAAExAQAAAAoyMDQ1NzQ5MzEwAwAAAAMxNjACAAAAAjU2BAAAAAEwBwAAAAk3LzMxLzIwMjYIAAAACDYvMi8yMDE4CQAAAAEww5iKMTvv3gh+StQ0O+/eCDhDSVEuTkFTREFROkNBTE0uSVFfQkFTSUNfRVBTX0VYQ0wuOTkyLjMxLzA3LzIwMjYuLi5VU0QuSAEAAAAgegUAAgAAAAgyLjYwNDQyOQEIAAAABQAAAAExAQAAAAoyMDQ1NzQ5MzEwAwAAAAMxNjACAAAABDMwNjQEAAAA</t>
  </si>
  <si>
    <t>ATAHAAAACTcvMzEvMjAyNggAAAAINi8yLzIwMTgJAAAAATDTv4oxO+/eCAV10jQ7794INUNJUS5OQVNEQVE6Q0FMTS5JUV9JTlRfSU5WX0lOQy45OTMuMzEvMDcvMjAyNi4uLlVTRC5IAQAAACB6BQADAAAAAADAcYoxO+/eCOs02DQ7794IN0NJUS5OQVNEQVE6Q0FMTS5JUV9QUkVfT1BFTl9DT1NULjk5MC4zMS8wNy8yMDI2Li4uVVNELkgBAAAAIHoFAAMAAAAAAMBxijE7794I4eGOMjvv3gg5Q0lRLk5BU0RBUTpDQUxNLklRX0ZJTl9ESVZfSU5UX0VYUC45OTMuMzEvMDcvMjAyNi4uLlVTRC5IAQAAACB6BQADAAAAAADAcYoxO+/eCH421zQ7794IMENJUS5OQVNEQVE6Q0FMTS5JUV9NRVJHRVIuOTkxLjMxLzA3LzIwMjYuLi5VU0QuSAEAAAAgegUAAwAAAAAAw5iKMTvv3ghpYZEyO+/eCDpDSVEuTkFTREFROkNBTE0uSVFfVE9UQUxfT1RIRVJfT1BFUi45OTIuMzEvMDcvMjAyNi4uLlVTRC5IAQAAACB6BQACAAAABzE3OS4zMTYBCAAAAAUAAAABMQEAAAAKMjA0NTc0OTMxMAMAAAADMTYwAgAAAAMzODAEAAAAATAHAAAACTcvMzEvMjAyNggAAAAINi8yLzIwMTgJAAAAATDAcYoxO+/eCCGX1TQ7794IN0NJUS5OQVNEQVE6Q0FMTS5JUV9FQklUX0VYQ0xfU0JDLjk5Mi4zMS8wNy8yMDI2Li4uVVNELkgBAAAAIHoFAAIAAAAHMTg1LjE5NwEIAAAABQAAAAExAQAAAAoyMDQ1NzQ5MzEwAwAAAAMxNjACAAAABTI0</t>
  </si>
  <si>
    <t>MTM0BAAAAAEwBwAAAAk3LzMxLzIwMjYIAAAACDYvMi8yMDE4CQAAAAEwjPqKMTvv3giG+M80O+/eCDdDSVEuTkFTREFROkNBTE0uSVFfTUVSR0VSX1NVUFBMRS45OTMuMzEvMDcvMjAyNi4uLlVTRC5IAQAAACB6BQADAAAAAADxKRgxO+/eCDNByTQ7794IMUNJUS5OQVNEQVE6Q0FMTS5JUV9OSV9OT1JNLjk5My4zMS8wNy8yMDI2Li4uVVNELkgBAAAAIHoFAAIAAAAINDMuNDI1NzUBCAAAAAUAAAABMQEAAAALLTIxNDI0MjkwMzkDAAAAAzE2MAIAAAAENDM3OAQAAAABMAcAAAAJNy8zMS8yMDI2CAAAAAg2LzEvMjAxOQkAAAABML20FzE7794ILbLMNDvv3gg4Q0lRLk5BU0RBUTpDQUxNLklRX0dXX0lOVEFOX0FNT1JULjk5MS4zMS8wNy8yMDI2Li4uVVNELkgBAAAAIHoFAAMAAAAAAMBxijE7794I5UOPMjvv3gg1Q0lRLk5BU0RBUTpDQUxNLklRX0lOU19ESVZfRVhQLjk5MS4zMS8wNy8yMDI2Li4uVVNELkgBAAAAIHoFAAMAAAAAAMBxijE7794I4pCKMjvv3ghCQ0lRLk5BU0RBUTpDQUxNLklRX09USEVSX05PTl9PUEVSX0VYUF9TVVBQTC45OTIuMzEvMDcvMjAyNi4uLlVTRC5IAQAAACB6BQACAAAABDEuNjMBCAAAAAUAAAABMQEAAAAKMjA0NTc0OTMxMAMAAAADMTYwAgAAAAI4NQQAAAABMAcAAAAJNy8zMS8yMDI2CAAAAAg2LzIvMjAxOAkAAAABMMOYijE7794IzQ3VNDvv3ghCQ0lRLk5BU0RBUTpDQUxN</t>
  </si>
  <si>
    <t>LklRX0RJU1RSSUJVVEFCTEVfQ0FTSF9TSEFSRVNfQkFTSUMuMjAwMC4zMS8wNy8yMDI2AQAAACB6BQADAAAAAADTv4oxO+/eCBu/1jI7794ILkNJUS5OQVNEQVE6Q0FMTS5JUV9ESUxVVF9XRUlHSFQuOTkyLjMxLzA3LzIwMjYBAAAAIHoFAAIAAAAGNDguNDY4ANO/ijE7794Ibo2oNDvv3gg4Q0lRLk5BU0RBUTpDQUxNLklRX0JBU0lDX0VQU19FWENMLjk5MS4zMS8wNy8yMDI2Li4uVVNELkgBAAAAIHoFAAIAAAAJLTEuNTM1ODc1AQgAAAAFAAAAATEBAAAACjE5NzIwMTIxMjEDAAAAAzE2MAIAAAAEMzA2NAQAAAABMAcAAAAJNy8zMS8yMDI2CAAAAAg2LzMvMjAxNwkAAAABMNO/ijE7794IptyUMjvv3gg0Q0lRLk5BU0RBUTpDQUxNLklRX05JX0NPTVBBTlkuOTkzLjMxLzA3LzIwMjYuLi5VU0QuSAEAAAAgegUAAgAAAAY1NS4wNjIBCAAAAAUAAAABMQEAAAALLTIxNDI0MjkwMzkDAAAAAzE2MAIAAAAFNDE1NzEEAAAAATAHAAAACTcvMzEvMjAyNggAAAAINi8xLzIwMTkJAAAAATDDmIoxO+/eCFY40zQ7794IOUNJUS5OQVNEQVE6Q0FMTS5JUV9GSU5fRElWX0lOVF9FWFAuOTkyLjMxLzA3LzIwMjYuLi5VU0QuSAEAAAAgegUAAwAAAAAAwHGKMTvv3gh+Ntc0O+/eCC5DSVEuTkFTREFROkNBTE0uSVFfRElMVVRfV0VJR0hULjk5My4zMS8wNy8yMDI2AQAAACB6BQACAAAABjQ4LjU4OQDTv4oxO+/eCG6NqDQ7</t>
  </si>
  <si>
    <t>794IOkNJUS5OQVNEQVE6Q0FMTS5JUV9ORVRfSU5URVJFU1RfRVhQLjk5Mi4zMS8wNy8yMDI2Li4uVVNELkgBAAAAIHoFAAIAAAAGMTEuNzE4AQgAAAAFAAAAATEBAAAACjIwNDU3NDkzMTADAAAAAzE2MAIAAAADMzY4BAAAAAEwBwAAAAk3LzMxLzIwMjYIAAAACDYvMi8yMDE4CQAAAAEww5iKMTvv3gjbSNU0O+/eCDBDSVEuTkFTREFROkNBTE0uSVFfUkRfRVhQLjk5MS4zMS8wNy8yMDI2Li4uVVNELkgBAAAAIHoFAAMAAAAAAMBxijE7794I4eGOMjvv3gg1Q0lRLk5BU0RBUTpDQUxNLklRX0dBSU5fQVNTRVRTLjk5My4zMS8wNy8yMDI2Li4uVVNELkgBAAAAIHoFAAIAAAAGLTAuMDMzAQgAAAAFAAAAATEBAAAACy0yMTQyNDI5MDM5AwAAAAMxNjACAAAAAjU2BAAAAAEwBwAAAAk3LzMxLzIwMjYIAAAACDYvMS8yMDE5CQAAAAEww5iKMTvv3gh+StQ0O+/eCEBDSVEuTkFTREFROkNBTE0uSVFfQU5OVV9ESVNUUklCVVRJT05fVU5JVC45OTIuMzEvMDcvMjAyNi4uLlVTRC5IAQAAACB6BQADAAAAAADM2xcxO+/eCMSzyzQ7794INkNJUS5OQVNEQVE6Q0FMTS5JUV9GSU5fRElWX1JFVi4yMDAwLjMxLzA3LzIwMjYuLi5VU0QuSAEAAAAgegUAAwAAAAAAwHGKMTvv3gi8aIkyO+/eCDhDSVEuTkFTREFROkNBTE0uSVFfR1dfSU5UQU5fQU1PUlQuOTkwLjMxLzA3LzIwMjYuLi5VU0QuSAEAAAAgegUAAwAAAAAAwHGK</t>
  </si>
  <si>
    <t>MTvv3ggha48yO+/eCDdDSVEuTkFTREFROkNBTE0uSVFfRUJJVF9FWENMX1NCQy45OTMuMzEvMDcvMjAyNi4uLlVTRC5IAQAAACB6BQACAAAABjQ5LjQzMwEIAAAABQAAAAExAQAAAAstMjE0MjQyOTAzOQMAAAADMTYwAgAAAAUyNDEzNAQAAAABMAcAAAAJNy8zMS8yMDI2CAAAAAg2LzEvMjAxOQkAAAABMIz6ijE7794IhvjPNDvv3gg3Q0lRLk5BU0RBUTpDQUxNLklRX0VYUExPUkVfRFJJTEwuOTkyLjMxLzA3LzIwMjYuLi5VU0QuSAEAAAAgegUAAwAAAAAAwHGKMTvv3giW19Y0O+/eCENDSVEuTkFTREFROkNBTE0uSVFfRUFSTklOR19QQVJFTlRfRVhDTF9FWFRSQS45OTMuMzEvMDcvMjAyNi4uLlVTRC5IAQAAACB6BQACAAAABjU0LjIyOQEIAAAABQAAAAExAQAAAAstMjE0MjQyOTAzOQMAAAADMTYwAgAAAAU0MTU5NgQAAAABMAcAAAAJNy8zMS8yMDI2CAAAAAg2LzEvMjAxOQkAAAABML20FzE7794IoyXONDvv3ghBQ0lRLk5BU0RBUTpDQUxNLklRX0VCSVREQVJfRVFfSU5DX0VYQ0xfU0JDLjk5Mi4zMS8wNy8yMDI2Li4uVVNELkgBAAAAIHoFAAMAAAAAAKqNFzE7794IvtXONDvv3gg1Q0lRLk5BU0RBUTpDQUxNLklRX0ZJTl9ESVZfUkVWLjk5MS4zMS8wNy8yMDI2Li4uVVNELkgBAAAAIHoFAAMAAAAAAMBxijE7794IvGiJMjvv3gg5Q0lRLk5BU0RBUTpDQUxNLklRX0dBSU5fSU5WRVNUX1JFVi45OTMu</t>
  </si>
  <si>
    <t>MzEvMDcvMjAyNi4uLlVTRC5IAQAAACB6BQADAAAAAADAcYoxO+/eCHaD2DQ7794IP0NJUS5OQVNEQVE6Q0FMTS5JUV9JTVBVVF9PUEVSX0xFQVNFX0RFUFIuOTkyLjMxLzA3LzIwMjYuLi5VU0QuSAEAAAAgegUAAwAAAAAA8SkYMTvv3ghJj8k0O+/eCDlDSVEuTkFTREFROkNBTE0uSVFfRVhUUkFfQUNDX0lURU1TLjk5My4zMS8wNy8yMDI2Li4uVVNELkgBAAAAIHoFAAMAAAAAAMOYijE7794IVjjTNDvv3gguQ0lRLk5BU0RBUTpDQUxNLklRX0VCVC4yMDAwLjMxLzA3LzIwMjYuLi5VU0QuSAEAAAAgegUAAgAAAAc0MTEuMDA0AQgAAAAFAAAAATEBAAAACy0xODgxMDY4Mjk1AwAAAAMxNjACAAAAAzEzOQQAAAABMAcAAAAJNy8zMS8yMDI2CAAAAAk1LzMwLzIwMjYJAAAAATDDmIoxO+/eCI0OkzI7794INENJUS5OQVNEQVE6Q0FMTS5JUV9JTlNfU0VUVExFLjk5MS4zMS8wNy8yMDI2Li4uVVNELkgBAAAAIHoFAAMAAAAAAMOYijE7794IDmCSMjvv3gg1Q0lRLk5BU0RBUTpDQUxNLklRX0dBSU5fSU5WRVNULjk5My4zMS8wNy8yMDI2Li4uVVNELkgBAAAAIHoFAAIAAAAFMC4wMjQBCAAAAAUAAAABMQEAAAALLTIxNDI0MjkwMzkDAAAAAzE2MAIAAAACNjIEAAAAATAHAAAACTcvMzEvMjAyNggAAAAINi8xLzIwMTkJAAAAATDDmIoxO+/eCH5K1DQ7794IN0NJUS5OQVNEQVE6Q0FMTS5JUV9FQklUX0VYQ0xfU0JD</t>
  </si>
  <si>
    <t>Ljk5MC4zMS8wNy8yMDI2Li4uVVNELkgBAAAAIHoFAAIAAAAHNDczLjM4NQEIAAAABQAAAAExAQAAAAoxODk2ODIwNTE3AwAAAAMxNjACAAAABTI0MTM0BAAAAAEwBwAAAAk3LzMxLzIwMjYIAAAACTUvMjgvMjAxNgkAAAABMIz6ijE7794ImSyYMjvv3gg3Q0lRLk5BU0RBUTpDQUxNLklRX0VYUExPUkVfRFJJTEwuOTkxLjMxLzA3LzIwMjYuLi5VU0QuSAEAAAAgegUAAwAAAAAAwHGKMTvv3giO8o0yO+/eCDlDSVEuTkFTREFROkNBTE0uSVFfRklOX0RJVl9JTlRfRVhQLjk5MS4zMS8wNy8yMDI2Li4uVVNELkgBAAAAIHoFAAMAAAAAAMBxijE7794INH2NMjvv3gg6Q0lRLk5BU0RBUTpDQUxNLklRX1RPVEFMX09USEVSX09QRVIuOTkzLjMxLzA3LzIwMjYuLi5VU0QuSAEAAAAgegUAAgAAAAcxNzcuMDQ1AQgAAAAFAAAAATEBAAAACy0yMTQyNDI5MDM5AwAAAAMxNjACAAAAAzM4MAQAAAABMAcAAAAJNy8zMS8yMDI2CAAAAAg2LzEvMjAxOQkAAAABMMBxijE7794IIZfVNDvv3gg0Q0lRLk5BU0RBUTpDQUxNLklRX0lNUEFJUl9PSUwuOTkwLjMxLzA3LzIwMjYuLi5VU0QuSAEAAAAgegUAAwAAAAAAwHGKMTvv3ggha48yO+/eCDhDSVEuTkFTREFROkNBTE0uSVFfUFJFRl9ESVZfT1RIRVIuOTkwLjMxLzA3LzIwMjYuLi5VU0QuSAEAAAAgegUAAwAAAAAA07+KMTvv3gh8LJQyO+/eCC1DSVEuTkFTREFROkNBTE0u</t>
  </si>
  <si>
    <t>SVFfUkVWLjk5Mi4zMS8wNy8yMDI2Li4uVVNELkgBAAAAIHoFAAIAAAAIMTUwMi45MzIBCAAAAAUAAAABMQEAAAAKMjA0NTc0OTMxMAMAAAADMTYwAgAAAAMxMTIEAAAAATAHAAAACTcvMzEvMjAyNggAAAAINi8yLzIwMTgJAAAAATDAcYoxO+/eCFxP2TQ7794ILkNJUS5OQVNEQVE6Q0FMTS5JUV9ESUxVVF9XRUlHSFQuOTkwLjMxLzA3LzIwMjYBAAAAIHoFAAIAAAAGNDguMzY1ANO/ijE7794I/qzVMjvv3ggxQ0lRLk5BU0RBUTpDQUxNLklRX0lOQ19UQVguOTkxLjMxLzA3LzIwMjYuLi5VU0QuSAEAAAAgegUAAgAAAActMzkuODY3AQgAAAAFAAAAATEBAAAACjE5NzIwMTIxMjEDAAAAAzE2MAIAAAACNzUEAAAAATAHAAAACTcvMzEvMjAyNggAAAAINi8zLzIwMTcJAAAAATDDmIoxO+/eCI0OkzI7794INENJUS5OQVNEQVE6Q0FMTS5JUV9JTlNfU0VUVExFLjk5Mi4zMS8wNy8yMDI2Li4uVVNELkgBAAAAIHoFAAMAAAAAAMOYijE7794IUPzTNDvv3gg3Q0lRLk5BU0RBUTpDQUxNLklRX0NVUlJFTkNZX0dBSU4uOTkzLjMxLzA3LzIwMjYuLi5VU0QuSAEAAAAgegUAAwAAAAAAw5iKMTvv3gjNDdU0O+/eCDdDSVEuTkFTREFROkNBTE0uSVFfQ1VSUkVOQ1lfR0FJTi45OTAuMzEvMDcvMjAyNi4uLlVTRC5IAQAAACB6BQADAAAAAADDmIoxO+/eCKTkkDI7794IPUNJUS5OQVNEQVE6Q0FMTS5JUV9JTlRFUkVTVF9J</t>
  </si>
  <si>
    <t>TlZFU1RfSU5DLjk5MS4zMS8wNy8yMDI2Li4uVVNELkgBAAAAIHoFAAIAAAAGMTAuNzY4AQgAAAAFAAAAATEBAAAACjE5NzIwMTIxMjEDAAAAAzE2MAIAAAACNjUEAAAAATAHAAAACTcvMzEvMjAyNggAAAAINi8zLzIwMTcJAAAAATDDmIoxO+/eCKBpkDI7794IOENJUS5OQVNEQVE6Q0FMTS5JUV9QUkVGX0RJVl9PVEhFUi45OTEuMzEvMDcvMjAyNi4uLlVTRC5IAQAAACB6BQADAAAAAADTv4oxO+/eCHwslDI7794IQkNJUS5OQVNEQVE6Q0FMTS5JUV9ESVNUUklCVVRBQkxFX0NBU0hfU0hBUkUuOTkxLjMxLzA3LzIwMjYuLi5VU0QuSAEAAAAgegUAAwAAAAAA07+KMTvv3gibF5YyO+/eCDRDSVEuTkFTREFROkNBTE0uSVFfSU1QQUlSX09JTC45OTEuMzEvMDcvMjAyNi4uLlVTRC5IAQAAACB6BQADAAAAAADAcYoxO+/eCCCSjzI7794IOUNJUS5OQVNEQVE6Q0FMTS5JUV9HQUlOX0FTU0VUU19SRVYuOTkyLjMxLzA3LzIwMjYuLi5VU0QuSAEAAAAgegUAAwAAAAAAwHGKMTvv3gh2g9g0O+/eCEVDSVEuTkFTREFROkNBTE0uSVFfREVQUkVDSUFUSU9OX1JFTlRBTF9BU1NFVFMuMjAwMC4zMS8wNy8yMDI2Li4uVVNELkgBAAAAIHoFAAMAAAAAAPEpGDE7794IOjihMjvv3gg5Q0lRLk5BU0RBUTpDQUxNLklRX0dBSU5fSU5WRVNUX1JFVi45OTIuMzEvMDcvMjAyNi4uLlVTRC5IAQAAACB6BQADAAAAAADAcYoxO+/e</t>
  </si>
  <si>
    <t>CHaD2DQ7794IM0NJUS5OQVNEQVE6Q0FMTS5JUV9PUEVSX0lOQy4yMDAwLjMxLzA3LzIwMjYuLi5VU0QuSAEAAAAgegUAAgAAAAczNDMuMzUyAQgAAAAFAAAAATEBAAAACy0xODgxMDY4Mjk1AwAAAAMxNjACAAAAAjIxBAAAAAEwBwAAAAk3LzMxLzIwMjYIAAAACTUvMzAvMjAyNgkAAAABMMBxijE7794IXBuQMjvv3gguQ0lRLk5BU0RBUTpDQUxNLklRX0RJTFVUX1dFSUdIVC45OTEuMzEvMDcvMjAyNgEAAAAgegUAAgAAAAY0OC4zNjIA07+KMTvv3gj+rNUyO+/eCDhDSVEuTkFTREFROkNBTE0uSVFfUFJFRl9ESVZfT1RIRVIuOTkyLjMxLzA3LzIwMjYuLi5VU0QuSAEAAAAgegUAAwAAAAAA07+KMTvv3gg26tI0O+/eCEBDSVEuTkFTREFROkNBTE0uSVFfREVGRVJSRURfRk9SRUlHTl9UQVhFUy45OTMuMzEvMDcvMjAyNi4uLlVTRC5IAQAAACB6BQADAAAAAAC9tBcxO+/eCEEAzTQ7794ITUNJUS5OQVNEQVE6Q0FMTS5JUV9QUk9WX0JBRF9ERUJUU19QQVRJRU5UX1NFUlZJQ0VfUkVWLjIwMDAuMzEvMDcvMjAyNi4uLlVTRC5IAQAAACB6BQADAAAAAAC9tBcxO+/eCA6kmjI7794IPkNJUS5OQVNEQVE6Q0FMTS5JUV9FQklUX0VRX0lOQ19FWENMX1NCQy45OTIuMzEvMDcvMjAyNi4uLlVTRC5IAQAAACB6BQACAAAABzE4OC43MTQBCAAAAAUAAAABMQEAAAAKMjA0NTc0OTMxMAMAAAADMTYwAgAAAAUyNDEzMAQA</t>
  </si>
  <si>
    <t>AAABMAcAAAAJNy8zMS8yMDI2CAAAAAg2LzIvMjAxOAkAAAABMOrmijE7794IolfQNDvv3gg5Q0lRLk5BU0RBUTpDQUxNLklRX1RPVEFMX1JFVl9TSEFSRS45OTEuMzEvMDcvMjAyNi4uLlVTRC5IAQAAACB6BQACAAAACTIyLjIxODEyNQEIAAAABQAAAAExAQAAAAoxOTcyMDEyMTIxAwAAAAMxNjACAAAABDQzODIEAAAAATAHAAAACTcvMzEvMjAyNggAAAAINi8zLzIwMTcJAAAAATDTv4oxO+/eCJsXljI7794IN0NJUS5OQVNEQVE6Q0FMTS5JUV9DVVJSRU5DWV9HQUlOLjk5Mi4zMS8wNy8yMDI2Li4uVVNELkgBAAAAIHoFAAMAAAAAAMOYijE7794IzQ3VNDvv3gg4Q0lRLk5BU0RBUTpDQUxNLklRX01JTklNVU1fUkVOVEFMLjk5MS4zMS8wNy8yMDI2Li4uVVNELkgBAAAAIHoFAAMAAAAAAOkCGDE7794IBZSgMjvv3ghJQ0lRLk5BU0RBUTpDQUxNLklRX0RJU1RSSUJVVEFCTEVfQ0FTSF9TVEFOREFSRElaRUQuOTkzLjMxLzA3LzIwMjYuLi5VU0QuSAEAAAAgegUAAwAAAAAAzNsXMTvv3gjEs8s0O+/eCDRDSVEuTkFTREFROkNBTE0uSVFfSU5TX1NFVFRMRS45OTMuMzEvMDcvMjAyNi4uLlVTRC5IAQAAACB6BQADAAAAAADDmIoxO+/eCFD80zQ7794IOENJUS5OQVNEQVE6Q0FMTS5JUV9CQVNJQ19FUFNfSU5DTC45OTIuMzEvMDcvMjAyNi4uLlVTRC5IAQAAACB6BQACAAAACDIuNjA0NDI5AQgAAAAFAAAAATEB</t>
  </si>
  <si>
    <t>AAAACjIwNDU3NDkzMTADAAAAAzE2MAIAAAABOQQAAAABMAcAAAAJNy8zMS8yMDI2CAAAAAg2LzIvMjAxOAkAAAABMNO/ijE7794IBXXSNDvv3gg5Q0lRLk5BU0RBUTpDQUxNLklRX0VYVFJBX0FDQ19JVEVNUy45OTAuMzEvMDcvMjAyNi4uLlVTRC5IAQAAACB6BQADAAAAAADDmIoxO+/eCCuQkzI7794IPUNJUS5OQVNEQVE6Q0FMTS5JUV9BU19SRVBPUlRFRF9FQklUREEuMjAwMC4zMS8wNy8yMDI2Li4uVVNELkgBAAAAIHoFAAMAAAAAAL20FzE7794IVEGaMjvv3gg4Q0lRLk5BU0RBUTpDQUxNLklRX0VCSVREQVJfRVFfSU5DLjk5MC4zMS8wNy8yMDI2Li4uVVNELkgBAAAAIHoFAAIAAAAHNTI0LjAxMgEIAAAABQAAAAExAQAAAAoxODk2ODIwNTE3AwAAAAMxNjACAAAABTI0MTI5BAAAAAEwBwAAAAk3LzMxLzIwMjYIAAAACTUvMjgvMjAxNgkAAAABMKqNFzE7794I+CqZMjvv3gg4Q0lRLk5BU0RBUTpDQUxNLklRX0VCSVREQV9FUV9JTkMuMjAwMC4zMS8wNy8yMDI2Li4uVVNELkgBAAAAIHoFAAIAAAAHNDY2LjM5NAEIAAAABQAAAAExAQAAAAstMTg4MTA2ODI5NQMAAAADMTYwAgAAAAUyMTY3NwQAAAABMAcAAAAJNy8zMS8yMDI2CAAAAAk1LzMwLzIwMjYJAAAAATDq5ooxO+/eCPGzljI7794IN0NJUS5OQVNEQVE6Q0FMTS5JUV9QUkVfT1BFTl9DT1NULjk5MS4zMS8wNy8yMDI2Li4uVVNELkgBAAAAIHoF</t>
  </si>
  <si>
    <t>AAMAAAAAAMBxijE7794I4eGOMjvv3gg1Q0lRLk5BU0RBUTpDQUxNLklRX0lOVF9JTlZfSU5DLjk5MC4zMS8wNy8yMDI2Li4uVVNELkgBAAAAIHoFAAMAAAAAAMBxijE7794IAOCJMjvv3ggyQ0lRLk5BU0RBUTpDQUxNLklRX0RBX1NVUFBMLjk5My4zMS8wNy8yMDI2Li4uVVNELkgBAAAAIHoFAAMAAAAAAMBxijE7794IUgzWNDvv3ghOQ0lRLk5BU0RBUTpDQUxNLklRX0RJU1RSSUJVVEFCTEVfQ0FTSF9QRVJfU0hBUkVfRElMVVRFRC45OTIuMzEvMDcvMjAyNi4uLlVTRC5IAQAAACB6BQADAAAAAADTv4oxO+/eCBPs0TQ7794IOENJUS5OQVNEQVE6Q0FMTS5JUV9ESUxVVF9FUFNfRVhDTC45OTAuMzEvMDcvMjAyNi4uLlVTRC5IAQAAACB6BQACAAAABDYuNTMBCAAAAAUAAAABMQEAAAAKMTg5NjgyMDUxNwMAAAADMTYwAgAAAAMxNDIEAAAAATAHAAAACTcvMzEvMjAyNggAAAAJNS8yOC8yMDE2CQAAAAEw07+KMTvv3gjkKpUyO+/eCExDSVEuTkFTREFROkNBTE0uSVFfUFJPVl9CQURfREVCVFNfUEFUSUVOVF9TRVJWSUNFX1JFVi45OTIuMzEvMDcvMjAyNi4uLlVTRC5IAQAAACB6BQADAAAAAAC9tBcxO+/eCKMlzjQ7794IN0NJUS5OQVNEQVE6Q0FMTS5JUV9JTVBBSVJNRU5UX0dXLjk5Mi4zMS8wNy8yMDI2Li4uVVNELkgBAAAAIHoFAAMAAAAAAMOYijE7794Ii5jUNDvv3gg7Q0lRLk5BU0RBUTpDQUxNLklR</t>
  </si>
  <si>
    <t>X05FVF9JTlRFUkVTVF9FWFAuMjAwMC4zMS8wNy8yMDI2Li4uVVNELkgBAAAAIHoFAAIAAAAGNTcuODQ1AQgAAAAFAAAAATEBAAAACy0xODgxMDY4Mjk1AwAAAAMxNjACAAAAAzM2OAQAAAABMAcAAAAJNy8zMS8yMDI2CAAAAAk1LzMwLzIwMjYJAAAAATDDmIoxO+/eCK+QkDI7794ILUNJUS5OQVNEQVE6Q0FMTS5JUV9FQlQuOTkyLjMxLzA3LzIwMjYuLi5VU0QuSAEAAAAgegUAAgAAAAcxMTcuMzM3AQgAAAAFAAAAATEBAAAACjIwNDU3NDkzMTADAAAAAzE2MAIAAAADMTM5BAAAAAEwBwAAAAk3LzMxLzIwMjYIAAAACDYvMi8yMDE4CQAAAAEww5iKMTvv3gj0rdM0O+/eCDNDSVEuTkFTREFROkNBTE0uSVFfRUJUX0VYQ0wuMjAwMC4zMS8wNy8yMDI2Li4uVVNELkgBAAAAIHoFAAIAAAAHNDEyLjk4OQEIAAAABQAAAAExAQAAAAstMTg4MTA2ODI5NQMAAAADMTYwAgAAAAE0BAAAAAEwBwAAAAk3LzMxLzIwMjYIAAAACTUvMzAvMjAyNgkAAAABMMOYijE7794IaWGRMjvv3ggsQ0lRLk5BU0RBUTpDQUxNLklRX0RPLjk5My4zMS8wNy8yMDI2Li4uVVNELkgBAAAAIHoFAAMAAAAAAMOYijE7794IVjjTNDvv3gg4Q0lRLk5BU0RBUTpDQUxNLklRX0VCSVREQVJfRVFfSU5DLjk5MS4zMS8wNy8yMDI2Li4uVVNELkgBAAAAIHoFAAIAAAAHLTc2LjAwNAEIAAAABQAAAAExAQAAAAoxOTcyMDEyMTIxAwAAAAMxNjACAAAA</t>
  </si>
  <si>
    <t>BTI0MTI5BAAAAAEwBwAAAAk3LzMxLzIwMjYIAAAACDYvMy8yMDE3CQAAAAEwqo0XMTvv3gj4KpkyO+/eCE5DSVEuTkFTREFROkNBTE0uSVFfRElTVFJJQlVUQUJMRV9DQVNIX1BFUl9TSEFSRV9ESUxVVEVELjk5My4zMS8wNy8yMDI2Li4uVVNELkgBAAAAIHoFAAMAAAAAANO/ijE7794IE+zRNDvv3gg4Q0lRLk5BU0RBUTpDQUxNLklRX01JTklNVU1fUkVOVEFMLjk5Mi4zMS8wNy8yMDI2Li4uVVNELkgBAAAAIHoFAAMAAAAAAOkCGDE7794Ip3nKNDvv3gg9Q0lRLk5BU0RBUTpDQUxNLklRX0RJU1RSSUJVVEFCTEVfQ0FTSC4yMDAwLjMxLzA3LzIwMjYuLi5VU0QuSAEAAAAgegUAAwAAAAAAzNsXMTvv3ggaKZ4yO+/eCDVDSVEuTkFTREFROkNBTE0uSVFfT1RIRVJfT1BFUi4yMDAwLjMxLzA3LzIwMjYuLi5VU0QuSAEAAAAgegUAAwAAAAAAwHGKMTvv3ggHzY8yO+/eCDdDSVEuTkFTREFROkNBTE0uSVFfUFJFX09QRU5fQ09TVC45OTIuMzEvMDcvMjAyNi4uLlVTRC5IAQAAACB6BQADAAAAAADAcYoxO+/eCEwz1jQ7794INUNJUS5OQVNEQVE6Q0FMTS5JUV9SRVNUUlVDVFVSRS45OTAuMzEvMDcvMjAyNi4uLlVTRC5IAQAAACB6BQADAAAAAADDmIoxO+/eCGlhkTI7794IOENJUS5OQVNEQVE6Q0FMTS5JUV9ESUxVVF9FUFNfRVhDTC45OTIuMzEvMDcvMjAyNi4uLlVTRC5IAQAAACB6BQACAAAAAzIuNgEIAAAA</t>
  </si>
  <si>
    <t>BQAAAAExAQAAAAoyMDQ1NzQ5MzEwAwAAAAMxNjACAAAAAzE0MgQAAAABMAcAAAAJNy8zMS8yMDI2CAAAAAg2LzIvMjAxOAkAAAABMNO/ijE7794IyibSNDvv3ggsQ0lRLk5BU0RBUTpDQUxNLklRX05JLjk5MS4zMS8wNy8yMDI2Li4uVVNELkgBAAAAIHoFAAIAAAAHLTc0LjI3OAEIAAAABQAAAAExAQAAAAoxOTcyMDEyMTIxAwAAAAMxNjACAAAAAjE1BAAAAAEwBwAAAAk3LzMxLzIwMjYIAAAACDYvMy8yMDE3CQAAAAEw07+KMTvv3ghrBZQyO+/eCDpDSVEuTkFTREFROkNBTE0uSVFfVE9UQUxfT1RIRVJfT1BFUi45OTEuMzEvMDcvMjAyNi4uLlVTRC5IAQAAACB6BQACAAAABzE3Ni4wMzIBCAAAAAUAAAABMQEAAAAKMTk3MjAxMjEyMQMAAAADMTYwAgAAAAMzODAEAAAAATAHAAAACTcvMzEvMjAyNggAAAAINi8zLzIwMTcJAAAAATDAcYoxO+/eCAfNjzI7794INENJUS5OQVNEQVE6Q0FMTS5JUV9UT1RBTF9SRVYuMjAwMC4zMS8wNy8yMDI2Li4uVVNELkgBAAAAIHoFAAIAAAAIMjkxMS42MzIBCAAAAAUAAAABMQEAAAALLTE4ODEwNjgyOTUDAAAAAzE2MAIAAAACMjgEAAAAATAHAAAACTcvMzEvMjAyNggAAAAJNS8zMC8yMDI2CQAAAAEwwHGKMTvv3giAQooyO+/eCDVDSVEuTkFTREFROkNBTE0uSVFfSU5UX0lOVl9JTkMuOTkyLjMxLzA3LzIwMjYuLi5VU0QuSAEAAAAgegUAAwAAAAAAwHGKMTvv3gh2g9g0</t>
  </si>
  <si>
    <t>O+/eCDVDSVEuTkFTREFROkNBTE0uSVFfSU5TX0RJVl9SRVYuOTkwLjMxLzA3LzIwMjYuLi5VU0QuSAEAAAAgegUAAwAAAAAAwHGKMTvv3gi8aIkyO+/eCDNDSVEuTkFTREFROkNBTE0uSVFfRFJfUkFUSU9fUFJJTUFSWS4yMDAwLjMxLzA3LzIwMjYBAAAAIHoFAAMAAAAAANO/ijE7794IFjbWMjvv3gg8Q0lRLk5BU0RBUTpDQUxNLklRX0RJU1RSSUJVVEFCTEVfQ0FTSC45OTAuMzEvMDcvMjAyNi4uLlVTRC5IAQAAACB6BQADAAAAAADM2xcxO+/eCBopnjI7794IMUNJUS5OQVNEQVE6Q0FMTS5JUV9FQklUREFSLjk5Mi4zMS8wNy8yMDI2Li4uVVNELkgBAAAAIHoFAAMAAAAAAKqNFzE7794IFknPNDvv3gg0Q0lRLk5BU0RBUTpDQUxNLklRX0lOQ19FUVVJVFkuOTkyLjMxLzA3LzIwMjYuLi5VU0QuSAEAAAAgegUAAgAAAAUzLjUxNwEIAAAABQAAAAExAQAAAAoyMDQ1NzQ5MzEwAwAAAAMxNjACAAAAAjQ3BAAAAAEwBwAAAAk3LzMxLzIwMjYIAAAACDYvMi8yMDE4CQAAAAEww5iKMTvv3gjNDdU0O+/eCDdDSVEuTkFTREFROkNBTE0uSVFfTklfQVZBSUxfRVhDTC45OTAuMzEvMDcvMjAyNi4uLlVTRC5IAQAAACB6BQACAAAABzMxNi4wNDEBCAAAAAUAAAABMQEAAAAKMTg5NjgyMDUxNwMAAAADMTYwAgAAAAMzNzkEAAAAATAHAAAACTcvMzEvMjAyNggAAAAJNS8yOC8yMDE2CQAAAAEw07+KMTvv3giOjpQyO+/e</t>
  </si>
  <si>
    <t>CDVDSVEuTkFTREFROkNBTE0uSVFfRUFSTklOR19DTy4yMDAwLjMxLzA3LzIwMjYuLi5VU0QuSAEAAAAgegUAAgAAAAczMTguMTEyAQgAAAAFAAAAATEBAAAACy0xODgxMDY4Mjk1AwAAAAMxNjACAAAAATcEAAAAATAHAAAACTcvMzEvMjAyNggAAAAJNS8zMC8yMDI2CQAAAAEww5iKMTvv3gjtaJMyO+/eCDVDSVEuTkFTREFROkNBTE0uSVFfR0FJTl9JTlZFU1QuOTkwLjMxLzA3LzIwMjYuLi5VU0QuSAEAAAAgegUAAgAAAAUwLjAyMQEIAAAABQAAAAExAQAAAAoxODk2ODIwNTE3AwAAAAMxNjACAAAAAjYyBAAAAAEwBwAAAAk3LzMxLzIwMjYIAAAACTUvMjgvMjAxNgkAAAABMMOYijE7794Iu8ORMjvv3gg3Q0lRLk5BU0RBUTpDQUxNLklRX0lOVEVSRVNUX0VYUC4yMDAwLjMxLzA3LzIwMjYuLi5VU0QuSAEAAAAgegUAAgAAAAYtMC41NTYBCAAAAAUAAAABMQEAAAALLTE4ODEwNjgyOTUDAAAAAzE2MAIAAAACODIEAAAAATAHAAAACTcvMzEvMjAyNggAAAAJNS8zMC8yMDI2CQAAAAEww5iKMTvv3gh4QpAyO+/eCDpDSVEuTkFTREFROkNBTE0uSVFfVE9UQUxfT1RIRVJfT1BFUi45OTAuMzEvMDcvMjAyNi4uLlVTRC5IAQAAACB6BQACAAAABjE3Ny43NgEIAAAABQAAAAExAQAAAAoxODk2ODIwNTE3AwAAAAMxNjACAAAAAzM4MAQAAAABMAcAAAAJNy8zMS8yMDI2CAAAAAk1LzI4LzIwMTYJAAAAATDAcYoxO+/e</t>
  </si>
  <si>
    <t>CAfNjzI7794ILENJUS5OQVNEQVE6Q0FMTS5JUV9OSS45OTIuMzEvMDcvMjAyNi4uLlVTRC5IAQAAACB6BQACAAAABzEyNS45MzIBCAAAAAUAAAABMQEAAAAKMjA0NTc0OTMxMAMAAAADMTYwAgAAAAIxNQQAAAABMAcAAAAJNy8zMS8yMDI2CAAAAAg2LzIvMjAxOAkAAAABMNO/ijE7794INurSNDvv3gg3Q0lRLk5BU0RBUTpDQUxNLklRX0VCSVREQV9FUV9JTkMuOTkwLjMxLzA3LzIwMjYuLi5VU0QuSAEAAAAgegUAAgAAAAc1MTkuOTIyAQgAAAAFAAAAATEBAAAACjE4OTY4MjA1MTcDAAAAAzE2MAIAAAAFMjE2NzcEAAAAATAHAAAACTcvMzEvMjAyNggAAAAJNS8yOC8yMDE2CQAAAAEw6uaKMTvv3ggFjZYyO+/eCDVDSVEuTkFTREFROkNBTE0uSVFfSU5TX0RJVl9SRVYuOTkxLjMxLzA3LzIwMjYuLi5VU0QuSAEAAAAgegUAAwAAAAAAwHGKMTvv3gi8aIkyO+/eCDdDSVEuTkFTREFROkNBTE0uSVFfRUJJVERBX0VRX0lOQy45OTEuMzEvMDcvMjAyNi4uLlVTRC5IAQAAACB6BQACAAAABy03OS45NzkBCAAAAAUAAAABMQEAAAAKMTk3MjAxMjEyMQMAAAADMTYwAgAAAAUyMTY3NwQAAAABMAcAAAAJNy8zMS8yMDI2CAAAAAg2LzMvMjAxNwkAAAABMOrmijE7794IBY2WMjvv3gg3Q0lRLk5BU0RBUTpDQUxNLklRX1BSRV9PUEVOX0NPU1QuOTkzLjMxLzA3LzIwMjYuLi5VU0QuSAEAAAAgegUAAwAAAAAAwHGKMTvv</t>
  </si>
  <si>
    <t>3ghMM9Y0O+/eCDVDSVEuTkFTREFROkNBTE0uSVFfSU5TX0RJVl9FWFAuOTkzLjMxLzA3LzIwMjYuLi5VU0QuSAEAAAAgegUAAwAAAAAAwHGKMTvv3gjZXdc0O+/eCC5DSVEuTkFTREFROkNBTE0uSVFfQ09HUy45OTAuMzEvMDcvMjAyNi4uLlVTRC5IAQAAACB6BQACAAAACDEyNjAuNTc2AQgAAAAFAAAAATEBAAAACjE4OTY4MjA1MTcDAAAAAzE2MAIAAAACMzQEAAAAATAHAAAACTcvMzEvMjAyNggAAAAJNS8yOC8yMDE2CQAAAAEwwHGKMTvv3giAQooyO+/eCDRDSVEuTkFTREFROkNBTE0uSVFfRElWX1NIQVJFLjIwMDAuMzEvMDcvMjAyNi4uLlVTRC5IAQAAACB6BQACAAAABTIuNDU4AQgAAAAFAAAAATEBAAAACy0xODgxMDY4Mjk1AwAAAAMxNjACAAAABDMwNTgEAAAAATAHAAAACTcvMzEvMjAyNggAAAAJNS8zMC8yMDI2CQAAAAEw07+KMTvv3ggZ7pUyO+/eCDxDSVEuTkFTREFROkNBTE0uSVFfRElTVFJJQlVUQUJMRV9DQVNILjk5My4zMS8wNy8yMDI2Li4uVVNELkgBAAAAIHoFAAMAAAAAAMzbFzE7794I6NrLNDvv3gg8Q0lRLk5BU0RBUTpDQUxNLklRX0NVUlJfRk9SRUlHTl9UQVhFUy45OTIuMzEvMDcvMjAyNi4uLlVTRC5IAQAAACB6BQADAAAAAAC9tBcxO+/eCG5OzTQ7794IOUNJUS5OQVNEQVE6Q0FMTS5JUV9HQUlOX0lOVkVTVF9SRVYuOTkwLjMxLzA3LzIwMjYuLi5VU0QuSAEAAAAgegUAAwAA</t>
  </si>
  <si>
    <t>AAAAwHGKMTvv3ggA4IkyO+/eCDhDSVEuTkFTREFROkNBTE0uSVFfRElMVVRfRVBTX0lOQ0wuOTkyLjMxLzA3LzIwMjYuLi5VU0QuSAEAAAAgegUAAgAAAAMyLjYBCAAAAAUAAAABMQEAAAAKMjA0NTc0OTMxMAMAAAADMTYwAgAAAAE4BAAAAAEwBwAAAAk3LzMxLzIwMjYIAAAACDYvMi8yMDE4CQAAAAEw07+KMTvv3gj2TdI0O+/eCDdDSVEuTkFTREFROkNBTE0uSVFfTklfQVZBSUxfRVhDTC45OTEuMzEvMDcvMjAyNi4uLlVTRC5IAQAAACB6BQACAAAABy03NC4yNzgBCAAAAAUAAAABMQEAAAAKMTk3MjAxMjEyMQMAAAADMTYwAgAAAAMzNzkEAAAAATAHAAAACTcvMzEvMjAyNggAAAAINi8zLzIwMTcJAAAAATDTv4oxO+/eCI6OlDI7794ILENJUS5OQVNEQVE6Q0FMTS5JUV9ETy45OTAuMzEvMDcvMjAyNi4uLlVTRC5IAQAAACB6BQADAAAAAADDmIoxO+/eCO1okzI7794INUNJUS5OQVNEQVE6Q0FMTS5JUV9HQUlOX0lOVkVTVC45OTIuMzEvMDcvMjAyNi4uLlVTRC5IAQAAACB6BQACAAAABi0wLjAzNQEIAAAABQAAAAExAQAAAAoyMDQ1NzQ5MzEwAwAAAAMxNjACAAAAAjYyBAAAAAEwBwAAAAk3LzMxLzIwMjYIAAAACDYvMi8yMDE4CQAAAAEww5iKMTvv3gi9cdQ0O+/eCExDSVEuTkFTREFROkNBTE0uSVFfRUJJVERBX0VRX0lOQ19FWENMX09QRVJfTEVBU0VfQURKLjIwMDAuMzEvMDcvMjAyNi4uLlVTRC5I</t>
  </si>
  <si>
    <t>AQAAACB6BQACAAAABzQ2Ni4zOTQBCAAAAAUAAAABMQEAAAALLTE4ODEwNjgyOTUDAAAAAzE2MAIAAAAFNDg5ODcEAAAAATAHAAAACTcvMzEvMjAyNggAAAAJNS8zMC8yMDI2CQAAAAEw6uaKMTvv3ghst5cyO+/eCDZDSVEuTkFTREFROkNBTE0uSVFfRklOX0RJVl9FWFAuMjAwMC4zMS8wNy8yMDI2Li4uVVNELkgBAAAAIHoFAAMAAAAAAMBxijE7794I9LeKMjvv3gg5Q0lRLk5BU0RBUTpDQUxNLklRX0dBSU5fSU5WRVNUX1JFVi45OTEuMzEvMDcvMjAyNi4uLlVTRC5IAQAAACB6BQADAAAAAADAcYoxO+/eCADgiTI7794IPUNJUS5OQVNEQVE6Q0FMTS5JUV9PVEhFUl9VTlVTVUFMX1NVUFBMLjk5Mi4zMS8wNy8yMDI2Li4uVVNELkgBAAAAIHoFAAMAAAAAAMOYijE7794I9K3TNDvv3gg0Q0lRLk5BU0RBUTpDQUxNLklRX0lOQ19FUVVJVFkuOTkzLjMxLzA3LzIwMjYuLi5VU0QuSAEAAAAgegUAAgAAAAU0Ljc3NgEIAAAABQAAAAExAQAAAAstMjE0MjQyOTAzOQMAAAADMTYwAgAAAAI0NwQAAAABMAcAAAAJNy8zMS8yMDI2CAAAAAg2LzEvMjAxOQkAAAABMMOYijE7794IzQ3VNDvv3gg0Q0lRLk5BU0RBUTpDQUxNLklRX09USEVSX09QRVIuOTkwLjMxLzA3LzIwMjYuLi5VU0QuSAEAAAAgegUAAwAAAAAAwHGKMTvv3gggko8yO+/eCD9DSVEuTkFTREFROkNBTE0uSVFfVE9UQUxfUkVWX0FTX1JFUE9SVEVELjk5</t>
  </si>
  <si>
    <t>Mi4zMS8wNy8yMDI2Li4uVVNELkgBAAAAIHoFAAMAAAAAAL20FzE7794IpofONDvv3ggxQ0lRLk5BU0RBUTpDQUxNLklRX0VCSVREQVIuOTkwLjMxLzA3LzIwMjYuLi5VU0QuSAEAAAAgegUAAgAAAAc1MTguOTk2AQgAAAAFAAAAATEBAAAACjE4OTY4MjA1MTcDAAAAAzE2MAIAAAAFMjE2NzQEAAAAATAHAAAACTcvMzEvMjAyNggAAAAJNS8yOC8yMDE2CQAAAAEwqo0XMTvv3gjVA5kyO+/eCDVDSVEuTkFTREFROkNBTE0uSVFfRklOX0RJVl9SRVYuOTkyLjMxLzA3LzIwMjYuLi5VU0QuSAEAAAAgegUAAwAAAAAAwHGKMTvv3gik+Ng0O+/eCDRDSVEuTkFTREFROkNBTE0uSVFfTUFSS0VUSU5HLjIwMDAuMzEvMDcvMjAyNi4uLlVTRC5IAQAAACB6BQADAAAAAADpAhgxO+/eCOltnzI7794IMkNJUS5OQVNEQVE6Q0FMTS5JUV9EQV9TVVBQTC45OTAuMzEvMDcvMjAyNi4uLlVTRC5IAQAAACB6BQADAAAAAADAcYoxO+/eCOVDjzI7794ILkNJUS5OQVNEQVE6Q0FMTS5JUV9JUFJELjk5MC4zMS8wNy8yMDI2Li4uVVNELkgBAAAAIHoFAAMAAAAAAMOYijE7794I/DiSMjvv3ggwQ0lRLk5BU0RBUTpDQUxNLklRX0VCSVREQS45OTMuMzEvMDcvMjAyNi4uLlVTRC5IAQAAACB6BQACAAAABzEwMC40NjQBCAAAAAUAAAABMQEAAAALLTIxNDI0MjkwMzkDAAAAAzE2MAIAAAAENDA1MQQAAAABMAcAAAAJNy8zMS8yMDI2CAAA</t>
  </si>
  <si>
    <t>AAg2LzEvMjAxOQkAAAABMOrmijE7794IG3fRNDvv3gg5Q0lRLk5BU0RBUTpDQUxNLklRX1RPVEFMX1JFVl9TSEFSRS45OTAuMzEvMDcvMjAyNi4uLlVTRC5IAQAAACB6BQACAAAACTM5LjYwMjY1NQEIAAAABQAAAAExAQAAAAoxODk2ODIwNTE3AwAAAAMxNjACAAAABDQzODIEAAAAATAHAAAACTcvMzEvMjAyNggAAAAJNS8yOC8yMDE2CQAAAAEw07+KMTvv3ggZ7pUyO+/eCDhDSVEuTkFTREFROkNBTE0uSVFfTklfQVZBSUxfSU5DTC4yMDAwLjMxLzA3LzIwMjYuLi5VU0QuSAEAAAAgegUAAgAAAAczMTYuNjgyAQgAAAAFAAAAATEBAAAACy0xODgxMDY4Mjk1AwAAAAMxNjACAAAAAjE2BAAAAAEwBwAAAAk3LzMxLzIwMjYIAAAACTUvMzAvMjAyNgkAAAABMNO/ijE7794Ijo6UMjvv3gg8Q0lRLk5BU0RBUTpDQUxNLklRX0NVUlJfRk9SRUlHTl9UQVhFUy45OTMuMzEvMDcvMjAyNi4uLlVTRC5IAQAAACB6BQADAAAAAAC9tBcxO+/eCG5OzTQ7794INUNJUS5OQVNEQVE6Q0FMTS5JUV9TVE9DS19CQVNFRC45OTIuMzEvMDcvMjAyNi4uLlVTRC5IAQAAACB6BQADAAAAAADAcYoxO+/eCKFs1jQ7794INENJUS5OQVNEQVE6Q0FMTS5JUV9TR0FfU1VQUEwuMjAwMC4zMS8wNy8yMDI2Li4uVVNELkgBAAAAIHoFAAIAAAAHMzI4LjY5NwEIAAAABQAAAAExAQAAAAstMTg4MTA2ODI5NQMAAAADMTYwAgAAAAMxMDIEAAAA</t>
  </si>
  <si>
    <t>ATAHAAAACTcvMzEvMjAyNggAAAAJNS8zMC8yMDI2CQAAAAEwwHGKMTvv3gh4y40yO+/eCDJDSVEuTkFTREFROkNBTE0uSVFfRFJfUkFUSU9fUFJJTUFSWS45OTMuMzEvMDcvMjAyNgEAAAAgegUAAwAAAAAA07+KMTvv3ggxGKg0O+/eCDVDSVEuTkFTREFROkNBTE0uSVFfSU5DX0VRVUlUWS4yMDAwLjMxLzA3LzIwMjYuLi5VU0QuSAEAAAAgegUAAgAAAAQtMS4zAQgAAAAFAAAAATEBAAAACy0xODgxMDY4Mjk1AwAAAAMxNjACAAAAAjQ3BAAAAAEwBwAAAAk3LzMxLzIwMjYIAAAACTUvMzAvMjAyNgkAAAABMMOYijE7794Ia72QMjvv3gg3Q0lRLk5BU0RBUTpDQUxNLklRX0lNUEFJUk1FTlRfR1cuOTkwLjMxLzA3LzIwMjYuLi5VU0QuSAEAAAAgegUAAwAAAAAAw5iKMTvv3gitr5EyO+/eCDhDSVEuTkFTREFROkNBTE0uSVFfRElMVVRfRVBTX0lOQ0wuOTkxLjMxLzA3LzIwMjYuLi5VU0QuSAEAAAAgegUAAgAAAAUtMS41NAEIAAAABQAAAAExAQAAAAoxOTcyMDEyMTIxAwAAAAMxNjACAAAAATgEAAAAATAHAAAACTcvMzEvMjAyNggAAAAINi8zLzIwMTcJAAAAATDTv4oxO+/eCNIDlTI7794IPkNJUS5OQVNEQVE6Q0FMTS5JUV9NSU5PUklUWV9JTlRFUkVTVF9JUy45OTIuMzEvMDcvMjAyNi4uLlVTRC5IAQAAACB6BQACAAAABi0wLjI2NAEIAAAABQAAAAExAQAAAAoyMDQ1NzQ5MzEwAwAAAAMxNjACAAAAAjgz</t>
  </si>
  <si>
    <t>BAAAAAEwBwAAAAk3LzMxLzIwMjYIAAAACDYvMi8yMDE4CQAAAAEww5iKMTvv3gg26tI0O+/eCD1DSVEuTkFTREFROkNBTE0uSVFfT1RIRVJfVU5VU1VBTF9TVVBQTC45OTEuMzEvMDcvMjAyNi4uLlVTRC5IAQAAACB6BQADAAAAAADDmIoxO+/eCOK9kjI7794IMkNJUS5OQVNEQVE6Q0FMTS5JUV9FQlRfRVhDTC45OTIuMzEvMDcvMjAyNi4uLlVTRC5IAQAAACB6BQACAAAABzE5OC41OTUBCAAAAAUAAAABMQEAAAAKMjA0NTc0OTMxMAMAAAADMTYwAgAAAAE0BAAAAAEwBwAAAAk3LzMxLzIwMjYIAAAACDYvMi8yMDE4CQAAAAEww5iKMTvv3gjKv9Q0O+/eCDlDSVEuTkFTREFROkNBTE0uSVFfT1RIRVJfUkVWX1NVUFBMLjk5My4zMS8wNy8yMDI2Li4uVVNELkgBAAAAIHoFAAMAAAAAAMBxijE7794IH/rXNDvv3gg5Q0lRLk5BU0RBUTpDQUxNLklRX1NBTEVTX01BUktFVElORy45OTEuMzEvMDcvMjAyNi4uLlVTRC5IAQAAACB6BQADAAAAAADpAhgxO+/eCOltnzI7794INUNJUS5OQVNEQVE6Q0FMTS5JUV9JTlNfRElWX0VYUC45OTAuMzEvMDcvMjAyNi4uLlVTRC5IAQAAACB6BQADAAAAAADAcYoxO+/eCOKQijI7794IN0NJUS5OQVNEQVE6Q0FMTS5JUV9OSV9BVkFJTF9FWENMLjk5My4zMS8wNy8yMDI2Li4uVVNELkgBAAAAIHoFAAIAAAAGNTQuMjI5AQgAAAAFAAAAATEBAAAACy0yMTQyNDI5MDM5AwAAAAMx</t>
  </si>
  <si>
    <t>NjACAAAAAzM3OQQAAAABMAcAAAAJNy8zMS8yMDI2CAAAAAg2LzEvMjAxOQkAAAABMNO/ijE7794IIJzSNDvv3ggwQ0lRLk5BU0RBUTpDQUxNLklRX0VCSVREQS45OTAuMzEvMDcvMjAyNi4uLlVTRC5IAQAAACB6BQACAAAABzUxNC45MDYBCAAAAAUAAAABMQEAAAAKMTg5NjgyMDUxNwMAAAADMTYwAgAAAAQ0MDUxBAAAAAEwBwAAAAk3LzMxLzIwMjYIAAAACTUvMjgvMjAxNgkAAAABMOrmijE7794I42WWMjvv3ghBQ0lRLk5BU0RBUTpDQUxNLklRX0VYQ0lTRV9UQVhFU19JTkNMX1NBTEVTLjk5My4zMS8wNy8yMDI2Li4uVVNELkgBAAAAIHoFAAMAAAAAAL20FzE7794INYnNNDvv3gg4Q0lRLk5BU0RBUTpDQUxNLklRX0VCSVRBX0VYQ0xfU0JDLjk5MC4zMS8wNy8yMDI2Li4uVVNELkgBAAAAIHoFAAIAAAAHNDc1Ljk4NQEIAAAABQAAAAExAQAAAAoxODk2ODIwNTE3AwAAAAMxNjACAAAABTI0MTM2BAAAAAEwBwAAAAk3LzMxLzIwMjYIAAAACTUvMjgvMjAxNgkAAAABMKqNFzE7794I+++YMjvv3ggyQ0lRLk5BU0RBUTpDQUxNLklRX0VCVF9FWENMLjk5My4zMS8wNy8yMDI2Li4uVVNELkgBAAAAIHoFAAIAAAAGNzAuODE0AQgAAAAFAAAAATEBAAAACy0yMTQyNDI5MDM5AwAAAAMxNjACAAAAATQEAAAAATAHAAAACTcvMzEvMjAyNggAAAAINi8xLzIwMTkJAAAAATDDmIoxO+/eCMq/1DQ7794IO0NJUS5OQVNE</t>
  </si>
  <si>
    <t>QVE6Q0FMTS5JUV9JTlRfRVhQX0lOQ0xfQ0FQLjIwMDAuMzEvMDcvMjAyNi4uLlVTRC5IAQAAACB6BQACAAAABTAuNTU2AQgAAAAFAAAAATEBAAAACy0xODgxMDY4Mjk1AwAAAAMxNjACAAAABTIxODYxBAAAAAEwBwAAAAk3LzMxLzIwMjYIAAAACTUvMzAvMjAyNgkAAAABMMzbFzE7794I+rOdMjvv3gg9Q0lRLk5BU0RBUTpDQUxNLklRX05PTkNBU0hfUEVOU0lPTl9FWFAuOTkwLjMxLzA3LzIwMjYuLi5VU0QuSAEAAAAgegUAAgAAAAUwLjM0NwEIAAAABQAAAAExAQAAAAoxODk2ODIwNTE3AwAAAAMxNjACAAAABTIxNjc4BAAAAAEwBwAAAAk3LzMxLzIwMjYIAAAACTUvMjgvMjAxNgkAAAABMMzbFzE7794I+rOdMjvv3ggsQ0lRLk5BU0RBUTpDQUxNLklRX0RPLjk5Mi4zMS8wNy8yMDI2Li4uVVNELkgBAAAAIHoFAAMAAAAAAMOYijE7794IBXPTNDvv3gg9Q0lRLk5BU0RBUTpDQUxNLklRX09USEVSX1VOVVNVQUxfU1VQUEwuOTkzLjMxLzA3LzIwMjYuLi5VU0QuSAEAAAAgegUAAwAAAAAAw5iKMTvv3gj0rdM0O+/eCDhDSVEuTkFTREFROkNBTE0uSVFfRUJJVEFfRVhDTF9TQkMuOTkyLjMxLzA3LzIwMjYuLi5VU0QuSAEAAAAgegUAAgAAAAcxODcuOTk3AQgAAAAFAAAAATEBAAAACjIwNDU3NDkzMTADAAAAAzE2MAIAAAAFMjQxMzYEAAAAATAHAAAACTcvMzEvMjAyNggAAAAINi8yLzIwMTgJAAAAATCqjRcx</t>
  </si>
  <si>
    <t>O+/eCBZJzzQ7794IMkNJUS5OQVNEQVE6Q0FMTS5JUV9EUl9SQVRJT19QUklNQVJZLjk5MS4zMS8wNy8yMDI2AQAAACB6BQADAAAAAADTv4oxO+/eCMsO1jI7794IOUNJUS5OQVNEQVE6Q0FMTS5JUV9BU1NFVF9XUklURURPV04uOTkyLjMxLzA3LzIwMjYuLi5VU0QuSAEAAAAgegUAAwAAAAAAw5iKMTvv3gh+StQ0O+/eCDRDSVEuTkFTREFROkNBTE0uSVFfT1RIRVJfT1BFUi45OTIuMzEvMDcvMjAyNi4uLlVTRC5IAQAAACB6BQADAAAAAADAcYoxO+/eCD2+1TQ7794IM0NJUS5OQVNEQVE6Q0FMTS5JUV9UT1RBTF9SRVYuOTkwLjMxLzA3LzIwMjYuLi5VU0QuSAEAAAAgegUAAgAAAAcxOTA4LjY1AQgAAAAFAAAAATEBAAAACjE4OTY4MjA1MTcDAAAAAzE2MAIAAAACMjgEAAAAATAHAAAACTcvMzEvMjAyNggAAAAJNS8yOC8yMDE2CQAAAAEwwHGKMTvv3giAQooyO+/eCDdDSVEuTkFTREFROkNBTE0uSVFfSU1QQUlSTUVOVF9HVy45OTEuMzEvMDcvMjAyNi4uLlVTRC5IAQAAACB6BQADAAAAAADDmIoxO+/eCK2vkTI7794IOENJUS5OQVNEQVE6Q0FMTS5JUV9ESUxVVF9FUFNfSU5DTC45OTMuMzEvMDcvMjAyNi4uLlVTRC5IAQAAACB6BQACAAAACDEuMTE4ODg1AQgAAAAFAAAAATEBAAAACy0yMTQyNDI5MDM5AwAAAAMxNjACAAAAATgEAAAAATAHAAAACTcvMzEvMjAyNggAAAAINi8xLzIwMTkJAAAAATDTv4ox</t>
  </si>
  <si>
    <t>O+/eCPZN0jQ7794IN0NJUS5OQVNEQVE6Q0FMTS5JUV9OSV9BVkFJTF9FWENMLjk5Mi4zMS8wNy8yMDI2Li4uVVNELkgBAAAAIHoFAAIAAAAHMTI1LjkzMgEIAAAABQAAAAExAQAAAAoyMDQ1NzQ5MzEwAwAAAAMxNjACAAAAAzM3OQQAAAABMAcAAAAJNy8zMS8yMDI2CAAAAAg2LzIvMjAxOAkAAAABMNO/ijE7794IKcPSNDvv3gguQ0lRLk5BU0RBUTpDQUxNLklRX0NBTENfVFlQRV9JUy45OTMuMzEvMDcvMjAyNgEAAAAgegUAAwAAAANSRVAA6QIYMTvv3gjJGac0O+/eCDBDSVEuTkFTREFROkNBTE0uSVFfTUVSR0VSLjk5My4zMS8wNy8yMDI2Li4uVVNELkgBAAAAIHoFAAMAAAAAAMOYijE7794Ii5jUNDvv3gg6Q0lRLk5BU0RBUTpDQUxNLklRX0ZJTl9ESVZfSU5UX0VYUC4yMDAwLjMxLzA3LzIwMjYuLi5VU0QuSAEAAAAgegUAAwAAAAAAwHGKMTvv3giipI0yO+/eCC5DSVEuTkFTREFROkNBTE0uSVFfUkVWLjIwMDAuMzEvMDcvMjAyNi4uLlVTRC5IAQAAACB6BQACAAAACDI5MTEuNjMyAQgAAAAFAAAAATEBAAAACy0xODgxMDY4Mjk1AwAAAAMxNjACAAAAAzExMgQAAAABMAcAAAAJNy8zMS8yMDI2CAAAAAk1LzMwLzIwMjYJAAAAATDAcYoxO+/eCKRBiTI7794ILkNJUS5OQVNEQVE6Q0FMTS5JUV9DQUxDX1RZUEVfSVMuOTkyLjMxLzA3LzIwMjYBAAAAIHoFAAMAAAADUkVQAOkCGDE7794IyRmnNDvv3gg8</t>
  </si>
  <si>
    <t>Q0lRLk5BU0RBUTpDQUxNLklRX0ZFRVNfT1RIRVJfSU5DT01FLjIwMDAuMzEvMDcvMjAyNi4uLlVTRC5IAQAAACB6BQADAAAAAAC9tBcxO+/eCHoGmjI7794IN0NJUS5OQVNEQVE6Q0FMTS5JUV9FQklUQV9FUV9JTkMuMjAwMC4zMS8wNy8yMDI2Li4uVVNELkgBAAAAIHoFAAIAAAAHMzQ4LjgxNwEIAAAABQAAAAExAQAAAAstMTg4MTA2ODI5NQMAAAADMTYwAgAAAAUyMTY3NgQAAAABMAcAAAAJNy8zMS8yMDI2CAAAAAk1LzMwLzIwMjYJAAAAATCqjRcxO+/eCM6hmDI7794IS0NJUS5OQVNEQVE6Q0FMTS5JUV9FQklUREFfRVFfSU5DX0VYQ0xfT1BFUl9MRUFTRV9BREouOTkwLjMxLzA3LzIwMjYuLi5VU0QuSAEAAAAgegUAAgAAAAc1MTkuOTIyAQgAAAAFAAAAATEBAAAACjE4OTY4MjA1MTcDAAAAAzE2MAIAAAAFNDg5ODcEAAAAATAHAAAACTcvMzEvMjAyNggAAAAJNS8yOC8yMDE2CQAAAAEw6uaKMTvv3ghst5cyO+/eCDFDSVEuTkFTREFROkNBTE0uSVFfUEVSSU9ETEVOR1RIX0lTLjk5MC4zMS8wNy8yMDI2AQAAACB6BQABAAAAAjEyAOrmijE7794IHl3WMjvv3ggyQ0lRLk5BU0RBUTpDQUxNLklRX0RSX1JBVElPX1BSSU1BUlkuOTkyLjMxLzA3LzIwMjYBAAAAIHoFAAMAAAAAANO/ijE7794IQT+oNDvv3gg2Q0lRLk5BU0RBUTpDQUxNLklRX0dBSU5fQVNTRVRTLjIwMDAuMzEvMDcvMjAyNi4uLlVTRC5I</t>
  </si>
  <si>
    <t>AQAAACB6BQACAAAABi0xLjM5MQEIAAAABQAAAAExAQAAAAstMTg4MTA2ODI5NQMAAAADMTYwAgAAAAI1NgQAAAABMAcAAAAJNy8zMS8yMDI2CAAAAAk1LzMwLzIwMjYJAAAAATDDmIoxO+/eCOsRkjI7794IN0NJUS5OQVNEQVE6Q0FMTS5JUV9JTVBBSVJNRU5UX0dXLjk5My4zMS8wNy8yMDI2Li4uVVNELkgBAAAAIHoFAAMAAAAAAMOYijE7794Ii5jUNDvv3gg0Q0lRLk5BU0RBUTpDQUxNLklRX0lOQ19FUVVJVFkuOTkxLjMxLzA3LzIwMjYuLi5VU0QuSAEAAAAgegUAAgAAAAQxLjM5AQgAAAAFAAAAATEBAAAACjE5NzIwMTIxMjEDAAAAAzE2MAIAAAACNDcEAAAAATAHAAAACTcvMzEvMjAyNggAAAAINi8zLzIwMTcJAAAAATDDmIoxO+/eCK+QkDI7794IM0NJUS5OQVNEQVE6Q0FMTS5JUV9FUFNfTk9STS4yMDAwLjMxLzA3LzIwMjYuLi5VU0QuSAEAAAAgegUAAgAAAAg1LjM4Njk0OQEIAAAABQAAAAExAQAAAAstMTg4MTA2ODI5NQMAAAADMTYwAgAAAAQ0Mzc5BAAAAAEwBwAAAAk3LzMxLzIwMjYIAAAACTUvMzAvMjAyNgkAAAABMNO/ijE7794IE3mVMjvv3gg0Q0lRLk5BU0RBUTpDQUxNLklRX0VBUk5JTkdfQ08uOTkwLjMxLzA3LzIwMjYuLi5VU0QuSAEAAAAgegUAAgAAAAczMTguMDQ3AQgAAAAFAAAAATEBAAAACjE4OTY4MjA1MTcDAAAAAzE2MAIAAAABNwQAAAABMAcAAAAJNy8zMS8yMDI2CAAAAAk1</t>
  </si>
  <si>
    <t>LzI4LzIwMTYJAAAAATDDmIoxO+/eCME1kzI7794INUNJUS5OQVNEQVE6Q0FMTS5JUV9GSU5fRElWX1JFVi45OTQuMzEvMDcvMjAyNi4uLlVTRC5IAQAAACB6BQADAAAAAADAcYoxO+/eCKT42DQ7794IOUNJUS5OQVNEQVE6Q0FMTS5JUV9PVEhFUl9SRVZfU1VQUEwuOTkyLjMxLzA3LzIwMjYuLi5VU0QuSAEAAAAgegUAAwAAAAAAwHGKMTvv3gjrNNg0O+/eCDVDSVEuTkFTREFROkNBTE0uSVFfSU5TX0RJVl9FWFAuOTkyLjMxLzA3LzIwMjYuLi5VU0QuSAEAAAAgegUAAwAAAAAAwHGKMTvv3gj/hNc0O+/eCDZDSVEuTkFTREFROkNBTE0uSVFfSU5URVJFU1RfRVhQLjk5Mi4zMS8wNy8yMDI2Li4uVVNELkgBAAAAIHoFAAIAAAAGLTAuMjY1AQgAAAAFAAAAATEBAAAACjIwNDU3NDkzMTADAAAAAzE2MAIAAAACODIEAAAAATAHAAAACTcvMzEvMjAyNggAAAAINi8yLzIwMTgJAAAAATDAcYoxO+/eCOhv1TQ7794IOUNJUS5OQVNEQVE6Q0FMTS5JUV9QUk9WX0JBRF9ERUJUUy4yMDAwLjMxLzA3LzIwMjYuLi5VU0QuSAEAAAAgegUAAwAAAAAAwHGKMTvv3gi9QI4yO+/eCDRDSVEuTkFTREFROkNBTE0uSVFfSU1QQUlSX09JTC45OTguMzEvMDcvMjAyNi4uLlVTRC5IAQAAACB6BQADAAAAAADAcYoxO+/eCD2+1TQ7794ILUNJUS5OQVNEQVE6Q0FMTS5JUV9SRVYuOTk4LjMxLzA3LzIwMjYuLi5VU0QuSAEAAAAgegUA</t>
  </si>
  <si>
    <t>AgAAAAgyMzI2LjQ0MwEIAAAABQAAAAExAQAAAAstMTg4MTA2ODY3NgMAAAADMTYwAgAAAAMxMTIEAAAAATAHAAAACTcvMzEvMjAyNggAAAAINi8xLzIwMjQJAAAAATDAcYoxO+/eCLMf2TQ7794IOUNJUS5OQVNEQVE6Q0FMTS5JUV9HQUlOX0FTU0VUU19SRVYuOTk5LjMxLzA3LzIwMjYuLi5VU0QuSAEAAAAgegUAAwAAAAAAwHGKMTvv3giBqtg0O+/eCDpDSVEuTkFTREFROkNBTE0uSVFfT1RIRVJfUkVWX1NVUFBMLjEwMDAuMzEvMDcvMjAyNi4uLlVTRC5IAQAAACB6BQADAAAAAADAcYoxO+/eCOs02DQ7794INUNJUS5OQVNEQVE6Q0FMTS5JUV9GSU5fRElWX0VYUC45OTUuMzEvMDcvMjAyNi4uLlVTRC5IAQAAACB6BQADAAAAAADAcYoxO+/eCP+E1zQ7794IM0NJUS5OQVNEQVE6Q0FMTS5JUV9ESVZfU0hBUkUuOTk0LjMxLzA3LzIwMjYuLi5VU0QuSAEAAAAgegUAAwAAAAAA07+KMTvv3ggExdE0O+/eCDlDSVEuTkFTREFROkNBTE0uSVFfR0FJTl9JTlZFU1RfUkVWLjk5NC4zMS8wNy8yMDI2Li4uVVNELkgBAAAAIHoFAAMAAAAAAMBxijE7794IdoPYNDvv3gg5Q0lRLk5BU0RBUTpDQUxNLklRX09USEVSX1JFVl9TVVBQTC45OTkuMzEvMDcvMjAyNi4uLlVTRC5IAQAAACB6BQADAAAAAADAcYoxO+/eCOs02DQ7794ILUNJUS5OQVNEQVE6Q0FMTS5JUV9HUC4xMDAwLjMxLzA3LzIwMjYuLi5VU0QuSAEAAAAg</t>
  </si>
  <si>
    <t>egUAAgAAAAc2NzIuMDQ5AQgAAAAFAAAAATEBAAAACy0xODgxMDY4NjY4AwAAAAMxNjACAAAAAjEwBAAAAAEwBwAAAAk3LzMxLzIwMjYIAAAACTUvMzAvMjAyNgkAAAABMMBxijE7794IZQPXNDvv3ggwQ0lRLk5BU0RBUTpDQUxNLklRX1JEX0VYUC45OTcuMzEvMDcvMjAyNi4uLlVTRC5IAQAAACB6BQADAAAAAADAcYoxO+/eCFIM1jQ7794IP0NJUS5OQVNEQVE6Q0FMTS5JUV9FQklUQV9FUV9JTkNfRVhDTF9TQkMuOTk1LjMxLzA3LzIwMjYuLi5VU0QuSAEAAAAgegUAAgAAAActMTguODgyAQgAAAAFAAAAATEBAAAACy0yMDM3MjQxNzIxAwAAAAMxNjACAAAABTI0MTMyBAAAAAEwBwAAAAk3LzMxLzIwMjYIAAAACTUvMjkvMjAyMQkAAAABMKqNFzE7794IFknPNDvv3ghCQ0lRLk5BU0RBUTpDQUxNLklRX09USEVSX05PTl9PUEVSX0VYUF9TVVBQTC45OTkuMzEvMDcvMjAyNi4uLlVTRC5IAQAAACB6BQACAAAABTAuOTkxAQgAAAAFAAAAATEBAAAACy0xODgxMDY4Njc1AwAAAAMxNjACAAAAAjg1BAAAAAEwBwAAAAk3LzMxLzIwMjYIAAAACTUvMzEvMjAyNQkAAAABMMOYijE7794IwObUNDvv3gg2Q0lRLk5BU0RBUTpDQUxNLklRX0xFR0FMX1NFVFRMRS45OTkuMzEvMDcvMjAyNi4uLlVTRC5IAQAAACB6BQADAAAAAADDmIoxO+/eCCDV0zQ7794INUNJUS5OQVNEQVE6Q0FMTS5JUV9OSV9DT01QQU5ZLjEwMDAu</t>
  </si>
  <si>
    <t>MzEvMDcvMjAyNi4uLlVTRC5IAQAAACB6BQACAAAABzMxOC4xMTIBCAAAAAUAAAABMQEAAAALLTE4ODEwNjg2NjgDAAAAAzE2MAIAAAAFNDE1NzEEAAAAATAHAAAACTcvMzEvMjAyNggAAAAJNS8zMC8yMDI2CQAAAAEww5iKMTvv3ghCEdM0O+/eCDdDSVEuTkFTREFROkNBTE0uSVFfTklfQVZBSUxfSU5DTC45OTYuMzEvMDcvMjAyNi4uLlVTRC5IAQAAACB6BQACAAAABjEzMi42NQEIAAAABQAAAAExAQAAAAstMTk4NjcwODQzMwMAAAADMTYwAgAAAAIxNgQAAAABMAcAAAAJNy8zMS8yMDI2CAAAAAk1LzI4LzIwMjIJAAAAATDTv4oxO+/eCCCc0jQ7794IOENJUS5OQVNEQVE6Q0FMTS5JUV9QUk9WX0JBRF9ERUJUUy45OTkuMzEvMDcvMjAyNi4uLlVTRC5IAQAAACB6BQADAAAAAADAcYoxO+/eCKGC1jQ7794IQkNJUS5OQVNEQVE6Q0FMTS5JUV9FWENJU0VfVEFYRVNfRVhDTF9TQUxFUy4xMDAwLjMxLzA3LzIwMjYuLi5VU0QuSAEAAAAgegUAAwAAAAAAvbQXMTvv3gh6sM00O+/eCDVDSVEuTkFTREFROkNBTE0uSVFfSU5UX0VYUF9MVEQuOTk1LjMxLzA3LzIwMjYuLi5VU0QuSAEAAAAgegUAAwAAAAAAzNsXMTvv3ggCPcw0O+/eCDNDSVEuTkFTREFROkNBTE0uSVFfRVBTX05PUk0uMTAwMC4zMS8wNy8yMDI2Li4uVVNELkgBAAAAIHoFAAIAAAAINS4zODY5NDkBCAAAAAUAAAABMQEAAAALLTE4ODEwNjg2NjgD</t>
  </si>
  <si>
    <t>AAAAAzE2MAIAAAAENDM3OQQAAAABMAcAAAAJNy8zMS8yMDI2CAAAAAk1LzMwLzIwMjYJAAAAATDTv4oxO+/eCBPs0TQ7794IS0NJUS5OQVNEQVE6Q0FMTS5JUV9FQklUREFfRVFfSU5DX0VYQ0xfT1BFUl9MRUFTRV9BREouOTk4LjMxLzA3LzIwMjYuLi5VU0QuSAEAAAAgegUAAgAAAAczNzYuMDg3AQgAAAAFAAAAATEBAAAACy0xODgxMDY4Njc2AwAAAAMxNjACAAAABTQ4OTg3BAAAAAEwBwAAAAk3LzMxLzIwMjYIAAAACDYvMS8yMDI0CQAAAAEw6uaKMTvv3gjyn9A0O+/eCD5DSVEuTkFTREFROkNBTE0uSVFfTUlOT1JJVFlfSU5URVJFU1RfSVMuOTk1LjMxLzA3LzIwMjYuLi5VU0QuSAEAAAAgegUAAwAAAAAAw5iKMTvv3ghCEdM0O+/eCEFDSVEuTkFTREFROkNBTE0uSVFfRVhDSVNFX1RBWEVTX0VYQ0xfU0FMRVMuOTk4LjMxLzA3LzIwMjYuLi5VU0QuSAEAAAAgegUAAwAAAAAAvbQXMTvv3gg1ic00O+/eCEtDSVEuTkFTREFROkNBTE0uSVFfSU5URVJFU1RfRVhQX0xFQVNFX0xJQUJJTElUWV9ERUJULjk5Ny4zMS8wNy8yMDI2Li4uVVNELkgBAAAAIHoFAAMAAAAAAMzbFzE7794IAj3MNDvv3ggsQ0lRLk5BU0RBUTpDQUxNLklRX0dQLjk5OS4zMS8wNy8yMDI2Li4uVVNELkgBAAAAIHoFAAIAAAAIMTg1MC44ODUBCAAAAAUAAAABMQEAAAALLTE4ODEwNjg2NzUDAAAAAzE2MAIAAAACMTAEAAAAATAHAAAA</t>
  </si>
  <si>
    <t>CTcvMzEvMjAyNggAAAAJNS8zMS8yMDI1CQAAAAEwwHGKMTvv3ghlA9c0O+/eCDRDSVEuTkFTREFROkNBTE0uSVFfTklfQ09NUEFOWS45OTkuMzEvMDcvMjAyNi4uLlVTRC5IAQAAACB6BQACAAAACDEyMTguMjMyAQgAAAAFAAAAATEBAAAACy0xODgxMDY4Njc1AwAAAAMxNjACAAAABTQxNTcxBAAAAAEwBwAAAAk3LzMxLzIwMjYIAAAACTUvMzEvMjAyNQkAAAABMMOYijE7794IQhHTNDvv3gg5Q0lRLk5BU0RBUTpDQUxNLklRX0FTU0VUX1dSSVRFRE9XTi45OTguMzEvMDcvMjAyNi4uLlVTRC5IAQAAACB6BQADAAAAAADDmIoxO+/eCIoj1DQ7794IM0NJUS5OQVNEQVE6Q0FMTS5JUV9PUEVSX0lOQy4xMDAwLjMxLzA3LzIwMjYuLi5VU0QuSAEAAAAgegUAAgAAAAczNDMuMzUyAQgAAAAFAAAAATEBAAAACy0xODgxMDY4NjY4AwAAAAMxNjACAAAAAjIxBAAAAAEwBwAAAAk3LzMxLzIwMjYIAAAACTUvMzAvMjAyNgkAAAABMMBxijE7794I6G/VNDvv3gg0Q0lRLk5BU0RBUTpDQUxNLklRX0lOQ19FUVVJVFkuOTk0LjMxLzA3LzIwMjYuLi5VU0QuSAEAAAAgegUAAgAAAAUwLjUzNAEIAAAABQAAAAExAQAAAAstMjA4ODM0NzQ2OQMAAAADMTYwAgAAAAI0NwQAAAABMAcAAAAJNy8zMS8yMDI2CAAAAAk1LzMwLzIwMjAJAAAAATDDmIoxO+/eCN801TQ7794IMkNJUS5OQVNEQVE6Q0FMTS5JUV9FQlRfRVhDTC45OTQu</t>
  </si>
  <si>
    <t>MzEvMDcvMjAyNi4uLlVTRC5IAQAAACB6BQACAAAABjIwLjAwMgEIAAAABQAAAAExAQAAAAstMjA4ODM0NzQ2OQMAAAADMTYwAgAAAAE0BAAAAAEwBwAAAAk3LzMxLzIwMjYIAAAACTUvMzAvMjAyMAkAAAABMMOYijE7794Iyr/UNDvv3gg5Q0lRLk5BU0RBUTpDQUxNLklRX0FTU0VUX1dSSVRFRE9XTi45OTcuMzEvMDcvMjAyNi4uLlVTRC5IAQAAACB6BQADAAAAAADDmIoxO+/eCIoj1DQ7794IOUNJUS5OQVNEQVE6Q0FMTS5JUV9QUk9WX0JBRF9ERUJUUy4xMDAwLjMxLzA3LzIwMjYuLi5VU0QuSAEAAAAgegUAAwAAAAAAwHGKMTvv3gihgtY0O+/eCDhDSVEuTkFTREFROkNBTE0uSVFfRElMVVRfRVBTX05PUk0uOTk2LjMxLzA3LzIwMjYuLi5VU0QuSAEAAAAgegUAAgAAAAgyLjA2NjUxNgEIAAAABQAAAAExAQAAAAstMTk4NjcwODQzMwMAAAADMTYwAgAAAAQ0MzgwBAAAAAEwBwAAAAk3LzMxLzIwMjYIAAAACTUvMjgvMjAyMgkAAAABMNO/ijE7794IE+zRNDvv3ghLQ0lRLk5BU0RBUTpDQUxNLklRX0VCSVREQV9FUV9JTkNfRVhDTF9PUEVSX0xFQVNFX0FESi45OTYuMzEvMDcvMjAyNi4uLlVTRC5IAQAAACB6BQACAAAABzIwOC43NjYBCAAAAAUAAAABMQEAAAALLTE5ODY3MDg0MzMDAAAAAzE2MAIAAAAFNDg5ODcEAAAAATAHAAAACTcvMzEvMjAyNggAAAAJNS8yOC8yMDIyCQAAAAEw6uaKMTvv3gjyn9A0</t>
  </si>
  <si>
    <t>O+/eCDpDSVEuTkFTREFROkNBTE0uSVFfSU5UX0VYUF9JTkNMX0NBUC45OTQuMzEvMDcvMjAyNi4uLlVTRC5IAQAAACB6BQACAAAABTAuNDk4AQgAAAAFAAAAATEBAAAACy0yMDg4MzQ3NDY5AwAAAAMxNjACAAAABTIxODYxBAAAAAEwBwAAAAk3LzMxLzIwMjYIAAAACTUvMzAvMjAyMAkAAAABMMzbFzE7794IAj3MNDvv3gg5Q0lRLk5BU0RBUTpDQUxNLklRX09USEVSX1JFVl9TVVBQTC45OTcuMzEvMDcvMjAyNi4uLlVTRC5IAQAAACB6BQADAAAAAADAcYoxO+/eCB/61zQ7794IM0NJUS5OQVNEQVE6Q0FMTS5JUV9TR0FfU1VQUEwuOTk0LjMxLzA3LzIwMjYuLi5VU0QuSAEAAAAgegUAAgAAAAcxNzguMjM3AQgAAAAFAAAAATEBAAAACy0yMDg4MzQ3NDY5AwAAAAMxNjACAAAAAzEwMgQAAAABMAcAAAAJNy8zMS8yMDI2CAAAAAk1LzMwLzIwMjAJAAAAATDAcYoxO+/eCGUD1zQ7794IPUNJUS5OQVNEQVE6Q0FMTS5JUV9DVVJSX0RPTUVTVElDX1RBWEVTLjk5Ny4zMS8wNy8yMDI2Li4uVVNELkgBAAAAIHoFAAIAAAAHMjE3LjM1MQEIAAAABQAAAAExAQAAAAstMTkzNDk3ODQyMAMAAAADMTYwAgAAAAQzMDI3BAAAAAEwBwAAAAk3LzMxLzIwMjYIAAAACDYvMy8yMDIzCQAAAAEwvbQXMTvv3ghuTs00O+/eCD1DSVEuTkFTREFROkNBTE0uSVFfQ1VSUl9ET01FU1RJQ19UQVhFUy45OTQuMzEvMDcvMjAyNi4uLlVT</t>
  </si>
  <si>
    <t>RC5IAQAAACB6BQACAAAABS04LjU1AQgAAAAFAAAAATEBAAAACy0yMDg4MzQ3NDY5AwAAAAMxNjACAAAABDMwMjcEAAAAATAHAAAACTcvMzEvMjAyNggAAAAJNS8zMC8yMDIwCQAAAAEwvbQXMTvv3ghuTs00O+/eCDBDSVEuTkFTREFROkNBTE0uSVFfUkRfRVhQLjk5NC4zMS8wNy8yMDI2Li4uVVNELkgBAAAAIHoFAAMAAAAAAMBxijE7794IUgzWNDvv3ghCQ0lRLk5BU0RBUTpDQUxNLklRX09USEVSX05PTl9PUEVSX0VYUF9TVVBQTC45OTQuMzEvMDcvMjAyNi4uLlVTRC5IAQAAACB6BQACAAAABTMuNTU3AQgAAAAFAAAAATEBAAAACy0yMDg4MzQ3NDY5AwAAAAMxNjACAAAAAjg1BAAAAAEwBwAAAAk3LzMxLzIwMjYIAAAACTUvMzAvMjAyMAkAAAABMMOYijE7794IwObUNDvv3gg0Q0lRLk5BU0RBUTpDQUxNLklRX09USEVSX09QRVIuOTk0LjMxLzA3LzIwMjYuLi5VU0QuSAEAAAAgegUAAwAAAAAAwHGKMTvv3gg9vtU0O+/eCDZDSVEuTkFTREFROkNBTE0uSVFfRklOX0RJVl9SRVYuMTAwMC4zMS8wNy8yMDI2Li4uVVNELkgBAAAAIHoFAAMAAAAAAMBxijE7794Isx/ZNDvv3ggzQ0lRLk5BU0RBUTpDQUxNLklRX1RPVEFMX1JFVi45OTguMzEvMDcvMjAyNi4uLlVTRC5IAQAAACB6BQACAAAACDIzMjYuNDQzAQgAAAAFAAAAATEBAAAACy0xODgxMDY4Njc2AwAAAAMxNjACAAAAAjI4BAAAAAEwBwAAAAk3LzMx</t>
  </si>
  <si>
    <t>LzIwMjYIAAAACDYvMS8yMDI0CQAAAAEwwHGKMTvv3ggL09c0O+/eCDNDSVEuTkFTREFROkNBTE0uSVFfU0dBX1NVUFBMLjk5NS4zMS8wNy8yMDI2Li4uVVNELkgBAAAAIHoFAAIAAAAHMTgzLjk0MwEIAAAABQAAAAExAQAAAAstMjAzNzI0MTcyMQMAAAADMTYwAgAAAAMxMDIEAAAAATAHAAAACTcvMzEvMjAyNggAAAAJNS8yOS8yMDIxCQAAAAEwwHGKMTvv3ghlA9c0O+/eCDVDSVEuTkFTREFROkNBTE0uSVFfRklOX0RJVl9SRVYuOTk5LjMxLzA3LzIwMjYuLi5VU0QuSAEAAAAgegUAAwAAAAAAwHGKMTvv3gizH9k0O+/eCCxDSVEuTkFTREFROkNBTE0uSVFfRE8uOTk2LjMxLzA3LzIwMjYuLi5VU0QuSAEAAAAgegUAAwAAAAAAw5iKMTvv3ghWONM0O+/eCDRDSVEuTkFTREFROkNBTE0uSVFfT1RIRVJfT1BFUi45OTUuMzEvMDcvMjAyNi4uLlVTRC5IAQAAACB6BQADAAAAAADAcYoxO+/eCD2+1TQ7794IN0NJUS5OQVNEQVE6Q0FMTS5JUV9JTVBBSVJNRU5UX0dXLjk5OS4zMS8wNy8yMDI2Li4uVVNELkgBAAAAIHoFAAMAAAAAAMOYijE7794Ii5jUNDvv3gg5Q0lRLk5BU0RBUTpDQUxNLklRX0dBSU5fSU5WRVNUX1JFVi45OTkuMzEvMDcvMjAyNi4uLlVTRC5IAQAAACB6BQADAAAAAADAcYoxO+/eCHaD2DQ7794IMkNJUS5OQVNEQVE6Q0FMTS5JUV9EQV9TVVBQTC45OTguMzEvMDcvMjAyNi4uLlVTRC5IAQAA</t>
  </si>
  <si>
    <t>ACB6BQADAAAAAADAcYoxO+/eCEnl1TQ7794IPUNJUS5OQVNEQVE6Q0FMTS5JUV9OT05DQVNIX1BFTlNJT05fRVhQLjk5NS4zMS8wNy8yMDI2Li4uVVNELkgBAAAAIHoFAAIAAAADMS42AQgAAAAFAAAAATEBAAAACy0yMDM3MjQxNzIxAwAAAAMxNjACAAAABTIxNjc4BAAAAAEwBwAAAAk3LzMxLzIwMjYIAAAACTUvMjkvMjAyMQkAAAABMMzbFzE7794I6BXMNDvv3gg2Q0lRLk5BU0RBUTpDQUxNLklRX0lOVEVSRVNUX0VYUC45OTUuMzEvMDcvMjAyNi4uLlVTRC5IAQAAACB6BQACAAAABi0wLjIxMwEIAAAABQAAAAExAQAAAAstMjAzNzI0MTcyMQMAAAADMTYwAgAAAAI4MgQAAAABMAcAAAAJNy8zMS8yMDI2CAAAAAk1LzI5LzIwMjEJAAAAATDAcYoxO+/eCOhv1TQ7794IM0NJUS5OQVNEQVE6Q0FMTS5JUV9FQlRfRVhDTC4xMDAwLjMxLzA3LzIwMjYuLi5VU0QuSAEAAAAgegUAAgAAAAc0MTIuOTg5AQgAAAAFAAAAATEBAAAACy0xODgxMDY4NjY4AwAAAAMxNjACAAAAATQEAAAAATAHAAAACTcvMzEvMjAyNggAAAAJNS8zMC8yMDI2CQAAAAEww5iKMTvv3gjKv9Q0O+/eCDdDSVEuTkFTREFROkNBTE0uSVFfSU1QQUlSTUVOVF9HVy45OTYuMzEvMDcvMjAyNi4uLlVTRC5IAQAAACB6BQADAAAAAADDmIoxO+/eCL1x1DQ7794IPkNJUS5OQVNEQVE6Q0FMTS5JUV9PVEhFUl9VTlVTVUFMX1NVUFBMLjEwMDAuMzEv</t>
  </si>
  <si>
    <t>MDcvMjAyNi4uLlVTRC5IAQAAACB6BQADAAAAAADDmIoxO+/eCPSt0zQ7794IOUNJUS5OQVNEQVE6Q0FMTS5JUV9BU1NFVF9XUklURURPV04uOTk1LjMxLzA3LzIwMjYuLi5VU0QuSAEAAAAgegUAAwAAAAAAw5iKMTvv3giKI9Q0O+/eCD5DSVEuTkFTREFROkNBTE0uSVFfTUlOT1JJVFlfSU5URVJFU1RfSVMuOTk3LjMxLzA3LzIwMjYuLi5VU0QuSAEAAAAgegUAAgAAAAUxLjI5MgEIAAAABQAAAAExAQAAAAstMTkzNDk3ODQyMAMAAAADMTYwAgAAAAI4MwQAAAABMAcAAAAJNy8zMS8yMDI2CAAAAAg2LzMvMjAyMwkAAAABMMOYijE7794INurSNDvv3gg5Q0lRLk5BU0RBUTpDQUxNLklRX0RJTFVUX0VQU19JTkNMLjEwMDAuMzEvMDcvMjAyNi4uLlVTRC5IAQAAACB6BQACAAAABDYuNjMBCAAAAAUAAAABMQEAAAALLTE4ODEwNjg2NjgDAAAAAzE2MAIAAAABOAQAAAABMAcAAAAJNy8zMS8yMDI2CAAAAAk1LzMwLzIwMjYJAAAAATDTv4oxO+/eCPZN0jQ7794IOENJUS5OQVNEQVE6Q0FMTS5JUV9ESUxVVF9FUFNfTk9STS45OTguMzEvMDcvMjAyNi4uLlVTRC5IAQAAACB6BQACAAAACDQuNzA2OTI2AQgAAAAFAAAAATEBAAAACy0xODgxMDY4Njc2AwAAAAMxNjACAAAABDQzODAEAAAAATAHAAAACTcvMzEvMjAyNggAAAAINi8xLzIwMjQJAAAAATDTv4oxO+/eCBPs0TQ7794ILkNJUS5OQVNEQVE6Q0FMTS5JUV9F</t>
  </si>
  <si>
    <t>QklULjk5NC4zMS8wNy8yMDI2Li4uVVNELkgBAAAAIHoFAAIAAAAFMS4zNTEBCAAAAAUAAAABMQEAAAALLTIwODgzNDc0NjkDAAAAAzE2MAIAAAADNDAwBAAAAAEwBwAAAAk3LzMxLzIwMjYIAAAACTUvMzAvMjAyMAkAAAABMOrmijE7794IolfQNDvv3ggvQ0lRLk5BU0RBUTpDQUxNLklRX0VCSVQuMTAwMC4zMS8wNy8yMDI2Li4uVVNELkgBAAAAIHoFAAIAAAAHMzQzLjM1MgEIAAAABQAAAAExAQAAAAstMTg4MTA2ODY2OAMAAAADMTYwAgAAAAM0MDAEAAAAATAHAAAACTcvMzEvMjAyNggAAAAJNS8zMC8yMDI2CQAAAAEw6uaKMTvv3giiV9A0O+/eCDZDSVEuTkFTREFROkNBTE0uSVFfTEVHQUxfU0VUVExFLjk5NC4zMS8wNy8yMDI2Li4uVVNELkgBAAAAIHoFAAMAAAAAAMOYijE7794IINXTNDvv3gg0Q0lRLk5BU0RBUTpDQUxNLklRX0lNUEFJUl9PSUwuOTk2LjMxLzA3LzIwMjYuLi5VU0QuSAEAAAAgegUAAwAAAAAAwHGKMTvv3gg9vtU0O+/eCDVDSVEuTkFTREFROkNBTE0uSVFfU1RPQ0tfQkFTRUQuOTk1LjMxLzA3LzIwMjYuLi5VU0QuSAEAAAAgegUAAwAAAAAAwHGKMTvv3gihgtY0O+/eCDZDSVEuTkFTREFROkNBTE0uSVFfSU5URVJFU1RfRVhQLjk5Ny4zMS8wNy8yMDI2Li4uVVNELkgBAAAAIHoFAAIAAAAGLTAuNTgzAQgAAAAFAAAAATEBAAAACy0xOTM0OTc4NDIwAwAAAAMxNjACAAAAAjgyBAAA</t>
  </si>
  <si>
    <t>AAEwBwAAAAk3LzMxLzIwMjYIAAAACDYvMy8yMDIzCQAAAAEww5iKMTvv3gjob9U0O+/eCDhDSVEuTkFTREFROkNBTE0uSVFfRUJJVEFfRVhDTF9TQkMuOTk1LjMxLzA3LzIwMjYuLi5VU0QuSAEAAAAgegUAAgAAAActMTkuNTA0AQgAAAAFAAAAATEBAAAACy0yMDM3MjQxNzIxAwAAAAMxNjACAAAABTI0MTM2BAAAAAEwBwAAAAk3LzMxLzIwMjYIAAAACTUvMjkvMjAyMQkAAAABMKqNFzE7794IFknPNDvv3gg+Q0lRLk5BU0RBUTpDQUxNLklRX01JTk9SSVRZX0lOVEVSRVNUX0lTLjk5NC4zMS8wNy8yMDI2Li4uVVNELkgBAAAAIHoFAAIAAAAFMC4wNjMBCAAAAAUAAAABMQEAAAALLTIwODgzNDc0NjkDAAAAAzE2MAIAAAACODMEAAAAATAHAAAACTcvMzEvMjAyNggAAAAJNS8zMC8yMDIwCQAAAAEww5iKMTvv3ghCEdM0O+/eCDhDSVEuTkFTREFROkNBTE0uSVFfRElMVVRfRVBTX05PUk0uOTk0LjMxLzA3LzIwMjYuLi5VU0QuSAEAAAAgegUAAgAAAAgwLjI1ODYwOAEIAAAABQAAAAExAQAAAAstMjA4ODM0NzQ2OQMAAAADMTYwAgAAAAQ0MzgwBAAAAAEwBwAAAAk3LzMxLzIwMjYIAAAACTUvMzAvMjAyMAkAAAABMNO/ijE7794IE+zRNDvv3gg2Q0lRLk5BU0RBUTpDQUxNLklRX0ZJTl9ESVZfRVhQLjEwMDAuMzEvMDcvMjAyNi4uLlVTRC5IAQAAACB6BQADAAAAAADAcYoxO+/eCNld1zQ7794ITENJUS5OQVNE</t>
  </si>
  <si>
    <t>QVE6Q0FMTS5JUV9FQklUREFfRVFfSU5DX0VYQ0xfT1BFUl9MRUFTRV9BREouMTAwMC4zMS8wNy8yMDI2Li4uVVNELkgBAAAAIHoFAAIAAAAHNDY2LjM5NAEIAAAABQAAAAExAQAAAAstMTg4MTA2ODY2OAMAAAADMTYwAgAAAAU0ODk4NwQAAAABMAcAAAAJNy8zMS8yMDI2CAAAAAk1LzMwLzIwMjYJAAAAATDq5ooxO+/eCPKf0DQ7794IM0NJUS5OQVNEQVE6Q0FMTS5JUV9UT1RBTF9SRVYuOTk1LjMxLzA3LzIwMjYuLi5VU0QuSAEAAAAgegUAAgAAAAgxMzQ4Ljk4NwEIAAAABQAAAAExAQAAAAstMjAzNzI0MTcyMQMAAAADMTYwAgAAAAIyOAQAAAABMAcAAAAJNy8zMS8yMDI2CAAAAAk1LzI5LzIwMjEJAAAAATDAcYoxO+/eCB/61zQ7794IOENJUS5OQVNEQVE6Q0FMTS5JUV9FQklUQV9FWENMX1NCQy45OTkuMzEvMDcvMjAyNi4uLlVTRC5IAQAAACB6BQACAAAACDE1NjQuNzIxAQgAAAAFAAAAATEBAAAACy0xODgxMDY4Njc1AwAAAAMxNjACAAAABTI0MTM2BAAAAAEwBwAAAAk3LzMxLzIwMjYIAAAACTUvMzEvMjAyNQkAAAABMKqNFzE7794IFknPNDvv3gg/Q0lRLk5BU0RBUTpDQUxNLklRX1RPVEFMX1JFVl9BU19SRVBPUlRFRC45OTcuMzEvMDcvMjAyNi4uLlVTRC5IAQAAACB6BQADAAAAAAC9tBcxO+/eCHRgzjQ7794IM0NJUS5OQVNEQVE6Q0FMTS5JUV9SRF9FWFBfRk4uOTk5LjMxLzA3LzIwMjYuLi5V</t>
  </si>
  <si>
    <t>U0QuSAEAAAAgegUAAwAAAAAA6QIYMTvv3giM8Mo0O+/eCDVDSVEuTkFTREFROkNBTE0uSVFfU1RPQ0tfQkFTRUQuOTk0LjMxLzA3LzIwMjYuLi5VU0QuSAEAAAAgegUAAwAAAAAAwHGKMTvv3gihbNY0O+/eCDdDSVEuTkFTREFROkNBTE0uSVFfTklfQVZBSUxfRVhDTC45OTcuMzEvMDcvMjAyNi4uLlVTRC5IAQAAACB6BQACAAAABzc1OC4wMjQBCAAAAAUAAAABMQEAAAALLTE5MzQ5Nzg0MjADAAAAAzE2MAIAAAADMzc5BAAAAAEwBwAAAAk3LzMxLzIwMjYIAAAACDYvMy8yMDIzCQAAAAEw07+KMTvv3gggnNI0O+/eCDVDSVEuTkFTREFROkNBTE0uSVFfRklOX0RJVl9SRVYuOTk4LjMxLzA3LzIwMjYuLi5VU0QuSAEAAAAgegUAAwAAAAAAwHGKMTvv3giT0dg0O+/eCDNDSVEuTkFTREFROkNBTE0uSVFfVE9UQUxfUkVWLjk5Ni4zMS8wNy8yMDI2Li4uVVNELkgBAAAAIHoFAAIAAAAIMTc3Ny4xNTkBCAAAAAUAAAABMQEAAAALLTE5ODY3MDg0MzMDAAAAAzE2MAIAAAACMjgEAAAAATAHAAAACTcvMzEvMjAyNggAAAAJNS8yOC8yMDIyCQAAAAEwwHGKMTvv3ggf+tc0O+/eCDVDSVEuTkFTREFROkNBTE0uSVFfSU5TX0RJVl9FWFAuOTk2LjMxLzA3LzIwMjYuLi5VU0QuSAEAAAAgegUAAwAAAAAAwHGKMTvv3gjZXdc0O+/eCDlDSVEuTkFTREFROkNBTE0uSVFfR0FJTl9JTlZFU1RfUkVWLjk5Ny4zMS8wNy8yMDI2</t>
  </si>
  <si>
    <t>Li4uVVNELkgBAAAAIHoFAAMAAAAAAMBxijE7794IMlzYNDvv3gg0Q0lRLk5BU0RBUTpDQUxNLklRX0lOQ19FUVVJVFkuOTk3LjMxLzA3LzIwMjYuLi5VU0QuSAEAAAAgegUAAgAAAAUwLjc0NgEIAAAABQAAAAExAQAAAAstMTkzNDk3ODQyMAMAAAADMTYwAgAAAAI0NwQAAAABMAcAAAAJNy8zMS8yMDI2CAAAAAg2LzMvMjAyMwkAAAABMMOYijE7794IzQ3VNDvv3ggyQ0lRLk5BU0RBUTpDQUxNLklRX0RBX1NVUFBMLjk5Ny4zMS8wNy8yMDI2Li4uVVNELkgBAAAAIHoFAAMAAAAAAMBxijE7794ISeXVNDvv3gguQ0lRLk5BU0RBUTpDQUxNLklRX0lQUkQuOTk1LjMxLzA3LzIwMjYuLi5VU0QuSAEAAAAgegUAAwAAAAAAw5iKMTvv3giKI9Q0O+/eCD1DSVEuTkFTREFROkNBTE0uSVFfT1RIRVJfVU5VU1VBTF9TVVBQTC45OTkuMzEvMDcvMjAyNi4uLlVTRC5IAQAAACB6BQACAAAAAy0xNQEIAAAABQAAAAExAQAAAAstMTg4MTA2ODY3NQMAAAADMTYwAgAAAAI4NwQAAAABMAcAAAAJNy8zMS8yMDI2CAAAAAk1LzMxLzIwMjUJAAAAATDDmIoxO+/eCPSt0zQ7794ILENJUS5OQVNEQVE6Q0FMTS5JUV9OSS45OTQuMzEvMDcvMjAyNi4uLlVTRC5IAQAAACB6BQACAAAABjE4LjM5MQEIAAAABQAAAAExAQAAAAstMjA4ODM0NzQ2OQMAAAADMTYwAgAAAAIxNQQAAAABMAcAAAAJNy8zMS8yMDI2CAAAAAk1LzMwLzIwMjAJ</t>
  </si>
  <si>
    <t>AAAAATDTv4oxO+/eCDbq0jQ7794IN0NJUS5OQVNEQVE6Q0FMTS5JUV9OSV9BVkFJTF9FWENMLjk5NS4zMS8wNy8yMDI2Li4uVVNELkgBAAAAIHoFAAIAAAAEMi4wNgEIAAAABQAAAAExAQAAAAstMjAzNzI0MTcyMQMAAAADMTYwAgAAAAMzNzkEAAAAATAHAAAACTcvMzEvMjAyNggAAAAJNS8yOS8yMDIxCQAAAAEw07+KMTvv3gggnNI0O+/eCE5DSVEuTkFTREFROkNBTE0uSVFfRElTVFJJQlVUQUJMRV9DQVNIX1BFUl9TSEFSRV9ESUxVVEVELjk5NS4zMS8wNy8yMDI2Li4uVVNELkgBAAAAIHoFAAMAAAAAANO/ijE7794IE+zRNDvv3gg5Q0lRLk5BU0RBUTpDQUxNLklRX0dBSU5fSU5WRVNUX1JFVi45OTYuMzEvMDcvMjAyNi4uLlVTRC5IAQAAACB6BQADAAAAAADAcYoxO+/eCDJc2DQ7794IM0NJUS5OQVNEQVE6Q0FMTS5JUV9TR0FfU1VQUEwuOTk5LjMxLzA3LzIwMjYuLi5VU0QuSAEAAAAgegUAAgAAAAcyOTIuODQ5AQgAAAAFAAAAATEBAAAACy0xODgxMDY4Njc1AwAAAAMxNjACAAAAAzEwMgQAAAABMAcAAAAJNy8zMS8yMDI2CAAAAAk1LzMxLzIwMjUJAAAAATDAcYoxO+/eCJbX1jQ7794IMkNJUS5OQVNEQVE6Q0FMTS5JUV9EQV9TVVBQTC45OTYuMzEvMDcvMjAyNi4uLlVTRC5IAQAAACB6BQADAAAAAADAcYoxO+/eCEnl1TQ7794IPUNJUS5OQVNEQVE6Q0FMTS5JUV9DVVJSX0ZPUkVJR05fVEFYRVMu</t>
  </si>
  <si>
    <t>MTAwMC4zMS8wNy8yMDI2Li4uVVNELkgBAAAAIHoFAAMAAAAAAL20FzE7794Ibk7NNDvv3ggyQ0lRLk5BU0RBUTpDQUxNLklRX0VCVF9FWENMLjk5Ny4zMS8wNy8yMDI2Li4uVVNELkgBAAAAIHoFAAIAAAAHOTk4LjQ1NQEIAAAABQAAAAExAQAAAAstMTkzNDk3ODQyMAMAAAADMTYwAgAAAAE0BAAAAAEwBwAAAAk3LzMxLzIwMjYIAAAACDYvMy8yMDIzCQAAAAEww5iKMTvv3gjKv9Q0O+/eCC5DSVEuTkFTREFROkNBTE0uSVFfSVBSRC45OTQuMzEvMDcvMjAyNi4uLlVTRC5IAQAAACB6BQADAAAAAADDmIoxO+/eCIoj1DQ7794IPUNJUS5OQVNEQVE6Q0FMTS5JUV9PVEhFUl9VTlVTVUFMX1NVUFBMLjk5Ny4zMS8wNy8yMDI2Li4uVVNELkgBAAAAIHoFAAMAAAAAAMOYijE7794I9K3TNDvv3ggsQ0lRLk5BU0RBUTpDQUxNLklRX0RPLjk5NC4zMS8wNy8yMDI2Li4uVVNELkgBAAAAIHoFAAMAAAAAAMOYijE7794IVjjTNDvv3gg5Q0lRLk5BU0RBUTpDQUxNLklRX0FTU0VUX1dSSVRFRE9XTi45OTQuMzEvMDcvMjAyNi4uLlVTRC5IAQAAACB6BQADAAAAAADDmIoxO+/eCIoj1DQ7794IOENJUS5OQVNEQVE6Q0FMTS5JUV9ESUxVVF9FUFNfSU5DTC45OTguMzEvMDcvMjAyNi4uLlVTRC5IAQAAACB6BQACAAAABDUuNjkBCAAAAAUAAAABMQEAAAALLTE4ODEwNjg2NzYDAAAAAzE2MAIAAAABOAQAAAABMAcAAAAJNy8z</t>
  </si>
  <si>
    <t>MS8yMDI2CAAAAAg2LzEvMjAyNAkAAAABMNO/ijE7794I9k3SNDvv3ghOQ0lRLk5BU0RBUTpDQUxNLklRX0RJU1RSSUJVVEFCTEVfQ0FTSF9QRVJfU0hBUkVfRElMVVRFRC45OTQuMzEvMDcvMjAyNi4uLlVTRC5IAQAAACB6BQADAAAAAADTv4oxO+/eCBPs0TQ7794ILkNJUS5OQVNEQVE6Q0FMTS5JUV9FQklULjk5OC4zMS8wNy8yMDI2Li4uVVNELkgBAAAAIHoFAAIAAAAHMjk0LjQ0NgEIAAAABQAAAAExAQAAAAstMTg4MTA2ODY3NgMAAAADMTYwAgAAAAM0MDAEAAAAATAHAAAACTcvMzEvMjAyNggAAAAINi8xLzIwMjQJAAAAATDq5ooxO+/eCKJX0DQ7794IPENJUS5OQVNEQVE6Q0FMTS5JUV9BU19SRVBPUlRFRF9FQklUREEuOTk3LjMxLzA3LzIwMjYuLi5VU0QuSAEAAAAgegUAAwAAAAAAvbQXMTvv3gjBTM40O+/eCDVDSVEuTkFTREFROkNBTE0uSVFfSU5TX0RJVl9FWFAuOTk1LjMxLzA3LzIwMjYuLi5VU0QuSAEAAAAgegUAAwAAAAAAwHGKMTvv3gjZXdc0O+/eCDNDSVEuTkFTREFROkNBTE0uSVFfUkRfRVhQX0ZOLjk5OC4zMS8wNy8yMDI2Li4uVVNELkgBAAAAIHoFAAMAAAAAAOkCGDE7794IasnKNDvv3ggzQ0lRLk5BU0RBUTpDQUxNLklRX1RPVEFMX1JFVi45OTcuMzEvMDcvMjAyNi4uLlVTRC5IAQAAACB6BQACAAAACDMxNDYuMjE3AQgAAAAFAAAAATEBAAAACy0xOTM0OTc4NDIwAwAAAAMxNjAC</t>
  </si>
  <si>
    <t>AAAAAjI4BAAAAAEwBwAAAAk3LzMxLzIwMjYIAAAACDYvMy8yMDIzCQAAAAEwwHGKMTvv3ggf+tc0O+/eCDJDSVEuTkFTREFROkNBTE0uSVFfREFfU1VQUEwuOTk5LjMxLzA3LzIwMjYuLi5VU0QuSAEAAAAgegUAAwAAAAAAwHGKMTvv3ghSDNY0O+/eCDZDSVEuTkFTREFROkNBTE0uSVFfSU5URVJFU1RfRVhQLjk5Ni4zMS8wNy8yMDI2Li4uVVNELkgBAAAAIHoFAAIAAAAGLTAuNDAzAQgAAAAFAAAAATEBAAAACy0xOTg2NzA4NDMzAwAAAAMxNjACAAAAAjgyBAAAAAEwBwAAAAk3LzMxLzIwMjYIAAAACTUvMjgvMjAyMgkAAAABMMOYijE7794I6G/VNDvv3ggyQ0lRLk5BU0RBUTpDQUxNLklRX0VCVF9FWENMLjk5OS4zMS8wNy8yMDI2Li4uVVNELkgBAAAAIHoFAAIAAAAIMTYyNC40ODMBCAAAAAUAAAABMQEAAAALLTE4ODEwNjg2NzUDAAAAAzE2MAIAAAABNAQAAAABMAcAAAAJNy8zMS8yMDI2CAAAAAk1LzMxLzIwMjUJAAAAATDDmIoxO+/eCMq/1DQ7794IOENJUS5OQVNEQVE6Q0FMTS5JUV9ESUxVVF9FUFNfTk9STS45OTkuMzEvMDcvMjAyNi4uLlVTRC5IAQAAACB6BQACAAAACTIwLjgwMzc4NQEIAAAABQAAAAExAQAAAAstMTg4MTA2ODY3NQMAAAADMTYwAgAAAAQ0MzgwBAAAAAEwBwAAAAk3LzMxLzIwMjYIAAAACTUvMzEvMjAyNQkAAAABMNO/ijE7794IE+zRNDvv3ggwQ0lRLk5BU0RBUTpDQUxNLklR</t>
  </si>
  <si>
    <t>X0VCSVREQS45OTUuMzEvMDcvMjAyNi4uLlVTRC5IAQAAACB6BQACAAAABjM2LjE5NQEIAAAABQAAAAExAQAAAAstMjAzNzI0MTcyMQMAAAADMTYwAgAAAAQ0MDUxBAAAAAEwBwAAAAk3LzMxLzIwMjYIAAAACTUvMjkvMjAyMQkAAAABMOrmijE7794IMlDRNDvv3gg/Q0lRLk5BU0RBUTpDQUxNLklRX1RPVEFMX1JFVl9BU19SRVBPUlRFRC45OTUuMzEvMDcvMjAyNi4uLlVTRC5IAQAAACB6BQADAAAAAAC9tBcxO+/eCHRgzjQ7794INUNJUS5OQVNEQVE6Q0FMTS5JUV9GSU5fRElWX1JFVi45OTYuMzEvMDcvMjAyNi4uLlVTRC5IAQAAACB6BQADAAAAAADAcYoxO+/eCKT42DQ7794IMkNJUS5OQVNEQVE6Q0FMTS5JUV9EQV9TVVBQTC45OTUuMzEvMDcvMjAyNi4uLlVTRC5IAQAAACB6BQADAAAAAADAcYoxO+/eCEnl1TQ7794INENJUS5OQVNEQVE6Q0FMTS5JUV9TR0FfU1VQUEwuMTAwMC4zMS8wNy8yMDI2Li4uVVNELkgBAAAAIHoFAAIAAAAHMzI4LjY5NwEIAAAABQAAAAExAQAAAAstMTg4MTA2ODY2OAMAAAADMTYwAgAAAAMxMDIEAAAAATAHAAAACTcvMzEvMjAyNggAAAAJNS8zMC8yMDI2CQAAAAEwwHGKMTvv3giW19Y0O+/eCDVDSVEuTkFTREFROkNBTE0uSVFfU1RPQ0tfQkFTRUQuOTk2LjMxLzA3LzIwMjYuLi5VU0QuSAEAAAAgegUAAwAAAAAAwHGKMTvv3ghMM9Y0O+/eCDZDSVEuTkFTREFROkNBTE0u</t>
  </si>
  <si>
    <t>SVFfSU5URVJFU1RfRVhQLjk5NC4zMS8wNy8yMDI2Li4uVVNELkgBAAAAIHoFAAIAAAAGLTAuNDk4AQgAAAAFAAAAATEBAAAACy0yMDg4MzQ3NDY5AwAAAAMxNjACAAAAAjgyBAAAAAEwBwAAAAk3LzMxLzIwMjYIAAAACTUvMzAvMjAyMAkAAAABMMBxijE7794I6G/VNDvv3gg1Q0lRLk5BU0RBUTpDQUxNLklRX0lOQ19FUVVJVFkuMTAwMC4zMS8wNy8yMDI2Li4uVVNELkgBAAAAIHoFAAIAAAAELTEuMwEIAAAABQAAAAExAQAAAAstMTg4MTA2ODY2OAMAAAADMTYwAgAAAAI0NwQAAAABMAcAAAAJNy8zMS8yMDI2CAAAAAk1LzMwLzIwMjYJAAAAATDDmIoxO+/eCM0N1TQ7794IPUNJUS5OQVNEQVE6Q0FMTS5JUV9PVEhFUl9VTlVTVUFMX1NVUFBMLjk5Ni4zMS8wNy8yMDI2Li4uVVNELkgBAAAAIHoFAAMAAAAAAMOYijE7794I9K3TNDvv3ggsQ0lRLk5BU0RBUTpDQUxNLklRX0RPLjk5NS4zMS8wNy8yMDI2Li4uVVNELkgBAAAAIHoFAAMAAAAAAMOYijE7794IVjjTNDvv3gg4Q0lRLk5BU0RBUTpDQUxNLklRX0RJTFVUX0VQU19JTkNMLjk5OS4zMS8wNy8yMDI2Li4uVVNELkgBAAAAIHoFAAIAAAAFMjQuOTUBCAAAAAUAAAABMQEAAAALLTE4ODEwNjg2NzUDAAAAAzE2MAIAAAABOAQAAAABMAcAAAAJNy8zMS8yMDI2CAAAAAk1LzMxLzIwMjUJAAAAATDTv4oxO+/eCMom0jQ7794IOUNJUS5OQVNEQVE6Q0FMTS5J</t>
  </si>
  <si>
    <t>UV9GSU5fRElWX0lOVF9FWFAuOTk1LjMxLzA3LzIwMjYuLi5VU0QuSAEAAAAgegUAAwAAAAAAwHGKMTvv3gjZXdc0O+/eCDNDSVEuTkFTREFROkNBTE0uSVFfU0dBX1NVUFBMLjk5OC4zMS8wNy8yMDI2Li4uVVNELkgBAAAAIHoFAAIAAAAHMjQ3LjEyNQEIAAAABQAAAAExAQAAAAstMTg4MTA2ODY3NgMAAAADMTYwAgAAAAMxMDIEAAAAATAHAAAACTcvMzEvMjAyNggAAAAINi8xLzIwMjQJAAAAATDAcYoxO+/eCGUD1zQ7794IOENJUS5OQVNEQVE6Q0FMTS5JUV9QUk9WX0JBRF9ERUJUUy45OTQuMzEvMDcvMjAyNi4uLlVTRC5IAQAAACB6BQADAAAAAADAcYoxO+/eCPap1jQ7794IN0NJUS5OQVNEQVE6Q0FMTS5JUV9JTlRFUkVTVF9FWFAuMTAwMC4zMS8wNy8yMDI2Li4uVVNELkgBAAAAIHoFAAIAAAAGLTAuNTU2AQgAAAAFAAAAATEBAAAACy0xODgxMDY4NjY4AwAAAAMxNjACAAAAAjgyBAAAAAEwBwAAAAk3LzMxLzIwMjYIAAAACTUvMzAvMjAyNgkAAAABMMOYijE7794I20jVNDvv3gg3Q0lRLk5BU0RBUTpDQUxNLklRX0NVUlJFTkNZX0dBSU4uOTk0LjMxLzA3LzIwMjYuLi5VU0QuSAEAAAAgegUAAwAAAAAAw5iKMTvv3gjNDdU0O+/eCDhDSVEuTkFTREFROkNBTE0uSVFfSU1QQUlSTUVOVF9HVy4xMDAwLjMxLzA3LzIwMjYuLi5VU0QuSAEAAAAgegUAAwAAAAAAw5iKMTvv3gi9cdQ0O+/eCC9DSVEuTkFT</t>
  </si>
  <si>
    <t>REFROkNBTE0uSVFfSVBSRC4xMDAwLjMxLzA3LzIwMjYuLi5VU0QuSAEAAAAgegUAAwAAAAAAw5iKMTvv3ghQ/NM0O+/eCDVDSVEuTkFTREFROkNBTE0uSVFfRUJJVF9FUV9JTkMuOTk2LjMxLzA3LzIwMjYuLi5VU0QuSAEAAAAgegUAAgAAAAcxNDAuMzcxAQgAAAAFAAAAATEBAAAACy0xOTg2NzA4NDMzAwAAAAMxNjACAAAABTIxNjc1BAAAAAEwBwAAAAk3LzMxLzIwMjYIAAAACTUvMjgvMjAyMgkAAAABMOrmijE7794IolfQNDvv3gg4Q0lRLk5BU0RBUTpDQUxNLklRX0JBU0lDX0VQU19JTkNMLjk5NC4zMS8wNy8yMDI2Li4uVVNELkgBAAAAIHoFAAIAAAAIMC4zNzk0NTQBCAAAAAUAAAABMQEAAAALLTIwODgzNDc0NjkDAAAAAzE2MAIAAAABOQQAAAABMAcAAAAJNy8zMS8yMDI2CAAAAAk1LzMwLzIwMjAJAAAAATDTv4oxO+/eCCCc0jQ7794IN0NJUS5OQVNEQVE6Q0FMTS5JUV9FQklUREFfRVFfSU5DLjk5OC4zMS8wNy8yMDI2Li4uVVNELkgBAAAAIHoFAAIAAAAHMzc2LjA4NwEIAAAABQAAAAExAQAAAAstMTg4MTA2ODY3NgMAAAADMTYwAgAAAAUyMTY3NwQAAAABMAcAAAAJNy8zMS8yMDI2CAAAAAg2LzEvMjAyNAkAAAABMOrmijE7794IMlDRNDvv3gg1Q0lRLk5BU0RBUTpDQUxNLklRX0VCSVRfRVFfSU5DLjk5Ny4zMS8wNy8yMDI2Li4uVVNELkgBAAAAIHoFAAIAAAAHOTY0Ljk5NgEIAAAABQAAAAEx</t>
  </si>
  <si>
    <t>AQAAAAstMTkzNDk3ODQyMAMAAAADMTYwAgAAAAUyMTY3NQQAAAABMAcAAAAJNy8zMS8yMDI2CAAAAAg2LzMvMjAyMwkAAAABMOrmijE7794IolfQNDvv3ghBQ0lRLk5BU0RBUTpDQUxNLklRX0RFRkVSUkVEX0RPTUVTVElDX1RBWEVTLjk5Ny4zMS8wNy8yMDI2Li4uVVNELkgBAAAAIHoFAAIAAAAGMjQuNDY3AQgAAAAFAAAAATEBAAAACy0xOTM0OTc4NDIwAwAAAAMxNjACAAAABDMwNTQEAAAAATAHAAAACTcvMzEvMjAyNggAAAAINi8zLzIwMjMJAAAAATC9tBcxO+/eCFMnzTQ7794ILUNJUS5OQVNEQVE6Q0FMTS5JUV9FQlQuOTk0LjMxLzA3LzIwMjYuLi5VU0QuSAEAAAAgegUAAgAAAAYyMC4wNTkBCAAAAAUAAAABMQEAAAALLTIwODgzNDc0NjkDAAAAAzE2MAIAAAADMTM5BAAAAAEwBwAAAAk3LzMxLzIwMjYIAAAACTUvMzAvMjAyMAkAAAABMMOYijE7794I9K3TNDvv3gg6Q0lRLk5BU0RBUTpDQUxNLklRX0dBSU5fQVNTRVRTX1JFVi4xMDAwLjMxLzA3LzIwMjYuLi5VU0QuSAEAAAAgegUAAwAAAAAAwHGKMTvv3giBqtg0O+/eCDJDSVEuTkFTREFROkNBTE0uSVFfREFfU1VQUEwuOTk0LjMxLzA3LzIwMjYuLi5VU0QuSAEAAAAgegUAAwAAAAAAwHGKMTvv3ghSDNY0O+/eCDRDSVEuTkFTREFROkNBTE0uSVFfRUFSTklOR19DTy45OTUuMzEvMDcvMjAyNi4uLlVTRC5IAQAAACB6BQACAAAABDIuMDYBCAAA</t>
  </si>
  <si>
    <t>AAUAAAABMQEAAAALLTIwMzcyNDE3MjEDAAAAAzE2MAIAAAABNwQAAAABMAcAAAAJNy8zMS8yMDI2CAAAAAk1LzI5LzIwMjEJAAAAATDDmIoxO+/eCAVz0zQ7794ILENJUS5OQVNEQVE6Q0FMTS5JUV9OSS45OTYuMzEvMDcvMjAyNi4uLlVTRC5IAQAAACB6BQACAAAABjEzMi42NQEIAAAABQAAAAExAQAAAAstMTk4NjcwODQzMwMAAAADMTYwAgAAAAIxNQQAAAABMAcAAAAJNy8zMS8yMDI2CAAAAAk1LzI4LzIwMjIJAAAAATDTv4oxO+/eCDbq0jQ7794IN0NJUS5OQVNEQVE6Q0FMTS5JUV9FQklUREFfRVFfSU5DLjk5OS4zMS8wNy8yMDI2Li4uVVNELkgBAAAAIHoFAAIAAAAIMTY1OC4yNTcBCAAAAAUAAAABMQEAAAALLTE4ODEwNjg2NzUDAAAAAzE2MAIAAAAFMjE2NzcEAAAAATAHAAAACTcvMzEvMjAyNggAAAAJNS8zMS8yMDI1CQAAAAEw6uaKMTvv3gjkKNE0O+/eCEFDSVEuTkFTREFROkNBTE0uSVFfREVGRVJSRURfRE9NRVNUSUNfVEFYRVMuOTk2LjMxLzA3LzIwMjYuLi5VU0QuSAEAAAAgegUAAgAAAAU1LjY3NgEIAAAABQAAAAExAQAAAAstMTk4NjcwODQzMwMAAAADMTYwAgAAAAQzMDU0BAAAAAEwBwAAAAk3LzMxLzIwMjYIAAAACTUvMjgvMjAyMgkAAAABML20FzE7794IUyfNNDvv3gg6Q0lRLk5BU0RBUTpDQUxNLklRX1RPVEFMX09USEVSX09QRVIuOTk1LjMxLzA3LzIwMjYuLi5VU0QuSAEAAAAg</t>
  </si>
  <si>
    <t>egUAAgAAAAcxODMuOTQzAQgAAAAFAAAAATEBAAAACy0yMDM3MjQxNzIxAwAAAAMxNjACAAAAAzM4MAQAAAABMAcAAAAJNy8zMS8yMDI2CAAAAAk1LzI5LzIwMjEJAAAAATDAcYoxO+/eCCGX1TQ7794INUNJUS5OQVNEQVE6Q0FMTS5JUV9SRVNUUlVDVFVSRS45OTguMzEvMDcvMjAyNi4uLlVTRC5IAQAAACB6BQADAAAAAADDmIoxO+/eCIuY1DQ7794INUNJUS5OQVNEQVE6Q0FMTS5JUV9HQUlOX0lOVkVTVC45OTYuMzEvMDcvMjAyNi4uLlVTRC5IAQAAACB6BQACAAAABTAuMTA1AQgAAAAFAAAAATEBAAAACy0xOTg2NzA4NDMzAwAAAAMxNjACAAAAAjYyBAAAAAEwBwAAAAk3LzMxLzIwMjYIAAAACTUvMjgvMjAyMgkAAAABMMOYijE7794IvXHUNDvv3ggzQ0lRLk5BU0RBUTpDQUxNLklRX1NHQV9TVVBQTC45OTcuMzEvMDcvMjAyNi4uLlVTRC5IAQAAACB6BQACAAAABzIzMi4yMDcBCAAAAAUAAAABMQEAAAALLTE5MzQ5Nzg0MjADAAAAAzE2MAIAAAADMTAyBAAAAAEwBwAAAAk3LzMxLzIwMjYIAAAACDYvMy8yMDIzCQAAAAEwwHGKMTvv3gj2qdY0O+/eCC1DSVEuTkFTREFROkNBTE0uSVFfRE8uMTAwMC4zMS8wNy8yMDI2Li4uVVNELkgBAAAAIHoFAAMAAAAAAMOYijE7794IVjjTNDvv3gg5Q0lRLk5BU0RBUTpDQUxNLklRX0JBU0lDX0VQU19JTkNMLjEwMDAuMzEvMDcvMjAyNi4uLlVTRC5IAQAAACB6BQAC</t>
  </si>
  <si>
    <t>AAAACDYuNjQ2MDAyAQgAAAAFAAAAATEBAAAACy0xODgxMDY4NjY4AwAAAAMxNjACAAAAATkEAAAAATAHAAAACTcvMzEvMjAyNggAAAAJNS8zMC8yMDI2CQAAAAEw07+KMTvv3ggFddI0O+/eCE9DSVEuTkFTREFROkNBTE0uSVFfRElTVFJJQlVUQUJMRV9DQVNIX1BFUl9TSEFSRV9ESUxVVEVELjEwMDAuMzEvMDcvMjAyNi4uLlVTRC5IAQAAACB6BQADAAAAAADTv4oxO+/eCATF0TQ7794IOkNJUS5OQVNEQVE6Q0FMTS5JUV9UT1RBTF9SRVZfU0hBUkUuMTAwMC4zMS8wNy8yMDI2Li4uVVNELkgBAAAAIHoFAAIAAAAJNjEuMTA0NTU0AQgAAAAFAAAAATEBAAAACy0xODgxMDY4NjY4AwAAAAMxNjACAAAABDQzODIEAAAAATAHAAAACTcvMzEvMjAyNggAAAAJNS8zMC8yMDI2CQAAAAEw07+KMTvv3ggExdE0O+/eCDdDSVEuTkFTREFROkNBTE0uSVFfUFJFX09QRU5fQ09TVC45OTcuMzEvMDcvMjAyNi4uLlVTRC5IAQAAACB6BQADAAAAAADAcYoxO+/eCEwz1jQ7794IOENJUS5OQVNEQVE6Q0FMTS5JUV9FQklUREFSX0VRX0lOQy45OTYuMzEvMDcvMjAyNi4uLlVTRC5IAQAAACB6BQADAAAAAACqjRcxO+/eCL7VzjQ7794ILkNJUS5OQVNEQVE6Q0FMTS5JUV9SRVYuMTAwMC4zMS8wNy8yMDI2Li4uVVNELkgBAAAAIHoFAAIAAAAIMjkxMS42MzIBCAAAAAUAAAABMQEAAAALLTE4ODEwNjg2NjgDAAAAAzE2MAIAAAAD</t>
  </si>
  <si>
    <t>MTEyBAAAAAEwBwAAAAk3LzMxLzIwMjYIAAAACTUvMzAvMjAyNgkAAAABMMBxijE7794Isx/ZNDvv3gg9Q0lRLk5BU0RBUTpDQUxNLklRX09USEVSX1VOVVNVQUxfU1VQUEwuOTk0LjMxLzA3LzIwMjYuLi5VU0QuSAEAAAAgegUAAwAAAAAAw5iKMTvv3gj0rdM0O+/eCDNDSVEuTkFTREFROkNBTE0uSVFfU0dBX1NVUFBMLjk5Ni4zMS8wNy8yMDI2Li4uVVNELkgBAAAAIHoFAAIAAAAHMTk4LjYzMQEIAAAABQAAAAExAQAAAAstMTk4NjcwODQzMwMAAAADMTYwAgAAAAMxMDIEAAAAATAHAAAACTcvMzEvMjAyNggAAAAJNS8yOC8yMDIyCQAAAAEwwHGKMTvv3ghlA9c0O+/eCDlDSVEuTkFTREFROkNBTE0uSVFfRVhUUkFfQUNDX0lURU1TLjk5NC4zMS8wNy8yMDI2Li4uVVNELkgBAAAAIHoFAAMAAAAAAMOYijE7794IVjjTNDvv3gg6Q0lRLk5BU0RBUTpDQUxNLklRX1RPVEFMX09USEVSX09QRVIuOTk2LjMxLzA3LzIwMjYuLi5VU0QuSAEAAAAgegUAAgAAAAcxOTguNjMxAQgAAAAFAAAAATEBAAAACy0xOTg2NzA4NDMzAwAAAAMxNjACAAAAAzM4MAQAAAABMAcAAAAJNy8zMS8yMDI2CAAAAAk1LzI4LzIwMjIJAAAAATDAcYoxO+/eCCGX1TQ7794INUNJUS5OQVNEQVE6Q0FMTS5JUV9JTlNfRElWX1JFVi45OTguMzEvMDcvMjAyNi4uLlVTRC5IAQAAACB6BQADAAAAAADAcYoxO+/eCJPR2DQ7794IM0NJUS5OQVNE</t>
  </si>
  <si>
    <t>QVE6Q0FMTS5JUV9UT1RBTF9SRVYuOTk5LjMxLzA3LzIwMjYuLi5VU0QuSAEAAAAgegUAAgAAAAg0MjYxLjg4NQEIAAAABQAAAAExAQAAAAstMTg4MTA2ODY3NQMAAAADMTYwAgAAAAIyOAQAAAABMAcAAAAJNy8zMS8yMDI2CAAAAAk1LzMxLzIwMjUJAAAAATDAcYoxO+/eCAvT1zQ7794IN0NJUS5OQVNEQVE6Q0FMTS5JUV9FWFBMT1JFX0RSSUxMLjk5NC4zMS8wNy8yMDI2Li4uVVNELkgBAAAAIHoFAAMAAAAAAMBxijE7794IltfWNDvv3ghBQ0lRLk5BU0RBUTpDQUxNLklRX0VCSVREQVJfRVFfSU5DX0VYQ0xfU0JDLjk5Ni4zMS8wNy8yMDI2Li4uVVNELkgBAAAAIHoFAAMAAAAAAKqNFzE7794IvtXONDvv3gg4Q0lRLk5BU0RBUTpDQUxNLklRX0dXX0lOVEFOX0FNT1JULjk5Ny4zMS8wNy8yMDI2Li4uVVNELkgBAAAAIHoFAAMAAAAAAMBxijE7794ISeXVNDvv3gg+Q0lRLk5BU0RBUTpDQUxNLklRX0lOVEVSRVNUX0lOVkVTVF9JTkMuMTAwMC4zMS8wNy8yMDI2Li4uVVNELkgBAAAAIHoFAAIAAAAGNTguNDAxAQgAAAAFAAAAATEBAAAACy0xODgxMDY4NjY4AwAAAAMxNjACAAAAAjY1BAAAAAEwBwAAAAk3LzMxLzIwMjYIAAAACTUvMzAvMjAyNgkAAAABMMOYijE7794I20jVNDvv3gg1Q0lRLk5BU0RBUTpDQUxNLklRX1JFU1RSVUNUVVJFLjk5Ny4zMS8wNy8yMDI2Li4uVVNELkgBAAAAIHoFAAMAAAAAAMOY</t>
  </si>
  <si>
    <t>ijE7794Iyr/UNDvv3gg1Q0lRLk5BU0RBUTpDQUxNLklRX0dBSU5fSU5WRVNULjk5NC4zMS8wNy8yMDI2Li4uVVNELkgBAAAAIHoFAAIAAAAFMC4xMzkBCAAAAAUAAAABMQEAAAALLTIwODgzNDc0NjkDAAAAAzE2MAIAAAACNjIEAAAAATAHAAAACTcvMzEvMjAyNggAAAAJNS8zMC8yMDIwCQAAAAEww5iKMTvv3gi9cdQ0O+/eCDVDSVEuTkFTREFROkNBTE0uSVFfSU5TX0RJVl9SRVYuOTk2LjMxLzA3LzIwMjYuLi5VU0QuSAEAAAAgegUAAwAAAAAAwHGKMTvv3giT0dg0O+/eCDhDSVEuTkFTREFROkNBTE0uSVFfQkFTSUNfRVBTX0lOQ0wuOTk5LjMxLzA3LzIwMjYuLi5VU0QuSAEAAAAgegUAAgAAAAgyNS4wNDI1NQEIAAAABQAAAAExAQAAAAstMTg4MTA2ODY3NQMAAAADMTYwAgAAAAE5BAAAAAEwBwAAAAk3LzMxLzIwMjYIAAAACTUvMzEvMjAyNQkAAAABMNO/ijE7794IBXXSNDvv3ghOQ0lRLk5BU0RBUTpDQUxNLklRX0RJU1RSSUJVVEFCTEVfQ0FTSF9QRVJfU0hBUkVfRElMVVRFRC45OTkuMzEvMDcvMjAyNi4uLlVTRC5IAQAAACB6BQADAAAAAADTv4oxO+/eCATF0TQ7794IQENJUS5OQVNEQVE6Q0FMTS5JUV9FQklUREFfRVFfSU5DX0VYQ0xfU0JDLjk5NC4zMS8wNy8yMDI2Li4uVVNELkgBAAAAIHoFAAIAAAAGNjMuNjA1AQgAAAAFAAAAATEBAAAACy0yMDg4MzQ3NDY5AwAAAAMxNjACAAAABTI0MTMx</t>
  </si>
  <si>
    <t>BAAAAAEwBwAAAAk3LzMxLzIwMjYIAAAACTUvMzAvMjAyMAkAAAABMOrmijE7794I5CjRNDvv3gg+Q0lRLk5BU0RBUTpDQUxNLklRX0VCSVRfRVFfSU5DX0VYQ0xfU0JDLjk5NC4zMS8wNy8yMDI2Li4uVVNELkgBAAAAIHoFAAIAAAAFNS41MDIBCAAAAAUAAAABMQEAAAALLTIwODgzNDc0NjkDAAAAAzE2MAIAAAAFMjQxMzAEAAAAATAHAAAACTcvMzEvMjAyNggAAAAJNS8zMC8yMDIwCQAAAAEw6uaKMTvv3giAJNA0O+/eCDdDSVEuTkFTREFROkNBTE0uSVFfQ1VSUkVOQ1lfR0FJTi45OTkuMzEvMDcvMjAyNi4uLlVTRC5IAQAAACB6BQADAAAAAADDmIoxO+/eCM0N1TQ7794ITUNJUS5OQVNEQVE6Q0FMTS5JUV9QUk9WX0JBRF9ERUJUU19QQVRJRU5UX1NFUlZJQ0VfUkVWLjEwMDAuMzEvMDcvMjAyNi4uLlVTRC5IAQAAACB6BQADAAAAAAC9tBcxO+/eCKMlzjQ7794IQUNJUS5OQVNEQVE6Q0FMTS5JUV9ERUZFUlJFRF9GT1JFSUdOX1RBWEVTLjEwMDAuMzEvMDcvMjAyNi4uLlVTRC5IAQAAACB6BQADAAAAAAC9tBcxO+/eCEEAzTQ7794IRENJUS5OQVNEQVE6Q0FMTS5JUV9ERVBSRUNJQVRJT05fUkVOVEFMX0FTU0VUUy45OTkuMzEvMDcvMjAyNi4uLlVTRC5IAQAAACB6BQADAAAAAADpAhgxO+/eCGXdyTQ7794IOkNJUS5OQVNEQVE6Q0FMTS5JUV9UT1RBTF9PVEhFUl9PUEVSLjk5NC4zMS8wNy8yMDI2Li4u</t>
  </si>
  <si>
    <t>VVNELkgBAAAAIHoFAAIAAAAHMTc4LjIzNwEIAAAABQAAAAExAQAAAAstMjA4ODM0NzQ2OQMAAAADMTYwAgAAAAMzODAEAAAAATAHAAAACTcvMzEvMjAyNggAAAAJNS8zMC8yMDIwCQAAAAEwwHGKMTvv3gghl9U0O+/eCEBDSVEuTkFTREFROkNBTE0uSVFfRUJJVERBX0VRX0lOQ19FWENMX1NCQy45OTkuMzEvMDcvMjAyNi4uLlVTRC5IAQAAACB6BQACAAAACDE2NjIuNzg0AQgAAAAFAAAAATEBAAAACy0xODgxMDY4Njc1AwAAAAMxNjACAAAABTI0MTMxBAAAAAEwBwAAAAk3LzMxLzIwMjYIAAAACTUvMzEvMjAyNQkAAAABMOrmijE7794I5gHRNDvv3gg1Q0lRLk5BU0RBUTpDQUxNLklRX0lOVF9JTlZfSU5DLjk5NC4zMS8wNy8yMDI2Li4uVVNELkgBAAAAIHoFAAMAAAAAAMBxijE7794IMlzYNDvv3gguQ0lRLk5BU0RBUTpDQUxNLklRX0NPR1MuOTk1LjMxLzA3LzIwMjYuLi5VU0QuSAEAAAAgegUAAgAAAAgxMTg4LjMyNgEIAAAABQAAAAExAQAAAAstMjAzNzI0MTcyMQMAAAADMTYwAgAAAAIzNAQAAAABMAcAAAAJNy8zMS8yMDI2CAAAAAk1LzI5LzIwMjEJAAAAATDAcYoxO+/eCAvT1zQ7794IN0NJUS5OQVNEQVE6Q0FMTS5JUV9QUkVfT1BFTl9DT1NULjk5Ni4zMS8wNy8yMDI2Li4uVVNELkgBAAAAIHoFAAMAAAAAAMBxijE7794ITDPWNDvv3gg9Q0lRLk5BU0RBUTpDQUxNLklRX0lOVEVSRVNUX0lOVkVT</t>
  </si>
  <si>
    <t>VF9JTkMuOTk5LjMxLzA3LzIwMjYuLi5VU0QuSAEAAAAgegUAAgAAAAY1OS44NjgBCAAAAAUAAAABMQEAAAALLTE4ODEwNjg2NzUDAAAAAzE2MAIAAAACNjUEAAAAATAHAAAACTcvMzEvMjAyNggAAAAJNS8zMS8yMDI1CQAAAAEww5iKMTvv3gjbSNU0O+/eCEJDSVEuTkFTREFROkNBTE0uSVFfSU1QVVRfT1BFUl9MRUFTRV9JTlRfRVhQLjk5OC4zMS8wNy8yMDI2Li4uVVNELkgBAAAAIHoFAAMAAAAAAPEpGDE7794IV7bJNDvv3gg1Q0lRLk5BU0RBUTpDQUxNLklRX1JFU1RSVUNUVVJFLjk5Ni4zMS8wNy8yMDI2Li4uVVNELkgBAAAAIHoFAAMAAAAAAMOYijE7794Iyr/UNDvv3gg4Q0lRLk5BU0RBUTpDQUxNLklRX0JBU0lDX0VQU19FWENMLjk5NC4zMS8wNy8yMDI2Li4uVVNELkgBAAAAIHoFAAIAAAAIMC4zNzk0NTQBCAAAAAUAAAABMQEAAAALLTIwODgzNDc0NjkDAAAAAzE2MAIAAAAEMzA2NAQAAAABMAcAAAAJNy8zMS8yMDI2CAAAAAk1LzMwLzIwMjAJAAAAATDTv4oxO+/eCAV10jQ7794IOENJUS5OQVNEQVE6Q0FMTS5JUV9ESUxVVF9FUFNfRVhDTC45OTkuMzEvMDcvMjAyNi4uLlVTRC5IAQAAACB6BQACAAAABTI0Ljk1AQgAAAAFAAAAATEBAAAACy0xODgxMDY4Njc1AwAAAAMxNjACAAAAAzE0MgQAAAABMAcAAAAJNy8zMS8yMDI2CAAAAAk1LzMxLzIwMjUJAAAAATDTv4oxO+/eCMom0jQ7794IQkNJ</t>
  </si>
  <si>
    <t>US5OQVNEQVE6Q0FMTS5JUV9ESVNUUklCVVRBQkxFX0NBU0hfU0hBUkUuOTk4LjMxLzA3LzIwMjYuLi5VU0QuSAEAAAAgegUAAwAAAAAA07+KMTvv3ggKntE0O+/eCDZDSVEuTkFTREFROkNBTE0uSVFfSU5URVJFU1RfRVhQLjk5OC4zMS8wNy8yMDI2Li4uVVNELkgBAAAAIHoFAAIAAAAGLTAuNTQ5AQgAAAAFAAAAATEBAAAACy0xODgxMDY4Njc2AwAAAAMxNjACAAAAAjgyBAAAAAEwBwAAAAk3LzMxLzIwMjYIAAAACDYvMS8yMDI0CQAAAAEww5iKMTvv3gjbSNU0O+/eCEFDSVEuTkFTREFROkNBTE0uSVFfRUJJVERBUl9FUV9JTkNfRVhDTF9TQkMuOTk0LjMxLzA3LzIwMjYuLi5VU0QuSAEAAAAgegUAAwAAAAAAqo0XMTvv3gi+1c40O+/eCExDSVEuTkFTREFROkNBTE0uSVFfUFJPVl9CQURfREVCVFNfUEFUSUVOVF9TRVJWSUNFX1JFVi45OTguMzEvMDcvMjAyNi4uLlVTRC5IAQAAACB6BQADAAAAAAC9tBcxO+/eCJP+zTQ7794IQENJUS5OQVNEQVE6Q0FMTS5JUV9ERUZFUlJFRF9GT1JFSUdOX1RBWEVTLjk5Ni4zMS8wNy8yMDI2Li4uVVNELkgBAAAAIHoFAAMAAAAAAL20FzE7794INNnMNDvv3ghAQ0lRLk5BU0RBUTpDQUxNLklRX0FOTlVfRElTVFJJQlVUSU9OX1VOSVQuOTk1LjMxLzA3LzIwMjYuLi5VU0QuSAEAAAAgegUAAwAAAAAAzNsXMTvv3gjEs8s0O+/eCDVDSVEuTkFTREFROkNBTE0uSVFfSU5T</t>
  </si>
  <si>
    <t>X0RJVl9SRVYuOTk0LjMxLzA3LzIwMjYuLi5VU0QuSAEAAAAgegUAAwAAAAAAwHGKMTvv3giT0dg0O+/eCD5DSVEuTkFTREFROkNBTE0uSVFfRUJJVF9FUV9JTkNfRVhDTF9TQkMuOTk4LjMxLzA3LzIwMjYuLi5VU0QuSAEAAAAgegUAAgAAAAczMDAuMjA0AQgAAAAFAAAAATEBAAAACy0xODgxMDY4Njc2AwAAAAMxNjACAAAABTI0MTMwBAAAAAEwBwAAAAk3LzMxLzIwMjYIAAAACDYvMS8yMDI0CQAAAAEwjPqKMTvv3giG+M80O+/eCD9DSVEuTkFTREFROkNBTE0uSVFfREVGRVJSRURfVEFYRVNfVE9UQUwuMTAwMC4zMS8wNy8yMDI2Li4uVVNELkgBAAAAIHoFAAIAAAAGNjcuMzYzAQgAAAAFAAAAATEBAAAACy0xODgxMDY4NjY4AwAAAAMxNjACAAAABTM1Mzg1BAAAAAEwBwAAAAk3LzMxLzIwMjYIAAAACTUvMzAvMjAyNgkAAAABML20FzE7794INNnMNDvv3gg6Q0lRLk5BU0RBUTpDQUxNLklRX05FVF9JTlRFUkVTVF9FWFAuOTk4LjMxLzA3LzIwMjYuLi5VU0QuSAEAAAAgegUAAgAAAAY0My4wNTcBCAAAAAUAAAABMQEAAAALLTE4ODEwNjg2NzYDAAAAAzE2MAIAAAADMzY4BAAAAAEwBwAAAAk3LzMxLzIwMjYIAAAACDYvMS8yMDI0CQAAAAEww5iKMTvv3gjfNNU0O+/eCDlDSVEuTkFTREFROkNBTE0uSVFfRklOX0RJVl9JTlRfRVhQLjk5NC4zMS8wNy8yMDI2Li4uVVNELkgBAAAAIHoFAAMAAAAAAMBxijE7</t>
  </si>
  <si>
    <t>794IfjbXNDvv3gg3Q0lRLk5BU0RBUTpDQUxNLklRX01FUkdFUl9TVVBQTEUuOTk0LjMxLzA3LzIwMjYuLi5VU0QuSAEAAAAgegUAAwAAAAAA8SkYMTvv3ggzQck0O+/eCDVDSVEuTkFTREFROkNBTE0uSVFfR0FJTl9JTlZFU1QuOTk3LjMxLzA3LzIwMjYuLi5VU0QuSAEAAAAgegUAAgAAAAYtMC4wMzYBCAAAAAUAAAABMQEAAAALLTE5MzQ5Nzg0MjADAAAAAzE2MAIAAAACNjIEAAAAATAHAAAACTcvMzEvMjAyNggAAAAINi8zLzIwMjMJAAAAATDDmIoxO+/eCL1x1DQ7794INUNJUS5OQVNEQVE6Q0FMTS5JUV9JTlNfRElWX1JFVi45OTcuMzEvMDcvMjAyNi4uLlVTRC5IAQAAACB6BQADAAAAAADAcYoxO+/eCJPR2DQ7794INUNJUS5OQVNEQVE6Q0FMTS5JUV9JTlRfSU5WX0lOQy45OTYuMzEvMDcvMjAyNi4uLlVTRC5IAQAAACB6BQADAAAAAADAcYoxO+/eCDJc2DQ7794ILkNJUS5OQVNEQVE6Q0FMTS5JUV9DT0dTLjk5Ni4zMS8wNy8yMDI2Li4uVVNELkgBAAAAIHoFAAIAAAAGMTQ0MC4xAQgAAAAFAAAAATEBAAAACy0xOTg2NzA4NDMzAwAAAAMxNjACAAAAAjM0BAAAAAEwBwAAAAk3LzMxLzIwMjYIAAAACTUvMjgvMjAyMgkAAAABMMBxijE7794IC9PXNDvv3ggvQ0lRLk5BU0RBUTpDQUxNLklRX0NPR1MuMTAwMC4zMS8wNy8yMDI2Li4uVVNELkgBAAAAIHoFAAIAAAAIMjIzOS41ODMBCAAAAAUAAAABMQEA</t>
  </si>
  <si>
    <t>AAALLTE4ODEwNjg2NjgDAAAAAzE2MAIAAAACMzQEAAAAATAHAAAACTcvMzEvMjAyNggAAAAJNS8zMC8yMDI2CQAAAAEwwHGKMTvv3ggDrNc0O+/eCDlDSVEuTkFTREFROkNBTE0uSVFfRUJJVERBX0VYQ0xfU0JDLjk5OS4zMS8wNy8yMDI2Li4uVVNELkgBAAAAIHoFAAIAAAAIMTY1Ni41ODQBCAAAAAUAAAABMQEAAAALLTE4ODEwNjg2NzUDAAAAAzE2MAIAAAAFMjQxMzUEAAAAATAHAAAACTcvMzEvMjAyNggAAAAJNS8zMS8yMDI1CQAAAAEw6uaKMTvv3gjmAdE0O+/eCEFDSVEuTkFTREFROkNBTE0uSVFfRUJJVERBUl9FUV9JTkNfRVhDTF9TQkMuOTk5LjMxLzA3LzIwMjYuLi5VU0QuSAEAAAAgegUAAwAAAAAAqo0XMTvv3gi0rs40O+/eCDFDSVEuTkFTREFROkNBTE0uSVFfTklfU0ZBUy45OTguMzEvMDcvMjAyNi4uLlVTRC5IAQAAACB6BQADAAAAAAC9tBcxO+/eCJP+zTQ7794IQ0NJUS5OQVNEQVE6Q0FMTS5JUV9OT05SRUNVUlJJTkdfSU5DT01FX1RBWEVTLjk5Ni4zMS8wNy8yMDI2Li4uVVNELkgBAAAAIHoFAAMAAAAAAL20FzE7794INNnMNDvv3ggxQ0lRLk5BU0RBUTpDQUxNLklRX0lOQ19UQVguOTk0LjMxLzA3LzIwMjYuLi5VU0QuSAEAAAAgegUAAgAAAAUxLjczMQEIAAAABQAAAAExAQAAAAstMjA4ODM0NzQ2OQMAAAADMTYwAgAAAAI3NQQAAAABMAcAAAAJNy8zMS8yMDI2CAAAAAk1LzMwLzIw</t>
  </si>
  <si>
    <t>MjAJAAAAATDDmIoxO+/eCAVz0zQ7794IPUNJUS5OQVNEQVE6Q0FMTS5JUV9JTlRFUkVTVF9JTlZFU1RfSU5DLjk5Ny4zMS8wNy8yMDI2Li4uVVNELkgBAAAAIHoFAAIAAAAGMjguNzkyAQgAAAAFAAAAATEBAAAACy0xOTM0OTc4NDIwAwAAAAMxNjACAAAAAjY1BAAAAAEwBwAAAAk3LzMxLzIwMjYIAAAACDYvMy8yMDIzCQAAAAEww5iKMTvv3gjbSNU0O+/eCDlDSVEuTkFTREFROkNBTE0uSVFfRVhUUkFfQUNDX0lURU1TLjk5Ni4zMS8wNy8yMDI2Li4uVVNELkgBAAAAIHoFAAMAAAAAAMOYijE7794IVjjTNDvv3ggtQ0lRLk5BU0RBUTpDQUxNLklRX1JFVi45OTYuMzEvMDcvMjAyNi4uLlVTRC5IAQAAACB6BQACAAAACDE3NzcuMTU5AQgAAAAFAAAAATEBAAAACy0xOTg2NzA4NDMzAwAAAAMxNjACAAAAAzExMgQAAAABMAcAAAAJNy8zMS8yMDI2CAAAAAk1LzI4LzIwMjIJAAAAATDAcYoxO+/eCFxP2TQ7794INUNJUS5OQVNEQVE6Q0FMTS5JUV9JTlRfSU5WX0lOQy45OTkuMzEvMDcvMjAyNi4uLlVTRC5IAQAAACB6BQADAAAAAADAcYoxO+/eCOs02DQ7794IMUNJUS5OQVNEQVE6Q0FMTS5JUV9OSV9TRkFTLjk5Ni4zMS8wNy8yMDI2Li4uVVNELkgBAAAAIHoFAAMAAAAAAL20FzE7794IiNfNNDvv3gg4Q0lRLk5BU0RBUTpDQUxNLklRX0dXX0lOVEFOX0FNT1JULjk5OS4zMS8wNy8yMDI2Li4uVVNELkgBAAAA</t>
  </si>
  <si>
    <t>IHoFAAMAAAAAAMBxijE7794ISeXVNDvv3gg6Q0lRLk5BU0RBUTpDQUxNLklRX1RPVEFMX09USEVSX09QRVIuOTk4LjMxLzA3LzIwMjYuLi5VU0QuSAEAAAAgegUAAgAAAAcyNDcuMTI1AQgAAAAFAAAAATEBAAAACy0xODgxMDY4Njc2AwAAAAMxNjACAAAAAzM4MAQAAAABMAcAAAAJNy8zMS8yMDI2CAAAAAg2LzEvMjAyNAkAAAABMMBxijE7794IIZfVNDvv3gg2Q0lRLk5BU0RBUTpDQUxNLklRX1JFU1RSVUNUVVJFLjEwMDAuMzEvMDcvMjAyNi4uLlVTRC5IAQAAACB6BQADAAAAAADDmIoxO+/eCIuY1DQ7794INENJUS5OQVNEQVE6Q0FMTS5JUV9JTlNfU0VUVExFLjk5OC4zMS8wNy8yMDI2Li4uVVNELkgBAAAAIHoFAAMAAAAAAMOYijE7794IINXTNDvv3gguQ0lRLk5BU0RBUTpDQUxNLklRX0lQUkQuOTk4LjMxLzA3LzIwMjYuLi5VU0QuSAEAAAAgegUAAwAAAAAAw5iKMTvv3giKI9Q0O+/eCDhDSVEuTkFTREFROkNBTE0uSVFfUFJFRl9ESVZfT1RIRVIuOTk2LjMxLzA3LzIwMjYuLi5VU0QuSAEAAAAgegUAAwAAAAAA07+KMTvv3gg26tI0O+/eCDtDSVEuTkFTREFROkNBTE0uSVFfU1BFQ0lBTF9ESVZfU0hBUkUuOTk1LjMxLzA3LzIwMjYuLi5VU0QuSAEAAAAgegUAAwAAAAAA07+KMTvv3ggbd9E0O+/eCDlDSVEuTkFTREFROkNBTE0uSVFfRUJJVERBX0VYQ0xfU0JDLjk5Ni4zMS8wNy8yMDI2Li4uVVNE</t>
  </si>
  <si>
    <t>LkgBAAAAIHoFAAIAAAAHMjEwLjg4NgEIAAAABQAAAAExAQAAAAstMTk4NjcwODQzMwMAAAADMTYwAgAAAAUyNDEzNQQAAAABMAcAAAAJNy8zMS8yMDI2CAAAAAk1LzI4LzIwMjIJAAAAATDq5ooxO+/eCOYB0TQ7794IOkNJUS5OQVNEQVE6Q0FMTS5JUV9FQklUREFSX0VYQ0xfU0JDLjk5Ni4zMS8wNy8yMDI2Li4uVVNELkgBAAAAIHoFAAMAAAAAAKqNFzE7794ItK7ONDvv3gg5Q0lRLk5BU0RBUTpDQUxNLklRX0dXX0lOVEFOX0FNT1JULjEwMDAuMzEvMDcvMjAyNi4uLlVTRC5IAQAAACB6BQADAAAAAADAcYoxO+/eCEnl1TQ7794INUNJUS5OQVNEQVE6Q0FMTS5JUV9GSU5fRElWX0VYUC45OTkuMzEvMDcvMjAyNi4uLlVTRC5IAQAAACB6BQADAAAAAADAcYoxO+/eCAOs1zQ7794IMkNJUS5OQVNEQVE6Q0FMTS5JUV9PUEVSX0lOQy45OTcuMzEvMDcvMjAyNi4uLlVTRC5IAQAAACB6BQACAAAABjk2NC4yNQEIAAAABQAAAAExAQAAAAstMTkzNDk3ODQyMAMAAAADMTYwAgAAAAIyMQQAAAABMAcAAAAJNy8zMS8yMDI2CAAAAAg2LzMvMjAyMwkAAAABMMBxijE7794I6G/VNDvv3ghCQ0lRLk5BU0RBUTpDQUxNLklRX09USEVSX05PTl9PUEVSX0VYUF9TVVBQTC45OTguMzEvMDcvMjAyNi4uLlVTRC5IAQAAACB6BQACAAAABjI2LjU5NAEIAAAABQAAAAExAQAAAAstMTg4MTA2ODY3NgMAAAADMTYwAgAAAAI4NQQA</t>
  </si>
  <si>
    <t>AAABMAcAAAAJNy8zMS8yMDI2CAAAAAg2LzEvMjAyNAkAAAABMMOYijE7794IwObUNDvv3gg0Q0lRLk5BU0RBUTpDQUxNLklRX1RPVEFMX1JFVi4xMDAwLjMxLzA3LzIwMjYuLi5VU0QuSAEAAAAgegUAAgAAAAgyOTExLjYzMgEIAAAABQAAAAExAQAAAAstMTg4MTA2ODY2OAMAAAADMTYwAgAAAAIyOAQAAAABMAcAAAAJNy8zMS8yMDI2CAAAAAk1LzMwLzIwMjYJAAAAATDAcYoxO+/eCAOs1zQ7794IO0NJUS5OQVNEQVE6Q0FMTS5JUV9TUEVDSUFMX0RJVl9TSEFSRS45OTQuMzEvMDcvMjAyNi4uLlVTRC5IAQAAACB6BQADAAAAAADTv4oxO+/eCAqe0TQ7794INUNJUS5OQVNEQVE6Q0FMTS5JUV9JTlRfSU5WX0lOQy45OTcuMzEvMDcvMjAyNi4uLlVTRC5IAQAAACB6BQADAAAAAADAcYoxO+/eCDJc2DQ7794IOUNJUS5OQVNEQVE6Q0FMTS5JUV9GSU5fRElWX0lOVF9FWFAuOTk4LjMxLzA3LzIwMjYuLi5VU0QuSAEAAAAgegUAAwAAAAAAwHGKMTvv3gh+Ntc0O+/eCDdDSVEuTkFTREFROkNBTE0uSVFfUFJFX09QRU5fQ09TVC45OTUuMzEvMDcvMjAyNi4uLlVTRC5IAQAAACB6BQADAAAAAADAcYoxO+/eCEwz1jQ7794IPUNJUS5OQVNEQVE6Q0FMTS5JUV9JTlRFUkVTVF9JTlZFU1RfSU5DLjk5OC4zMS8wNy8yMDI2Li4uVVNELkgBAAAAIHoFAAIAAAAGNDMuNjA2AQgAAAAFAAAAATEBAAAACy0xODgxMDY4Njc2</t>
  </si>
  <si>
    <t>AwAAAAMxNjACAAAAAjY1BAAAAAEwBwAAAAk3LzMxLzIwMjYIAAAACDYvMS8yMDI0CQAAAAEww5iKMTvv3gjbSNU0O+/eCC5DSVEuTkFTREFROkNBTE0uSVFfRUJULjEwMDAuMzEvMDcvMjAyNi4uLlVTRC5IAQAAACB6BQACAAAABzQxMS4wMDQBCAAAAAUAAAABMQEAAAALLTE4ODEwNjg2NjgDAAAAAzE2MAIAAAADMTM5BAAAAAEwBwAAAAk3LzMxLzIwMjYIAAAACTUvMzAvMjAyNgkAAAABMMOYijE7794IBXPTNDvv3gg3Q0lRLk5BU0RBUTpDQUxNLklRX0NVUlJFTkNZX0dBSU4uOTk2LjMxLzA3LzIwMjYuLi5VU0QuSAEAAAAgegUAAwAAAAAAw5iKMTvv3gjA5tQ0O+/eCDRDSVEuTkFTREFROkNBTE0uSVFfSU5TX1NFVFRMRS45OTYuMzEvMDcvMjAyNi4uLlVTRC5IAQAAACB6BQACAAAABTUuNDkyAQgAAAAFAAAAATEBAAAACy0xOTg2NzA4NDMzAwAAAAMxNjACAAAAAjczBAAAAAEwBwAAAAk3LzMxLzIwMjYIAAAACTUvMjgvMjAyMgkAAAABMMOYijE7794IINXTNDvv3gg4Q0lRLk5BU0RBUTpDQUxNLklRX1BSRUZfRElWX09USEVSLjk5NS4zMS8wNy8yMDI2Li4uVVNELkgBAAAAIHoFAAMAAAAAANO/ijE7794INurSNDvv3gg4Q0lRLk5BU0RBUTpDQUxNLklRX0JBU0lDX0VQU19FWENMLjk5OS4zMS8wNy8yMDI2Li4uVVNELkgBAAAAIHoFAAIAAAAIMjUuMDQyNTUBCAAAAAUAAAABMQEAAAALLTE4ODEwNjg2</t>
  </si>
  <si>
    <t>NzUDAAAAAzE2MAIAAAAEMzA2NAQAAAABMAcAAAAJNy8zMS8yMDI2CAAAAAk1LzMxLzIwMjUJAAAAATDTv4oxO+/eCAV10jQ7794IN0NJUS5OQVNEQVE6Q0FMTS5JUV9QUkVfT1BFTl9DT1NULjk5NC4zMS8wNy8yMDI2Li4uVVNELkgBAAAAIHoFAAMAAAAAAMBxijE7794ITDPWNDvv3ggxQ0lRLk5BU0RBUTpDQUxNLklRX05JX1NGQVMuOTk5LjMxLzA3LzIwMjYuLi5VU0QuSAEAAAAgegUAAwAAAAAAvbQXMTvv3giI1800O+/eCDVDSVEuTkFTREFROkNBTE0uSVFfQ09NTU9OX0RJVi4xMDAwLjMxLzA3LzIwMjYuLi5VU0QuSAEAAAAgegUAAgAAAAcxMTcuNTAyAMzbFzE7794I1IzLNDvv3gg3Q0lRLk5BU0RBUTpDQUxNLklRX0VYUExPUkVfRFJJTEwuOTk5LjMxLzA3LzIwMjYuLi5VU0QuSAEAAAAgegUAAwAAAAAAwHGKMTvv3giW19Y0O+/eCDdDSVEuTkFTREFROkNBTE0uSVFfQ1VSUkVOQ1lfR0FJTi45OTcuMzEvMDcvMjAyNi4uLlVTRC5IAQAAACB6BQADAAAAAADDmIoxO+/eCMDm1DQ7794IOkNJUS5OQVNEQVE6Q0FMTS5JUV9UT1RBTF9PVEhFUl9PUEVSLjk5Ny4zMS8wNy8yMDI2Li4uVVNELkgBAAAAIHoFAAIAAAAHMjMyLjIwNwEIAAAABQAAAAExAQAAAAstMTkzNDk3ODQyMAMAAAADMTYwAgAAAAMzODAEAAAAATAHAAAACTcvMzEvMjAyNggAAAAINi8zLzIwMjMJAAAAATDAcYoxO+/eCOhv1TQ7794I</t>
  </si>
  <si>
    <t>QkNJUS5OQVNEQVE6Q0FMTS5JUV9ESVNUUklCVVRBQkxFX0NBU0hfU0hBUkUuOTk2LjMxLzA3LzIwMjYuLi5VU0QuSAEAAAAgegUAAwAAAAAA07+KMTvv3ggKntE0O+/eCEBDSVEuTkFTREFROkNBTE0uSVFfRUJJVERBX0VRX0lOQ19FWENMX1NCQy45OTguMzEvMDcvMjAyNi4uLlVTRC5IAQAAACB6BQACAAAABzM4MC40NDUBCAAAAAUAAAABMQEAAAALLTE4ODEwNjg2NzYDAAAAAzE2MAIAAAAFMjQxMzEEAAAAATAHAAAACTcvMzEvMjAyNggAAAAINi8xLzIwMjQJAAAAATDq5ooxO+/eCOYB0TQ7794ILUNJUS5OQVNEQVE6Q0FMTS5JUV9SRVYuOTk3LjMxLzA3LzIwMjYuLi5VU0QuSAEAAAAgegUAAgAAAAgzMTQ2LjIxNwEIAAAABQAAAAExAQAAAAstMTkzNDk3ODQyMAMAAAADMTYwAgAAAAMxMTIEAAAAATAHAAAACTcvMzEvMjAyNggAAAAINi8zLzIwMjMJAAAAATDAcYoxO+/eCFxP2TQ7794IOUNJUS5OQVNEQVE6Q0FMTS5JUV9GSU5fRElWX0lOVF9FWFAuOTk3LjMxLzA3LzIwMjYuLi5VU0QuSAEAAAAgegUAAwAAAAAAwHGKMTvv3gh+Ntc0O+/eCDRDSVEuTkFTREFROkNBTE0uSVFfSU5TX1NFVFRMRS45OTUuMzEvMDcvMjAyNi4uLlVTRC5IAQAAACB6BQADAAAAAADDmIoxO+/eCCDV0zQ7794INENJUS5OQVNEQVE6Q0FMTS5JUV9JTlNfU0VUVExFLjk5OS4zMS8wNy8yMDI2Li4uVVNELkgBAAAAIHoFAAMA</t>
  </si>
  <si>
    <t>AAAAAMOYijE7794IUPzTNDvv3ggtQ0lRLk5BU0RBUTpDQUxNLklRX05JLjEwMDAuMzEvMDcvMjAyNi4uLlVTRC5IAQAAACB6BQACAAAABzMxNi42ODIBCAAAAAUAAAABMQEAAAALLTE4ODEwNjg2NjgDAAAAAzE2MAIAAAACMTUEAAAAATAHAAAACTcvMzEvMjAyNggAAAAJNS8zMC8yMDI2CQAAAAEw07+KMTvv3ggpw9I0O+/eCDtDSVEuTkFTREFROkNBTE0uSVFfU1BFQ0lBTF9ESVZfU0hBUkUuOTk2LjMxLzA3LzIwMjYuLi5VU0QuSAEAAAAgegUAAwAAAAAA07+KMTvv3ggbd9E0O+/eCDlDSVEuTkFTREFROkNBTE0uSVFfRklOX0RJVl9JTlRfRVhQLjk5Ni4zMS8wNy8yMDI2Li4uVVNELkgBAAAAIHoFAAMAAAAAAMBxijE7794IfjbXNDvv3gg1Q0lRLk5BU0RBUTpDQUxNLklRX0dBSU5fQVNTRVRTLjk5NC4zMS8wNy8yMDI2Li4uVVNELkgBAAAAIHoFAAIAAAAGLTAuMDgyAQgAAAAFAAAAATEBAAAACy0yMDg4MzQ3NDY5AwAAAAMxNjACAAAAAjU2BAAAAAEwBwAAAAk3LzMxLzIwMjYIAAAACTUvMzAvMjAyMAkAAAABMMOYijE7794IfkrUNDvv3gg1Q0lRLk5BU0RBUTpDQUxNLklRX1JFU1RSVUNUVVJFLjk5OS4zMS8wNy8yMDI2Li4uVVNELkgBAAAAIHoFAAMAAAAAAMOYijE7794Ii5jUNDvv3gg4Q0lRLk5BU0RBUTpDQUxNLklRX0VYUExPUkVfRFJJTEwuMTAwMC4zMS8wNy8yMDI2Li4uVVNELkgBAAAAIHoF</t>
  </si>
  <si>
    <t>AAMAAAAAAMBxijE7794IoYLWNDvv3ghCQ0lRLk5BU0RBUTpDQUxNLklRX09USEVSX05PTl9PUEVSX0VYUF9TVVBQTC45OTYuMzEvMDcvMjAyNi4uLlVTRC5IAQAAACB6BQACAAAABTkuNzE1AQgAAAAFAAAAATEBAAAACy0xOTg2NzA4NDMzAwAAAAMxNjACAAAAAjg1BAAAAAEwBwAAAAk3LzMxLzIwMjYIAAAACTUvMjgvMjAyMgkAAAABMMOYijE7794IwObUNDvv3ggwQ0lRLk5BU0RBUTpDQUxNLklRX01FUkdFUi45OTYuMzEvMDcvMjAyNi4uLlVTRC5IAQAAACB6BQADAAAAAADDmIoxO+/eCIuY1DQ7794IOENJUS5OQVNEQVE6Q0FMTS5JUV9HV19JTlRBTl9BTU9SVC45OTguMzEvMDcvMjAyNi4uLlVTRC5IAQAAACB6BQADAAAAAADAcYoxO+/eCEnl1TQ7794IOENJUS5OQVNEQVE6Q0FMTS5JUV9CQVNJQ19FUFNfRVhDTC45OTguMzEvMDcvMjAyNi4uLlVTRC5IAQAAACB6BQACAAAACDUuNzA0MTI3AQgAAAAFAAAAATEBAAAACy0xODgxMDY4Njc2AwAAAAMxNjACAAAABDMwNjQEAAAAATAHAAAACTcvMzEvMjAyNggAAAAINi8xLzIwMjQJAAAAATDTv4oxO+/eCPZN0jQ7794IO0NJUS5OQVNEQVE6Q0FMTS5JUV9FQklUREFSX0VYQ0xfU0JDLjEwMDAuMzEvMDcvMjAyNi4uLlVTRC5IAQAAACB6BQADAAAAAACqjRcxO+/eCLSuzjQ7794IOUNJUS5OQVNEQVE6Q0FMTS5JUV9JTlRFUkVTVF9JTkNPTUUuOTk2LjMx</t>
  </si>
  <si>
    <t>LzA3LzIwMjYuLi5VU0QuSAEAAAAgegUAAgAAAAYxMS4xMTgBCAAAAAUAAAABMQEAAAALLTE5ODY3MDg0MzMDAAAAAzE2MAIAAAADMjEwBAAAAAEwBwAAAAk3LzMxLzIwMjYIAAAACTUvMjgvMjAyMgkAAAABML20FzE7794IiNfNNDvv3gg+Q0lRLk5BU0RBUTpDQUxNLklRX1RPVEFMX1VOVVNVQUxfU1VQUExFLjk5OC4zMS8wNy8yMDI2Li4uVVNELkgBAAAAIHoFAAMAAAAAAPEpGDE7794I32nINDvv3gg4Q0lRLk5BU0RBUTpDQUxNLklRX1BSRV9PUEVOX0NPU1QuMTAwMC4zMS8wNy8yMDI2Li4uVVNELkgBAAAAIHoFAAMAAAAAAMBxijE7794IUgzWNDvv3ggxQ0lRLk5BU0RBUTpDQUxNLklRX0lOQ19UQVguOTk1LjMxLzA3LzIwMjYuLi5VU0QuSAEAAAAgegUAAgAAAActMTIuMDA5AQgAAAAFAAAAATEBAAAACy0yMDM3MjQxNzIxAwAAAAMxNjACAAAAAjc1BAAAAAEwBwAAAAk3LzMxLzIwMjYIAAAACTUvMjkvMjAyMQkAAAABMMOYijE7794IBXPTNDvv3ggtQ0lRLk5BU0RBUTpDQUxNLklRX1JFVi45OTUuMzEvMDcvMjAyNi4uLlVTRC5IAQAAACB6BQACAAAACDEzNDguOTg3AQgAAAAFAAAAATEBAAAACy0yMDM3MjQxNzIxAwAAAAMxNjACAAAAAzExMgQAAAABMAcAAAAJNy8zMS8yMDI2CAAAAAk1LzI5LzIwMjEJAAAAATDAcYoxO+/eCFxP2TQ7794INUNJUS5OQVNEQVE6Q0FMTS5JUV9JTlNfRElWX1JFVi45</t>
  </si>
  <si>
    <t>OTkuMzEvMDcvMjAyNi4uLlVTRC5IAQAAACB6BQADAAAAAADAcYoxO+/eCIGq2DQ7794INUNJUS5OQVNEQVE6Q0FMTS5JUV9JTlRfSU5WX0lOQy45OTguMzEvMDcvMjAyNi4uLlVTRC5IAQAAACB6BQADAAAAAADAcYoxO+/eCOs02DQ7794IQkNJUS5OQVNEQVE6Q0FMTS5JUV9PVEhFUl9OT05fT1BFUl9FWFBfU1VQUEwuOTk1LjMxLzA3LzIwMjYuLi5VU0QuSAEAAAAgegUAAgAAAAU1LjQyNQEIAAAABQAAAAExAQAAAAstMjAzNzI0MTcyMQMAAAADMTYwAgAAAAI4NQQAAAABMAcAAAAJNy8zMS8yMDI2CAAAAAk1LzI5LzIwMjEJAAAAATDDmIoxO+/eCMDm1DQ7794IQkNJUS5OQVNEQVE6Q0FMTS5JUV9PVEhFUl9OT05fT1BFUl9FWFBfU1VQUEwuOTk3LjMxLzA3LzIwMjYuLi5VU0QuSAEAAAAgegUAAgAAAAQ1LjI1AQgAAAAFAAAAATEBAAAACy0xOTM0OTc4NDIwAwAAAAMxNjACAAAAAjg1BAAAAAEwBwAAAAk3LzMxLzIwMjYIAAAACDYvMy8yMDIzCQAAAAEww5iKMTvv3gjA5tQ0O+/eCC1DSVEuTkFTREFROkNBTE0uSVFfUkVWLjk5NC4zMS8wNy8yMDI2Li4uVVNELkgBAAAAIHoFAAIAAAAIMTM1MS42MDkBCAAAAAUAAAABMQEAAAALLTIwODgzNDc0NjkDAAAAAzE2MAIAAAADMTEyBAAAAAEwBwAAAAk3LzMxLzIwMjYIAAAACTUvMzAvMjAyMAkAAAABMMBxijE7794IXE/ZNDvv3gg5Q0lRLk5BU0RBUTpDQUxN</t>
  </si>
  <si>
    <t>LklRX0dBSU5fQVNTRVRTX1JFVi45OTQuMzEvMDcvMjAyNi4uLlVTRC5IAQAAACB6BQADAAAAAADAcYoxO+/eCJPR2DQ7794IOUNJUS5OQVNEQVE6Q0FMTS5JUV9PVEhFUl9SRVZfU1VQUEwuOTk1LjMxLzA3LzIwMjYuLi5VU0QuSAEAAAAgegUAAwAAAAAAwHGKMTvv3gjrNNg0O+/eCDhDSVEuTkFTREFROkNBTE0uSVFfQkFTSUNfRVBTX0VYQ0wuOTk2LjMxLzA3LzIwMjYuLi5VU0QuSAEAAAAgegUAAgAAAAgyLjczMDQ5MQEIAAAABQAAAAExAQAAAAstMTk4NjcwODQzMwMAAAADMTYwAgAAAAQzMDY0BAAAAAEwBwAAAAk3LzMxLzIwMjYIAAAACTUvMjgvMjAyMgkAAAABMNO/ijE7794I9k3SNDvv3gg5Q0lRLk5BU0RBUTpDQUxNLklRX09USEVSX1JFVl9TVVBQTC45OTQuMzEvMDcvMjAyNi4uLlVTRC5IAQAAACB6BQADAAAAAADAcYoxO+/eCB/61zQ7794IOENJUS5OQVNEQVE6Q0FMTS5JUV9QUk9WX0JBRF9ERUJUUy45OTcuMzEvMDcvMjAyNi4uLlVTRC5IAQAAACB6BQADAAAAAADAcYoxO+/eCKGC1jQ7794IN0NJUS5OQVNEQVE6Q0FMTS5JUV9QUkVfT1BFTl9DT1NULjk5OS4zMS8wNy8yMDI2Li4uVVNELkgBAAAAIHoFAAMAAAAAAMBxijE7794IUgzWNDvv3ggyQ0lRLk5BU0RBUTpDQUxNLklRX09QRVJfSU5DLjk5OC4zMS8wNy8yMDI2Li4uVVNELkgBAAAAIHoFAAIAAAAHMjk0LjQ0NgEIAAAABQAAAAEx</t>
  </si>
  <si>
    <t>AQAAAAstMTg4MTA2ODY3NgMAAAADMTYwAgAAAAIyMQQAAAABMAcAAAAJNy8zMS8yMDI2CAAAAAg2LzEvMjAyNAkAAAABMMBxijE7794I6G/VNDvv3ggyQ0lRLk5BU0RBUTpDQUxNLklRX0lOQ19UQVguMTAwMC4zMS8wNy8yMDI2Li4uVVNELkgBAAAAIHoFAAIAAAAGOTIuODkyAQgAAAAFAAAAATEBAAAACy0xODgxMDY4NjY4AwAAAAMxNjACAAAAAjc1BAAAAAEwBwAAAAk3LzMxLzIwMjYIAAAACTUvMzAvMjAyNgkAAAABMMOYijE7794IBXPTNDvv3ggwQ0lRLk5BU0RBUTpDQUxNLklRX01FUkdFUi45OTUuMzEvMDcvMjAyNi4uLlVTRC5IAQAAACB6BQADAAAAAADDmIoxO+/eCIuY1DQ7794INkNJUS5OQVNEQVE6Q0FMTS5JUV9HQUlOX0FTU0VUUy4xMDAwLjMxLzA3LzIwMjYuLi5VU0QuSAEAAAAgegUAAgAAAAYtMS4zOTEBCAAAAAUAAAABMQEAAAALLTE4ODEwNjg2NjgDAAAAAzE2MAIAAAACNTYEAAAAATAHAAAACTcvMzEvMjAyNggAAAAJNS8zMC8yMDI2CQAAAAEww5iKMTvv3gh+StQ0O+/eCDRDSVEuTkFTREFROkNBTE0uSVFfTklfQ09NUEFOWS45OTcuMzEvMDcvMjAyNi4uLlVTRC5IAQAAACB6BQACAAAABzc1Ni43MzIBCAAAAAUAAAABMQEAAAALLTE5MzQ5Nzg0MjADAAAAAzE2MAIAAAAFNDE1NzEEAAAAATAHAAAACTcvMzEvMjAyNggAAAAINi8zLzIwMjMJAAAAATDDmIoxO+/eCEIR0zQ7794IOENJ</t>
  </si>
  <si>
    <t>US5OQVNEQVE6Q0FMTS5JUV9QUkVGX0RJVl9PVEhFUi45OTguMzEvMDcvMjAyNi4uLlVTRC5IAQAAACB6BQADAAAAAADTv4oxO+/eCCnD0jQ7794IQENJUS5OQVNEQVE6Q0FMTS5JUV9FQklUREFfTEVBU0VfQURKVVNURUQuMTAwMC4zMS8wNy8yMDI2Li4uVVNELkgBAAAAIHoFAAIAAAAHNDY3LjY5NAEIAAAABQAAAAExAQAAAAstMTg4MTA2ODY2OAMAAAADMTYwAgAAAAU0ODk5MwQAAAABMAcAAAAJNy8zMS8yMDI2CAAAAAk1LzMwLzIwMjYJAAAAATDq5ooxO+/eCIja0DQ7794IMkNJUS5OQVNEQVE6Q0FMTS5JUV9FUFNfTk9STS45OTQuMzEvMDcvMjAyNi4uLlVTRC5IAQAAACB6BQACAAAACDAuMjU5MjMzAQgAAAAFAAAAATEBAAAACy0yMDg4MzQ3NDY5AwAAAAMxNjACAAAABDQzNzkEAAAAATAHAAAACTcvMzEvMjAyNggAAAAJNS8zMC8yMDIwCQAAAAEw07+KMTvv3gjKJtI0O+/eCDxDSVEuTkFTREFROkNBTE0uSVFfU1BFQ0lBTF9ESVZfU0hBUkUuMTAwMC4zMS8wNy8yMDI2Li4uVVNELkgBAAAAIHoFAAMAAAAAANO/ijE7794IG3fRNDvv3ggvQ0lRLk5BU0RBUTpDQUxNLklRX0VCSVRBLjk5Ni4zMS8wNy8yMDI2Li4uVVNELkgBAAAAIHoFAAIAAAAHMTM4LjQyOAEIAAAABQAAAAExAQAAAAstMTk4NjcwODQzMwMAAAADMTYwAgAAAAYxMDA2ODkEAAAAATAHAAAACTcvMzEvMjAyNggAAAAJNS8yOC8yMDIy</t>
  </si>
  <si>
    <t>CQAAAAEwqo0XMTvv3ghL0c80O+/eCDJDSVEuTkFTREFROkNBTE0uSVFfRElMVVRfTkkuOTk4LjMxLzA3LzIwMjYuLi5VU0QuSAEAAAAgegUAAgAAAAkyNzguMDg3MzcBCAAAAAUAAAABMQEAAAALLTE4ODEwNjg2NzYDAAAAAzE2MAIAAAAEMzUyMgQAAAABMAcAAAAJNy8zMS8yMDI2CAAAAAg2LzEvMjAyNAkAAAABML20FzE7794IN4vMNDvv3ggsQ0lRLk5BU0RBUTpDQUxNLklRX0dQLjk5OC4zMS8wNy8yMDI2Li4uVVNELkgBAAAAIHoFAAIAAAAHNTQxLjU3MQEIAAAABQAAAAExAQAAAAstMTg4MTA2ODY3NgMAAAADMTYwAgAAAAIxMAQAAAABMAcAAAAJNy8zMS8yMDI2CAAAAAg2LzEvMjAyNAkAAAABMMBxijE7794IZQPXNDvv3gg0Q0lRLk5BU0RBUTpDQUxNLklRX05JX0NPTVBBTlkuOTk2LjMxLzA3LzIwMjYuLi5VU0QuSAEAAAAgegUAAgAAAAcxMzIuNDQxAQgAAAAFAAAAATEBAAAACy0xOTg2NzA4NDMzAwAAAAMxNjACAAAABTQxNTcxBAAAAAEwBwAAAAk3LzMxLzIwMjYIAAAACTUvMjgvMjAyMgkAAAABMMOYijE7794IQhHTNDvv3gg3Q0lRLk5BU0RBUTpDQUxNLklRX05JX0FWQUlMX0lOQ0wuOTk1LjMxLzA3LzIwMjYuLi5VU0QuSAEAAAAgegUAAgAAAAQyLjA2AQgAAAAFAAAAATEBAAAACy0yMDM3MjQxNzIxAwAAAAMxNjACAAAAAjE2BAAAAAEwBwAAAAk3LzMxLzIwMjYIAAAACTUvMjkvMjAyMQkA</t>
  </si>
  <si>
    <t>AAABMNO/ijE7794IKcPSNDvv3gg4Q0lRLk5BU0RBUTpDQUxNLklRX0JBU0lDX0VQU19FWENMLjk5NS4zMS8wNy8yMDI2Li4uVVNELkgBAAAAIHoFAAIAAAAIMC4wNDI0NTQBCAAAAAUAAAABMQEAAAALLTIwMzcyNDE3MjEDAAAAAzE2MAIAAAAEMzA2NAQAAAABMAcAAAAJNy8zMS8yMDI2CAAAAAk1LzI5LzIwMjEJAAAAATDTv4oxO+/eCPZN0jQ7794IO0NJUS5OQVNEQVE6Q0FMTS5JUV9TUEVDSUFMX0RJVl9TSEFSRS45OTkuMzEvMDcvMjAyNi4uLlVTRC5IAQAAACB6BQADAAAAAADTv4oxO+/eCBt30TQ7794IMUNJUS5OQVNEQVE6Q0FMTS5JUV9JTkNfVEFYLjk5OC4zMS8wNy8yMDI2Li4uVVNELkgBAAAAIHoFAAIAAAAGODMuNjg5AQgAAAAFAAAAATEBAAAACy0xODgxMDY4Njc2AwAAAAMxNjACAAAAAjc1BAAAAAEwBwAAAAk3LzMxLzIwMjYIAAAACDYvMS8yMDI0CQAAAAEww5iKMTvv3ggFc9M0O+/eCC9DSVEuTkFTREFROkNBTE0uSVFfRUJJVEEuOTk5LjMxLzA3LzIwMjYuLi5VU0QuSAEAAAAgegUAAgAAAAgxNTYwLjE5NAEIAAAABQAAAAExAQAAAAstMTg4MTA2ODY3NQMAAAADMTYwAgAAAAYxMDA2ODkEAAAAATAHAAAACTcvMzEvMjAyNggAAAAJNS8zMS8yMDI1CQAAAAEwqo0XMTvv3ghql880O+/eCDlDSVEuTkFTREFROkNBTE0uSVFfSU5URVJFU1RfSU5DT01FLjk5OC4zMS8wNy8yMDI2Li4uVVNE</t>
  </si>
  <si>
    <t>LkgBAAAAIHoFAAIAAAAGNDMuNjA2AQgAAAAFAAAAATEBAAAACy0xODgxMDY4Njc2AwAAAAMxNjACAAAAAzIxMAQAAAABMAcAAAAJNy8zMS8yMDI2CAAAAAg2LzEvMjAyNAkAAAABML20FzE7794IerDNNDvv3gg+Q0lRLk5BU0RBUTpDQUxNLklRX0NBUElUQUxJWkVEX0lOVEVSRVNULjk5NS4zMS8wNy8yMDI2Li4uVVNELkgBAAAAIHoFAAMAAAAAAL20FzE7794IN4vMNDvv3gg1Q0lRLk5BU0RBUTpDQUxNLklRX0ZJTl9ESVZfRVhQLjk5OC4zMS8wNy8yMDI2Li4uVVNELkgBAAAAIHoFAAMAAAAAAMBxijE7794I/4TXNDvv3gg7Q0lRLk5BU0RBUTpDQUxNLklRX0lOVkVTVE1FTlRfSU5DT01FLjk5NS4zMS8wNy8yMDI2Li4uVVNELkgBAAAAIHoFAAMAAAAAAL20FzE7794IerDNNDvv3ggwQ0lRLk5BU0RBUTpDQUxNLklRX1JEX0VYUC45OTkuMzEvMDcvMjAyNi4uLlVTRC5IAQAAACB6BQADAAAAAADAcYoxO+/eCFIM1jQ7794INUNJUS5OQVNEQVE6Q0FMTS5JUV9JTVBBSVJfT0lMLjEwMDAuMzEvMDcvMjAyNi4uLlVTRC5IAQAAACB6BQADAAAAAADAcYoxO+/eCD2+1TQ7794IMkNJUS5OQVNEQVE6Q0FMTS5JUV9PUEVSX0lOQy45OTYuMzEvMDcvMjAyNi4uLlVTRC5IAQAAACB6BQACAAAABzEzOC40MjgBCAAAAAUAAAABMQEAAAALLTE5ODY3MDg0MzMDAAAAAzE2MAIAAAACMjEEAAAAATAHAAAACTcvMzEvMjAy</t>
  </si>
  <si>
    <t>NggAAAAJNS8yOC8yMDIyCQAAAAEwwHGKMTvv3gjob9U0O+/eCDpDSVEuTkFTREFROkNBTE0uSVFfTkVUX0lOVEVSRVNUX0VYUC45OTYuMzEvMDcvMjAyNi4uLlVTRC5IAQAAACB6BQACAAAABjEwLjcxNQEIAAAABQAAAAExAQAAAAstMTk4NjcwODQzMwMAAAADMTYwAgAAAAMzNjgEAAAAATAHAAAACTcvMzEvMjAyNggAAAAJNS8yOC8yMDIyCQAAAAEww5iKMTvv3gjfNNU0O+/eCDJDSVEuTkFTREFROkNBTE0uSVFfT1BFUl9JTkMuOTk1LjMxLzA3LzIwMjYuLi5VU0QuSAEAAAAgegUAAgAAAActMjMuMjgyAQgAAAAFAAAAATEBAAAACy0yMDM3MjQxNzIxAwAAAAMxNjACAAAAAjIxBAAAAAEwBwAAAAk3LzMxLzIwMjYIAAAACTUvMjkvMjAyMQkAAAABMMBxijE7794I6G/VNDvv3gg0Q0lRLk5BU0RBUTpDQUxNLklRX05JX0NPTVBBTlkuOTk0LjMxLzA3LzIwMjYuLi5VU0QuSAEAAAAgegUAAgAAAAYxOC4zMjgBCAAAAAUAAAABMQEAAAALLTIwODgzNDc0NjkDAAAAAzE2MAIAAAAFNDE1NzEEAAAAATAHAAAACTcvMzEvMjAyNggAAAAJNS8zMC8yMDIwCQAAAAEww5iKMTvv3ghCEdM0O+/eCEFDSVEuTkFTREFROkNBTE0uSVFfTEVBU0VfQURKVVNUTUVOVF9FQklUREEuOTk1LjMxLzA3LzIwMjYuLi5VU0QuSAEAAAAgegUAAgAAAAg0LjU1NTk5OQDq5ooxO+/eCIja0DQ7794INkNJUS5OQVNEQVE6Q0FMTS5JUV9F</t>
  </si>
  <si>
    <t>QklUQV9FUV9JTkMuOTk2LjMxLzA3LzIwMjYuLi5VU0QuSAEAAAAgegUAAgAAAAcxNDAuMzcxAQgAAAAFAAAAATEBAAAACy0xOTg2NzA4NDMzAwAAAAMxNjACAAAABTIxNjc2BAAAAAEwBwAAAAk3LzMxLzIwMjYIAAAACTUvMjgvMjAyMgkAAAABMKqNFzE7794IapfPNDvv3gg3Q0lRLk5BU0RBUTpDQUxNLklRX0VCSVREQV9DQVBFWC4xMDAwLjMxLzA3LzIwMjYuLi5VU0QuSAEAAAAgegUAAgAAAAczMTYuNDc0AQgAAAAFAAAAATEBAAAACy0xODgxMDY4NjY4AwAAAAMxNjACAAAABTM1Mzc5BAAAAAEwBwAAAAk3LzMxLzIwMjYIAAAACTUvMzAvMjAyNgkAAAABMKqNFzE7794ItK7ONDvv3gg0Q0lRLk5BU0RBUTpDQUxNLklRX0VBUk5JTkdfQ08uOTk0LjMxLzA3LzIwMjYuLi5VU0QuSAEAAAAgegUAAgAAAAYxOC4zMjgBCAAAAAUAAAABMQEAAAALLTIwODgzNDc0NjkDAAAAAzE2MAIAAAABNwQAAAABMAcAAAAJNy8zMS8yMDI2CAAAAAk1LzMwLzIwMjAJAAAAATDDmIoxO+/eCAVz0zQ7794IPENJUS5OQVNEQVE6Q0FMTS5JUV9TVE9DS19PUFRJT05TX0NPTVAuOTk1LjMxLzA3LzIwMjYuLi5VU0QuSAEAAAAgegUAAwAAAAAAziD2MDvv3ghWnsY0O+/eCCxDSVEuTkFTREFROkNBTE0uSVFfR1AuOTk2LjMxLzA3LzIwMjYuLi5VU0QuSAEAAAAgegUAAgAAAAczMzcuMDU5AQgAAAAFAAAAATEBAAAACy0xOTg2NzA4</t>
  </si>
  <si>
    <t>NDMzAwAAAAMxNjACAAAAAjEwBAAAAAEwBwAAAAk3LzMxLzIwMjYIAAAACTUvMjgvMjAyMgkAAAABMMBxijE7794IZQPXNDvv3ggwQ0lRLk5BU0RBUTpDQUxNLklRX1JEX0VYUC45OTguMzEvMDcvMjAyNi4uLlVTRC5IAQAAACB6BQADAAAAAADAcYoxO+/eCFIM1jQ7794INENJUS5OQVNEQVE6Q0FMTS5JUV9JTVBBSVJfT0lMLjk5OS4zMS8wNy8yMDI2Li4uVVNELkgBAAAAIHoFAAMAAAAAAMBxijE7794IPb7VNDvv3gg2Q0lRLk5BU0RBUTpDQUxNLklRX0VCSVRBX0VRX0lOQy45OTguMzEvMDcvMjAyNi4uLlVTRC5IAQAAACB6BQACAAAABzI5OC4wMTkBCAAAAAUAAAABMQEAAAALLTE4ODEwNjg2NzYDAAAAAzE2MAIAAAAFMjE2NzYEAAAAATAHAAAACTcvMzEvMjAyNggAAAAINi8xLzIwMjQJAAAAATCqjRcxO+/eCF5wzzQ7794IOkNJUS5OQVNEQVE6Q0FMTS5JUV9ORVRfSU5URVJFU1RfRVhQLjk5NC4zMS8wNy8yMDI2Li4uVVNELkgBAAAAIHoFAAIAAAAFMTQuNTYBCAAAAAUAAAABMQEAAAALLTIwODgzNDc0NjkDAAAAAzE2MAIAAAADMzY4BAAAAAEwBwAAAAk3LzMxLzIwMjYIAAAACTUvMzAvMjAyMAkAAAABMMOYijE7794I3zTVNDvv3ghDQ0lRLk5BU0RBUTpDQUxNLklRX09USEVSX05PTl9PUEVSX0VYUF9TVVBQTC4xMDAwLjMxLzA3LzIwMjYuLi5VU0QuSAEAAAAgegUAAgAAAAYxMy4wOTIBCAAAAAUA</t>
  </si>
  <si>
    <t>AAABMQEAAAALLTE4ODEwNjg2NjgDAAAAAzE2MAIAAAACODUEAAAAATAHAAAACTcvMzEvMjAyNggAAAAJNS8zMC8yMDI2CQAAAAEww5iKMTvv3gjA5tQ0O+/eCDFDSVEuTkFTREFROkNBTE0uSVFfTUVSR0VSLjEwMDAuMzEvMDcvMjAyNi4uLlVTRC5IAQAAACB6BQACAAAABi0wLjU5NAEIAAAABQAAAAExAQAAAAstMTg4MTA2ODY2OAMAAAADMTYwAgAAAAI4MAQAAAABMAcAAAAJNy8zMS8yMDI2CAAAAAk1LzMwLzIwMjYJAAAAATDDmIoxO+/eCIuY1DQ7794IN0NJUS5OQVNEQVE6Q0FMTS5JUV9MRUdBTF9TRVRUTEUuMTAwMC4zMS8wNy8yMDI2Li4uVVNELkgBAAAAIHoFAAMAAAAAAMOYijE7794I9K3TNDvv3ghBQ0lRLk5BU0RBUTpDQUxNLklRX0VYQ0lTRV9UQVhFU19JTkNMX1NBTEVTLjk5OS4zMS8wNy8yMDI2Li4uVVNELkgBAAAAIHoFAAMAAAAAAL20FzE7794INYnNNDvv3gg4Q0lRLk5BU0RBUTpDQUxNLklRX05JX0FWQUlMX0lOQ0wuMTAwMC4zMS8wNy8yMDI2Li4uVVNELkgBAAAAIHoFAAIAAAAHMzE2LjY4MgEIAAAABQAAAAExAQAAAAstMTg4MTA2ODY2OAMAAAADMTYwAgAAAAIxNgQAAAABMAcAAAAJNy8zMS8yMDI2CAAAAAk1LzMwLzIwMjYJAAAAATDTv4oxO+/eCCnD0jQ7794IQUNJUS5OQVNEQVE6Q0FMTS5JUV9MRUFTRV9BREpVU1RNRU5UX0VCSVREQS45OTQuMzEvMDcvMjAyNi4uLlVTRC5I</t>
  </si>
  <si>
    <t>AQAAACB6BQACAAAAAzQuNwDq5ooxO+/eCIja0DQ7794INkNJUS5OQVNEQVE6Q0FMTS5JUV9FQklUQV9FUV9JTkMuOTk0LjMxLzA3LzIwMjYuLi5VU0QuSAEAAAAgegUAAgAAAAU0Ljc4NQEIAAAABQAAAAExAQAAAAstMjA4ODM0NzQ2OQMAAAADMTYwAgAAAAUyMTY3NgQAAAABMAcAAAAJNy8zMS8yMDI2CAAAAAk1LzMwLzIwMjAJAAAAATCqjRcxO+/eCGqXzzQ7794INkNJUS5OQVNEQVE6Q0FMTS5JUV9EQV9TVVBQTF9DRi4xMDAwLjMxLzA3LzIwMjYuLi5VU0QuSAEAAAAgegUAAgAAAAcxMTcuNTc3AQgAAAAFAAAAATEBAAAACy0xODgxMDY4NjY4AwAAAAMxNjACAAAABDIxNzEEAAAAATAHAAAACTcvMzEvMjAyNggAAAAJNS8zMC8yMDI2CQAAAAEwziD2MDvv3gjYAcY0O+/eCCxDSVEuTkFTREFROkNBTE0uSVFfR1AuOTk3LjMxLzA3LzIwMjYuLi5VU0QuSAEAAAAgegUAAgAAAAgxMTk2LjQ1NwEIAAAABQAAAAExAQAAAAstMTkzNDk3ODQyMAMAAAADMTYwAgAAAAIxMAQAAAABMAcAAAAJNy8zMS8yMDI2CAAAAAg2LzMvMjAyMwkAAAABMMBxijE7794IZQPXNDvv3ggyQ0lRLk5BU0RBUTpDQUxNLklRX0VCSVREQVIuMTAwMC4zMS8wNy8yMDI2Li4uVVNELkgBAAAAIHoFAAMAAAAAAKqNFzE7794IvtXONDvv3ghBQ0lRLk5BU0RBUTpDQUxNLklRX0VCSVREQVJfRVFfSU5DX0VYQ0xfU0JDLjk5OC4zMS8wNy8y</t>
  </si>
  <si>
    <t>MDI2Li4uVVNELkgBAAAAIHoFAAMAAAAAAKqNFzE7794ItK7ONDvv3gg8Q0lRLk5BU0RBUTpDQUxNLklRX0FTX1JFUE9SVEVEX0VCSVREQS45OTQuMzEvMDcvMjAyNi4uLlVTRC5IAQAAACB6BQADAAAAAAC9tBcxO+/eCHRgzjQ7794IO0NJUS5OQVNEQVE6Q0FMTS5JUV9JTlZFU1RNRU5UX0lOQ09NRS45OTQuMzEvMDcvMjAyNi4uLlVTRC5IAQAAACB6BQADAAAAAAC9tBcxO+/eCIjXzTQ7794IN0NJUS5OQVNEQVE6Q0FMTS5JUV9DVVJSRU5DWV9HQUlOLjk5NS4zMS8wNy8yMDI2Li4uVVNELkgBAAAAIHoFAAMAAAAAAMOYijE7794IwObUNDvv3ggtQ0lRLk5BU0RBUTpDQUxNLklRX1JFVi45OTkuMzEvMDcvMjAyNi4uLlVTRC5IAQAAACB6BQACAAAACDQyNjEuODg1AQgAAAAFAAAAATEBAAAACy0xODgxMDY4Njc1AwAAAAMxNjACAAAAAzExMgQAAAABMAcAAAAJNy8zMS8yMDI2CAAAAAk1LzMxLzIwMjUJAAAAATDAcYoxO+/eCLMf2TQ7794IOUNJUS5OQVNEQVE6Q0FMTS5JUV9HQUlOX0lOVkVTVF9SRVYuOTk1LjMxLzA3LzIwMjYuLi5VU0QuSAEAAAAgegUAAwAAAAAAwHGKMTvv3gh2g9g0O+/eCDlDSVEuTkFTREFROkNBTE0uSVFfT1RIRVJfUkVWX1NVUFBMLjk5OC4zMS8wNy8yMDI2Li4uVVNELkgBAAAAIHoFAAMAAAAAAMBxijE7794IH/rXNDvv3gg1Q0lRLk5BU0RBUTpDQUxNLklRX0lOU19ESVZfRVhQ</t>
  </si>
  <si>
    <t>Ljk5NC4zMS8wNy8yMDI2Li4uVVNELkgBAAAAIHoFAAMAAAAAAMBxijE7794I/4TXNDvv3ghOQ0lRLk5BU0RBUTpDQUxNLklRX0RJU1RSSUJVVEFCTEVfQ0FTSF9QRVJfU0hBUkVfRElMVVRFRC45OTYuMzEvMDcvMjAyNi4uLlVTRC5IAQAAACB6BQADAAAAAADTv4oxO+/eCBPs0TQ7794IMENJUS5OQVNEQVE6Q0FMTS5JUV9SRF9FWFAuOTk2LjMxLzA3LzIwMjYuLi5VU0QuSAEAAAAgegUAAwAAAAAAwHGKMTvv3ghSDNY0O+/eCDNDSVEuTkFTREFROkNBTE0uSVFfREFfU1VQUEwuMTAwMC4zMS8wNy8yMDI2Li4uVVNELkgBAAAAIHoFAAMAAAAAAMBxijE7794ISeXVNDvv3ggyQ0lRLk5BU0RBUTpDQUxNLklRX09QRVJfSU5DLjk5NC4zMS8wNy8yMDI2Li4uVVNELkgBAAAAIHoFAAIAAAAFMS4zNTEBCAAAAAUAAAABMQEAAAALLTIwODgzNDc0NjkDAAAAAzE2MAIAAAACMjEEAAAAATAHAAAACTcvMzEvMjAyNggAAAAJNS8zMC8yMDIwCQAAAAEwwHGKMTvv3gjob9U0O+/eCDZDSVEuTkFTREFROkNBTE0uSVFfSU5URVJFU1RfRVhQLjk5OS4zMS8wNy8yMDI2Li4uVVNELkgBAAAAIHoFAAIAAAAGLTAuNjEyAQgAAAAFAAAAATEBAAAACy0xODgxMDY4Njc1AwAAAAMxNjACAAAAAjgyBAAAAAEwBwAAAAk3LzMxLzIwMjYIAAAACTUvMzEvMjAyNQkAAAABMMOYijE7794I20jVNDvv3gg2Q0lRLk5BU0RBUTpDQUxNLklR</t>
  </si>
  <si>
    <t>X0VCSVRBX0VRX0lOQy45OTcuMzEvMDcvMjAyNi4uLlVTRC5IAQAAACB6BQACAAAABjk2Ny4yMwEIAAAABQAAAAExAQAAAAstMTkzNDk3ODQyMAMAAAADMTYwAgAAAAUyMTY3NgQAAAABMAcAAAAJNy8zMS8yMDI2CAAAAAg2LzMvMjAyMwkAAAABMKqNFzE7794IapfPNDvv3ggyQ0lRLk5BU0RBUTpDQUxNLklRX0VCVF9FWENMLjk5OC4zMS8wNy8yMDI2Li4uVVNELkgBAAAAIHoFAAIAAAAHMzY1LjQ5NwEIAAAABQAAAAExAQAAAAstMTg4MTA2ODY3NgMAAAADMTYwAgAAAAE0BAAAAAEwBwAAAAk3LzMxLzIwMjYIAAAACDYvMS8yMDI0CQAAAAEww5iKMTvv3gjKv9Q0O+/eCDhDSVEuTkFTREFROkNBTE0uSVFfUFJFRl9ESVZfT1RIRVIuOTk0LjMxLzA3LzIwMjYuLi5VU0QuSAEAAAAgegUAAwAAAAAA07+KMTvv3gg26tI0O+/eCDdDSVEuTkFTREFROkNBTE0uSVFfTklfQVZBSUxfRVhDTC45OTQuMzEvMDcvMjAyNi4uLlVTRC5IAQAAACB6BQACAAAABjE4LjM5MQEIAAAABQAAAAExAQAAAAstMjA4ODM0NzQ2OQMAAAADMTYwAgAAAAMzNzkEAAAAATAHAAAACTcvMzEvMjAyNggAAAAJNS8zMC8yMDIwCQAAAAEw07+KMTvv3gggnNI0O+/eCDJDSVEuTkFTREFROkNBTE0uSVFfRVBTX05PUk0uOTk5LjMxLzA3LzIwMjYuLi5VU0QuSAEAAAAgegUAAgAAAAkyMC44NzcyMzIBCAAAAAUAAAABMQEAAAALLTE4ODEwNjg2</t>
  </si>
  <si>
    <t>NzUDAAAAAzE2MAIAAAAENDM3OQQAAAABMAcAAAAJNy8zMS8yMDI2CAAAAAk1LzMxLzIwMjUJAAAAATDTv4oxO+/eCBPs0TQ7794INENJUS5OQVNEQVE6Q0FMTS5JUV9DVVJSX1RBWEVTLjk5Ny4zMS8wNy8yMDI2Li4uVVNELkgBAAAAIHoFAAIAAAAHMjE3LjM1MQEIAAAABQAAAAExAQAAAAstMTkzNDk3ODQyMAMAAAADMTYwAgAAAAUzNTM4MwQAAAABMAcAAAAJNy8zMS8yMDI2CAAAAAg2LzMvMjAyMwkAAAABML20FzE7794Ibk7NNDvv3gg5Q0lRLk5BU0RBUTpDQUxNLklRX1RPVEFMX1JFVl9TSEFSRS45OTkuMzEvMDcvMjAyNi4uLlVTRC5IAQAAACB6BQACAAAACTg3LjQ3ODkwOQEIAAAABQAAAAExAQAAAAstMTg4MTA2ODY3NQMAAAADMTYwAgAAAAQ0MzgyBAAAAAEwBwAAAAk3LzMxLzIwMjYIAAAACTUvMzEvMjAyNQkAAAABMNO/ijE7794IBMXRNDvv3gg7Q0lRLk5BU0RBUTpDQUxNLklRX1NQRUNJQUxfRElWX1NIQVJFLjk5OC4zMS8wNy8yMDI2Li4uVVNELkgBAAAAIHoFAAMAAAAAANO/ijE7794IG3fRNDvv3ghAQ0lRLk5BU0RBUTpDQUxNLklRX0VCSVREQV9FUV9JTkNfRVhDTF9TQkMuOTk3LjMxLzA3LzIwMjYuLi5VU0QuSAEAAAAgegUAAgAAAAgxMDQxLjQzNQEIAAAABQAAAAExAQAAAAstMTkzNDk3ODQyMAMAAAADMTYwAgAAAAUyNDEzMQQAAAABMAcAAAAJNy8zMS8yMDI2CAAAAAg2LzMvMjAy</t>
  </si>
  <si>
    <t>MwkAAAABMOrmijE7794I5CjRNDvv3gg1Q0lRLk5BU0RBUTpDQUxNLklRX0VCSVRfRVFfSU5DLjk5NC4zMS8wNy8yMDI2Li4uVVNELkgBAAAAIHoFAAIAAAAFMS44ODUBCAAAAAUAAAABMQEAAAALLTIwODgzNDc0NjkDAAAAAzE2MAIAAAAFMjE2NzUEAAAAATAHAAAACTcvMzEvMjAyNggAAAAJNS8zMC8yMDIwCQAAAAEw6uaKMTvv3giiV9A0O+/eCD9DSVEuTkFTREFROkNBTE0uSVFfTkVUX1JFTlRBTF9FWFBfU1VQUExFLjk5OS4zMS8wNy8yMDI2Li4uVVNELkgBAAAAIHoFAAMAAAAAAOkCGDE7794Ip3nKNDvv3ggxQ0lRLk5BU0RBUTpDQUxNLklRX0VCSVREQVIuOTk5LjMxLzA3LzIwMjYuLi5VU0QuSAEAAAAgegUAAwAAAAAAqo0XMTvv3gi+1c40O+/eCEFDSVEuTkFTREFROkNBTE0uSVFfRUJJVERBUl9FUV9JTkNfRVhDTF9TQkMuOTk3LjMxLzA3LzIwMjYuLi5VU0QuSAEAAAAgegUAAwAAAAAAqo0XMTvv3gi+1c40O+/eCDxDSVEuTkFTREFROkNBTE0uSVFfRkVFU19PVEhFUl9JTkNPTUUuMTAwMC4zMS8wNy8yMDI2Li4uVVNELkgBAAAAIHoFAAMAAAAAAKqNFzE7794IpofONDvv3ghBQ0lRLk5BU0RBUTpDQUxNLklRX0VYQ0lTRV9UQVhFU19JTkNMX1NBTEVTLjk5OC4zMS8wNy8yMDI2Li4uVVNELkgBAAAAIHoFAAMAAAAAAL20FzE7794INYnNNDvv3gg8Q0lRLk5BU0RBUTpDQUxNLklRX1NUT0NLX0JB</t>
  </si>
  <si>
    <t>U0VEX09USEVSLjEwMDAuMzEvMDcvMjAyNi4uLlVTRC5IAQAAACB6BQACAAAABTUuNzU3AQgAAAAFAAAAATEBAAAACy0xODgxMDY4NjY4AwAAAAMxNjACAAAABTIyNjc2BAAAAAEwBwAAAAk3LzMxLzIwMjYIAAAACTUvMzAvMjAyNgkAAAABMM4g9jA7794IjnbHNDvv3ggyQ0lRLk5BU0RBUTpDQUxNLklRX05JX05PUk0uMTAwMC4zMS8wNy8yMDI2Li4uVVNELkgBAAAAIHoFAAIAAAAKMjU2LjY4ODEyNQEIAAAABQAAAAExAQAAAAstMTg4MTA2ODY2OAMAAAADMTYwAgAAAAQ0Mzc4BAAAAAEwBwAAAAk3LzMxLzIwMjYIAAAACTUvMzAvMjAyNgkAAAABML20FzE7794ILbLMNDvv3gg1Q0lRLk5BU0RBUTpDQUxNLklRX0lOVF9FWFBfTFRELjk5OS4zMS8wNy8yMDI2Li4uVVNELkgBAAAAIHoFAAIAAAAFMC42MTIBCAAAAAUAAAABMQEAAAALLTE4ODEwNjg2NzUDAAAAAzE2MAIAAAAEMzEwMQQAAAABMAcAAAAJNy8zMS8yMDI2CAAAAAk1LzMxLzIwMjUJAAAAATDM2xcxO+/eCABkzDQ7794IPUNJUS5OQVNEQVE6Q0FMTS5JUV9OT05DQVNIX1BFTlNJT05fRVhQLjk5OC4zMS8wNy8yMDI2Li4uVVNELkgBAAAAIHoFAAIAAAADMS4yAQgAAAAFAAAAATEBAAAACy0xODgxMDY4Njc2AwAAAAMxNjACAAAABTIxNjc4BAAAAAEwBwAAAAk3LzMxLzIwMjYIAAAACDYvMS8yMDI0CQAAAAEwzNsXMTvv3gjsAcw0O+/eCDNDSVEu</t>
  </si>
  <si>
    <t>TkFTREFROkNBTE0uSVFfUkRfRVhQX0ZOLjk5Ny4zMS8wNy8yMDI2Li4uVVNELkgBAAAAIHoFAAMAAAAAAOkCGDE7794IjPDKNDvv3gg4Q0lRLk5BU0RBUTpDQUxNLklRX0NIQU5HRV9ERUZfVEFYLjk5OS4zMS8wNy8yMDI2Li4uVVNELkgBAAAAIHoFAAMAAAAAANZH9jA7794Iy7bDNDvv3gg2Q0lRLk5BU0RBUTpDQUxNLklRX01BSU5UX1JFUEFJUi45OTguMzEvMDcvMjAyNi4uLlVTRC5IAQAAACB6BQADAAAAAADxKRgxO+/eCFe2yTQ7794IPENJUS5OQVNEQVE6Q0FMTS5JUV9SRVNUUlVDVFVSRV9TVVBQTEUuOTk2LjMxLzA3LzIwMjYuLi5VU0QuSAEAAAAgegUAAwAAAAAA8SkYMTvv3gglaMk0O+/eCD5DSVEuTkFTREFROkNBTE0uSVFfT1RIRVJfVU5VU1VBTF9TVVBQTEUuOTk0LjMxLzA3LzIwMjYuLi5VU0QuSAEAAAAgegUAAwAAAAAA8SkYMTvv3gjwkMg0O+/eCDlDSVEuTkFTREFROkNBTE0uSVFfU1RPQ0tfQkFTRURfUkQuMTAwMC4zMS8wNy8yMDI2Li4uVVNELkgBAAAAIHoFAAMAAAAAABpRGDE7794IqxvINDvv3gg8Q0lRLk5BU0RBUTpDQUxNLklRX0NBU0hfSU5URVJFU1RfT1BFUi45OTguMzEvMDcvMjAyNi4uLlVTRC5IAQAAACB6BQADAAAAAABsh/owO+/eCFEKvzQ7794IO0NJUS5OQVNEQVE6Q0FMTS5JUV9SRVNUUl9TVE9DS19DT01QLjEwMDAuMzEvMDcvMjAyNi4uLlVTRC5IAQAAACB6BQAD</t>
  </si>
  <si>
    <t>AAAAAADOIPYwO+/eCIcAxzQ7794IOkNJUS5OQVNEQVE6Q0FMTS5JUV9TVE9DS19CQVNFRF9DT01QLjk5NC4zMS8wNy8yMDI2Li4uVVNELkgBAAAAIHoFAAMAAAAAAM4g9jA7794IKFDGNDvv3gg+Q0lRLk5BU0RBUTpDQUxNLklRX01JTk9SSVRZX0lOVEVSRVNUX0NGLjk5NS4zMS8wNy8yMDI2Li4uVVNELkgBAAAAIHoFAAMAAAAAAM4g9jA7794IAaDFNDvv3gg4Q0lRLk5BU0RBUTpDQUxNLklRX0NSRURJVF9MT1NTX0NGLjk5OS4zMS8wNy8yMDI2Li4uVVNELkgBAAAAIHoFAAMAAAAAANZH9jA7794IyAPFNDvv3gg5Q0lRLk5BU0RBUTpDQUxNLklRX0NBU0hfVEFYRVNfT1BFUi45OTEuMzEvMDcvMjAyNi4uLlVTRC5IAQAAACB6BQADAAAAAABsh/owO+/eCD/gsjI7794IMENJUS5OQVNEQVE6Q0FMTS5JUV9SRVNUQVRFTUVOVF9DRi45OTIuMzEvMDcvMjAyNgEAAAAgegUAAwAAAAJOQwBZrvowO+/eCNvLpjQ7794INUNJUS5OQVNEQVE6Q0FMTS5JUV9QUkVGX0RJVl9DRi45OTIuMzEvMDcvMjAyNi4uLlVTRC5IAQAAACB6BQADAAAAAADmbvYwO+/eCK8wwTQ7794IMkNJUS5OQVNEQVE6Q0FMTS5JUV9QUkVGX1JFUC45OTMuMzEvMDcvMjAyNi4uLlVTRC5IAQAAACB6BQADAAAAAADmbvYwO+/eCLlrwTQ7794INENJUS5OQVNEQVE6Q0FMTS5JUV9DT01NT05fUkVQLjk5MS4zMS8wNy8yMDI2Li4uVVNELkgBAAAA</t>
  </si>
  <si>
    <t>IHoFAAIAAAAGLTEuNzE1AQgAAAAFAAAAATEBAAAACjE5NzIwMTIxMjEDAAAAAzE2MAIAAAAEMjE2NAQAAAABMAcAAAAJNy8zMS8yMDI2CAAAAAg2LzMvMjAxNwkAAAABMOZu9jA7794ISx6uMjvv3ggxQ0lRLk5BU0RBUTpDQUxNLklRX1BFUklPRExFTkdUSF9DRi45OTEuMzEvMDcvMjAyNgEAAAAgegUAAQAAAAIxMgD2lfYwO+/eCKjk1zI7794IOENJUS5OQVNEQVE6Q0FMTS5JUV9NSVNDX0FESlVTVF9DRi45OTIuMzEvMDcvMjAyNi4uLlVTRC5IAQAAACB6BQADAAAAAAD2lfYwO+/eCGNrwDQ7794IR0NJUS5OQVNEQVE6Q0FMTS5JUV9DSEFOR0VfT1RIRVJfTkVUX09QRVJfQVNTRVRTLjIwMDAuMzEvMDcvMjAyNi4uLlVTRC5IAQAAACB6BQACAAAABy0zMy4wMjMBCAAAAAUAAAABMQEAAAALLTE4ODEwNjgyOTUDAAAAAzE2MAIAAAAEMjA0NQQAAAABMAcAAAAJNy8zMS8yMDI2CAAAAAk1LzMwLzIwMjYJAAAAATDWR/YwO+/eCOVMqzI7794IO0NJUS5OQVNEQVE6Q0FMTS5JUV9DSEFOR0VfVU5FQVJOX1JFVi45OTEuMzEvMDcvMjAyNi4uLlVTRC5IAQAAACB6BQADAAAAAADWR/YwO+/eCAOrqjI7794IOUNJUS5OQVNEQVE6Q0FMTS5JUV9MVF9ERUJUX0lTU1VFRC4yMDAwLjMxLzA3LzIwMjYuLi5VU0QuSAEAAAAgegUAAwAAAAAA5m72MDvv3ggER60yO+/eCEBDSVEuTkFTREFROkNBTE0uSVFfT1RIRVJfSU5W</t>
  </si>
  <si>
    <t>RVNUX0FDVF9TVVBQTC45OTEuMzEvMDcvMjAyNi4uLlVTRC5IAQAAACB6BQACAAAABTYuNTg2AQgAAAAFAAAAATEBAAAACjE5NzIwMTIxMjEDAAAAAzE2MAIAAAAEMjA1MQQAAAABMAcAAAAJNy8zMS8yMDI2CAAAAAg2LzMvMjAxNwkAAAABMOZu9jA7794InYasMjvv3gg9Q0lRLk5BU0RBUTpDQUxNLklRX1NBTEVfUkVBTF9FU1RBVEVfQ0YuOTkzLjMxLzA3LzIwMjYuLi5VU0QuSAEAAAAgegUAAwAAAAAA5m72MDvv3giaBsM0O+/eCDxDSVEuTkFTREFROkNBTE0uSVFfU1RPQ0tfT1BUSU9OU19DT01QLjk5MS4zMS8wNy8yMDI2Li4uVVNELkgBAAAAIHoFAAMAAAAAAM4g9jA7794IGD2mMjvv3gg8Q0lRLk5BU0RBUTpDQUxNLklRX0FTU0VUX1dSSVRFRE9XTl9DRi45OTEuMzEvMDcvMjAyNi4uLlVTRC5IAQAAACB6BQADAAAAAADWR/YwO+/eCLmZqDI7794INUNJUS5OQVNEQVE6Q0FMTS5JUV9PVEhFUl9BTU9SVC45OTMuMzEvMDcvMjAyNi4uLlVTRC5IAQAAACB6BQADAAAAAADOIPYwO+/eCAGgxTQ7794IP0NJUS5OQVNEQVE6Q0FMTS5JUV9DSEFOR0VfVFJBRElOR19BU1NFVFMuOTkzLjMxLzA3LzIwMjYuLi5VU0QuSAEAAAAgegUAAwAAAAAA1kf2MDvv3gjaP8Q0O+/eCDhDSVEuTkFTREFROkNBTE0uSVFfSU5DX0VRVUlUWV9DRi4yMDAwLjMxLzA3LzIwMjYuLi5VU0QuSAEAAAAgegUAAwAAAAAA1kf2MDvv</t>
  </si>
  <si>
    <t>3ghuI6kyO+/eCDpDSVEuTkFTREFROkNBTE0uSVFfUkVTVFJfU1RPQ0tfQ09NUC45OTEuMzEvMDcvMjAyNi4uLlVTRC5IAQAAACB6BQADAAAAAADOIPYwO+/eCO+SpTI7794IOENJUS5OQVNEQVE6Q0FMTS5JUV9TVE9DS19CQVNFRF9BVC45OTMuMzEvMDcvMjAyNi4uLlVTRC5IAQAAACB6BQADAAAAAADOIPYwO+/eCI52xzQ7794IOkNJUS5OQVNEQVE6Q0FMTS5JUV9TVE9DS19CQVNFRF9TR0EuMjAwMC4zMS8wNy8yMDI2Li4uVVNELkgBAAAAIHoFAAMAAAAAAMH59TA7794IorukMjvv3gg7Q0lRLk5BU0RBUTpDQUxNLklRX0dXX0lOVEFOX0FNT1JUX0NGLjk5My4zMS8wNy8yMDI2Li4uVVNELkgBAAAAIHoFAAIAAAADMi44AQgAAAAFAAAAATEBAAAACy0yMTQyNDI5MDM5AwAAAAMxNjACAAAABDIxODIEAAAAATAHAAAACTcvMzEvMjAyNggAAAAINi8xLzIwMTkJAAAAATDOIPYwO+/eCNgBxjQ7794IO0NJUS5OQVNEQVE6Q0FMTS5JUV9TVE9DS19CQVNFRF9DT01QLjIwMDAuMzEvMDcvMjAyNi4uLlVTRC5IAQAAACB6BQADAAAAAADOIPYwO+/eCEvtpjI7794IOENJUS5OQVNEQVE6Q0FMTS5JUV9NRVJHRVJfU1VQUExFLjIwMDAuMzEvMDcvMjAyNi4uLlVTRC5IAQAAACB6BQADAAAAAADxKRgxO+/eCJQ2ojI7794IP0NJUS5OQVNEQVE6Q0FMTS5JUV9JTVBVVF9PUEVSX0xFQVNFX0RFUFIuOTkxLjMxLzA3LzIw</t>
  </si>
  <si>
    <t>MjYuLi5VU0QuSAEAAAAgegUAAgAAAAgxLjUwNDgwOAEIAAAABQAAAAExAQAAAAoxOTcyMDEyMTIxAwAAAAMxNjACAAAABTIxNjczBAAAAAEwBwAAAAk3LzMxLzIwMjYIAAAACDYvMy8yMDE3CQAAAAEw8SkYMTvv3giPraEyO+/eCDlDSVEuTkFTREFROkNBTE0uSVFfU1RPQ0tfQkFTRURfUkQuMjAwMC4zMS8wNy8yMDI2Li4uVVNELkgBAAAAIHoFAAMAAAAAABpRGDE7794IW0akMjvv3gg7Q0lRLk5BU0RBUTpDQUxNLklRX05FR0FUSVZFX0dXX0FNT1JULjk5MS4zMS8wNy8yMDI2Li4uVVNELkgBAAAAIHoFAAMAAAAAAPEpGDE7794INtGjMjvv3gg7Q0lRLk5BU0RBUTpDQUxNLklRX0lOU19TRVRUTEVfU1VQUExFLjk5My4zMS8wNy8yMDI2Li4uVVNELkgBAAAAIHoFAAMAAAAAAPEpGDE7794I9bfINDvv3gg9Q0lRLk5BU0RBUTpDQUxNLklRX0xJQUJJTElUSUVTX0xFVkVMXzIuOTkwLjMxLzA3LzIwMjYuLi5VU0QuSAEAAAAgegUAAgAAAAYyNS44MjQA8FWNMDvv3ghXO84yO+/eCDBDSVEuTkFTREFROkNBTE0uSVFfR0FfRVhQLjk5MS4zMS8wNy8yMDI2Li4uVVNELkgBAAAAIHoFAAMAAAAAAOkCGDE7794ICLyfMjvv3ggpQ0lRLk5BU0RBUTpDQUxNLklRX0dBQVBfSVMuOTkzLjMxLzA3LzIwMjYBAAAAIHoFAAMAAAAHVVMgR0FBUADpAhgxO+/eCLbypjQ7794IRENJUS5OQVNEQVE6Q0FMTS5JUV9ERVBSRUNJ</t>
  </si>
  <si>
    <t>QVRJT05fUkVOVEFMX0FTU0VUUy45OTMuMzEvMDcvMjAyNi4uLlVTRC5IAQAAACB6BQADAAAAAADpAhgxO+/eCGMEyjQ7794IOUNJUS5OQVNEQVE6Q0FMTS5JUV9ORVRfUkVOVEFMX0VYUC4yMDAwLjMxLzA3LzIwMjYuLi5VU0QuSAEAAAAgegUAAwAAAAAA6QIYMTvv3ggdMaAyO+/eCD5DSVEuTkFTREFROkNBTE0uSVFfQURfRVhDTF9PUEVSX0xFQVNFUy4yMDAwLjMxLzA3LzIwMjYuLi5VU0QuSAEAAAAgegUAAgAAAAgtOTg2LjM3MwEIAAAABQAAAAExAQAAAAstMTg4MTA2ODI5NQMAAAADMTYwAgAAAAU0ODk3NQQAAAABMAcAAAAJNy8zMS8yMDI2CAAAAAk1LzMwLzIwMjYJAAAAATBa+pAwO+/eCAIqxDI7794ITENJUS5OQVNEQVE6Q0FMTS5JUV9HRU5FUkFMX1BBUlRORVJfTUlOT1JJVFlfSU5URVJFU1QuMjAwMC4zMS8wNy8yMDI2Li4uVVNELkgBAAAAIHoFAAMAAAAAAPuDkTA7794IupjMMjvv3ggwQ0lRLk5BU0RBUTpDQUxNLklRX1JFVFVSTl9BU1NFVFMuMjAwMC4zMS8wNy8yMDI2AQAAACB6BQACAAAABjYuOTMxMQEIAAAABQAAAAExAQAAAAstMTg4MTA2ODI5NQMAAAADMTYwAgAAAAQ0MTc4BAAAAAEwBwAAAAk3LzMxLzIwMjYIAAAACTUvMzAvMjAyNgkAAAABMCG4jTA7794IPDjbMjvv3gg/Q0lRLk5BU0RBUTpDQUxNLklRX0RFUklWQVRJVkVfQVNTRVRTX0xULjIwMDAuMzEvMDcvMjAyNi4uLlVT</t>
  </si>
  <si>
    <t>RC5IAQAAACB6BQADAAAAAADOkI0wO+/eCL060jI7794INUNJUS5OQVNEQVE6Q0FMTS5JUV9BVkdfVEVNUF9FTVBMT1lFRVMuMjAwMC4zMS8wNy8yMDI2AQAAACB6BQADAAAAAADwVY0wO+/eCJj02TI7794IO0NJUS5OQVNEQVE6Q0FMTS5JUV9GSU5fRElWX0FTU0VUU19MVC45OTEuMzEvMDcvMjAyNi4uLlVTRC5IAQAAACB6BQADAAAAAABs1fowO+/eCLHKuzI7794IN0NJUS5OQVNEQVE6Q0FMTS5JUV9PVEhFUl9MSUFCX0xULjk5Mi4zMS8wNy8yMDI2Li4uVVNELkgBAAAAIHoFAAIAAAAFOC4zMTgBCAAAAAUAAAABMQEAAAAKMjA0NTc0OTMxMAMAAAADMTYwAgAAAAQxMDYyBAAAAAEwBwAAAAk3LzMxLzIwMjYIAAAACDYvMi8yMDE4CQAAAAEwevz6MDvv3gi3K7c0O+/eCD1DSVEuTkFTREFROkNBTE0uSVFfVU5FQVJOX1JFVl9DVVJSRU5ULjIwMDAuMzEvMDcvMjAyNi4uLlVTRC5IAQAAACB6BQADAAAAAAB6/PowO+/eCDktvjI7794INkNJUS5OQVNEQVE6Q0FMTS5JUV9PVEhFUl9FUVVJVFkuOTkxLjMxLzA3LzIwMjYuLi5VU0QuSAEAAAAgegUAAgAAAAYtMC4xMjgBCAAAAAUAAAABMQEAAAAKMTk3MjAxMjEyMQMAAAADMTYwAgAAAAQxMDI4BAAAAAEwBwAAAAk3LzMxLzIwMjYIAAAACDYvMy8yMDE3CQAAAAEwWvqQMDvv3ggKocEyO+/eCDRDSVEuTkFTREFROkNBTE0uSVFfQ0FTSF9TSEFSRS45OTIuMzEv</t>
  </si>
  <si>
    <t>MDcvMjAyNi4uLlVTRC5IAQAAACB6BQACAAAACDAuOTk1ODg3AQgAAAAFAAAAATEBAAAACjIwNDU3NDkzMTADAAAAAzE2MAIAAAAENDM4MQQAAAABMAcAAAAJNy8zMS8yMDI2CAAAAAg2LzIvMjAxOAkAAAABMOBckTA7794Inx6yNDvv3ghFQ0lRLk5BU0RBUTpDQUxNLklRX09QRVJBVElOR19MRUFTRV9MSUFCSUxJVElFUy45OTAuMzEvMDcvMjAyNi4uLlVTRC5IAQAAACB6BQADAAAAAABsh/owO+/eCJzgtDI7794INkNJUS5OQVNEQVE6Q0FMTS5JUV9ET19JTlZFU1RfQ0YuOTkxLjMxLzA3LzIwMjYuLi5VU0QuSAEAAAAgegUAAwAAAAAAbIf6MDvv3gglZ7QyO+/eCC9DSVEuTkFTREFROkNBTE0uSVFfQ0FMQ19UWVBFX0NGLjIwMDAuMzEvMDcvMjAyNgEAAAAgegUAAwAAAANSRVAAWa76MDvv3gjsgNgyO+/eCCxDSVEuTkFTREFROkNBTE0uSVFfR1cuOTkyLjMxLzA3LzIwMjYuLi5VU0QuSAEAAAAgegUAAgAAAAYzNS41MjUBCAAAAAUAAAABMQEAAAAKMjA0NTc0OTMxMAMAAAADMTYwAgAAAAQxMTcxBAAAAAEwBwAAAAk3LzMxLzIwMjYIAAAACDYvMi8yMDE4CQAAAAEwbNX6MDvv3ggxYbo0O+/eCDhDSVEuTkFTREFROkNBTE0uSVFfT1RIRVJfQ0FfU1VQUEwuOTkzLjMxLzA3LzIwMjYuLi5VU0QuSAEAAAAgegUAAwAAAAAAWa76MDvv3ghg/bo0O+/eCEhDSVEuTkFTREFROkNBTE0uSVFfVE9UQUxfR0VORVJB</t>
  </si>
  <si>
    <t>TF9QQVJUTkVSX0lOVEVSRVNULjk5MC4zMS8wNy8yMDI2Li4uVVNELkgBAAAAIHoFAAMAAAAAAPuDkTA7794IupjMMjvv3gg/Q0lRLk5BU0RBUTpDQUxNLklRX0xFQVNFSE9MRF9JTVBST1ZFTUVOVC45OTEuMzEvMDcvMjAyNi4uLlVTRC5IAQAAACB6BQADAAAAAAD7g5EwO+/eCPv6yjI7794ILENJUS5OQVNEQVE6Q0FMTS5JUV9FQklUREFfSU5ULjk5My4zMS8wNy8yMDI2AQAAACB6BQACAAAAAzE1NgEIAAAABQAAAAExAQAAAAstMjE0MjQyOTAzOQMAAAADMTYwAgAAAAQ0MTkwBAAAAAEwBwAAAAk3LzMxLzIwMjYIAAAACDYvMS8yMDE5CQAAAAEwS9+NMDvv3gijCqI0O+/eCDxDSVEuTkFTREFROkNBTE0uSVFfR1JPU1NfSU5UQU5fQVNTRVRTLjk5MC4zMS8wNy8yMDI2Li4uVVNELkgBAAAAIHoFAAIAAAAGMjMuOTM5AQgAAAAFAAAAATEBAAAACjE4OTY4MjA1MTcDAAAAAzE2MAIAAAAFMjQyOTMEAAAAATAHAAAACTcvMzEvMjAyNggAAAAJNS8yOC8yMDE2CQAAAAEwzpCNMDvv3gi9OtIyO+/eCD9DSVEuTkFTREFROkNBTE0uSVFfUkVTVFJJQ1RFRF9DQVNIX1RPVEFMLjk5My4zMS8wNy8yMDI2Li4uVVNELkgBAAAAIHoFAAMAAAAAAPBVjTA7794I12GrNDvv3ggxQ0lRLk5BU0RBUTpDQUxNLklRX0xUX0RFQlQuOTkyLjMxLzA3LzIwMjYuLi5VU0QuSAEAAAAgegUAAgAAAAUxLjIxNAEIAAAABQAAAAExAQAA</t>
  </si>
  <si>
    <t>AAoyMDQ1NzQ5MzEwAwAAAAMxNjACAAAABDEwNDkEAAAAATAHAAAACTcvMzEvMjAyNggAAAAINi8yLzIwMTgJAAAAATB6/PowO+/eCNgpuDQ7794IPkNJUS5OQVNEQVE6Q0FMTS5JUV9ERUZfVEFYX0xJQUJfQ1VSUkVOVC45OTAuMzEvMDcvMjAyNi4uLlVTRC5IAQAAACB6BQADAAAAAAB6/PowO+/eCDktvjI7794IRENJUS5OQVNEQVE6Q0FMTS5JUV9SVUFfT1BFUkFUSU5HX0xFQVNFX0dST1NTLjIwMDAuMzEvMDcvMjAyNi4uLlVTRC5IAQAAACB6BQADAAAAAABa+pAwO+/eCDtjwzI7794INkNJUS5OQVNEQVE6Q0FMTS5JUV9PVEhFUl9FUVVJVFkuOTkzLjMxLzA3LzIwMjYuLi5VU0QuSAEAAAAgegUAAgAAAAUwLjM1NQEIAAAABQAAAAExAQAAAAstMjE0MjQyOTAzOQMAAAADMTYwAgAAAAQxMDI4BAAAAAEwBwAAAAk3LzMxLzIwMjYIAAAACDYvMS8yMDE5CQAAAAEwWvqQMDvv3ghN37U0O+/eCD9DSVEuTkFTREFROkNBTE0uSVFfTlBQRV9FWENMX09QRVJfTEVBU0VTLjk5MC4zMS8wNy8yMDI2Li4uVVNELkgBAAAAIHoFAAIAAAAHMzkyLjI3NAEIAAAABQAAAAExAQAAAAoxODk2ODIwNTE3AwAAAAMxNjACAAAABTQ4OTc2BAAAAAEwBwAAAAk3LzMxLzIwMjYIAAAACTUvMjgvMjAxNgkAAAABMFr6kDA7794ICQPEMjvv3gg2Q0lRLk5BU0RBUTpDQUxNLklRX1BSRVBBSURfRVhQLjIwMDAuMzEvMDcvMjAyNi4u</t>
  </si>
  <si>
    <t>LlVTRC5IAQAAACB6BQACAAAABjExLjQ4OQEIAAAABQAAAAExAQAAAAstMTg4MTA2ODI5NQMAAAADMTYwAgAAAAQxMjEyBAAAAAEwBwAAAAk3LzMxLzIwMjYIAAAACTUvMzAvMjAyNgkAAAABMFmu+jA7794ID6e5Mjvv3gg/Q0lRLk5BU0RBUTpDQUxNLklRX0ZJTl9ESVZfREVCVF9DVVJSRU5ULjIwMDAuMzEvMDcvMjAyNi4uLlVTRC5IAQAAACB6BQADAAAAAABs1fowO+/eCN23vTI7794IO0NJUS5OQVNEQVE6Q0FMTS5JUV9GSU5fRElWX0FTU0VUU19MVC45OTMuMzEvMDcvMjAyNi4uLlVTRC5IAQAAACB6BQADAAAAAABs1fowO+/eCIsTujQ7794INkNJUS5OQVNEQVE6Q0FMTS5JUV9QUkVGX0NPTlZFUlQuOTkwLjMxLzA3LzIwMjYuLi5VU0QuSAEAAAAgegUAAwAAAAAAevz6MDvv3gj2dMAyO+/eCDdDSVEuTkFTREFROkNBTE0uSVFfT1RIRVJfTElBQl9MVC45OTMuMzEvMDcvMjAyNi4uLlVTRC5IAQAAACB6BQACAAAABDguMTEBCAAAAAUAAAABMQEAAAALLTIxNDI0MjkwMzkDAAAAAzE2MAIAAAAEMTA2MgQAAAABMAcAAAAJNy8zMS8yMDI2CAAAAAg2LzEvMjAxOQkAAAABMHr8+jA7794IsAS3NDvv3gg2Q0lRLk5BU0RBUTpDQUxNLklRX0RPX0lOVkVTVF9DRi45OTIuMzEvMDcvMjAyNi4uLlVTRC5IAQAAACB6BQADAAAAAABsh/owO+/eCHNIvTQ7794INkNJUS5OQVNEQVE6Q0FMTS5JUV9UT1RBTF9SRUNF</t>
  </si>
  <si>
    <t>SVYuOTkwLjMxLzA3LzIwMjYuLi5VU0QuSAEAAAAgegUAAgAAAAY3OS4yNzgBCAAAAAUAAAABMQEAAAAKMTg5NjgyMDUxNwMAAAADMTYwAgAAAAQxMDAxBAAAAAEwBwAAAAk3LzMxLzIwMjYIAAAACTUvMjgvMjAxNgkAAAABMFmu+jA7794IM0e5Mjvv3gg4Q0lRLk5BU0RBUTpDQUxNLklRX1RSQURJTkdfQVNTRVRTLjk5MS4zMS8wNy8yMDI2Li4uVVNELkgBAAAAIHoFAAMAAAAAAFmu+jA7794I+re1Mjvv3ggpQ0lRLk5BU0RBUTpDQUxNLklRX0dBQVBfQ0YuOTkxLjMxLzA3LzIwMjYBAAAAIHoFAAMAAAAHVVMgR0FBUABZrvowO+/eCOyA2DI7794ILENJUS5OQVNEQVE6Q0FMTS5JUV9HVy45OTMuMzEvMDcvMjAyNi4uLlVTRC5IAQAAACB6BQACAAAABjM1LjUyNQEIAAAABQAAAAExAQAAAAstMjE0MjQyOTAzOQMAAAADMTYwAgAAAAQxMTcxBAAAAAEwBwAAAAk3LzMxLzIwMjYIAAAACDYvMS8yMDE5CQAAAAEwbNX6MDvv3ggxYbo0O+/eCENDSVEuTkFTREFROkNBTE0uSVFfR1dfSU5UQU5fQU1PUlRfUEFSVElBTF9DRi45OTMuMzEvMDcvMjAyNi4uLlVTRC5IAQAAACB6BQADAAAAAAD2lfYwO+/eCNVDwDQ7794IMUNJUS5OQVNEQVE6Q0FMTS5JUV9QRVJJT0RMRU5HVEhfQ0YuOTkzLjMxLzA3LzIwMjYBAAAAIHoFAAEAAAACMTIA9pX2MDvv3gi28qY0O+/eCDtDSVEuTkFTREFROkNBTE0uSVFfQ0FTSF9UQVhF</t>
  </si>
  <si>
    <t>U19GSU5BTi4yMDAwLjMxLzA3LzIwMjYuLi5VU0QuSAEAAAAgegUAAwAAAAAAbIf6MDvv3gisLrMyO+/eCD5DSVEuTkFTREFROkNBTE0uSVFfQ0FTSF9JTlRFUkVTVF9JTlZFU1QuOTkyLjMxLzA3LzIwMjYuLi5VU0QuSAEAAAAgegUAAwAAAAAAbIf6MDvv3giP4740O+/eCEVDSVEuTkFTREFROkNBTE0uSVFfT1BFUkFUSU5HX0xFQVNFX0xJQUJJTElUSUVTLjk5MS4zMS8wNy8yMDI2Li4uVVNELkgBAAAAIHoFAAMAAAAAAGyH+jA7794InOC0Mjvv3gg5Q0lRLk5BU0RBUTpDQUxNLklRX0NBU0hfQUNRVUlSRV9DRi45OTEuMzEvMDcvMjAyNi4uLlVTRC5IAQAAACB6BQACAAAABy04NS44MjIBCAAAAAUAAAABMQEAAAAKMTk3MjAxMjEyMQMAAAADMTYwAgAAAAQyMDU3BAAAAAEwBwAAAAk3LzMxLzIwMjYIAAAACDYvMy8yMDE3CQAAAAEw1kf2MDvv3ghjw6syO+/eCDRDSVEuTkFTREFROkNBTE0uSVFfQ09NTU9OX1JFUC45OTMuMzEvMDcvMjAyNi4uLlVTRC5IAQAAACB6BQACAAAABi0wLjk4NQEIAAAABQAAAAExAQAAAAstMjE0MjQyOTAzOQMAAAADMTYwAgAAAAQyMTY0BAAAAAEwBwAAAAk3LzMxLzIwMjYIAAAACDYvMS8yMDE5CQAAAAEw5m72MDvv3ghWusE0O+/eCDtDSVEuTkFTREFROkNBTE0uSVFfVE9UQUxfREVCVF9SRVBBSUQuOTkwLjMxLzA3LzIwMjYuLi5VU0QuSAEAAAAgegUAAgAAAAYtMjUuMjkB</t>
  </si>
  <si>
    <t>CAAAAAUAAAABMQEAAAAKMTg5NjgyMDUxNwMAAAADMTYwAgAAAAQyMTY2BAAAAAEwBwAAAAk3LzMxLzIwMjYIAAAACTUvMjgvMjAxNgkAAAABMOZu9jA7794I0c+tMjvv3gg4Q0lRLk5BU0RBUTpDQUxNLklRX0xUX0RFQlRfSVNTVUVELjk5My4zMS8wNy8yMDI2Li4uVVNELkgBAAAAIHoFAAMAAAAAAOZu9jA7794IES/CNDvv3ghHQ0lRLk5BU0RBUTpDQUxNLklRX0RFUFJFQ0lBVElPTl9SRU5UQUxfQVNTRVRTX0NGLjk5MS4zMS8wNy8yMDI2Li4uVVNELkgBAAAAIHoFAAMAAAAAAPaV9jA7794IbpawMjvv3gg8Q0lRLk5BU0RBUTpDQUxNLklRX0FTU0VUX1dSSVRFRE9XTl9DRi45OTMuMzEvMDcvMjAyNi4uLlVTRC5IAQAAACB6BQADAAAAAADWR/YwO+/eCORRxTQ7794IRkNJUS5OQVNEQVE6Q0FMTS5JUV9DSEFOR0VfT1RIRVJfTkVUX09QRVJfQVNTRVRTLjk5My4zMS8wNy8yMDI2Li4uVVNELkgBAAAAIHoFAAMAAAAAANZH9jA7794Ixo/DNDvv3gg7Q0lRLk5BU0RBUTpDQUxNLklRX0NIQU5HRV9VTkVBUk5fUkVWLjk5My4zMS8wNy8yMDI2Li4uVVNELkgBAAAAIHoFAAMAAAAAANZH9jA7794ICN7DNDvv3gg0Q0lRLk5BU0RBUTpDQUxNLklRX0NIQU5HRV9BUi4yMDAwLjMxLzA3LzIwMjYuLi5VU0QuSAEAAAAgegUAAgAAAAcxMzkuNzUzAQgAAAAFAAAAATEBAAAACy0xODgxMDY4Mjk1AwAAAAMxNjACAAAA</t>
  </si>
  <si>
    <t>BDIwMTgEAAAAATAHAAAACTcvMzEvMjAyNggAAAAJNS8zMC8yMDI2CQAAAAEw1kf2MDvv3gjjXKoyO+/eCDhDSVEuTkFTREFROkNBTE0uSVFfU0FMRV9JTlRBTl9DRi4yMDAwLjMxLzA3LzIwMjYuLi5VU0QuSAEAAAAgegUAAwAAAAAA5m72MDvv3giXOKwyO+/eCD9DSVEuTkFTREFROkNBTE0uSVFfTUlOT1JJVFlfSU5URVJFU1RfQ0YuMjAwMC4zMS8wNy8yMDI2Li4uVVNELkgBAAAAIHoFAAMAAAAAAM4g9jA7794IODmoMjvv3gg1Q0lRLk5BU0RBUTpDQUxNLklRX09JTF9JTVBBSVIuMjAwMC4zMS8wNy8yMDI2Li4uVVNELkgBAAAAIHoFAAMAAAAAAM4g9jA7794I7JynMjvv3ggvQ0lRLk5BU0RBUTpDQUxNLklRX05JX0NGLjk5MS4zMS8wNy8yMDI2Li4uVVNELkgBAAAAIHoFAAIAAAAHLTc0LjI3OAEIAAAABQAAAAExAQAAAAoxOTcyMDEyMTIxAwAAAAMxNjACAAAABDIxNTAEAAAAATAHAAAACTcvMzEvMjAyNggAAAAINi8zLzIwMTcJAAAAATDOIPYwO+/eCEvtpjI7794IL0NJUS5OQVNEQVE6Q0FMTS5JUV9ET19DRi45OTEuMzEvMDcvMjAyNi4uLlVTRC5IAQAAACB6BQADAAAAAADWR/YwO+/eCE3AqTI7794IOENJUS5OQVNEQVE6Q0FMTS5JUV9TVE9DS19CQVNFRF9DRi45OTEuMzEvMDcvMjAyNi4uLlVTRC5IAQAAACB6BQACAAAABTMuNDI3AQgAAAAFAAAAATEBAAAACjE5NzIwMTIxMjEDAAAAAzE2MAIA</t>
  </si>
  <si>
    <t>AAAEMjEyNwQAAAABMAcAAAAJNy8zMS8yMDI2CAAAAAg2LzMvMjAxNwkAAAABMNZH9jA7794IbiOpMjvv3gg6Q0lRLk5BU0RBUTpDQUxNLklRX0dBSU5fQkFSR0FJTl9BQ1EuOTkxLjMxLzA3LzIwMjYuLi5VU0QuSAEAAAAgegUAAwAAAAAA8SkYMTvv3gjP0qIyO+/eCENDSVEuTkFTREFROkNBTE0uSVFfU1RPQ0tfQkFTRURfRVhQTE9SRV9EUklMTC45OTEuMzEvMDcvMjAyNi4uLlVTRC5IAQAAACB6BQADAAAAAADB+fUwO+/eCKK7pDI7794IOENJUS5OQVNEQVE6Q0FMTS5JUV9TVE9DS19CQVNFRF9SRC45OTMuMzEvMDcvMjAyNi4uLlVTRC5IAQAAACB6BQADAAAAAAAaURgxO+/eCKsbyDQ7794IPENJUS5OQVNEQVE6Q0FMTS5JUV9TVE9DS19PUFRJT05TX0NPTVAuOTkzLjMxLzA3LzIwMjYuLi5VU0QuSAEAAAAgegUAAwAAAAAAziD2MDvv3ghWnsY0O+/eCDxDSVEuTkFTREFROkNBTE0uSVFfU1RPQ0tfQkFTRURfVE9UQUwuMjAwMC4zMS8wNy8yMDI2Li4uVVNELkgBAAAAIHoFAAIAAAAFNS43NTcBCAAAAAUAAAABMQEAAAALLTE4ODEwNjgyOTUDAAAAAzE2MAIAAAAFMjQwMzQEAAAAATAHAAAACTcvMzEvMjAyNggAAAAJNS8zMC8yMDI2CQAAAAEwziD2MDvv3giwRKUyO+/eCDlDSVEuTkFTREFROkNBTE0uSVFfVE9UQUxfTElBQl9UT1RBTF9BU1NFVFMuOTkyLjMxLzA3LzIwMjYBAAAAIHoFAAIAAAAHMTYu</t>
  </si>
  <si>
    <t>OTI5NQEIAAAABQAAAAExAQAAAAoyMDQ1NzQ5MzEwAwAAAAMxNjACAAAABDQxODgEAAAAATAHAAAACTcvMzEvMjAyNggAAAAINi8yLzIwMTgJAAAAATBL340wO+/eCOUxojQ7794IKUNJUS5OQVNEQVE6Q0FMTS5JUV9HQUFQX0JTLjk5MS4zMS8wNy8yMDI2AQAAACB6BQADAAAAB1VTIEdBQVAAIbiNMDvv3gg16toyO+/eCD5DSVEuTkFTREFROkNBTE0uSVFfREVSSVZBVElWRV9BU1NFVFNfTFQuOTkwLjMxLzA3LzIwMjYuLi5VU0QuSAEAAAAgegUAAwAAAAAAzpCNMDvv3gjCE9IyO+/eCEZDSVEuTkFTREFROkNBTE0uSVFfUkVTVFJJQ1RFRF9DQVNIX05PTl9DVVJSRU5ULjIwMDAuMzEvMDcvMjAyNi4uLlVTRC5IAQAAACB6BQADAAAAAADwVY0wO+/eCD860DI7794IPkNJUS5OQVNEQVE6Q0FMTS5JUV9MRUdBTF9TRVRUTEVfU1VQUExFLjIwMDAuMzEvMDcvMjAyNi4uLlVTRC5IAQAAACB6BQADAAAAAADxKRgxO+/eCDRvozI7794IR0NJUS5OQVNEQVE6Q0FMTS5JUV9SVUFfT1BFUkFUSU5HX0xFQVNFX0FDQ1VNX0RFUC45OTAuMzEvMDcvMjAyNi4uLlVTRC5IAQAAACB6BQADAAAAAABa+pAwO+/eCDtjwzI7794IO0NJUS5OQVNEQVE6Q0FMTS5JUV9UT1RBTF9MSUFCX0VRVUlUWS45OTEuMzEvMDcvMjAyNi4uLlVTRC5IAQAAACB6BQACAAAACDEwMzMuMDk0AQgAAAAFAAAAATEBAAAACjE5NzIwMTIxMjEDAAAA</t>
  </si>
  <si>
    <t>AzE2MAIAAAAEMTAxMwQAAAABMAcAAAAJNy8zMS8yMDI2CAAAAAg2LzMvMjAxNwkAAAABMFr6kDA7794IdyrCMjvv3ghBQ0lRLk5BU0RBUTpDQUxNLklRX01JTk9SSVRZX0lOVEVSRVNUX1RPVEFMLjk5MS4zMS8wNy8yMDI2Li4uVVNELkgBAAAAIHoFAAIAAAAFMS44MDYBCAAAAAUAAAABMQEAAAAKMTk3MjAxMjEyMQMAAAADMTYwAgAAAAQxMzEyBAAAAAEwBwAAAAk3LzMxLzIwMjYIAAAACDYvMy8yMDE3CQAAAAEw4FyRMDvv3gjSFMgyO+/eCFBDSVEuTkFTREFROkNBTE0uSVFfQ1VSUkVOVF9QT1JUSU9OX09QRVJfTEVBU0VfTElBQklMSVRJRVMuOTkxLjMxLzA3LzIwMjYuLi5VU0QuSAEAAAAgegUAAwAAAAAAYjWRMDvv3ggwxsQyO+/eCDtDSVEuTkFTREFROkNBTE0uSVFfQVNTRVRTX0ZBSVJfVkFMVUUuOTkxLjMxLzA3LzIwMjYuLi5VU0QuSAEAAAAgegUAAgAAAAcxNDAuOTIxAPBVjTA7794ITuXNMjvv3gg+Q0lRLk5BU0RBUTpDQUxNLklRX0ZJTl9ESVZfTElBQl9DVVJSRU5ULjk5MC4zMS8wNy8yMDI2Li4uVVNELkgBAAAAIHoFAAMAAAAAAGzV+jA7794I3be9Mjvv3gg2Q0lRLk5BU0RBUTpDQUxNLklRX1BSRUZfQ09OVkVSVC45OTIuMzEvMDcvMjAyNi4uLlVTRC5IAQAAACB6BQADAAAAAAB6/PowO+/eCIx7tjQ7794IOkNJUS5OQVNEQVE6Q0FMTS5JUV9GSU5fRElWX0xJQUJfTFQuMjAwMC4zMS8w</t>
  </si>
  <si>
    <t>Ny8yMDI2Li4uVVNELkgBAAAAIHoFAAMAAAAAAHr8+jA7794Ii1K/Mjvv3ggxQ0lRLk5BU0RBUTpDQUxNLklRX0xUX0RFQlQuOTkzLjMxLzA3LzIwMjYuLi5VU0QuSAEAAAAgegUAAwAAAAAAevz6MDvv3gjYKbg0O+/eCD9DSVEuTkFTREFROkNBTE0uSVFfTlBQRV9FWENMX09QRVJfTEVBU0VTLjk5Mi4zMS8wNy8yMDI2Li4uVVNELkgBAAAAIHoFAAIAAAAHNDI1LjM4NAEIAAAABQAAAAExAQAAAAoyMDQ1NzQ5MzEwAwAAAAMxNjACAAAABTQ4OTc2BAAAAAEwBwAAAAk3LzMxLzIwMjYIAAAACDYvMi8yMDE4CQAAAAEwWvqQMDvv3ghYMLQ0O+/eCFBDSVEuTkFTREFROkNBTE0uSVFfQ1VSUkVOVF9QT1JUSU9OX09QRVJfTEVBU0VfTElBQklMSVRJRVMuOTkyLjMxLzA3LzIwMjYuLi5VU0QuSAEAAAAgegUAAwAAAAAAYjWRMDvv3gjmk7M0O+/eCD1DSVEuTkFTREFROkNBTE0uSVFfQURfRVhDTF9PUEVSX0xFQVNFUy45OTMuMzEvMDcvMjAyNi4uLlVTRC5IAQAAACB6BQACAAAACC01NTUuNjM4AQgAAAAFAAAAATEBAAAACy0yMTQyNDI5MDM5AwAAAAMxNjACAAAABTQ4OTc1BAAAAAEwBwAAAAk3LzMxLzIwMjYIAAAACDYvMS8yMDE5CQAAAAEwWvqQMDvv3ghlV7Q0O+/eCEVDSVEuTkFTREFROkNBTE0uSVFfR0VORVJBTF9QQVJUTkVSX1BSRUZfRVFVSVRZLjk5MS4zMS8wNy8yMDI2Li4uVVNELkgBAAAAIHoFAAMA</t>
  </si>
  <si>
    <t>AAAAAPuDkTA7794IRErMMjvv3ggzQ0lRLk5BU0RBUTpDQUxNLklRX09USEVSX0lOVi45OTEuMzEvMDcvMjAyNi4uLlVTRC5IAQAAACB6BQADAAAAAADgXJEwO+/eCJcQyjI7794IPkNJUS5OQVNEQVE6Q0FMTS5JUV9ERUZfVEFYX0xJQUJfQ1VSUkVOVC45OTEuMzEvMDcvMjAyNi4uLlVTRC5IAQAAACB6BQADAAAAAAB6/PowO+/eCDktvjI7794INkNJUS5OQVNEQVE6Q0FMTS5JUV9QUkVGX0NPTlZFUlQuOTkzLjMxLzA3LzIwMjYuLi5VU0QuSAEAAAAgegUAAwAAAAAAevz6MDvv3giMe7Y0O+/eCDlDSVEuTkFTREFROkNBTE0uSVFfRklOX0RJVl9MSUFCX0xULjk5MC4zMS8wNy8yMDI2Li4uVVNELkgBAAAAIHoFAAMAAAAAAHr8+jA7794ITyu/Mjvv3ghDQ0lRLk5BU0RBUTpDQUxNLklRX1JVQV9PUEVSQVRJTkdfTEVBU0VfR1JPU1MuOTkyLjMxLzA3LzIwMjYuLi5VU0QuSAEAAAAgegUAAwAAAAAAWvqQMDvv3giPpbQ0O+/eCDFDSVEuTkFTREFROkNBTE0uSVFfQ09NTU9OLjIwMDAuMzEvMDcvMjAyNi4uLlVTRC5IAQAAACB6BQACAAAABTAuNzUxAQgAAAAFAAAAATEBAAAACy0xODgxMDY4Mjk1AwAAAAMxNjACAAAABDExMDMEAAAAATAHAAAACTcvMzEvMjAyNggAAAAJNS8zMC8yMDI2CQAAAAEwWvqQMDvv3ghkC8EyO+/eCDxDSVEuTkFTREFROkNBTE0uSVFfVE9UQUxfT1VUU1RBTkRJTkdfQlNfREFURS4y</t>
  </si>
  <si>
    <t>MDAwLjMxLzA3LzIwMjYBAAAAIHoFAAIAAAAGNDYuOTgxAQQAAAAFAAAAATUBAAAACy0xODgxMDY4Mjk1AgAAAAUyNDE1MgYAAAABMGI1kTA7794IBc/YMjvv3ggsQ0lRLk5BU0RBUTpDQUxNLklRX0FELjk5MC4zMS8wNy8yMDI2Li4uVVNELkgBAAAAIHoFAAIAAAAILTQzMC4zNzEBCAAAAAUAAAABMQEAAAAKMTg5NjgyMDUxNwMAAAADMTYwAgAAAAQxMDc1BAAAAAEwBwAAAAk3LzMxLzIwMjYIAAAACTUvMjgvMjAxNgkAAAABMGzV+jA7794INbm6Mjvv3gg/Q0lRLk5BU0RBUTpDQUxNLklRX0ZJTl9ESVZfTE9BTlNfQ1VSUkVOVC45OTEuMzEvMDcvMjAyNi4uLlVTRC5IAQAAACB6BQADAAAAAABZrvowO+/eCA+nuTI7794IPkNJUS5OQVNEQVE6Q0FMTS5JUV9GSU5fRElWX0xJQUJfQ1VSUkVOVC45OTEuMzEvMDcvMjAyNi4uLlVTRC5IAQAAACB6BQADAAAAAABs1fowO+/eCN23vTI7794IMUNJUS5OQVNEQVE6Q0FMTS5JUV9TVF9ERUJULjk5MS4zMS8wNy8yMDI2Li4uVVNELkgBAAAAIHoFAAMAAAAAAGzV+jA7794IRiu9Mjvv3gg6Q0lRLk5BU0RBUTpDQUxNLklRX0xPQU5TX1JFQ0VJVl9MVC4yMDAwLjMxLzA3LzIwMjYuLi5VU0QuSAEAAAAgegUAAwAAAAAAbNX6MDvv3gi8LLwyO+/eCDRDSVEuTkFTREFROkNBTE0uSVFfVE9UQUxfREVCVF9DQVBJVEFMLjk5My4zMS8wNy8yMDI2AQAAACB6BQACAAAABjAu</t>
  </si>
  <si>
    <t>MjU3MwEIAAAABQAAAAExAQAAAAstMjE0MjQyOTAzOQMAAAADMTYwAgAAAAQ0MTg2BAAAAAEwBwAAAAk3LzMxLzIwMjYIAAAACDYvMS8yMDE5CQAAAAEwS9+NMDvv3gj5k6I0O+/eCDpDSVEuTkFTREFROkNBTE0uSVFfQ0FTSF9UQVhFU19GSU5BTi45OTMuMzEvMDcvMjAyNi4uLlVTRC5IAQAAACB6BQADAAAAAABsh/owO+/eCMFGvjQ7794IOUNJUS5OQVNEQVE6Q0FMTS5JUV9DQVNIX1RBWEVTX09QRVIuOTkwLjMxLzA3LzIwMjYuLi5VU0QuSAEAAAAgegUAAwAAAAAAbIf6MDvv3gh1pbIyO+/eCDZDSVEuTkFTREFROkNBTE0uSVFfVE9UQUxfUkVDRUlWLjk5Mi4zMS8wNy8yMDI2Li4uVVNELkgBAAAAIHoFAAIAAAAGODUuODM5AQgAAAAFAAAAATEBAAAACjIwNDU3NDkzMTADAAAAAzE2MAIAAAAEMTAwMQQAAAABMAcAAAAJNy8zMS8yMDI2CAAAAAg2LzIvMjAxOAkAAAABMFmu+jA7794Im9S7NDvv3ggpQ0lRLk5BU0RBUTpDQUxNLklRX0dBQVBfQ0YuOTkzLjMxLzA3LzIwMjYBAAAAIHoFAAMAAAAHVVMgR0FBUABZrvowO+/eCGp9pjQ7794ILkNJUS5OQVNEQVE6Q0FMTS5JUV9UQlYuMjAwMC4zMS8wNy8yMDI2Li4uVVNELkgBAAAAIHoFAAIAAAAIMjQ2Mi41NDMBCAAAAAUAAAABMQEAAAALLTE4ODEwNjgyOTUDAAAAAzE2MAIAAAAEMTMxMAQAAAABMAcAAAAJNy8zMS8yMDI2CAAAAAk1LzMwLzIwMjYJAAAA</t>
  </si>
  <si>
    <t>ATBiNZEwO+/eCEe5xjI7794IUkNJUS5OQVNEQVE6Q0FMTS5JUV9GSU5BTkNJTkdfT0JMSUdfQ1VSUkVOVF9FWENMX09QRVJfTEVBU0VTLjk5Mi4zMS8wNy8yMDI2Li4uVVNELkgBAAAAIHoFAAIAAAAFMy41MzYBCAAAAAUAAAABMQEAAAAKMjA0NTc0OTMxMAMAAAADMTYwAgAAAAU0ODk4MAQAAAABMAcAAAAJNy8zMS8yMDI2CAAAAAg2LzIvMjAxOAkAAAABMGI1kTA7794IIlmzNDvv3ghFQ0lRLk5BU0RBUTpDQUxNLklRX0dFTkVSQUxfUEFSVE5FUl9QUkVGX0VRVUlUWS45OTIuMzEvMDcvMjAyNi4uLlVTRC5IAQAAACB6BQADAAAAAAD7g5EwO+/eCEDorjQ7794IM0NJUS5OQVNEQVE6Q0FMTS5JUV9PVEhFUl9JTlYuOTkzLjMxLzA3LzIwMjYuLi5VU0QuSAEAAAAgegUAAwAAAAAA4FyRMDvv3gjDW7A0O+/eCD9DSVEuTkFTREFROkNBTE0uSVFfTkVHQVRJVkVfR1dfQU1PUlRfQ0YuMjAwMC4zMS8wNy8yMDI2Li4uVVNELkgBAAAAIHoFAAMAAAAAAPaV9jA7794IrzKxMjvv3gg6Q0lRLk5BU0RBUTpDQUxNLklRX09USEVSX0xUX0FTU0VUUy4yMDAwLjMxLzA3LzIwMjYuLi5VU0QuSAEAAAAgegUAAgAAAAYzNy41MDQBCAAAAAUAAAABMQEAAAALLTE4ODEwNjgyOTUDAAAAAzE2MAIAAAAEMTA2MAQAAAABMAcAAAAJNy8zMS8yMDI2CAAAAAk1LzMwLzIwMjYJAAAAATBs1fowO+/eCP6hvDI7794IMENJUS5OQVNE</t>
  </si>
  <si>
    <t>QVE6Q0FMTS5JUV9DT01NT04uOTkxLjMxLzA3LzIwMjYuLi5VU0QuSAEAAAAgegUAAgAAAAUwLjc1MQEIAAAABQAAAAExAQAAAAoxOTcyMDEyMTIxAwAAAAMxNjACAAAABDExMDMEAAAAATAHAAAACTcvMzEvMjAyNggAAAAINi8zLzIwMTcJAAAAATBa+pAwO+/eCB3kwDI7794IOUNJUS5OQVNEQVE6Q0FMTS5JUV9GSU5fRElWX0xJQUJfTFQuOTkxLjMxLzA3LzIwMjYuLi5VU0QuSAEAAAAgegUAAwAAAAAAevz6MDvv3ghPK78yO+/eCDFDSVEuTkFTREFROkNBTE0uSVFfUlVBX05FVC45OTEuMzEvMDcvMjAyNi4uLlVTRC5IAQAAACB6BQADAAAAAABa+pAwO+/eCBHHwjI7794IMkNJUS5OQVNEQVE6Q0FMTS5JUV9ORVRfREVCVC45OTAuMzEvMDcvMjAyNi4uLlVTRC5IAQAAACB6BQACAAAACC0zNjMuOTc1AQgAAAAFAAAAATEBAAAACjE4OTY4MjA1MTcDAAAAAzE2MAIAAAAENDM2NAQAAAABMAcAAAAJNy8zMS8yMDI2CAAAAAk1LzI4LzIwMTYJAAAAATDgXJEwO+/eCNIUyDI7794IMENJUS5OQVNEQVE6Q0FMTS5JUV9DT1NUX0JPUlJPV0lORy45OTIuMzEvMDcvMjAyNgEAAAAgegUAAgAAAAY1LjY2MDkBCAAAAAUAAAABMQEAAAAKMjA0NTc0OTMxMAMAAAADMTYwAgAAAAUyMTY4MQQAAAABMAcAAAAJNy8zMS8yMDI2CAAAAAg2LzIvMjAxOAkAAAABMPBVjTA7794IBGulNDvv3gg7Q0lRLk5BU0RBUTpDQUxNLklR</t>
  </si>
  <si>
    <t>X0RFRl9UQVhfQVNTRVRTX0xULjk5MC4zMS8wNy8yMDI2Li4uVVNELkgBAAAAIHoFAAMAAAAAAGzV+jA7794IvCy8Mjvv3gguQ0lRLk5BU0RBUTpDQUxNLklRX0dQUEUuOTkzLjMxLzA3LzIwMjYuLi5VU0QuSAEAAAAgegUAAgAAAAgxMDExLjkzMgEIAAAABQAAAAExAQAAAAstMjE0MjQyOTAzOQMAAAADMTYwAgAAAAQxMTY5BAAAAAEwBwAAAAk3LzMxLzIwMjYIAAAACDYvMS8yMDE5CQAAAAEwbNX6MDvv3gg2r7o0O+/eCD5DSVEuTkFTREFROkNBTE0uSVFfRklOX0RJVl9ERUJUX0NVUlJFTlQuOTkzLjMxLzA3LzIwMjYuLi5VU0QuSAEAAAAgegUAAwAAAAAAbNX6MDvv3giB7bg0O+/eCDFDSVEuTkFTREFROkNBTE0uSVFfU1RfREVCVC45OTIuMzEvMDcvMjAyNi4uLlVTRC5IAQAAACB6BQADAAAAAABs1fowO+/eCJU7uTQ7794ILUNJUS5OQVNEQVE6Q0FMTS5JUV9DSVAuOTkyLjMxLzA3LzIwMjYuLi5VU0QuSAEAAAAgegUAAgAAAAU5LjMwNwEIAAAABQAAAAExAQAAAAoyMDQ1NzQ5MzEwAwAAAAMxNjACAAAABDMwMzMEAAAAATAHAAAACTcvMzEvMjAyNggAAAAINi8yLzIwMTgJAAAAATD7g5EwO+/eCIW/rzQ7794IN0NJUS5OQVNEQVE6Q0FMTS5JUV9FUVVJVFlfTUVUSE9ELjk5MS4zMS8wNy8yMDI2Li4uVVNELkgBAAAAIHoFAAIAAAAGNjUuNzMxAQgAAAAFAAAAATEBAAAACjE5NzIwMTIxMjEDAAAAAzE2</t>
  </si>
  <si>
    <t>MAIAAAAEMzA2MwQAAAABMAcAAAAJNy8zMS8yMDI2CAAAAAg2LzMvMjAxNwkAAAABMOBckTA7794IE+zIMjvv3ggyQ0lRLk5BU0RBUTpDQUxNLklRX05FVF9ERUJULjk5MS4zMS8wNy8yMDI2Li4uVVNELkgBAAAAIHoFAAIAAAAILTE0NS4wODcBCAAAAAUAAAABMQEAAAAKMTk3MjAxMjEyMQMAAAADMTYwAgAAAAQ0MzY0BAAAAAEwBwAAAAk3LzMxLzIwMjYIAAAACDYvMy8yMDE3CQAAAAEw4FyRMDvv3gjSFMgyO+/eCC1DSVEuTkFTREFROkNBTE0uSVFfVEJWLjk5My4zMS8wNy8yMDI2Li4uVVNELkgBAAAAIHoFAAIAAAAHOTI3LjMzNwEIAAAABQAAAAExAQAAAAstMjE0MjQyOTAzOQMAAAADMTYwAgAAAAQxMzEwBAAAAAEwBwAAAAk3LzMxLzIwMjYIAAAACDYvMS8yMDE5CQAAAAEwYjWRMDvv3giUbrI0O+/eCENDSVEuTkFTREFROkNBTE0uSVFfREVSSVZBVElWRV9UUkFESU5HX0FTU0VUUy45OTMuMzEvMDcvMjAyNi4uLlVTRC5IAQAAACB6BQADAAAAAADOkI0wO+/eCCA8qjQ7794IO0NJUS5OQVNEQVE6Q0FMTS5JUV9ERUZfVEFYX0FTU0VUU19MVC45OTEuMzEvMDcvMjAyNi4uLlVTRC5IAQAAACB6BQADAAAAAABs1fowO+/eCLwsvDI7794IOkNJUS5OQVNEQVE6Q0FMTS5JUV9ERUZfVEFYX0xJQUJfTFQuMjAwMC4zMS8wNy8yMDI2Li4uVVNELkgBAAAAIHoFAAIAAAAHMjIxLjg3MgEIAAAABQAAAAExAQAA</t>
  </si>
  <si>
    <t>AAstMTg4MTA2ODI5NQMAAAADMTYwAgAAAAQxMDI3BAAAAAEwBwAAAAk3LzMxLzIwMjYIAAAACTUvMzAvMjAyNgkAAAABMHr8+jA7794Iyse/Mjvv3gg5Q0lRLk5BU0RBUTpDQUxNLklRX0ZJTl9ESVZfTElBQl9MVC45OTIuMzEvMDcvMjAyNi4uLlVTRC5IAQAAACB6BQADAAAAAAB6/PowO+/eCNqgtzQ7794IMENJUS5OQVNEQVE6Q0FMTS5JUV9DT01NT04uOTkyLjMxLzA3LzIwMjYuLi5VU0QuSAEAAAAgegUAAgAAAAUwLjc1MQEIAAAABQAAAAExAQAAAAoyMDQ1NzQ5MzEwAwAAAAMxNjACAAAABDExMDMEAAAAATAHAAAACTcvMzEvMjAyNggAAAAINi8yLzIwMTgJAAAAATBa+pAwO+/eCHMttjQ7794IUkNJUS5OQVNEQVE6Q0FMTS5JUV9GSU5BTkNJTkdfT0JMSUdfQ1VSUkVOVF9FWENMX09QRVJfTEVBU0VTLjk5My4zMS8wNy8yMDI2Li4uVVNELkgBAAAAIHoFAAIAAAAFMS42OTYBCAAAAAUAAAABMQEAAAALLTIxNDI0MjkwMzkDAAAAAzE2MAIAAAAFNDg5ODAEAAAAATAHAAAACTcvMzEvMjAyNggAAAAINi8xLzIwMTkJAAAAATBiNZEwO+/eCAsyszQ7794IM0NJUS5OQVNEQVE6Q0FMTS5JUV9TVF9JTlZFU1QuOTkxLjMxLzA3LzIwMjYuLi5VU0QuSAEAAAAgegUAAgAAAAcxMzguNDYyAQgAAAAFAAAAATEBAAAACjE5NzIwMTIxMjEDAAAAAzE2MAIAAAAEMTA2OQQAAAABMAcAAAAJNy8zMS8yMDI2CAAAAAg2</t>
  </si>
  <si>
    <t>LzMvMjAxNwkAAAABMFmu+jA7794I+re1Mjvv3ghLQ0lRLk5BU0RBUTpDQUxNLklRX0xPTkdfVEVSTV9ERUJUX1JFUEFJRF9FWENMX0xFQVNFUy45OTIuMzEvMDcvMjAyNi4uLlVTRC5IAQAAACB6BQACAAAABi00Ljg0OQEIAAAABQAAAAExAQAAAAoyMDQ1NzQ5MzEwAwAAAAMxNjACAAAABTQ4OTg0BAAAAAEwBwAAAAk3LzMxLzIwMjYIAAAACDYvMi8yMDE4CQAAAAEwWa76MDvv3ggK07w0O+/eCEFDSVEuTkFTREFROkNBTE0uSVFfRklOX0RJVl9BU1NFVFNfQ1VSUkVOVC4yMDAwLjMxLzA3LzIwMjYuLi5VU0QuSAEAAAAgegUAAwAAAAAAWa76MDvv3ggm9bkyO+/eCDFDSVEuTkFTREFROkNBTE0uSVFfU1RfREVCVC45OTMuMzEvMDcvMjAyNi4uLlVTRC5IAQAAACB6BQADAAAAAABs1fowO+/eCJU7uTQ7794INkNJUS5OQVNEQVE6Q0FMTS5JUV9UT1RBTF9BU1NFVFMuOTkwLjMxLzA3LzIwMjYuLi5VU0QuSAEAAAAgegUAAgAAAAgxMTExLjc2NQEIAAAABQAAAAExAQAAAAoxODk2ODIwNTE3AwAAAAMxNjACAAAABDEwMDcEAAAAATAHAAAACTcvMzEvMjAyNggAAAAJNS8yOC8yMDE2CQAAAAEwbNX6MDvv3gj+obwyO+/eCDtDSVEuTkFTREFROkNBTE0uSVFfQ0FTSF9JTlRFUkVTVF9ORVQuOTkzLjMxLzA3LzIwMjYuLi5VU0QuSAEAAAAgegUAAwAAAAAAbIf6MDvv3gh9Mb80O+/eCD5DSVEuTkFTREFROkNBTE0u</t>
  </si>
  <si>
    <t>SVFfTkVHQVRJVkVfR1dfQU1PUlRfQ0YuOTkzLjMxLzA3LzIwMjYuLi5VU0QuSAEAAAAgegUAAwAAAAAA9pX2MDvv3giYpr80O+/eCEJDSVEuTkFTREFROkNBTE0uSVFfT1BFUkFUSU5HX0xFQVNFX1BBWU1FTlRTLjk5My4zMS8wNy8yMDI2Li4uVVNELkgBAAAAIHoFAAMAAAAAAGyH+jA7794IsCG9NDvv3ghEQ0lRLk5BU0RBUTpDQUxNLklRX0NIQU5HRV9ORVRfV09SS0lOR19DQVBJVEFMLjk5My4zMS8wNy8yMDI2Li4uVVNELkgBAAAAIHoFAAIAAAAGMjIuOTEzAQgAAAAFAAAAATEBAAAACy0yMTQyNDI5MDM5AwAAAAMxNjACAAAABDQ0MjEEAAAAATAHAAAACTcvMzEvMjAyNggAAAAINi8xLzIwMTkJAAAAATBsh/owO+/eCJ8LvjQ7794ILENJUS5OQVNEQVE6Q0FMTS5JUV9BUi45OTAuMzEvMDcvMjAyNi4uLlVTRC5IAQAAACB6BQACAAAABjYyLjAxMgEIAAAABQAAAAExAQAAAAoxODk2ODIwNTE3AwAAAAMxNjACAAAABDEwMjEEAAAAATAHAAAACTcvMzEvMjAyNggAAAAJNS8yOC8yMDE2CQAAAAEwWa76MDvv3gjSvbgyO+/eCEFDSVEuTkFTREFROkNBTE0uSVFfT1RIRVJfRklOQU5DRV9BQ1RfU1VQUEwuOTkwLjMxLzA3LzIwMjYuLi5VU0QuSAEAAAAgegUAAgAAAAYtMC44MzEBCAAAAAUAAAABMQEAAAAKMTg5NjgyMDUxNwMAAAADMTYwAgAAAAQyMDUwBAAAAAEwBwAAAAk3LzMxLzIwMjYIAAAACTUvMjgv</t>
  </si>
  <si>
    <t>MjAxNgkAAAABMOZu9jA7794IA0SvMjvv3gg7Q0lRLk5BU0RBUTpDQUxNLklRX1RPVEFMX0RJVl9QQUlEX0NGLjk5MS4zMS8wNy8yMDI2Li4uVVNELkgBAAAAIHoFAAMAAAAAAOZu9jA7794I7vWuMjvv3gg1Q0lRLk5BU0RBUTpDQUxNLklRX1BSRUZfRElWX0NGLjk5MC4zMS8wNy8yMDI2Li4uVVNELkgBAAAAIHoFAAMAAAAAAOZu9jA7794IDaiuMjvv3gg2Q0lRLk5BU0RBUTpDQUxNLklRX1BSRUZfSVNTVUVELjIwMDAuMzEvMDcvMjAyNi4uLlVTRC5IAQAAACB6BQADAAAAAADmbvYwO+/eCEserjI7794ILENJUS5OQVNEQVE6Q0FMTS5JUV9GWC45OTAuMzEvMDcvMjAyNi4uLlVTRC5IAQAAACB6BQADAAAAAAD2lfYwO+/eCAGYrzI7794IOUNJUS5OQVNEQVE6Q0FMTS5JUV9PVEhFUl9PUEVSX0FDVC4yMDAwLjMxLzA3LzIwMjYuLi5VU0QuSAEAAAAgegUAAgAAAAY2NC4zNjgBCAAAAAUAAAABMQEAAAALLTE4ODEwNjgyOTUDAAAAAzE2MAIAAAAEMjA0NwQAAAABMAcAAAAJNy8zMS8yMDI2CAAAAAk1LzMwLzIwMjYJAAAAATDWR/YwO+/eCNMOqjI7794INENJUS5OQVNEQVE6Q0FMTS5JUV9ESVZFU1RfQ0YuMjAwMC4zMS8wNy8yMDI2Li4uVVNELkgBAAAAIHoFAAMAAAAAAOZu9jA7794IY+qrMjvv3ggvQ0lRLk5BU0RBUTpDQUxNLklRX0NBUEVYLjk5MS4zMS8wNy8yMDI2Li4uVVNELkgBAAAAIHoFAAIAAAAH</t>
  </si>
  <si>
    <t>LTY2LjY1NwEIAAAABQAAAAExAQAAAAoxOTcyMDEyMTIxAwAAAAMxNjACAAAABDIwMjEEAAAAATAHAAAACTcvMzEvMjAyNggAAAAINi8zLzIwMTcJAAAAATDWR/YwO+/eCDJ1qzI7794IOENJUS5OQVNEQVE6Q0FMTS5JUV9TVF9ERUJUX1JFUEFJRC45OTEuMzEvMDcvMjAyNi4uLlVTRC5IAQAAACB6BQADAAAAAADmbvYwO+/eCBFurTI7794INUNJUS5OQVNEQVE6Q0FMTS5JUV9DQVNIX0lOVkVTVC45OTMuMzEvMDcvMjAyNi4uLlVTRC5IAQAAACB6BQACAAAABy00Ny44MTcBCAAAAAUAAAABMQEAAAALLTIxNDI0MjkwMzkDAAAAAzE2MAIAAAAEMjAwNQQAAAABMAcAAAAJNy8zMS8yMDI2CAAAAAg2LzEvMjAxOQkAAAABMOZu9jA7794IUH3CNDvv3gg+Q0lRLk5BU0RBUTpDQUxNLklRX1NUT0NLX0JBU0VEX0NPTVBfVEFYLjk5MS4zMS8wNy8yMDI2Li4uVVNELkgBAAAAIHoFAAMAAAAAAM4g9jA7794IPYumMjvv3gg9Q0lRLk5BU0RBUTpDQUxNLklRX1RBWF9CRU5FRklUX09QVElPTlMuOTkxLjMxLzA3LzIwMjYuLi5VU0QuSAEAAAAgegUAAwAAAAAA1kf2MDvv3ghgcakyO+/eCDJDSVEuTkFTREFROkNBTE0uSVFfTE9BTlNfQ0YuOTkzLjMxLzA3LzIwMjYuLi5VU0QuSAEAAAAgegUAAwAAAAAA1kf2MDvv3gjVKsU0O+/eCDhDSVEuTkFTREFROkNBTE0uSVFfR0FJTl9BU1NFVFNfQ0YuOTkzLjMxLzA3LzIwMjYu</t>
  </si>
  <si>
    <t>Li5VU0QuSAEAAAAgegUAAgAAAAUwLjAzMwEIAAAABQAAAAExAQAAAAstMjE0MjQyOTAzOQMAAAADMTYwAgAAAAQyMDI2BAAAAAEwBwAAAAk3LzMxLzIwMjYIAAAACDYvMS8yMDE5CQAAAAEwziD2MDvv3ggAecU0O+/eCDhDSVEuTkFTREFROkNBTE0uSVFfQ0hBTkdFX0lOQ19UQVguOTkzLjMxLzA3LzIwMjYuLi5VU0QuSAEAAAAgegUAAwAAAAAA1kf2MDvv3ggI3sM0O+/eCENDSVEuTkFTREFROkNBTE0uSVFfU1RPQ0tfT1BUSU9OU19DT01QX1BSRVRBWC45OTMuMzEvMDcvMjAyNi4uLlVTRC5IAQAAACB6BQADAAAAAADOIPYwO+/eCJHsxjQ7794IQkNJUS5OQVNEQVE6Q0FMTS5JUV9SRVNUUl9TVE9DS19DT01QX1BSRVRBWC4yMDAwLjMxLzA3LzIwMjYuLi5VU0QuSAEAAAAgegUAAwAAAAAAziD2MDvv3gjvkqUyO+/eCDxDSVEuTkFTREFROkNBTE0uSVFfU1RPQ0tfQkFTRURfT1RIRVIuMjAwMC4zMS8wNy8yMDI2Li4uVVNELkgBAAAAIHoFAAIAAAAFNS43NTcBCAAAAAUAAAABMQEAAAALLTE4ODEwNjgyOTUDAAAAAzE2MAIAAAAFMjI2NzYEAAAAATAHAAAACTcvMzEvMjAyNggAAAAJNS8zMC8yMDI2CQAAAAEwziD2MDvv3gjACaUyO+/eCDBDSVEuTkFTREFROkNBTE0uSVFfREFfQ0YuMjAwMC4zMS8wNy8yMDI2Li4uVVNELkgBAAAAIHoFAAIAAAAHMTI0LjM0MgEIAAAABQAAAAExAQAAAAstMTg4MTA2ODI5</t>
  </si>
  <si>
    <t>NQMAAAADMTYwAgAAAAQyMTYwBAAAAAEwBwAAAAk3LzMxLzIwMjYIAAAACTUvMzAvMjAyNgkAAAABMM4g9jA7794IG8SnMjvv3gg1Q0lRLk5BU0RBUTpDQUxNLklRX0RBX1NVUFBMX0NGLjk5MS4zMS8wNy8yMDI2Li4uVVNELkgBAAAAIHoFAAIAAAAGNDYuOTEzAQgAAAAFAAAAATEBAAAACjE5NzIwMTIxMjEDAAAAAzE2MAIAAAAEMjE3MQQAAAABMAcAAAAJNy8zMS8yMDI2CAAAAAg2LzMvMjAxNwkAAAABMM4g9jA7794Ip06nMjvv3ggyQ0lRLk5BU0RBUTpDQUxNLklRX05FVF9ERUJULjk5Mi4zMS8wNy8yMDI2Li4uVVNELkgBAAAAIHoFAAIAAAAILTMyNC45MjcBCAAAAAUAAAABMQEAAAAKMjA0NTc0OTMxMAMAAAADMTYwAgAAAAQ0MzY0BAAAAAEwBwAAAAk3LzMxLzIwMjYIAAAACDYvMi8yMDE4CQAAAAEw4FyRMDvv3gjVgbE0O+/eCDhDSVEuTkFTREFROkNBTE0uSVFfQVNTRVRTX0xFVkVMXzMuOTkyLjMxLzA3LzIwMjYuLi5VU0QuSAEAAAAgegUAAwAAAAAA+4ORMDvv3gjUEK40O+/eCDFDSVEuTkFTREFROkNBTE0uSVFfVE9UQUxfRU1QTE9ZRUVTLjk5My4zMS8wNy8yMDI2AQAAACB6BQACAAAABDM0MDEA8FWNMDvv3giq4KU0O+/eCDhDSVEuTkFTREFROkNBTE0uSVFfU1RPQ0tfQkFTRURfR0EuOTkxLjMxLzA3LzIwMjYuLi5VU0QuSAEAAAAgegUAAwAAAAAAGlEYMTvv3ghsbaQyO+/eCD5DSVEuTkFT</t>
  </si>
  <si>
    <t>REFROkNBTE0uSVFfTkVHQVRJVkVfR1dfQU1PUlRfQVQuOTkzLjMxLzA3LzIwMjYuLi5VU0QuSAEAAAAgegUAAwAAAAAAGlEYMTvv3gjYQsg0O+/eCDtDSVEuTkFTREFROkNBTE0uSVFfREVGX1RBWF9BU1NFVFNfTFQuOTkyLjMxLzA3LzIwMjYuLi5VU0QuSAEAAAAgegUAAwAAAAAAbNX6MDvv3gjAxLk0O+/eCDdDSVEuTkFTREFROkNBTE0uSVFfT1RIRVJfTElBQl9MVC45OTEuMzEvMDcvMjAyNi4uLlVTRC5IAQAAACB6BQACAAAABTcuNTI3AQgAAAAFAAAAATEBAAAACjE5NzIwMTIxMjEDAAAAAzE2MAIAAAAEMTA2MgQAAAABMAcAAAAJNy8zMS8yMDI2CAAAAAg2LzMvMjAxNwkAAAABMHr8+jA7794Iw6C/Mjvv3gg5Q0lRLk5BU0RBUTpDQUxNLklRX0ZJTl9ESVZfTElBQl9MVC45OTMuMzEvMDcvMjAyNi4uLlVTRC5IAQAAACB6BQADAAAAAAB6/PowO+/eCP/HtzQ7794IPENJUS5OQVNEQVE6Q0FMTS5JUV9NSU5PUklUWV9JTlRFUkVTVC4yMDAwLjMxLzA3LzIwMjYuLi5VU0QuSAEAAAAgegUAAgAAAAM3LjgBCAAAAAUAAAABMQEAAAALLTE4ODEwNjgyOTUDAAAAAzE2MAIAAAAEMTA1MgQAAAABMAcAAAAJNy8zMS8yMDI2CAAAAAk1LzMwLzIwMjYJAAAAATBa+pAwO+/eCHcqwjI7794IMkNJUS5OQVNEQVE6Q0FMTS5JUV9UUkVBU1VSWS45OTIuMzEvMDcvMjAyNi4uLlVTRC5IAQAAACB6BQACAAAABy0yNC45</t>
  </si>
  <si>
    <t>NjYBCAAAAAUAAAABMQEAAAAKMjA0NTc0OTMxMAMAAAADMTYwAgAAAAQxMjQ4BAAAAAEwBwAAAAk3LzMxLzIwMjYIAAAACDYvMi8yMDE4CQAAAAEwWvqQMDvv3ghN37U0O+/eCDpDSVEuTkFTREFROkNBTE0uSVFfRklOX0RJVl9MT0FOU19MVC45OTIuMzEvMDcvMjAyNi4uLlVTRC5IAQAAACB6BQADAAAAAABs1fowO+/eCFU6ujQ7794IL0NJUS5OQVNEQVE6Q0FMTS5JUV9OUFBFLjIwMDAuMzEvMDcvMjAyNi4uLlVTRC5IAQAAACB6BQACAAAACDEzMTguMzM1AQgAAAAFAAAAATEBAAAACy0xODgxMDY4Mjk1AwAAAAMxNjACAAAABDEwMDQEAAAAATAHAAAACTcvMzEvMjAyNggAAAAJNS8zMC8yMDI2CQAAAAEwbNX6MDvv3giELrsyO+/eCDhDSVEuTkFTREFROkNBTE0uSVFfT1RIRVJfQ0FfU1VQUEwuOTkxLjMxLzA3LzIwMjYuLi5VU0QuSAEAAAAgegUAAwAAAAAAWa76MDvv3ghAQ7oyO+/eCDhDSVEuTkFTREFROkNBTE0uSVFfTE9BTlNfRk9SX1NBTEUuOTkxLjMxLzA3LzIwMjYuLi5VU0QuSAEAAAAgegUAAwAAAAAAWa76MDvv3ggm9bkyO+/eCDZDSVEuTkFTREFROkNBTE0uSVFfVE9UQUxfQVNTRVRTLjk5MS4zMS8wNy8yMDI2Li4uVVNELkgBAAAAIHoFAAIAAAAIMTAzMy4wOTQBCAAAAAUAAAABMQEAAAAKMTk3MjAxMjEyMQMAAAADMTYwAgAAAAQxMDA3BAAAAAEwBwAAAAk3LzMxLzIwMjYIAAAACDYvMy8y</t>
  </si>
  <si>
    <t>MDE3CQAAAAEwbNX6MDvv3gj+obwyO+/eCD5DSVEuTkFTREFROkNBTE0uSVFfREFfU1VQUExfUEFSVElBTF9DRi4yMDAwLjMxLzA3LzIwMjYuLi5VU0QuSAEAAAAgegUAAwAAAAAA9pX2MDvv3ghnIbAyO+/eCEtDSVEuTkFTREFROkNBTE0uSVFfTE9OR19URVJNX0RFQlRfUkVQQUlEX0VYQ0xfTEVBU0VTLjk5My4zMS8wNy8yMDI2Li4uVVNELkgBAAAAIHoFAAIAAAAGLTMuNzU0AQgAAAAFAAAAATEBAAAACy0yMTQyNDI5MDM5AwAAAAMxNjACAAAABTQ4OTg0BAAAAAEwBwAAAAk3LzMxLzIwMjYIAAAACDYvMS8yMDE5CQAAAAEwWa76MDvv3ggK07w0O+/eCDhDSVEuTkFTREFROkNBTE0uSVFfVU5MRVZFUkVEX0ZDRi4yMDAwLjMxLzA3LzIwMjYuLi5VU0QuSAEAAAAgegUAAgAAAAU5LjE0NAEIAAAABQAAAAExAQAAAAstMTg4MTA2ODI5NQMAAAADMTYwAgAAAAQ0NDIzBAAAAAEwBwAAAAk3LzMxLzIwMjYIAAAACTUvMzAvMjAyNgkAAAABMGyH+jA7794I3MqzMjvv3ggsQ0lRLk5BU0RBUTpDQUxNLklRX0FSLjk5MS4zMS8wNy8yMDI2Li4uVVNELkgBAAAAIHoFAAIAAAAGNjEuMjYxAQgAAAAFAAAAATEBAAAACjE5NzIwMTIxMjEDAAAAAzE2MAIAAAAEMTAyMQQAAAABMAcAAAAJNy8zMS8yMDI2CAAAAAg2LzMvMjAxNwkAAAABMFmu+jA7794I0r24Mjvv3ggzQ0lRLk5BU0RBUTpDQUxNLklRX1NUX0lOVkVTVC45</t>
  </si>
  <si>
    <t>OTIuMzEvMDcvMjAyNi4uLlVTRC5IAQAAACB6BQACAAAABzI4Mi41ODYBCAAAAAUAAAABMQEAAAAKMjA0NTc0OTMxMAMAAAADMTYwAgAAAAQxMDY5BAAAAAEwBwAAAAk3LzMxLzIwMjYIAAAACDYvMi8yMDE4CQAAAAEwWa76MDvv3gjvcLw0O+/eCCxDSVEuTkFTREFROkNBTE0uSVFfRlguOTkxLjMxLzA3LzIwMjYuLi5VU0QuSAEAAAAgegUAAwAAAAAA9pX2MDvv3ggBmK8yO+/eCEFDSVEuTkFTREFROkNBTE0uSVFfT1RIRVJfRklOQU5DRV9BQ1RfU1VQUEwuOTkxLjMxLzA3LzIwMjYuLi5VU0QuSAEAAAAgegUAAgAAAAYtMC4wNzMBCAAAAAUAAAABMQEAAAAKMTk3MjAxMjEyMQMAAAADMTYwAgAAAAQyMDUwBAAAAAEwBwAAAAk3LzMxLzIwMjYIAAAACDYvMy8yMDE3CQAAAAEw5m72MDvv3ggDRK8yO+/eCDtDSVEuTkFTREFROkNBTE0uSVFfVE9UQUxfRElWX1BBSURfQ0YuOTkyLjMxLzA3LzIwMjYuLi5VU0QuSAEAAAAgegUAAwAAAAAA5m72MDvv3ghhCcE0O+/eCDVDSVEuTkFTREFROkNBTE0uSVFfUFJFRl9ESVZfQ0YuOTkxLjMxLzA3LzIwMjYuLi5VU0QuSAEAAAAgegUAAwAAAAAA5m72MDvv3ggNqK4yO+/eCENDSVEuTkFTREFROkNBTE0uSVFfQU1PUlRfU09GVFdBUkVfQVNTRVRTX0NGLjIwMDAuMzEvMDcvMjAyNi4uLlVTRC5IAQAAACB6BQADAAAAAAD2lfYwO+/eCAaUsTI7794IOUNJUS5OQVNEQVE6</t>
  </si>
  <si>
    <t>Q0FMTS5JUV9JTlZFU1RfTE9BTlNfQ0YuOTkwLjMxLzA3LzIwMjYuLi5VU0QuSAEAAAAgegUAAwAAAAAA5m72MDvv3gidhqwyO+/eCD1DSVEuTkFTREFROkNBTE0uSVFfU0FMRV9SRUFMX0VTVEFURV9DRi45OTAuMzEvMDcvMjAyNi4uLlVTRC5IAQAAACB6BQADAAAAAADmbvYwO+/eCGPqqzI7794IMkNJUS5OQVNEQVE6Q0FMTS5JUV9QUkVGX1JFUC45OTAuMzEvMDcvMjAyNi4uLlVTRC5IAQAAACB6BQADAAAAAADmbvYwO+/eCEserjI7794IOENJUS5OQVNEQVE6Q0FMTS5JUV9TVF9ERUJUX1JFUEFJRC45OTIuMzEvMDcvMjAyNi4uLlVTRC5IAQAAACB6BQADAAAAAADmbvYwO+/eCPYHwjQ7794INENJUS5OQVNEQVE6Q0FMTS5JUV9ORVRfQ0hBTkdFLjk5MS4zMS8wNy8yMDI2Li4uVVNELkgBAAAAIHoFAAIAAAAHLTExLjQ4MgEIAAAABQAAAAExAQAAAAoxOTcyMDEyMTIxAwAAAAMxNjACAAAABDIwOTMEAAAAATAHAAAACTcvMzEvMjAyNggAAAAINi8zLzIwMTcJAAAAATD2lfYwO+/eCFX6rzI7794INUNJUS5OQVNEQVE6Q0FMTS5JUV9PVEhFUl9BTU9SVC45OTAuMzEvMDcvMjAyNi4uLlVTRC5IAQAAACB6BQADAAAAAADOIPYwO+/eCBvEpzI7794INUNJUS5OQVNEQVE6Q0FMTS5JUV9EQV9TVVBQTF9DRi45OTIuMzEvMDcvMjAyNi4uLlVTRC5IAQAAACB6BQACAAAABjUxLjIyNgEIAAAABQAAAAExAQAAAAoy</t>
  </si>
  <si>
    <t>MDQ1NzQ5MzEwAwAAAAMxNjACAAAABDIxNzEEAAAAATAHAAAACTcvMzEvMjAyNggAAAAINi8yLzIwMTgJAAAAATDOIPYwO+/eCBwpxjQ7794IP0NJUS5OQVNEQVE6Q0FMTS5JUV9DSEFOR0VfVFJBRElOR19BU1NFVFMuOTkwLjMxLzA3LzIwMjYuLi5VU0QuSAEAAAAgegUAAwAAAAAA1kf2MDvv3gjTDqoyO+/eCD1DSVEuTkFTREFROkNBTE0uSVFfVEFYX0JFTkVGSVRfT1BUSU9OUy45OTIuMzEvMDcvMjAyNi4uLlVTRC5IAQAAACB6BQADAAAAAADWR/YwO+/eCLS1xDQ7794IL0NJUS5OQVNEQVE6Q0FMTS5JUV9DQVBFWC45OTIuMzEvMDcvMjAyNi4uLlVTRC5IAQAAACB6BQACAAAABy0xOS42NzEBCAAAAAUAAAABMQEAAAAKMjA0NTc0OTMxMAMAAAADMTYwAgAAAAQyMDIxBAAAAAEwBwAAAAk3LzMxLzIwMjYIAAAACDYvMi8yMDE4CQAAAAEw1kf2MDvv3gjAe8M0O+/eCDZDSVEuTkFTREFROkNBTE0uSVFfVE9UQUxfRVFVSVRZLjk5MC4zMS8wNy8yMDI2Li4uVVNELkgBAAAAIHoFAAIAAAAHOTE3LjM2MQEIAAAABQAAAAExAQAAAAoxODk2ODIwNTE3AwAAAAMxNjACAAAABDEyNzUEAAAAATAHAAAACTcvMzEvMjAyNggAAAAJNS8yOC8yMDE2CQAAAAEwWvqQMDvv3gif78EyO+/eCEBDSVEuTkFTREFROkNBTE0uSVFfVE9UQUxfT1VUU1RBTkRJTkdfRklMSU5HX0RBVEUuMjAwMC4zMS8wNy8yMDI2AQAAACB6BQAC</t>
  </si>
  <si>
    <t>AAAACDQ2LjkxNzA4AQQAAAAFAAAAATUBAAAACy0xODgxMDY4Mjk1AgAAAAUyNDE1MwYAAAABMGI1kTA7794IBc/YMjvv3ghBQ0lRLk5BU0RBUTpDQUxNLklRX05BVFVSQUxfUkVTT1VSQ0VTX0NPU1QuMjAwMC4zMS8wNy8yMDI2Li4uVVNELkgBAAAAIHoFAAMAAAAAAPuDkTA7794I9NPKMjvv3gg2Q0lRLk5BU0RBUTpDQUxNLklRX0ZJTklTSEVEX0lOVi45OTIuMzEvMDcvMjAyNi4uLlVTRC5IAQAAACB6BQACAAAABTcyLjA1AQgAAAAFAAAAATEBAAAACjIwNDU3NDkzMTADAAAAAzE2MAIAAAAEMzA3NQQAAAABMAcAAAAJNy8zMS8yMDI2CAAAAAg2LzIvMjAxOAkAAAABMOBckTA7794Iw1uwNDvv3gg+Q0lRLk5BU0RBUTpDQUxNLklRX1JFU1RSX1NUT0NLX0NPTVBfVEFYLjk5MC4zMS8wNy8yMDI2Li4uVVNELkgBAAAAIHoFAAMAAAAAAM4g9jA7794I75KlMjvv3ggzQ0lRLk5BU0RBUTpDQUxNLklRX0xUX0lOVkVTVC45OTAuMzEvMDcvMjAyNi4uLlVTRC5IAQAAACB6BQACAAAABjUzLjk3NQEIAAAABQAAAAExAQAAAAoxODk2ODIwNTE3AwAAAAMxNjACAAAABDEwNTQEAAAAATAHAAAACTcvMzEvMjAyNggAAAAJNS8yOC8yMDE2CQAAAAEwbNX6MDvv3giELrsyO+/eCD5DSVEuTkFTREFROkNBTE0uSVFfSU5DX1RBWF9QQVlfQ1VSUkVOVC4yMDAwLjMxLzA3LzIwMjYuLi5VU0QuSAEAAAAgegUAAwAAAAAAbNX6</t>
  </si>
  <si>
    <t>MDvv3ggsBr4yO+/eCD5DSVEuTkFTREFROkNBTE0uSVFfVE9UQUxfRklOQU5DRV9MRUFTRVMuOTkwLjMxLzA3LzIwMjYuLi5VU0QuSAEAAAAgegUAAwAAAAAAYjWRMDvv3ggfeMQyO+/eCEBDSVEuTkFTREFROkNBTE0uSVFfR1BQRV9FWENMX09QRVJfTEVBU0VTLjIwMDAuMzEvMDcvMjAyNi4uLlVTRC5IAQAAACB6BQACAAAACDIzMDQuNzA4AQgAAAAFAAAAATEBAAAACy0xODgxMDY4Mjk1AwAAAAMxNjACAAAABTQ4OTc0BAAAAAEwBwAAAAk3LzMxLzIwMjYIAAAACTUvMzAvMjAyNgkAAAABMFr6kDA7794I0tvDMjvv3gg/Q0lRLk5BU0RBUTpDQUxNLklRX1JVQV9DQVBJVEFMX0xFQVNFX05FVC45OTAuMzEvMDcvMjAyNi4uLlVTRC5IAQAAACB6BQADAAAAAABa+pAwO+/eCCo8wzI7794IOENJUS5OQVNEQVE6Q0FMTS5JUV9MT0FOU19GT1JfU0FMRS45OTIuMzEvMDcvMjAyNi4uLlVTRC5IAQAAACB6BQADAAAAAABZrvowO+/eCHtfuzQ7794INENJUS5OQVNEQVE6Q0FMTS5JUV9JTlZFTlRPUlkuMjAwMC4zMS8wNy8yMDI2Li4uVVNELkgBAAAAIHoFAAIAAAAHMzc1LjI2NQEIAAAABQAAAAExAQAAAAstMTg4MTA2ODI5NQMAAAADMTYwAgAAAAQxMDQzBAAAAAEwBwAAAAk3LzMxLzIwMjYIAAAACTUvMzAvMjAyNgkAAAABMFmu+jA7794IyX+5Mjvv3ggsQ0lRLk5BU0RBUTpDQUxNLklRX0FSLjk5Mi4zMS8wNy8y</t>
  </si>
  <si>
    <t>MDI2Li4uVVNELkgBAAAAIHoFAAIAAAAGODAuNzMxAQgAAAAFAAAAATEBAAAACjIwNDU3NDkzMTADAAAAAzE2MAIAAAAEMTAyMQQAAAABMAcAAAAJNy8zMS8yMDI2CAAAAAg2LzIvMjAxOAkAAAABMFmu+jA7794I9CK8NDvv3ggzQ0lRLk5BU0RBUTpDQUxNLklRX1NUX0lOVkVTVC45OTMuMzEvMDcvMjAyNi4uLlVTRC5IAQAAACB6BQACAAAABzI1MC4xODEBCAAAAAUAAAABMQEAAAALLTIxNDI0MjkwMzkDAAAAAzE2MAIAAAAEMTA2OQQAAAABMAcAAAAJNy8zMS8yMDI2CAAAAAg2LzEvMjAxOQkAAAABMFmu+jA7794I73C8NDvv3gg6Q0lRLk5BU0RBUTpDQUxNLklRX0ZJTl9ESVZfTE9BTlNfTFQuOTkzLjMxLzA3LzIwMjYuLi5VU0QuSAEAAAAgegUAAwAAAAAAbNX6MDvv3ghVOro0O+/eCDVDSVEuTkFTREFROkNBTE0uSVFfREVQUkVfU1VQUC4yMDAwLjMxLzA3LzIwMjYuLi5VU0QuSAEAAAAgegUAAgAAAAUxMTYuNgEIAAAABQAAAAExAQAAAAstMTg4MTA2ODI5NQMAAAADMTYwAgAAAAQyMTQzBAAAAAEwBwAAAAk3LzMxLzIwMjYIAAAACTUvMzAvMjAyNgkAAAABMPaV9jA7794IXm+wMjvv3ggyQ0lRLk5BU0RBUTpDQUxNLklRX0NGX1NIQVJFLjk5MC4zMS8wNy8yMDI2Li4uVVNELkgBAAAAIHoFAAIAAAAINi40ODAxNzQBCAAAAAUAAAABMQEAAAAKMTg5NjgyMDUxNwMAAAADMTYwAgAAAAU0MzkyMwQAAAAB</t>
  </si>
  <si>
    <t>MAcAAAAJNy8zMS8yMDI2CAAAAAk1LzI4LzIwMTYJAAAAATBsh/owO+/eCNzKszI7794IPENJUS5OQVNEQVE6Q0FMTS5JUV9DQVNIX1RBWEVTX0lOVkVTVC4yMDAwLjMxLzA3LzIwMjYuLi5VU0QuSAEAAAAgegUAAwAAAAAAbIf6MDvv3giGB7MyO+/eCD1DSVEuTkFTREFROkNBTE0uSVFfQ0FTSF9JTlRFUkVTVF9PUEVSLjIwMDAuMzEvMDcvMjAyNi4uLlVTRC5IAQAAACB6BQADAAAAAABsh/owO+/eCFdXsjI7794INkNJUS5OQVNEQVE6Q0FMTS5JUV9NQUlOVF9DQVBFWC4yMDAwLjMxLzA3LzIwMjYuLi5VU0QuSAEAAAAgegUAAwAAAAAAbIf6MDvv3ggZQLQyO+/eCDhDSVEuTkFTREFROkNBTE0uSVFfQ09NTU9OX0lTU1VFRC4yMDAwLjMxLzA3LzIwMjYuLi5VU0QuSAEAAAAgegUAAwAAAAAA5m72MDvv3ghK960yO+/eCD1DSVEuTkFTREFROkNBTE0uSVFfREFfU1VQUExfUEFSVElBTF9DRi45OTIuMzEvMDcvMjAyNi4uLlVTRC5IAQAAACB6BQADAAAAAAD2lfYwO+/eCGNrwDQ7794INENJUS5OQVNEQVE6Q0FMTS5JUV9ORVRfQ0hBTkdFLjk5Mi4zMS8wNy8yMDI2Li4uVVNELkgBAAAAIHoFAAIAAAAGMzAuODY3AQgAAAAFAAAAATEBAAAACjIwNDU3NDkzMTADAAAAAzE2MAIAAAAEMjA5MwQAAAABMAcAAAAJNy8zMS8yMDI2CAAAAAg2LzIvMjAxOAkAAAABMPaV9jA7794IY2vANDvv3ggsQ0lRLk5BU0RBUTpD</t>
  </si>
  <si>
    <t>QUxNLklRX0ZYLjk5My4zMS8wNy8yMDI2Li4uVVNELkgBAAAAIHoFAAMAAAAAAPaV9jA7794Ip6bANDvv3ghFQ0lRLk5BU0RBUTpDQUxNLklRX1NBTEVfUFJPQ0VFRFNfUkVOVEFMX0FTU0VUUy45OTEuMzEvMDcvMjAyNi4uLlVTRC5IAQAAACB6BQADAAAAAAD2lfYwO+/eCAaUsTI7794IM0NJUS5OQVNEQVE6Q0FMTS5JUV9DSEFOR0VfQVAuOTkxLjMxLzA3LzIwMjYuLi5VU0QuSAEAAAAgegUAAgAAAAYtOS40OTEBCAAAAAUAAAABMQEAAAAKMTk3MjAxMjEyMQMAAAADMTYwAgAAAAQyMDE3BAAAAAEwBwAAAAk3LzMxLzIwMjYIAAAACDYvMy8yMDE3CQAAAAEw1kf2MDvv3gjJg6oyO+/eCDlDSVEuTkFTREFROkNBTE0uSVFfU1RfREVCVF9JU1NVRUQuMjAwMC4zMS8wNy8yMDI2Li4uVVNELkgBAAAAIHoFAAMAAAAAAOZu9jA7794I7x+tMjvv3gg5Q0lRLk5BU0RBUTpDQUxNLklRX0lOVkVTVF9MT0FOU19DRi45OTEuMzEvMDcvMjAyNi4uLlVTRC5IAQAAACB6BQADAAAAAADmbvYwO+/eCJ2GrDI7794IM0NJUS5OQVNEQVE6Q0FMTS5JUV9ESVZFU1RfQ0YuOTkzLjMxLzA3LzIwMjYuLi5VU0QuSAEAAAAgegUAAwAAAAAA1kf2MDvv3giaBsM0O+/eCDVDSVEuTkFTREFROkNBTE0uSVFfUFJFRl9JU1NVRUQuOTkzLjMxLzA3LzIwMjYuLi5VU0QuSAEAAAAgegUAAwAAAAAA5m72MDvv3gj+ksE0O+/eCD9DSVEuTkFT</t>
  </si>
  <si>
    <t>REFROkNBTE0uSVFfQ0hBTkdFX1RSQURJTkdfQVNTRVRTLjk5MS4zMS8wNy8yMDI2Li4uVVNELkgBAAAAIHoFAAMAAAAAANZH9jA7794InuepMjvv3gg9Q0lRLk5BU0RBUTpDQUxNLklRX1RBWF9CRU5FRklUX09QVElPTlMuOTkzLjMxLzA3LzIwMjYuLi5VU0QuSAEAAAAgegUAAwAAAAAA1kf2MDvv3gi73MQ0O+/eCDlDSVEuTkFTREFROkNBTE0uSVFfQ1JFRElUX0xPU1NfQ0YuMjAwMC4zMS8wNy8yMDI2Li4uVVNELkgBAAAAIHoFAAMAAAAAANZH9jA7794IbiOpMjvv3ggvQ0lRLk5BU0RBUTpDQUxNLklRX0NBUEVYLjk5My4zMS8wNy8yMDI2Li4uVVNELkgBAAAAIHoFAAIAAAAHLTY3Ljk4OQEIAAAABQAAAAExAQAAAAstMjE0MjQyOTAzOQMAAAADMTYwAgAAAAQyMDIxBAAAAAEwBwAAAAk3LzMxLzIwMjYIAAAACDYvMS8yMDE5CQAAAAEw1kf2MDvv3gjAe8M0O+/eCDlDSVEuTkFTREFROkNBTE0uSVFfQ0hBTkdFX0RFRl9UQVguMjAwMC4zMS8wNy8yMDI2Li4uVVNELkgBAAAAIHoFAAMAAAAAANZH9jA7794IxCWrMjvv3gg7Q0lRLk5BU0RBUTpDQUxNLklRX1NUT0NLX0JBU0VEX09USEVSLjk5My4zMS8wNy8yMDI2Li4uVVNELkgBAAAAIHoFAAMAAAAAAM4g9jA7794IjnbHNDvv3gg1Q0lRLk5BU0RBUTpDQUxNLklRX0RBX1NVUFBMX0NGLjk5My4zMS8wNy8yMDI2Li4uVVNELkgBAAAAIHoFAAIAAAAFNTEu</t>
  </si>
  <si>
    <t>ODUBCAAAAAUAAAABMQEAAAALLTIxNDI0MjkwMzkDAAAAAzE2MAIAAAAEMjE3MQQAAAABMAcAAAAJNy8zMS8yMDI2CAAAAAg2LzEvMjAxOQkAAAABMM4g9jA7794IHCnGNDvv3ghBQ0lRLk5BU0RBUTpDQUxNLklRX1NUT0NLX09QVElPTlNfQ09NUF9UQVguMjAwMC4zMS8wNy8yMDI2Li4uVVNELkgBAAAAIHoFAAMAAAAAAM4g9jA7794IGD2mMjvv3gg5Q0lRLk5BU0RBUTpDQUxNLklRX0dBSU5fSU5WRVNUX0NGLjIwMDAuMzEvMDcvMjAyNi4uLlVTRC5IAQAAACB6BQADAAAAAADWR/YwO+/eCJJyqDI7794INUNJUS5OQVNEQVE6Q0FMTS5JUV9PVEhFUl9BTU9SVC45OTEuMzEvMDcvMjAyNi4uLlVTRC5IAQAAACB6BQADAAAAAADOIPYwO+/eCBvEpzI7794IQkNJUS5OQVNEQVE6Q0FMTS5JUV9JTVBVVF9PUEVSX0xFQVNFX0lOVF9FWFAuOTkxLjMxLzA3LzIwMjYuLi5VU0QuSAEAAAAgegUAAgAAAAgyLjQ3MDE5MgEIAAAABQAAAAExAQAAAAoxOTcyMDEyMTIxAwAAAAMxNjACAAAABTIxNjcyBAAAAAEwBwAAAAk3LzMxLzIwMjYIAAAACDYvMy8yMDE3CQAAAAEw8SkYMTvv3giPraEyO+/eCDtDSVEuTkFTREFROkNBTE0uSVFfU1RPQ0tfQkFTRURfQ09HUy4yMDAwLjMxLzA3LzIwMjYuLi5VU0QuSAEAAAAgegUAAwAAAAAAGlEYMTvv3gh0H6QyO+/eCD5DSVEuTkFTREFROkNBTE0uSVFfVE9UQUxfVU5VU1VBTF9T</t>
  </si>
  <si>
    <t>VVBQTEUuOTkxLjMxLzA3LzIwMjYuLi5VU0QuSAEAAAAgegUAAwAAAAAA8SkYMTvv3gj5qaMyO+/eCEFDSVEuTkFTREFROkNBTE0uSVFfR0FJTl9CQVJHQUlOX0FDUV9TVVBQTEUuOTkzLjMxLzA3LzIwMjYuLi5VU0QuSAEAAAAgegUAAwAAAAAA8SkYMTvv3gj1t8g0O+/eCD5DSVEuTkFTREFROkNBTE0uSVFfUkVTVFJfU1RPQ0tfQ09NUF9UQVguOTkxLjMxLzA3LzIwMjYuLi5VU0QuSAEAAAAgegUAAwAAAAAAziD2MDvv3gjvkqUyO+/eCERDSVEuTkFTREFROkNBTE0uSVFfREVQUkVDSUFUSU9OX1JFTlRBTF9BU1NFVFMuOTkxLjMxLzA3LzIwMjYuLi5VU0QuSAEAAAAgegUAAwAAAAAA6QIYMTvv3gj0EKEyO+/eCDtDSVEuTkFTREFROkNBTE0uSVFfQ09OVElOR0VOVF9SRU5UQUwuOTkzLjMxLzA3LzIwMjYuLi5VU0QuSAEAAAAgegUAAwAAAAAA6QIYMTvv3ghgoso0O+/eCDxDSVEuTkFTREFROkNBTE0uSVFfTkVUX1JFTlRBTF9FWFBfRk4uMjAwMC4zMS8wNy8yMDI2Li4uVVNELkgBAAAAIHoFAAMAAAAAAOkCGDE7794IHTGgMjvv3ghAQ0lRLk5BU0RBUTpDQUxNLklRX0FTU0VUX1dSSVRFRE9XTl9TVVBQTEUuOTkzLjMxLzA3LzIwMjYuLi5VU0QuSAEAAAAgegUAAwAAAAAA8SkYMTvv3ggyGsk0O+/eCD1DSVEuTkFTREFROkNBTE0uSVFfUkVTVFJVQ1RVUkVfU1VQUExFLjIwMDAuMzEvMDcvMjAyNi4uLlVT</t>
  </si>
  <si>
    <t>RC5IAQAAACB6BQADAAAAAADxKRgxO+/eCJQ2ojI7794IS0NJUS5OQVNEQVE6Q0FMTS5JUV9JTlRFUkVTVF9FWFBfTEVBU0VfTElBQklMSVRZX0RFQlQuOTkzLjMxLzA3LzIwMjYuLi5VU0QuSAEAAAAgegUAAwAAAAAAzNsXMTvv3ggCPcw0O+/eCC1DSVEuTkFTREFROkNBTE0uSVFfRElDLjk5My4zMS8wNy8yMDI2Li4uVVNELkgBAAAAIHoFAAMAAAAAAOkCGDE7794I1IzLNDvv3ghEQ0lRLk5BU0RBUTpDQUxNLklRX0RJU1RSSUJVVEFCTEVfQ0FTSF9TSEFSRVNfRElMVVRFRC4yMDAwLjMxLzA3LzIwMjYBAAAAIHoFAAMAAAAAANO/ijE7794IZObWMjvv3gg6Q0lRLk5BU0RBUTpDQUxNLklRX1NBTEVTX01BUktFVElORy4yMDAwLjMxLzA3LzIwMjYuLi5VU0QuSAEAAAAgegUAAwAAAAAA6QIYMTvv3gj6lJ8yO+/eCClDSVEuTkFTREFROkNBTE0uSVFfR0FBUF9JUy45OTEuMzEvMDcvMjAyNgEAAAAgegUAAwAAAAdVUyBHQUFQAOkCGDE7794Ik73XMjvv3gg9Q0lRLk5BU0RBUTpDQUxNLklRX0lOVEVSQ09NUEFOWV9OT05fQ0EuOTkzLjMxLzA3LzIwMjYuLi5VU0QuSAEAAAAgegUAAwAAAAAAIbiNMDvv3gilA6k0O+/eCD5DSVEuTkFTREFROkNBTE0uSVFfTFRfREVCVF9ERVJJVkFUSVZFUy4yMDAwLjMxLzA3LzIwMjYuLi5VU0QuSAEAAAAgegUAAwAAAAAAzpCNMDvv3giNntEyO+/eCD9DSVEuTkFTREFROkNB</t>
  </si>
  <si>
    <t>TE0uSVFfREVCVF9FUVVJVl9PUEVSX0xFQVNFLjk5MC4zMS8wNy8yMDI2Li4uVVNELkgBAAAAIHoFAAIAAAAFMzIuNzIBCAAAAAUAAAABMQEAAAAKMTg5NjgyMDUxNwMAAAADMTYwAgAAAAUyMTY3MQQAAAABMAcAAAAJNy8zMS8yMDI2CAAAAAk1LzI4LzIwMTYJAAAAATDwVY0wO+/eCJTqzzI7794IK0NJUS5OQVNEQVE6Q0FMTS5JUV9QQVJUX1RJTUUuOTkwLjMxLzA3LzIwMjYBAAAAIHoFAAIAAAADMTM0APBVjTA7794IDjHZMjvv3gg8Q0lRLk5BU0RBUTpDQUxNLklRX0RJU1RSSUJVVEFCTEVfQ0FTSC45OTEuMzEvMDcvMjAyNi4uLlVTRC5IAQAAACB6BQADAAAAAADM2xcxO+/eCBopnjI7794IP0NJUS5OQVNEQVE6Q0FMTS5JUV9UT1RBTF9PVVRTVEFORElOR19GSUxJTkdfREFURS45OTIuMzEvMDcvMjAyNgEAAAAgegUAAgAAAAk0OC42MzA1MjEBBAAAAAUAAAABNQEAAAAKMjA0NTc0OTMxMAIAAAAFMjQxNTMGAAAAATBiNZEwO+/eCFtWpjQ7794INkNJUS5OQVNEQVE6Q0FMTS5JUV9UT1RBTF9MRUFTRVMuOTkwLjMxLzA3LzIwMjYuLi5VU0QuSAEAAAAgegUAAwAAAAAAYjWRMDvv3gifRcUyO+/eCDhDSVEuTkFTREFROkNBTE0uSVFfQVNTRVRTX0xFVkVMXzIuOTkzLjMxLzA3LzIwMjYuLi5VU0QuSAEAAAAgegUAAgAAAAcyNTAuMTgxAPuDkTA7794I1BCuNDvv3ggtQ0lRLk5BU0RBUTpDQUxNLklRX0NJ</t>
  </si>
  <si>
    <t>UC45OTEuMzEvMDcvMjAyNi4uLlVTRC5IAQAAACB6BQACAAAABjM2Ljc1MgEIAAAABQAAAAExAQAAAAoxOTcyMDEyMTIxAwAAAAMxNjACAAAABDMwMzMEAAAAATAHAAAACTcvMzEvMjAyNggAAAAINi8zLzIwMTcJAAAAATD7g5EwO+/eCPTTyjI7794IM0NJUS5OQVNEQVE6Q0FMTS5JUV9DRk9fQ1VSUkVOVF9MSUFCLjIwMDAuMzEvMDcvMjAyNgEAAAAgegUAAgAAAAgyLjMzNDM4MgEIAAAABQAAAAExAQAAAAstMTg4MTA2ODI5NQMAAAADMTYwAgAAAAQ0MTg1BAAAAAEwBwAAAAk3LzMxLzIwMjYIAAAACTUvMzAvMjAyNgkAAAABMCG4jTA7794IAmPdMjvv3gg5Q0lRLk5BU0RBUTpDQUxNLklRX1BSRUZfTk9OX1JFREVFTS45OTAuMzEvMDcvMjAyNi4uLlVTRC5IAQAAACB6BQADAAAAAAB6/PowO+/eCKImwDI7794IMkNJUS5OQVNEQVE6Q0FMTS5JUV9UT1RBTF9DTC45OTAuMzEvMDcvMjAyNi4uLlVTRC5IAQAAACB6BQACAAAABjgzLjQ1MQEIAAAABQAAAAExAQAAAAoxODk2ODIwNTE3AwAAAAMxNjACAAAABDEwMDkEAAAAATAHAAAACTcvMzEvMjAyNggAAAAJNS8yOC8yMDE2CQAAAAEwevz6MDvv3ghXe74yO+/eCD9DSVEuTkFTREFROkNBTE0uSVFfR1BQRV9FWENMX09QRVJfTEVBU0VTLjk5My4zMS8wNy8yMDI2Li4uVVNELkgBAAAAIHoFAAIAAAAIMTAxMS45MzIBCAAAAAUAAAABMQEAAAALLTIxNDI0Mjkw</t>
  </si>
  <si>
    <t>MzkDAAAAAzE2MAIAAAAFNDg5NzQEAAAAATAHAAAACTcvMzEvMjAyNggAAAAINi8xLzIwMTkJAAAAATBa+pAwO+/eCGVXtDQ7794IP0NJUS5OQVNEQVE6Q0FMTS5JUV9SVUFfQ0FQSVRBTF9MRUFTRV9ORVQuOTkxLjMxLzA3LzIwMjYuLi5VU0QuSAEAAAAgegUAAwAAAAAAWvqQMDvv3ggqPMMyO+/eCDZDSVEuTkFTREFROkNBTE0uSVFfVE9UQUxfRVFVSVRZLjk5Mi4zMS8wNy8yMDI2Li4uVVNELkgBAAAAIHoFAAIAAAAHOTU1LjY4MgEIAAAABQAAAAExAQAAAAoyMDQ1NzQ5MzEwAwAAAAMxNjACAAAABDEyNzUEAAAAATAHAAAACTcvMzEvMjAyNggAAAAINi8yLzIwMTgJAAAAATBa+pAwO+/eCPBptTQ7794IOENJUS5OQVNEQVE6Q0FMTS5JUV9TVF9OT1RFX1JFQ0VJVi45OTAuMzEvMDcvMjAyNi4uLlVTRC5IAQAAACB6BQADAAAAAABZrvowO+/eCCIguTI7794IM0NJUS5OQVNEQVE6Q0FMTS5JUV9MVF9JTlZFU1QuOTkxLjMxLzA3LzIwMjYuLi5VU0QuSAEAAAAgegUAAgAAAAY2NS43MzEBCAAAAAUAAAABMQEAAAAKMTk3MjAxMjEyMQMAAAADMTYwAgAAAAQxMDU0BAAAAAEwBwAAAAk3LzMxLzIwMjYIAAAACDYvMy8yMDE3CQAAAAEwbNX6MDvv3giELrsyO+/eCEFDSVEuTkFTREFROkNBTE0uSVFfREVGX1RBWF9BU1NFVFNfQ1VSUkVOVC4yMDAwLjMxLzA3LzIwMjYuLi5VU0QuSAEAAAAgegUAAwAAAAAAWa76</t>
  </si>
  <si>
    <t>MDvv3ghAQ7oyO+/eCDxDSVEuTkFTREFROkNBTE0uSVFfVU5FQVJOX1JFVl9DVVJSRU5ULjk5MC4zMS8wNy8yMDI2Li4uVVNELkgBAAAAIHoFAAMAAAAAAGzV+jA7794ILAa+Mjvv3gg5Q0lRLk5BU0RBUTpDQUxNLklRX0xPQU5TX1JFQ0VJVl9MVC45OTMuMzEvMDcvMjAyNi4uLlVTRC5IAQAAACB6BQADAAAAAABs1fowO+/eCAbsuTQ7794IPkNJUS5OQVNEQVE6Q0FMTS5JUV9DQVNIX0lOVEVSRVNUX0lOVkVTVC45OTAuMzEvMDcvMjAyNi4uLlVTRC5IAQAAACB6BQADAAAAAABsh/owO+/eCFdXsjI7794IOENJUS5OQVNEQVE6Q0FMTS5JUV9DQVNIX0lOVEVSRVNULjIwMDAuMzEvMDcvMjAyNi4uLlVTRC5IAQAAACB6BQADAAAAAABsh/owO+/eCCbisTI7794IPkNJUS5OQVNEQVE6Q0FMTS5JUV9HQUlOX0JBUkdBSU5fQUNRX0NGLjIwMDAuMzEvMDcvMjAyNi4uLlVTRC5IAQAAACB6BQADAAAAAABZrvowO+/eCN1ptTI7794INkNJUS5OQVNEQVE6Q0FMTS5JUV9ET19JTlZFU1RfQ0YuOTkwLjMxLzA3LzIwMjYuLi5VU0QuSAEAAAAgegUAAwAAAAAAbIf6MDvv3ggZQLQyO+/eCDJDSVEuTkFTREFROkNBTE0uSVFfQ0ZfU0hBUkUuOTkxLjMxLzA3LzIwMjYuLi5VU0QuSAEAAAAgegUAAgAAAAktMi4zMjc3NTcBCAAAAAUAAAABMQEAAAAKMTk3MjAxMjEyMQMAAAADMTYwAgAAAAU0MzkyMwQAAAABMAcAAAAJNy8z</t>
  </si>
  <si>
    <t>MS8yMDI2CAAAAAg2LzMvMjAxNwkAAAABMGyH+jA7794I3MqzMjvv3gg0Q0lRLk5BU0RBUTpDQUxNLklRX05FVF9DSEFOR0UuOTkzLjMxLzA3LzIwMjYuLi5VU0QuSAEAAAAgegUAAgAAAAYyMC44MTYBCAAAAAUAAAABMQEAAAALLTIxNDI0MjkwMzkDAAAAAzE2MAIAAAAEMjA5MwQAAAABMAcAAAAJNy8zMS8yMDI2CAAAAAg2LzEvMjAxOQkAAAABMPaV9jA7794IY2vANDvv3ghGQ0lRLk5BU0RBUTpDQUxNLklRX0RBX1NVUFBMX0NGX0VYQ0xfT1BFUl9MRUFTRVMuOTkwLjMxLzA3LzIwMjYuLi5VU0QuSAEAAAAgegUAAgAAAAY0MS45OTIBCAAAAAUAAAABMQEAAAAKMTg5NjgyMDUxNwMAAAADMTYwAgAAAAU0ODk4MwQAAAABMAcAAAAJNy8zMS8yMDI2CAAAAAk1LzI4LzIwMTYJAAAAATD2lfYwO+/eCJi9sDI7794IR0NJUS5OQVNEQVE6Q0FMTS5JUV9ERVBSRUNJQVRJT05fUkVOVEFMX0FTU0VUU19DRi45OTAuMzEvMDcvMjAyNi4uLlVTRC5IAQAAACB6BQADAAAAAAD2lfYwO+/eCF5vsDI7794IPUNJUS5OQVNEQVE6Q0FMTS5JUV9EQV9TVVBQTF9QQVJUSUFMX0NGLjk5My4zMS8wNy8yMDI2Li4uVVNELkgBAAAAIHoFAAMAAAAAAPaV9jA7794IY2vANDvv3gg6Q0lRLk5BU0RBUTpDQUxNLklRX0NBU0hfVEFYRVNfRklOQU4uOTkwLjMxLzA3LzIwMjYuLi5VU0QuSAEAAAAgegUAAwAAAAAAbIf6MDvv3giGB7My</t>
  </si>
  <si>
    <t>O+/eCEZDSVEuTkFTREFROkNBTE0uSVFfQ0hBTkdFX09USEVSX05FVF9PUEVSX0FTU0VUUy45OTAuMzEvMDcvMjAyNi4uLlVTRC5IAQAAACB6BQADAAAAAADWR/YwO+/eCMQlqzI7794IM0NJUS5OQVNEQVE6Q0FMTS5JUV9DSEFOR0VfQVAuOTkyLjMxLzA3LzIwMjYuLi5VU0QuSAEAAAAgegUAAgAAAAYyOC4zNzgBCAAAAAUAAAABMQEAAAAKMjA0NTc0OTMxMAMAAAADMTYwAgAAAAQyMDE3BAAAAAEwBwAAAAk3LzMxLzIwMjYIAAAACDYvMi8yMDE4CQAAAAEw1kf2MDvv3ggWBcQ0O+/eCDlDSVEuTkFTREFROkNBTE0uSVFfSU5WRVNUX0xPQU5TX0NGLjk5Mi4zMS8wNy8yMDI2Li4uVVNELkgBAAAAIHoFAAMAAAAAAOZu9jA7794IRqTCNDvv3gg3Q0lRLk5BU0RBUTpDQUxNLklRX0NPTU1PTl9JU1NVRUQuOTkyLjMxLzA3LzIwMjYuLi5VU0QuSAEAAAAgegUAAwAAAAAA5m72MDvv3ghWusE0O+/eCDhDSVEuTkFTREFROkNBTE0uSVFfTFRfREVCVF9JU1NVRUQuOTkwLjMxLzA3LzIwMjYuLi5VU0QuSAEAAAAgegUAAwAAAAAA5m72MDvv3gjvH60yO+/eCDxDSVEuTkFTREFROkNBTE0uSVFfU1RPQ0tfT1BUSU9OU19DT01QLjk5MC4zMS8wNy8yMDI2Li4uVVNELkgBAAAAIHoFAAMAAAAAAM4g9jA7794IGD2mMjvv3gg+Q0lRLk5BU0RBUTpDQUxNLklRX1JFU1RSX1NUT0NLX0NPTVBfVEFYLjk5Mi4zMS8wNy8yMDI2</t>
  </si>
  <si>
    <t>Li4uVVNELkgBAAAAIHoFAAMAAAAAAM4g9jA7794IhwDHNDvv3gg4Q0lRLk5BU0RBUTpDQUxNLklRX0dBSU5fSU5WRVNUX0NGLjk5Mi4zMS8wNy8yMDI2Li4uVVNELkgBAAAAIHoFAAIAAAAEMS42OAEIAAAABQAAAAExAQAAAAoyMDQ1NzQ5MzEwAwAAAAMxNjACAAAABDIwOTAEAAAAATAHAAAACTcvMzEvMjAyNggAAAAINi8yLzIwMTgJAAAAATDWR/YwO+/eCORRxTQ7794INUNJUS5OQVNEQVE6Q0FMTS5JUV9PVEhFUl9BTU9SVC45OTIuMzEvMDcvMjAyNi4uLlVTRC5IAQAAACB6BQADAAAAAADOIPYwO+/eCAGgxTQ7794IN0NJUS5OQVNEQVE6Q0FMTS5JUV9JTkNfRVFVSVRZX0NGLjk5MC4zMS8wNy8yMDI2Li4uVVNELkgBAAAAIHoFAAIAAAAGLTUuMDE2AQgAAAAFAAAAATEBAAAACjE4OTY4MjA1MTcDAAAAAzE2MAIAAAAEMjA4NgQAAAABMAcAAAAJNy8zMS8yMDI2CAAAAAk1LzI4LzIwMTYJAAAAATDWR/YwO+/eCG4jqTI7794IN0NJUS5OQVNEQVE6Q0FMTS5JUV9NRVJHRVJfU1VQUExFLjk5MC4zMS8wNy8yMDI2Li4uVVNELkgBAAAAIHoFAAMAAAAAAPEpGDE7794IlDaiMjvv3ghCQ0lRLk5BU0RBUTpDQUxNLklRX0lNUFVUX09QRVJfTEVBU0VfSU5UX0VYUC45OTIuMzEvMDcvMjAyNi4uLlVTRC5IAQAAACB6BQADAAAAAADxKRgxO+/eCFe2yTQ7794IPkNJUS5OQVNEQVE6Q0FMTS5JUV9UT1RBTF9VTlVT</t>
  </si>
  <si>
    <t>VUFMX1NVUFBMRS45OTIuMzEvMDcvMjAyNi4uLlVTRC5IAQAAACB6BQADAAAAAADxKRgxO+/eCN9pyDQ7794IOENJUS5OQVNEQVE6Q0FMTS5JUV9TVE9DS19CQVNFRF9SRC45OTAuMzEvMDcvMjAyNi4uLlVTRC5IAQAAACB6BQADAAAAAAAaURgxO+/eCHQfpDI7794IOkNJUS5OQVNEQVE6Q0FMTS5JUV9TVE9DS19CQVNFRF9DT01QLjk5MC4zMS8wNy8yMDI2Li4uVVNELkgBAAAAIHoFAAMAAAAAAM4g9jA7794IS+2mMjvv3ghAQ0lRLk5BU0RBUTpDQUxNLklRX0FOTlVfRElTVFJJQlVUSU9OX1VOSVQuOTkwLjMxLzA3LzIwMjYuLi5VU0QuSAEAAAAgegUAAwAAAAAAzNsXMTvv3gg+cZ4yO+/eCDxDSVEuTkFTREFROkNBTE0uSVFfRElTVFJJQlVUQUJMRV9DQVNILjk5Mi4zMS8wNy8yMDI2Li4uVVNELkgBAAAAIHoFAAMAAAAAAMzbFzE7794I6NrLNDvv3gg5Q0lRLk5BU0RBUTpDQUxNLklRX1NBTEVTX01BUktFVElORy45OTIuMzEvMDcvMjAyNi4uLlVTRC5IAQAAACB6BQACAAAABDUzLjIBCAAAAAUAAAABMQEAAAAKMjA0NTc0OTMxMAMAAAADMTYwAgAAAAUyMTU2MQQAAAABMAcAAAAJNy8zMS8yMDI2CAAAAAg2LzIvMjAxOAkAAAABMOkCGDE7794IlhfLNDvv3ggpQ0lRLk5BU0RBUTpDQUxNLklRX0dBQVBfSVMuOTkyLjMxLzA3LzIwMjYBAAAAIHoFAAMAAAAHVVMgR0FBUADpAhgxO+/eCMkZpzQ7794IOENJ</t>
  </si>
  <si>
    <t>US5OQVNEQVE6Q0FMTS5JUV9ORVRfUkVOVEFMX0VYUC45OTAuMzEvMDcvMjAyNi4uLlVTRC5IAQAAACB6BQADAAAAAADpAhgxO+/eCB0xoDI7794IRUNJUS5OQVNEQVE6Q0FMTS5JUV9ERUZfVEFYX1ZBTFVBVElPTl9BTExPV0FOQ0UuOTkyLjMxLzA3LzIwMjYuLi5VU0QuSAEAAAAgegUAAwAAAAAA+4ORMDvv3ggTI680O+/eCDRDSVEuTkFTREFROkNBTE0uSVFfQ1VSUl9UQVhFUy45OTIuMzEvMDcvMjAyNi4uLlVTRC5IAQAAACB6BQACAAAABTI0Ljk1AQgAAAAFAAAAATEBAAAACjIwNDU3NDkzMTADAAAAAzE2MAIAAAAFMzUzODMEAAAAATAHAAAACTcvMzEvMjAyNggAAAAINi8yLzIwMTgJAAAAATC9tBcxO+/eCFMnzTQ7794IQUNJUS5OQVNEQVE6Q0FMTS5JUV9ERVJJVkFUSVZFX0xJQUJfQ1VSUkVOVC45OTMuMzEvMDcvMjAyNi4uLlVTRC5IAQAAACB6BQADAAAAAADOkI0wO+/eCEmeqjQ7794IQ0NJUS5OQVNEQVE6Q0FMTS5JUV9OT05SRUNVUlJJTkdfSU5DT01FX1RBWEVTLjk5MC4zMS8wNy8yMDI2Li4uVVNELkgBAAAAIHoFAAMAAAAAAL20FzE7794IenqcMjvv3ggxQ0lRLk5BU0RBUTpDQUxNLklRX0VGRkVDVF9UQVhfUkFURS45OTAuMzEvMDcvMjAyNgEAAAAgegUAAgAAAAczNC43MjU5AQgAAAAFAAAAATEBAAAACjE4OTY4MjA1MTcDAAAAAzE2MAIAAAAENDM3NgQAAAABMAcAAAAJNy8zMS8yMDI2</t>
  </si>
  <si>
    <t>CAAAAAk1LzI4LzIwMTYJAAAAATDM2xcxO+/eCHEN1zI7794IK0NJUS5OQVNEQVE6Q0FMTS5JUV9GVUxMX1RJTUUuOTkzLjMxLzA3LzIwMjYBAAAAIHoFAAIAAAAEMzMxMgDwVY0wO+/eCFovpjQ7794IMkNJUS5OQVNEQVE6Q0FMTS5JUV9XSVBfSU5WLjIwMDAuMzEvMDcvMjAyNi4uLlVTRC5IAQAAACB6BQADAAAAAADgXJEwO+/eCAnCyTI7794IOkNJUS5OQVNEQVE6Q0FMTS5JUV9BTExPV19ET1VCVF9BQ0NULjk5Mi4zMS8wNy8yMDI2Li4uVVNELkgBAAAAIHoFAAIAAAAFMC4yNjgBCAAAAAUAAAABMQEAAAAKMjA0NTc0OTMxMAMAAAADMTYwAgAAAAQzMDEyBAAAAAEwBwAAAAk3LzMxLzIwMjYIAAAACDYvMi8yMDE4CQAAAAEw4FyRMDvv3gjRH7E0O+/eCD1DSVEuTkFTREFROkNBTE0uSVFfVE9UQUxfREVCVF9DVVJSRU5ULjIwMDAuMzEvMDcvMjAyNi4uLlVTRC5IAQAAACB6BQADAAAAAADgXJEwO+/eCHHGxzI7794IOUNJUS5OQVNEQVE6Q0FMTS5JUV9BU1NFVFNfTEVWRUxfMS4yMDAwLjMxLzA3LzIwMjYuLi5VU0QuSAEAAAAgegUAAwAAAAAA+4ORMDvv3ggQSc0yO+/eCDhDSVEuTkFTREFROkNBTE0uSVFfQVNTRVRTX0xFVkVMXzIuOTkwLjMxLzA3LzIwMjYuLi5VU0QuSAEAAAAgegUAAgAAAAczNTYuOTMzAPuDkTA7794IEEnNMjvv3gg2Q0lRLk5BU0RBUTpDQUxNLklRX0ZJTklTSEVEX0lOVi45OTAu</t>
  </si>
  <si>
    <t>MzEvMDcvMjAyNi4uLlVTRC5IAQAAACB6BQACAAAABjYwLjQ4NwEIAAAABQAAAAExAQAAAAoxODk2ODIwNTE3AwAAAAMxNjACAAAABDMwNzUEAAAAATAHAAAACTcvMzEvMjAyNggAAAAJNS8yOC8yMDE2CQAAAAEw4FyRMDvv3ggJwskyO+/eCDlDSVEuTkFTREFROkNBTE0uSVFfSU5URVJDT01QQU5ZX0NBLjk5MS4zMS8wNy8yMDI2Li4uVVNELkgBAAAAIHoFAAMAAAAAAM6QjTA7794IHK/TMjvv3gg9Q0lRLk5BU0RBUTpDQUxNLklRX0xUX0RFQlRfREVSSVZBVElWRVMuOTkxLjMxLzA3LzIwMjYuLi5VU0QuSAEAAAAgegUAAwAAAAAAzpCNMDvv3gi/ctEyO+/eCDtDSVEuTkFTREFROkNBTE0uSVFfRklOX0RJVl9TVF9JTlZFU1QuOTkwLjMxLzA3LzIwMjYuLi5VU0QuSAEAAAAgegUAAwAAAAAA8FWNMDvv3gg1nM8yO+/eCDlDSVEuTkFTREFROkNBTE0uSVFfRklOX0RJVl9ERUJUX0xULjk5My4zMS8wNy8yMDI2Li4uVVNELkgBAAAAIHoFAAMAAAAAAHr8+jA7794I9+63NDvv3ggyQ0lRLk5BU0RBUTpDQUxNLklRX1RPVEFMX0NMLjk5Mi4zMS8wNy8yMDI2Li4uVVNELkgBAAAAIHoFAAIAAAAHMTA3LjgzOAEIAAAABQAAAAExAQAAAAoyMDQ1NzQ5MzEwAwAAAAMxNjACAAAABDEwMDkEAAAAATAHAAAACTcvMzEvMjAyNggAAAAINi8yLzIwMTgJAAAAATB6/PowO+/eCD1RuDQ7794INENJUS5OQVNEQVE6Q0FMTS5J</t>
  </si>
  <si>
    <t>UV9SVUFfR1JPU1MuMjAwMC4zMS8wNy8yMDI2Li4uVVNELkgBAAAAIHoFAAMAAAAAAFr6kDA7794IEaDCMjvv3gg7Q0lRLk5BU0RBUTpDQUxNLklRX01JTk9SSVRZX0lOVEVSRVNULjk5My4zMS8wNy8yMDI2Li4uVVNELkgBAAAAIHoFAAIAAAAFMy4xODIBCAAAAAUAAAABMQEAAAALLTIxNDI0MjkwMzkDAAAAAzE2MAIAAAAEMTA1MgQAAAABMAcAAAAJNy8zMS8yMDI2CAAAAAg2LzEvMjAxOQkAAAABMFr6kDA7794IA5G1NDvv3ghAQ0lRLk5BU0RBUTpDQUxNLklRX1RPVEFMX0RFQlRfTk9OX0NVUlJFTlQuOTkxLjMxLzA3LzIwMjYuLi5VU0QuSAEAAAAgegUAAgAAAAU2LjExMwEIAAAABQAAAAExAQAAAAoxOTcyMDEyMTIxAwAAAAMxNjACAAAABTI1MjI0BAAAAAEwBwAAAAk3LzMxLzIwMjYIAAAACDYvMy8yMDE3CQAAAAEw4FyRMDvv3ghxxscyO+/eCD1DSVEuTkFTREFROkNBTE0uSVFfQ1VSUkVOVF9QT1JUX0xFQVNFUy45OTIuMzEvMDcvMjAyNi4uLlVTRC5IAQAAACB6BQADAAAAAABs1fowO+/eCIHtuDQ7794ILUNJUS5OQVNEQVE6Q0FMTS5JUV9BUC4yMDAwLjMxLzA3LzIwMjYuLi5VU0QuSAEAAAAgegUAAgAAAAY5Ni4xMDYBCAAAAAUAAAABMQEAAAALLTE4ODEwNjgyOTUDAAAAAzE2MAIAAAAEMTAxOAQAAAABMAcAAAAJNy8zMS8yMDI2CAAAAAk1LzMwLzIwMjYJAAAAATBs1fowO+/eCA7JvDI7794I</t>
  </si>
  <si>
    <t>OUNJUS5OQVNEQVE6Q0FMTS5JUV9PVEhFUl9MVF9BU1NFVFMuOTkwLjMxLzA3LzIwMjYuLi5VU0QuSAEAAAAgegUAAgAAAAU1LjA3OQEIAAAABQAAAAExAQAAAAoxODk2ODIwNTE3AwAAAAMxNjACAAAABDEwNjAEAAAAATAHAAAACTcvMzEvMjAyNggAAAAJNS8yOC8yMDE2CQAAAAEwbNX6MDvv3gj6erwyO+/eCDVDSVEuTkFTREFROkNBTE0uSVFfUFJFRl9FUVVJVFkuOTkxLjMxLzA3LzIwMjYuLi5VU0QuSAEAAAAgegUAAwAAAAAAWvqQMDvv3gipr8AyO+/eCDJDSVEuTkFTREFROkNBTE0uSVFfUEVOU0lPTi4yMDAwLjMxLzA3LzIwMjYuLi5VU0QuSAEAAAAgegUAAwAAAAAAevz6MDvv3gjDoL8yO+/eCDhDSVEuTkFTREFROkNBTE0uSVFfU1RfTk9URV9SRUNFSVYuOTkyLjMxLzA3LzIwMjYuLi5VU0QuSAEAAAAgegUAAwAAAAAAWa76MDvv3gib1Ls0O+/eCDhDSVEuTkFTREFROkNBTE0uSVFfQ0FTSF9TVF9JTlZFU1QuOTkzLjMxLzA3LzIwMjYuLi5VU0QuSAEAAAAgegUAAgAAAAczMTkuNDI4AQgAAAAFAAAAATEBAAAACy0yMTQyNDI5MDM5AwAAAAMxNjACAAAABDEwMDIEAAAAATAHAAAACTcvMzEvMjAyNggAAAAINi8xLzIwMTkJAAAAATBZrvowO+/eCNlJvDQ7794ILkNJUS5OQVNEQVE6Q0FMTS5JUV9HUFBFLjk5MC4zMS8wNy8yMDI2Li4uVVNELkgBAAAAIHoFAAIAAAAHODIyLjY0NQEIAAAABQAAAAEx</t>
  </si>
  <si>
    <t>AQAAAAoxODk2ODIwNTE3AwAAAAMxNjACAAAABDExNjkEAAAAATAHAAAACTcvMzEvMjAyNggAAAAJNS8yOC8yMDE2CQAAAAEwbNX6MDvv3gg1uboyO+/eCDlDSVEuTkFTREFROkNBTE0uSVFfUkVTVFJJQ1RFRF9DQVNILjk5MS4zMS8wNy8yMDI2Li4uVVNELkgBAAAAIHoFAAMAAAAAAFmu+jA7794IQEO6Mjvv3gg8Q0lRLk5BU0RBUTpDQUxNLklRX1VORUFSTl9SRVZfQ1VSUkVOVC45OTIuMzEvMDcvMjAyNi4uLlVTRC5IAQAAACB6BQADAAAAAABs1fowO+/eCDZ4uDQ7794IQUNJUS5OQVNEQVE6Q0FMTS5JUV9EQV9DRl9FWENMX09QRVJfTEVBU0VTLjIwMDAuMzEvMDcvMjAyNi4uLlVTRC5IAQAAACB6BQACAAAABzEyNC4zNDIBCAAAAAUAAAABMQEAAAALLTE4ODEwNjgyOTUDAAAAAzE2MAIAAAAFNDg5ODUEAAAAATAHAAAACTcvMzEvMjAyNggAAAAJNS8zMC8yMDI2CQAAAAEw9pX2MDvv3gi5C7EyO+/eCDRDSVEuTkFTREFROkNBTE0uSVFfQ0FTSF9UQVhFUy45OTAuMzEvMDcvMjAyNi4uLlVTRC5IAQAAACB6BQACAAAABjE2Ni44NAEIAAAABQAAAAExAQAAAAoxODk2ODIwNTE3AwAAAAMxNjACAAAABDMwNTMEAAAAATAHAAAACTcvMzEvMjAyNggAAAAJNS8yOC8yMDE2CQAAAAEwbIf6MDvv3gh1pbIyO+/eCDtDSVEuTkFTREFROkNBTE0uSVFfQ0FTSF9JTlRFUkVTVF9ORVQuOTkxLjMxLzA3LzIwMjYuLi5V</t>
  </si>
  <si>
    <t>U0QuSAEAAAAgegUAAwAAAAAAbIf6MDvv3ggm4rEyO+/eCE5DSVEuTkFTREFROkNBTE0uSVFfT1BFUkFUSU5HX0xFQVNFX0xJQUJJTElUSUVTX05PTkNBU0guMjAwMC4zMS8wNy8yMDI2Li4uVVNELkgBAAAAIHoFAAMAAAAAAFmu+jA7794InOC0Mjvv3gg4Q0lRLk5BU0RBUTpDQUxNLklRX0RPX0ZJTkFOQ0VfQ0YuMjAwMC4zMS8wNy8yMDI2Li4uVVNELkgBAAAAIHoFAAMAAAAAAGyH+jA7794IgJK0Mjvv3ggwQ0lRLk5BU0RBUTpDQUxNLklRX0dXX05FVC45OTMuMzEvMDcvMjAyNi4uLlVTRC5IAQAAACB6BQACAAAABjM1LjUyNQEIAAAABQAAAAExAQAAAAstMjE0MjQyOTAzOQMAAAADMTYwAgAAAAU0ODk2MAQAAAABMAcAAAAJNy8zMS8yMDI2CAAAAAg2LzEvMjAxOQkAAAABMM6QjTA7794IN1KpNDvv3ggxQ0lRLk5BU0RBUTpDQUxNLklRX0lOVkVOVE9SWV9UVVJOUy45OTEuMzEvMDcvMjAyNgEAAAAgegUAAgAAAAc2LjUyMjkzAQgAAAAFAAAAATEBAAAACjE5NzIwMTIxMjEDAAAAAzE2MAIAAAAENDA4MgQAAAABMAcAAAAJNy8zMS8yMDI2CAAAAAg2LzMvMjAxNwkAAAABMCG4jTA7794IvubcMjvv3ggzQ0lRLk5BU0RBUTpDQUxNLklRX0lOVEFOX05FVC45OTEuMzEvMDcvMjAyNi4uLlVTRC5IAQAAACB6BQADAAAAAADOkI0wO+/eCD1h0zI7794IPUNJUS5OQVNEQVE6Q0FMTS5JUV9MVF9ERUJUX0RFUklW</t>
  </si>
  <si>
    <t>QVRJVkVTLjk5My4zMS8wNy8yMDI2Li4uVVNELkgBAAAAIHoFAAMAAAAAAM6QjTA7794InsWqNDvv3gg7Q0lRLk5BU0RBUTpDQUxNLklRX0ZJTl9ESVZfU1RfSU5WRVNULjk5My4zMS8wNy8yMDI2Li4uVVNELkgBAAAAIHoFAAMAAAAAAPBVjTA7794I/NarNDvv3gg1Q0lRLk5BU0RBUTpDQUxNLklRX1RPVEFMX0RFQlQuMjAwMC4zMS8wNy8yMDI2Li4uVVNELkgBAAAAIHoFAAIAAAABMAEIAAAABQAAAAExAQAAAAstMTg4MTA2ODI5NQMAAAADMTYwAgAAAAQ0MTczBAAAAAEwBwAAAAk3LzMxLzIwMjYIAAAACTUvMzAvMjAyNgkAAAABMOBckTA7794IccbHMjvv3ghHQ0lRLk5BU0RBUTpDQUxNLklRX0NVUlJFTlRfUE9SVF9ERUJUX0RFUklWQVRJVkVTLjk5MS4zMS8wNy8yMDI2Li4uVVNELkgBAAAAIHoFAAMAAAAAAM6QjTA7794IoCTRMjvv3gg9Q0lRLk5BU0RBUTpDQUxNLklRX0ZJTl9ESVZfQ0FTSF9FUVVJVi4yMDAwLjMxLzA3LzIwMjYuLi5VU0QuSAEAAAAgegUAAwAAAAAA8FWNMDvv3gg1nM8yO+/eCEpDSVEuTkFTREFROkNBTE0uSVFfRkFJUl9WQUxVRV9DSEFOR0VfSU5DTF9FQVJOSU5HUy4yMDAwLjMxLzA3LzIwMjYuLi5VU0QuSAEAAAAgegUAAwAAAAAA8FWNMDvv3ggD7M4yO+/eCERDSVEuTkFTREFROkNBTE0uSVFfRklOX0RJVl9NSU5PUklUWV9JTlRFUkVTVC4yMDAwLjMxLzA3LzIwMjYuLi5V</t>
  </si>
  <si>
    <t>U0QuSAEAAAAgegUAAwAAAAAA+4ORMDvv3gjj8MsyO+/eCEBDSVEuTkFTREFROkNBTE0uSVFfVE9UQUxfREVCVF9FWENMX0xFQVNFUy45OTIuMzEvMDcvMjAyNi4uLlVTRC5IAQAAACB6BQACAAAABDQuNzUBCAAAAAUAAAABMQEAAAAKMjA0NTc0OTMxMAMAAAADMTYwAgAAAAU0ODk5MgQAAAABMAcAAAAJNy8zMS8yMDI2CAAAAAg2LzIvMjAxOAkAAAABMGI1kTA7794I+AqzNDvv3ghCQ0lRLk5BU0RBUTpDQUxNLklRX0ZJTkFOQ0VfTEVBU0VTX0xPTkdfVEVSTS45OTAuMzEvMDcvMjAyNi4uLlVTRC5IAQAAACB6BQADAAAAAABiNZEwO+/eCB94xDI7794IP0NJUS5OQVNEQVE6Q0FMTS5JUV9HUFBFX0VYQ0xfT1BFUl9MRUFTRVMuOTkwLjMxLzA3LzIwMjYuLi5VU0QuSAEAAAAgegUAAgAAAAc4MjIuNjQ1AQgAAAAFAAAAATEBAAAACjE4OTY4MjA1MTcDAAAAAzE2MAIAAAAFNDg5NzQEAAAAATAHAAAACTcvMzEvMjAyNggAAAAJNS8yOC8yMDE2CQAAAAEwWvqQMDvv3ghXscMyO+/eCDJDSVEuTkFTREFROkNBTE0uSVFfU09GVFdBUkUuOTkzLjMxLzA3LzIwMjYuLi5VU0QuSAEAAAAgegUAAwAAAAAA4FyRMDvv3giS5q80O+/eCDpDSVEuTkFTREFROkNBTE0uSVFfTkVUX1dPUktJTkdfQ0FQLjIwMDAuMzEvMDcvMjAyNi4uLlVTRC5IAQAAACB6BQACAAAABzQ1MS45NjkBCAAAAAUAAAABMQEAAAALLTE4ODEwNjgy</t>
  </si>
  <si>
    <t>OTUDAAAAAzE2MAIAAAAEMTMxMQQAAAABMAcAAAAJNy8zMS8yMDI2CAAAAAk1LzMwLzIwMjYJAAAAATDgXJEwO+/eCOGdyDI7794ILkNJUS5OQVNEQVE6Q0FMTS5JUV9HUFBFLjk5Mi4zMS8wNy8yMDI2Li4uVVNELkgBAAAAIHoFAAIAAAAHOTM5LjA5MQEIAAAABQAAAAExAQAAAAoyMDQ1NzQ5MzEwAwAAAAMxNjACAAAABDExNjkEAAAAATAHAAAACTcvMzEvMjAyNggAAAAINi8yLzIwMTgJAAAAATBs1fowO+/eCFLWujQ7794IOUNJUS5OQVNEQVE6Q0FMTS5JUV9SRVNUUklDVEVEX0NBU0guOTkzLjMxLzA3LzIwMjYuLi5VU0QuSAEAAAAgegUAAwAAAAAAWa76MDvv3ghg/bo0O+/eCCxDSVEuTkFTREFROkNBTE0uSVFfQUUuOTkxLjMxLzA3LzIwMjYuLi5VU0QuSAEAAAAgegUAAgAAAAYyOS4yMjQBCAAAAAUAAAABMQEAAAAKMTk3MjAxMjEyMQMAAAADMTYwAgAAAAQxMDE2BAAAAAEwBwAAAAk3LzMxLzIwMjYIAAAACDYvMy8yMDE3CQAAAAEwbNX6MDvv3ggOybwyO+/eCDlDSVEuTkFTREFROkNBTE0uSVFfT1RIRVJfTFRfQVNTRVRTLjk5Mi4zMS8wNy8yMDI2Li4uVVNELkgBAAAAIHoFAAIAAAAFMy4yMDUBCAAAAAUAAAABMQEAAAAKMjA0NTc0OTMxMAMAAAADMTYwAgAAAAQxMDYwBAAAAAEwBwAAAAk3LzMxLzIwMjYIAAAACDYvMi8yMDE4CQAAAAEwbNX6MDvv3giWibk0O+/eCDJDSVEuTkFTREFROkNBTE0u</t>
  </si>
  <si>
    <t>SVFfVFJFQVNVUlkuOTkwLjMxLzA3LzIwMjYuLi5VU0QuSAEAAAAgegUAAgAAAActMjIuMjcyAQgAAAAFAAAAATEBAAAACjE4OTY4MjA1MTcDAAAAAzE2MAIAAAAEMTI0OAQAAAABMAcAAAAJNy8zMS8yMDI2CAAAAAk1LzI4LzIwMTYJAAAAATBa+pAwO+/eCCJmwTI7794IOUNJUS5OQVNEQVE6Q0FMTS5JUV9ORVRfV09SS0lOR19DQVAuOTkxLjMxLzA3LzIwMjYuLi5VU0QuSAEAAAAgegUAAgAAAAcyMjAuMzI3AQgAAAAFAAAAATEBAAAACjE5NzIwMTIxMjEDAAAAAzE2MAIAAAAEMTMxMQQAAAABMAcAAAAJNy8zMS8yMDI2CAAAAAg2LzMvMjAxNwkAAAABMOBckTA7794I4Z3IMjvv3gg8Q0lRLk5BU0RBUTpDQUxNLklRX1RPVEFMX0RFQlRfQ1VSUkVOVC45OTEuMzEvMDcvMjAyNi4uLlVTRC5IAQAAACB6BQACAAAABTQuODI2AQgAAAAFAAAAATEBAAAACjE5NzIwMTIxMjEDAAAAAzE2MAIAAAAFMjUyMjMEAAAAATAHAAAACTcvMzEvMjAyNggAAAAINi8zLzIwMTcJAAAAATDgXJEwO+/eCHHGxzI7794ITENJUS5OQVNEQVE6Q0FMTS5JUV9MSVFVSURBVElPTl9WQUxVRV9QUkVGRVJSRURfUkVERUVNLjk5MS4zMS8wNy8yMDI2Li4uVVNELkgBAAAAIHoFAAMAAAAAAPuDkTA7794IAyLNMjvv3gg1Q0lRLk5BU0RBUTpDQUxNLklRX0NBU0hfRVFVSVYuMjAwMC4zMS8wNy8yMDI2Li4uVVNELkgBAAAAIHoFAAIAAAAH</t>
  </si>
  <si>
    <t>MTA3LjIxNwEIAAAABQAAAAExAQAAAAstMTg4MTA2ODI5NQMAAAADMTYwAgAAAAQxMDk2BAAAAAEwBwAAAAk3LzMxLzIwMjYIAAAACTUvMzAvMjAyNgkAAAABMFmu+jA7794I6ZC1Mjvv3gguQ0lRLk5BU0RBUTpDQUxNLklRX0NBTENfVFlQRV9DRi45OTAuMzEvMDcvMjAyNgEAAAAgegUAAwAAAANSRVAAWa76MDvv3gjcWdgyO+/eCDFDSVEuTkFTREFROkNBTE0uSVFfUEVOU0lPTi45OTEuMzEvMDcvMjAyNi4uLlVTRC5IAQAAACB6BQADAAAAAAB6/PowO+/eCLp5vzI7794ILENJUS5OQVNEQVE6Q0FMTS5JUV9SRS45OTEuMzEvMDcvMjAyNi4uLlVTRC5IAQAAACB6BQACAAAABzgxNi4wNDYBCAAAAAUAAAABMQEAAAAKMTk3MjAxMjEyMQMAAAADMTYwAgAAAAQxMjIyBAAAAAEwBwAAAAk3LzMxLzIwMjYIAAAACDYvMy8yMDE3CQAAAAEwWvqQMDvv3ghuMsEyO+/eCDNDSVEuTkFTREFROkNBTE0uSVFfVEJWX1NIQVJFLjk5My4zMS8wNy8yMDI2Li4uVVNELkgBAAAAIHoFAAIAAAAJMTkuMDQ0MTczAQgAAAAFAAAAATEBAAAACy0yMTQyNDI5MDM5AwAAAAMxNjACAAAABDQxNTYEAAAAATAHAAAACTcvMzEvMjAyNggAAAAINi8xLzIwMTkJAAAAATBiNZEwO+/eCJ2VsjQ7794IQkNJUS5OQVNEQVE6Q0FMTS5JUV9GSU5BTkNFX0xFQVNFU19MT05HX1RFUk0uOTkxLjMxLzA3LzIwMjYuLi5VU0QuSAEAAAAgegUAAwAA</t>
  </si>
  <si>
    <t>AAAAYjWRMDvv3gggUcQyO+/eCD9DSVEuTkFTREFROkNBTE0uSVFfR1BQRV9FWENMX09QRVJfTEVBU0VTLjk5MS4zMS8wNy8yMDI2Li4uVVNELkgBAAAAIHoFAAIAAAAHOTI3LjE3OQEIAAAABQAAAAExAQAAAAoxOTcyMDEyMTIxAwAAAAMxNjACAAAABTQ4OTc0BAAAAAEwBwAAAAk3LzMxLzIwMjYIAAAACDYvMy8yMDE3CQAAAAEwWvqQMDvv3ghXscMyO+/eCC9DSVEuTkFTREFROkNBTE0uSVFfQ0FQRVhfUENUX1JFVi45OTMuMzEvMDcvMjAyNgEAAAAgegUAAgAAAAY0Ljk5NDgBCAAAAAUAAAABMQEAAAALLTIxNDI0MjkwMzkDAAAAAzE2MAIAAAAFMzUzODAEAAAAATAHAAAACTcvMzEvMjAyNggAAAAINi8xLzIwMTkJAAAAATAhuI0wO+/eCAgvpDQ7794ILENJUS5OQVNEQVE6Q0FMTS5JUV9BRS45OTIuMzEvMDcvMjAyNi4uLlVTRC5IAQAAACB6BQACAAAABjMxLjkyMwEIAAAABQAAAAExAQAAAAoyMDQ1NzQ5MzEwAwAAAAMxNjACAAAABDEwMTYEAAAAATAHAAAACTcvMzEvMjAyNggAAAAINi8yLzIwMTgJAAAAATBs1fowO+/eCJU7uTQ7794IOUNJUS5OQVNEQVE6Q0FMTS5JUV9PVEhFUl9MVF9BU1NFVFMuOTkzLjMxLzA3LzIwMjYuLi5VU0QuSAEAAAAgegUAAgAAAAUyLjAzMwEIAAAABQAAAAExAQAAAAstMjE0MjQyOTAzOQMAAAADMTYwAgAAAAQxMDYwBAAAAAEwBwAAAAk3LzMxLzIwMjYIAAAACDYvMS8y</t>
  </si>
  <si>
    <t>MDE5CQAAAAEwbNX6MDvv3giWibk0O+/eCC9DSVEuTkFTREFROkNBTE0uSVFfQVJfTFQuOTkyLjMxLzA3LzIwMjYuLi5VU0QuSAEAAAAgegUAAwAAAAAAbNX6MDvv3ggG7Lk0O+/eCDZDSVEuTkFTREFROkNBTE0uSVFfT1RIRVJfSU5UQU4uMjAwMC4zMS8wNy8yMDI2Li4uVVNELkgBAAAAIHoFAAIAAAAFNzMuMTMBCAAAAAUAAAABMQEAAAALLTE4ODEwNjgyOTUDAAAAAzE2MAIAAAAEMTA0MAQAAAABMAcAAAAJNy8zMS8yMDI2CAAAAAk1LzMwLzIwMjYJAAAAATBs1fowO+/eCH58uzI7794IMUNJUS5OQVNEQVE6Q0FMTS5JUV9SQVdfSU5WLjk5My4zMS8wNy8yMDI2Li4uVVNELkgBAAAAIHoFAAIAAAAHMTA1LjUzNgEIAAAABQAAAAExAQAAAAstMjE0MjQyOTAzOQMAAAADMTYwAgAAAAQzMTcxBAAAAAEwBwAAAAk3LzMxLzIwMjYIAAAACDYvMS8yMDE5CQAAAAEw4FyRMDvv3giJlrA0O+/eCDxDSVEuTkFTREFROkNBTE0uSVFfVE9UQUxfREVCVF9DVVJSRU5ULjk5Mi4zMS8wNy8yMDI2Li4uVVNELkgBAAAAIHoFAAIAAAAFMy41MzYBCAAAAAUAAAABMQEAAAAKMjA0NTc0OTMxMAMAAAADMTYwAgAAAAUyNTIyMwQAAAABMAcAAAAJNy8zMS8yMDI2CAAAAAg2LzIvMjAxOAkAAAABMOBckTA7794ImbyxNDvv3ghAQ0lRLk5BU0RBUTpDQUxNLklRX0xJQUJJTElUSUVTX0ZBSVJfVkFMVUUuOTkxLjMxLzA3LzIwMjYu</t>
  </si>
  <si>
    <t>Li5VU0QuSAEAAAAgegUAAgAAAAYxMC44MTUA8FWNMDvv3gjcnc4yO+/eCC1DSVEuTkFTREFROkNBTE0uSVFfQUQuMjAwMC4zMS8wNy8yMDI2Li4uVVNELkgBAAAAIHoFAAIAAAAILTk4Ni4zNzMBCAAAAAUAAAABMQEAAAALLTE4ODEwNjgyOTUDAAAAAzE2MAIAAAAEMTA3NQQAAAABMAcAAAAJNy8zMS8yMDI2CAAAAAk1LzMwLzIwMjYJAAAAATBs1fowO+/eCGUHuzI7794IQENJUS5OQVNEQVE6Q0FMTS5JUV9GSU5fRElWX0FTU0VUU19DVVJSRU5ULjk5MC4zMS8wNy8yMDI2Li4uVVNELkgBAAAAIHoFAAMAAAAAAFmu+jA7794IFs65Mjvv3ggsQ0lRLk5BU0RBUTpDQUxNLklRX1JFLjk5Mi4zMS8wNy8yMDI2Li4uVVNELkgBAAAAIHoFAAIAAAAHOTI0LjkxOAEIAAAABQAAAAExAQAAAAoyMDQ1NzQ5MzEwAwAAAAMxNjACAAAABDEyMjIEAAAAATAHAAAACTcvMzEvMjAyNggAAAAINi8yLzIwMTgJAAAAATBa+pAwO+/eCF0GtjQ7794IO0NJUS5OQVNEQVE6Q0FMTS5JUV9UT1RBTF9PUEVSX0xFQVNFUy45OTEuMzEvMDcvMjAyNi4uLlVTRC5IAQAAACB6BQADAAAAAABiNZEwO+/eCOwxxTI7794IQUNJUS5OQVNEQVE6Q0FMTS5JUV9SVUFfT1BFUkFUSU5HX0xFQVNFX05FVC45OTMuMzEvMDcvMjAyNi4uLlVTRC5IAQAAACB6BQADAAAAAABa+pAwO+/eCGVXtDQ7794IQkNJUS5OQVNEQVE6Q0FMTS5JUV9NSU5PUklU</t>
  </si>
  <si>
    <t>WV9JTlRfUkVERUVNX1RPVC4yMDAwLjMxLzA3LzIwMjYuLi5VU0QuSAEAAAAgegUAAwAAAAAA+4ORMDvv3ghFvMsyO+/eCDJDSVEuTkFTREFROkNBTE0uSVFfU09GVFdBUkUuOTkwLjMxLzA3LzIwMjYuLi5VU0QuSAEAAAAgegUAAwAAAAAA4FyRMDvv3gjLhcoyO+/eCDVDSVEuTkFTREFROkNBTE0uSVFfT1RIRVJfSU5UQU4uOTkwLjMxLzA3LzIwMjYuLi5VU0QuSAEAAAAgegUAAgAAAAU0Ljk1OAEIAAAABQAAAAExAQAAAAoxODk2ODIwNTE3AwAAAAMxNjACAAAABDEwNDAEAAAAATAHAAAACTcvMzEvMjAyNggAAAAJNS8yOC8yMDE2CQAAAAEwbNX6MDvv3gh+fLsyO+/eCDVDSVEuTkFTREFROkNBTE0uSVFfVE9UQUxfTElBQi4yMDAwLjMxLzA3LzIwMjYuLi5VU0QuSAEAAAAgegUAAgAAAAc0NjcuMDM4AQgAAAAFAAAAATEBAAAACy0xODgxMDY4Mjk1AwAAAAMxNjACAAAABDEyNzYEAAAAATAHAAAACTcvMzEvMjAyNggAAAAJNS8zMC8yMDI2CQAAAAEwevz6MDvv3giiJsAyO+/eCDFDSVEuTkFTREFROkNBTE0uSVFfUEVOU0lPTi45OTMuMzEvMDcvMjAyNi4uLlVTRC5IAQAAACB6BQADAAAAAAB6/PowO+/eCNp5tzQ7794IOENJUS5OQVNEQVE6Q0FMTS5JUV9PVEhFUl9DTF9TVVBQTC45OTAuMzEvMDcvMjAyNi4uLlVTRC5IAQAAACB6BQADAAAAAAB6/PowO+/eCElUvjI7794IRkNJUS5OQVNEQVE6Q0FMTS5J</t>
  </si>
  <si>
    <t>UV9SVUFfQ0FQSVRBTF9MRUFTRV9BQ0NVTV9ERVAuMjAwMC4zMS8wNy8yMDI2Li4uVVNELkgBAAAAIHoFAAMAAAAAAFr6kDA7794IBRXDMjvv3gg0Q0lRLk5BU0RBUTpDQUxNLklRX0NBU0hfRVFVSVYuOTkzLjMxLzA3LzIwMjYuLi5VU0QuSAEAAAAgegUAAgAAAAY2OS4yNDcBCAAAAAUAAAABMQEAAAALLTIxNDI0MjkwMzkDAAAAAzE2MAIAAAAEMTA5NgQAAAABMAcAAAAJNy8zMS8yMDI2CAAAAAg2LzEvMjAxOQkAAAABMFmu+jA7794I73C8NDvv3gguQ0lRLk5BU0RBUTpDQUxNLklRX05QUEUuOTkwLjMxLzA3LzIwMjYuLi5VU0QuSAEAAAAgegUAAgAAAAczOTIuMjc0AQgAAAAFAAAAATEBAAAACjE4OTY4MjA1MTcDAAAAAzE2MAIAAAAEMTAwNAQAAAABMAcAAAAJNy8zMS8yMDI2CAAAAAk1LzI4LzIwMTYJAAAAATBs1fowO+/eCGUHuzI7794IMkNJUS5OQVNEQVE6Q0FMTS5JUV9UT1RBTF9DQS45OTIuMzEvMDcvMjAyNi4uLlVTRC5IAQAAACB6BQACAAAABjU4Ny41MgEIAAAABQAAAAExAQAAAAoyMDQ1NzQ5MzEwAwAAAAMxNjACAAAABDEwMDgEAAAAATAHAAAACTcvMzEvMjAyNggAAAAINi8yLzIwMTgJAAAAATBs1fowO+/eCFLWujQ7794IQENJUS5OQVNEQVE6Q0FMTS5JUV9GSU5fRElWX0FTU0VUU19DVVJSRU5ULjk5My4zMS8wNy8yMDI2Li4uVVNELkgBAAAAIHoFAAMAAAAAAFmu+jA7794If4a7NDvv</t>
  </si>
  <si>
    <t>3ggzQ0lRLk5BU0RBUTpDQUxNLklRX0lOVkVOVE9SWS45OTMuMzEvMDcvMjAyNi4uLlVTRC5IAQAAACB6BQACAAAABzE3Mi4yMzcBCAAAAAUAAAABMQEAAAALLTIxNDI0MjkwMzkDAAAAAzE2MAIAAAAEMTA0MwQAAAABMAcAAAAJNy8zMS8yMDI2CAAAAAg2LzEvMjAxOQkAAAABMFmu+jA7794IdK27NDvv3gg7Q0lRLk5BU0RBUTpDQUxNLklRX0NBU0hfVEFYRVNfSU5WRVNULjk5MS4zMS8wNy8yMDI2Li4uVVNELkgBAAAAIHoFAAMAAAAAAGyH+jA7794IP+CyMjvv3gg8Q0lRLk5BU0RBUTpDQUxNLklRX0NBU0hfSU5URVJFU1RfT1BFUi45OTMuMzEvMDcvMjAyNi4uLlVTRC5IAQAAACB6BQADAAAAAABsh/owO+/eCI/jvjQ7794IQkNJUS5OQVNEQVE6Q0FMTS5JUV9BTU9SVF9TT0ZUV0FSRV9BU1NFVFNfQ0YuOTkwLjMxLzA3LzIwMjYuLi5VU0QuSAEAAAAgegUAAwAAAAAA9pX2MDvv3gjRWbEyO+/eCEZDSVEuTkFTREFROkNBTE0uSVFfT1BFUkFUSU5HX0xFQVNFX0xJQUJJTElUSUVTLjIwMDAuMzEvMDcvMjAyNi4uLlVTRC5IAQAAACB6BQADAAAAAABsh/owO+/eCJzgtDI7794IN0NJUS5OQVNEQVE6Q0FMTS5JUV9VTkxFVkVSRURfRkNGLjk5MC4zMS8wNy8yMDI2Li4uVVNELkgBAAAAIHoFAAIAAAAJMjU0LjczMjI1AQgAAAAFAAAAATEBAAAACjE4OTY4MjA1MTcDAAAAAzE2MAIAAAAENDQyMwQAAAABMAcA</t>
  </si>
  <si>
    <t>AAAJNy8zMS8yMDI2CAAAAAk1LzI4LzIwMTYJAAAAATBsh/owO+/eCM6jszI7794IN0NJUS5OQVNEQVE6Q0FMTS5JUV9DT01NT05fRElWX0NGLjk5MS4zMS8wNy8yMDI2Li4uVVNELkgBAAAAIHoFAAMAAAAAAOZu9jA7794ICIGuMjvv3gg1Q0lRLk5BU0RBUTpDQUxNLklRX1BSRUZfSVNTVUVELjk5MC4zMS8wNy8yMDI2Li4uVVNELkgBAAAAIHoFAAMAAAAAAOZu9jA7794ISx6uMjvv3ghIQ0lRLk5BU0RBUTpDQUxNLklRX0RFUFJFQ0lBVElPTl9SRU5UQUxfQVNTRVRTX0NGLjIwMDAuMzEvMDcvMjAyNi4uLlVTRC5IAQAAACB6BQADAAAAAAD2lfYwO+/eCJi9sDI7794IRENJUS5OQVNEQVE6Q0FMTS5JUV9HV19JTlRBTl9BTU9SVF9QQVJUSUFMX0NGLjIwMDAuMzEvMDcvMjAyNi4uLlVTRC5IAQAAACB6BQADAAAAAAD2lfYwO+/eCF5vsDI7794IMkNJUS5OQVNEQVE6Q0FMTS5JUV9QRVJJT0RMRU5HVEhfQ0YuMjAwMC4zMS8wNy8yMDI2AQAAACB6BQABAAAAAjEyAPaV9jA7794ItQvYMjvv3ggzQ0lRLk5BU0RBUTpDQUxNLklRX0RJVkVTVF9DRi45OTAuMzEvMDcvMjAyNi4uLlVTRC5IAQAAACB6BQADAAAAAADWR/YwO+/eCGPqqzI7794IM0NJUS5OQVNEQVE6Q0FMTS5JUV9DQVNIX09QRVIuOTkyLjMxLzA3LzIwMjYuLi5VU0QuSAEAAAAgegUAAgAAAAcyMDAuNDE1AQgAAAAFAAAAATEBAAAACjIwNDU3NDkz</t>
  </si>
  <si>
    <t>MTADAAAAAzE2MAIAAAAEMjAwNgQAAAABMAcAAAAJNy8zMS8yMDI2CAAAAAg2LzIvMjAxOAkAAAABMNZH9jA7794Ixo/DNDvv3gg7Q0lRLk5BU0RBUTpDQUxNLklRX1RPVEFMX0RFQlRfSVNTVUVELjk5Mi4zMS8wNy8yMDI2Li4uVVNELkgBAAAAIHoFAAMAAAAAAOZu9jA7794I9gfCNDvv3gg4Q0lRLk5BU0RBUTpDQUxNLklRX1NQRUNJQUxfRElWX0NGLjk5My4zMS8wNy8yMDI2Li4uVVNELkgBAAAAIHoFAAMAAAAAAOZu9jA7794IYQnBNDvv3gg8Q0lRLk5BU0RBUTpDQUxNLklRX0NPTU1PTl9QUkVGX0RJVl9DRi45OTIuMzEvMDcvMjAyNi4uLlVTRC5IAQAAACB6BQADAAAAAADmbvYwO+/eCK8wwTQ7794IO0NJUS5OQVNEQVE6Q0FMTS5JUV9UT1RBTF9PUEVSX0xFQVNFUy45OTIuMzEvMDcvMjAyNi4uLlVTRC5IAQAAACB6BQADAAAAAABiNZEwO+/eCOaTszQ7794IQ0NJUS5OQVNEQVE6Q0FMTS5JUV9GSU5fRElWX01JTk9SSVRZX0lOVEVSRVNULjk5MS4zMS8wNy8yMDI2Li4uVVNELkgBAAAAIHoFAAMAAAAAAPuDkTA7794IEYTLMjvv3ggzQ0lRLk5BU0RBUTpDQUxNLklRX01BQ0hJTkVSWS45OTMuMzEvMDcvMjAyNi4uLlVTRC5IAQAAACB6BQACAAAABzQ5NC45MzcBCAAAAAUAAAABMQEAAAALLTIxNDI0MjkwMzkDAAAAAzE2MAIAAAAEMzExNAQAAAABMAcAAAAJNy8zMS8yMDI2CAAAAAg2LzEvMjAxOQkA</t>
  </si>
  <si>
    <t>AAABMOBckTA7794IkuavNDvv3gg+Q0lRLk5BU0RBUTpDQUxNLklRX1dBUlJBTlRZX0xJQUJJTElUSUVTLjk5My4zMS8wNy8yMDI2Li4uVVNELkgBAAAAIHoFAAMAAAAAAM6QjTA7794IvBOrNDvv3ggrQ0lRLk5BU0RBUTpDQUxNLklRX05JX01BUkdJTi45OTIuMzEvMDcvMjAyNgEAAAAgegUAAgAAAAU4LjM3OQEIAAAABQAAAAExAQAAAAoyMDQ1NzQ5MzEwAwAAAAMxNjACAAAABDQwOTQEAAAAATAHAAAACTcvMzEvMjAyNggAAAAINi8yLzIwMTgJAAAAATAhuI0wO+/eCOtVpDQ7794INUNJUS5OQVNEQVE6Q0FMTS5JUV9PVEhFUl9JTlRBTi45OTIuMzEvMDcvMjAyNi4uLlVTRC5IAQAAACB6BQACAAAABjI2LjMwNwEIAAAABQAAAAExAQAAAAoyMDQ1NzQ5MzEwAwAAAAMxNjACAAAABDEwNDAEAAAAATAHAAAACTcvMzEvMjAyNggAAAAINi8yLzIwMTgJAAAAATBs1fowO+/eCFU6ujQ7794INUNJUS5OQVNEQVE6Q0FMTS5JUV9QUkVGX1JFREVFTS45OTIuMzEvMDcvMjAyNi4uLlVTRC5IAQAAACB6BQADAAAAAAB6/PowO+/eCFG2tjQ7794IOENJUS5OQVNEQVE6Q0FMTS5JUV9PVEhFUl9DTF9TVVBQTC45OTEuMzEvMDcvMjAyNi4uLlVTRC5IAQAAACB6BQADAAAAAAB6/PowO+/eCElUvjI7794IO0NJUS5OQVNEQVE6Q0FMTS5JUV9NSU5PUklUWV9JTlRFUkVTVC45OTAuMzEvMDcvMjAyNi4uLlVTRC5IAQAAACB6</t>
  </si>
  <si>
    <t>BQACAAAABTIuMDg2AQgAAAAFAAAAATEBAAAACjE4OTY4MjA1MTcDAAAAAzE2MAIAAAAEMTA1MgQAAAABMAcAAAAJNy8zMS8yMDI2CAAAAAk1LzI4LzIwMTYJAAAAATBa+pAwO+/eCJ/vwTI7794ILENJUS5OQVNEQVE6Q0FMTS5JUV9SRS45OTMuMzEvMDcvMjAyNi4uLlVTRC5IAQAAACB6BQACAAAABzk1NC41MjcBCAAAAAUAAAABMQEAAAALLTIxNDI0MjkwMzkDAAAAAzE2MAIAAAAEMTIyMgQAAAABMAcAAAAJNy8zMS8yMDI2CAAAAAg2LzEvMjAxOQkAAAABMFr6kDA7794IXQa2NDvv3gg3Q0lRLk5BU0RBUTpDQUxNLklRX09USEVSX1JFQ0VJVi4yMDAwLjMxLzA3LzIwMjYuLi5VU0QuSAEAAAAgegUAAgAAAAcxMjguMTgyAQgAAAAFAAAAATEBAAAACy0xODgxMDY4Mjk1AwAAAAMxNjACAAAABDEyMDYEAAAAATAHAAAACTcvMzEvMjAyNggAAAAJNS8zMC8yMDI2CQAAAAEwWa76MDvv3gi/+LgyO+/eCDlDSVEuTkFTREFROkNBTE0uSVFfVFJBRElOR19BU1NFVFMuMjAwMC4zMS8wNy8yMDI2Li4uVVNELkgBAAAAIHoFAAMAAAAAAFmu+jA7794IoW+4Mjvv3ghIQ0lRLk5BU0RBUTpDQUxNLklRX1RPVEFMX0RFQlRfUkVQQUlEX0VYQ0xfTEVBU0VTLjIwMDAuMzEvMDcvMjAyNi4uLlVTRC5IAQAAACB6BQADAAAAAABZrvowO+/eCN1ptTI7794ILkNJUS5OQVNEQVE6Q0FMTS5JUV9OUFBFLjk5MS4zMS8wNy8yMDI2</t>
  </si>
  <si>
    <t>Li4uVVNELkgBAAAAIHoFAAIAAAAHNDU4LjE4NAEIAAAABQAAAAExAQAAAAoxOTcyMDEyMTIxAwAAAAMxNjACAAAABDEwMDQEAAAAATAHAAAACTcvMzEvMjAyNggAAAAINi8zLzIwMTcJAAAAATBs1fowO+/eCGUHuzI7794IMkNJUS5OQVNEQVE6Q0FMTS5JUV9UT1RBTF9DQS45OTMuMzEvMDcvMjAyNi4uLlVTRC5IAQAAACB6BQACAAAABzU2Ny43NTMBCAAAAAUAAAABMQEAAAALLTIxNDI0MjkwMzkDAAAAAzE2MAIAAAAEMTAwOAQAAAABMAcAAAAJNy8zMS8yMDI2CAAAAAg2LzEvMjAxOQkAAAABMGzV+jA7794IYP26NDvv3ggrQ0lRLk5BU0RBUTpDQUxNLklRX05JX01BUkdJTi45OTMuMzEvMDcvMjAyNgEAAAAgegUAAgAAAAYzLjk4MzkBCAAAAAUAAAABMQEAAAALLTIxNDI0MjkwMzkDAAAAAzE2MAIAAAAENDA5NAQAAAABMAcAAAAJNy8zMS8yMDI2CAAAAAg2LzEvMjAxOQkAAAABMCG4jTA7794I61WkNDvv3ghPQ0lRLk5BU0RBUTpDQUxNLklRX0xJQUJJTElUSUVTX05FVFRJTkdfT1RIRVJfQURKVVNUTUVOVFMuOTkzLjMxLzA3LzIwMjYuLi5VU0QuSAEAAAAgegUAAwAAAAAA8FWNMDvv3giVdaw0O+/eCE1DSVEuTkFTREFROkNBTE0uSVFfT1BFUkFUSU5HX0xFQVNFX0xJQUJJTElUSUVTX05PTkNBU0guOTkwLjMxLzA3LzIwMjYuLi5VU0QuSAEAAAAgegUAAwAAAAAAbIf6MDvv3gic4LQyO+/eCDdDSVEu</t>
  </si>
  <si>
    <t>TkFTREFROkNBTE0uSVFfVU5MRVZFUkVEX0ZDRi45OTEuMzEvMDcvMjAyNi4uLlVTRC5IAQAAACB6BQACAAAACi0xNDYuMzg4MjUBCAAAAAUAAAABMQEAAAAKMTk3MjAxMjEyMQMAAAADMTYwAgAAAAQ0NDIzBAAAAAEwBwAAAAk3LzMxLzIwMjYIAAAACDYvMy8yMDE3CQAAAAEwbIf6MDvv3gjOo7MyO+/eCD5DSVEuTkFTREFROkNBTE0uSVFfQ0hBTkdFX0RFRl9UQVhfVE9UQUwuOTkwLjMxLzA3LzIwMjYuLi5VU0QuSAEAAAAgegUAAgAAAAYxOS4zOTIBCAAAAAUAAAABMQEAAAAKMTg5NjgyMDUxNwMAAAADMTYwAgAAAAUzMDkyNAQAAAABMAcAAAAJNy8zMS8yMDI2CAAAAAk1LzI4LzIwMTYJAAAAATBsh/owO+/eCKwuszI7794IL0NJUS5OQVNEQVE6Q0FMTS5JUV9FQklUREFfTUFSR0lOLjk5My4zMS8wNy8yMDI2AQAAACB6BQACAAAABjcuMzgwNgEIAAAABQAAAAExAQAAAAstMjE0MjQyOTAzOQMAAAADMTYwAgAAAAQ0MDQ3BAAAAAEwBwAAAAk3LzMxLzIwMjYIAAAACDYvMS8yMDE5CQAAAAEwIbiNMDvv3gi/gKQ0O+/eCDxDSVEuTkFTREFROkNBTE0uSVFfQlZfU0hBUkVfUkVQT1JURUQuMjAwMC4zMS8wNy8yMDI2Li4uVVNELkgBAAAAIHoFAAMAAAAAAGI1kTA7794IVjDGMjvv3ghGQ0lRLk5BU0RBUTpDQUxNLklRX1RPVEFMX0RFQlRfRVhDTF9PUEVSX0xFQVNFUy4yMDAwLjMxLzA3LzIwMjYuLi5VU0Qu</t>
  </si>
  <si>
    <t>SAEAAAAgegUAAwAAAAAAYjWRMDvv3gghu8UyO+/eCC9DSVEuTkFTREFROkNBTE0uSVFfTElGT1IuOTkyLjMxLzA3LzIwMjYuLi5VU0QuSAEAAAAgegUAAwAAAAAA4FyRMDvv3gjLvbA0O+/eCDVDSVEuTkFTREFROkNBTE0uSVFfV09SS0lOR19DQVAuOTkwLjMxLzA3LzIwMjYuLi5VU0QuSAEAAAAgegUAAgAAAAc1NDIuODMyAQgAAAAFAAAAATEBAAAACjE4OTY4MjA1MTcDAAAAAzE2MAIAAAAENDE2NQQAAAABMAcAAAAJNy8zMS8yMDI2CAAAAAk1LzI4LzIwMTYJAAAAATDgXJEwO+/eCNZ2yDI7794INUNJUS5OQVNEQVE6Q0FMTS5JUV9XT1JLSU5HX0NBUC45OTIuMzEvMDcvMjAyNi4uLlVTRC5IAQAAACB6BQACAAAABzQ3OS42ODIBCAAAAAUAAAABMQEAAAAKMjA0NTc0OTMxMAMAAAADMTYwAgAAAAQ0MTY1BAAAAAEwBwAAAAk3LzMxLzIwMjYIAAAACDYvMi8yMDE4CQAAAAEw4FyRMDvv3giUWrE0O+/eCDVDSVEuTkFTREFROkNBTE0uSVFfQ0FTSF9TSEFSRS4yMDAwLjMxLzA3LzIwMjYuLi5VU0QuSAEAAAAgegUAAgAAAAgyLjI4MjEzNQEIAAAABQAAAAExAQAAAAstMTg4MTA2ODI5NQMAAAADMTYwAgAAAAQ0MzgxBAAAAAEwBwAAAAk3LzMxLzIwMjYIAAAACTUvMzAvMjAyNgkAAAABMOBckTA7794Iry7HMjvv3ghAQ0lRLk5BU0RBUTpDQUxNLklRX0NPTlRJTkdFTlRfTElBQklMSVRJRVMuOTkxLjMxLzA3</t>
  </si>
  <si>
    <t>LzIwMjYuLi5VU0QuSAEAAAAgegUAAwAAAAAA8FWNMDvv3gh1r9AyO+/eCE1DSVEuTkFTREFROkNBTE0uSVFfTElRVUlEQVRJT05fVkFMVUVfUFJFRkVSUkVEX0NPTlZFUlQuOTkyLjMxLzA3LzIwMjYuLi5VU0QuSAEAAAAgegUAAwAAAAAA+4ORMDvv3gg7hq40O+/eCDNDSVEuTkFTREFROkNBTE0uSVFfUlVBX0dST1NTLjk5MC4zMS8wNy8yMDI2Li4uVVNELkgBAAAAIHoFAAMAAAAAAFr6kDA7794I13jCMjvv3ggzQ0lRLk5BU0RBUTpDQUxNLklRX1JVQV9HUk9TUy45OTEuMzEvMDcvMjAyNi4uLlVTRC5IAQAAACB6BQADAAAAAABa+pAwO+/eCNd4wjI7794INENJUS5OQVNEQVE6Q0FMTS5JUV9QUkVGX09USEVSLjk5MS4zMS8wNy8yMDI2Li4uVVNELkgBAAAAIHoFAAMAAAAAAFr6kDA7794I9nTAMjvv3ghAQ0lRLk5BU0RBUTpDQUxNLklRX1RPVEFMX0RFQlRfRVhDTF9MRUFTRVMuOTkwLjMxLzA3LzIwMjYuLi5VU0QuSAEAAAAgegUAAgAAAAUyNS41NwEIAAAABQAAAAExAQAAAAoxODk2ODIwNTE3AwAAAAMxNjACAAAABTQ4OTkyBAAAAAEwBwAAAAk3LzMxLzIwMjYIAAAACTUvMjgvMjAxNgkAAAABMGI1kTA7794IIbvFMjvv3ghFQ0lRLk5BU0RBUTpDQUxNLklRX0ZJTl9ESVZfTUlOT1JJVFlfSU5UX1JFREVFTS45OTIuMzEvMDcvMjAyNi4uLlVTRC5IAQAAACB6BQADAAAAAAD7g5EwO+/eCGBxrzQ7794I</t>
  </si>
  <si>
    <t>L0NJUS5OQVNEQVE6Q0FMTS5JUV9MSUZPUi45OTMuMzEvMDcvMjAyNi4uLlVTRC5IAQAAACB6BQADAAAAAADgXJEwO+/eCMu9sDQ7794IP0NJUS5OQVNEQVE6Q0FMTS5JUV9GSU5fRElWX0xPQU5TX0NVUlJFTlQuOTkyLjMxLzA3LzIwMjYuLi5VU0QuSAEAAAAgegUAAwAAAAAAWa76MDvv3gh/hrs0O+/eCD1DSVEuTkFTREFROkNBTE0uSVFfQ1VSUkVOVF9QT1JUX0xFQVNFUy45OTAuMzEvMDcvMjAyNi4uLlVTRC5IAQAAACB6BQADAAAAAABs1fowO+/eCEFSvTI7794IOkNJUS5OQVNEQVE6Q0FMTS5JUV9MT05HX1RFUk1fTEVBU0VTLjk5MS4zMS8wNy8yMDI2Li4uVVNELkgBAAAAIHoFAAMAAAAAAHr8+jA7794Ijcm+Mjvv3gg4Q0lRLk5BU0RBUTpDQUxNLklRX09USEVSX0NMX1NVUFBMLjk5My4zMS8wNy8yMDI2Li4uVVNELkgBAAAAIHoFAAMAAAAAAHr8+jA7794INni4NDvv3gg9Q0lRLk5BU0RBUTpDQUxNLklRX0lOQ19UQVhfUEFZX0NVUlJFTlQuOTkwLjMxLzA3LzIwMjYuLi5VU0QuSAEAAAAgegUAAwAAAAAAbNX6MDvv3ggk370yO+/eCEVDSVEuTkFTREFROkNBTE0uSVFfRklOX0RJVl9NSU5PUklUWV9JTlRfUkVERUVNLjk5My4zMS8wNy8yMDI2Li4uVVNELkgBAAAAIHoFAAMAAAAAAPuDkTA7794IYHGvNDvv3ggzQ0lRLk5BU0RBUTpDQUxNLklRX0dST1NTX0dXLjIwMDAuMzEvMDcvMjAyNi4uLlVT</t>
  </si>
  <si>
    <t>RC5IAQAAACB6BQADAAAAAADOkI0wO+/eCASw0jI7794IOENJUS5OQVNEQVE6Q0FMTS5JUV9UUkFESU5HX0FTU0VUUy45OTMuMzEvMDcvMjAyNi4uLlVTRC5IAQAAACB6BQADAAAAAABZrvowO+/eCNlJvDQ7794ILkNJUS5OQVNEQVE6Q0FMTS5JUV9OUFBFLjk5My4zMS8wNy8yMDI2Li4uVVNELkgBAAAAIHoFAAIAAAAHNDU2LjI5NAEIAAAABQAAAAExAQAAAAstMjE0MjQyOTAzOQMAAAADMTYwAgAAAAQxMDA0BAAAAAEwBwAAAAk3LzMxLzIwMjYIAAAACDYvMS8yMDE5CQAAAAEwbNX6MDvv3gg3iLo0O+/eCEBDSVEuTkFTREFROkNBTE0uSVFfREVGX1RBWF9BU1NFVFNfQ1VSUkVOVC45OTEuMzEvMDcvMjAyNi4uLlVTRC5IAQAAACB6BQADAAAAAABZrvowO+/eCDMcujI7794IR0NJUS5OQVNEQVE6Q0FMTS5JUV9SVUFfT1BFUkFUSU5HX0xFQVNFX0FDQ1VNX0RFUC45OTEuMzEvMDcvMjAyNi4uLlVTRC5IAQAAACB6BQADAAAAAABa+pAwO+/eCEaKwzI7794IM0NJUS5OQVNEQVE6Q0FMTS5JUV9CVUlMRElOR1MuOTkxLjMxLzA3LzIwMjYuLi5VU0QuSAEAAAAgegUAAgAAAAczNDIuOTMzAQgAAAAFAAAAATEBAAAACjE5NzIwMTIxMjEDAAAAAzE2MAIAAAAEMzAyMwQAAAABMAcAAAAJNy8zMS8yMDI2CAAAAAg2LzMvMjAxNwkAAAABMOBckTA7794Ivl7KMjvv3gg0Q0lRLk5BU0RBUTpDQUxNLklRX1RPVEFMX0RF</t>
  </si>
  <si>
    <t>QlQuOTkwLjMxLzA3LzIwMjYuLi5VU0QuSAEAAAAgegUAAgAAAAUyNS41NwEIAAAABQAAAAExAQAAAAoxODk2ODIwNTE3AwAAAAMxNjACAAAABDQxNzMEAAAAATAHAAAACTcvMzEvMjAyNggAAAAJNS8yOC8yMDE2CQAAAAEw4FyRMDvv3givLscyO+/eCD9DSVEuTkFTREFROkNBTE0uSVFfRklOX0RJVl9MVF9ERUJUX1RPVEFMLjk5My4zMS8wNy8yMDI2Li4uVVNELkgBAAAAIHoFAAMAAAAAAPBVjTA7794IdyesNDvv3gg9Q0lRLk5BU0RBUTpDQUxNLklRX0xJQUJJTElUSUVTX0xFVkVMXzMuOTkxLjMxLzA3LzIwMjYuLi5VU0QuSAEAAAAgegUAAwAAAAAA8FWNMDvv3giSYs4yO+/eCDZDSVEuTkFTREFROkNBTE0uSVFfQVJfVU5CSUxMRUQuMjAwMC4zMS8wNy8yMDI2Li4uVVNELkgBAAAAIHoFAAMAAAAAAOBckTA7794IKzrJMjvv3gg3Q0lRLk5BU0RBUTpDQUxNLklRX09SREVSX0JBQ0tMT0cuOTkzLjMxLzA3LzIwMjYuLi5VU0QuSAEAAAAgegUAAwAAAAAA8FWNMDvv3givOqs0O+/eCDtDSVEuTkFTREFROkNBTE0uSVFfVE9UQUxfTElBQl9FUVVJVFkuOTkzLjMxLzA3LzIwMjYuLi5VU0QuSAEAAAAgegUAAgAAAAgxMTU2LjI3OAEIAAAABQAAAAExAQAAAAstMjE0MjQyOTAzOQMAAAADMTYwAgAAAAQxMDEzBAAAAAEwBwAAAAk3LzMxLzIwMjYIAAAACDYvMS8yMDE5CQAAAAEwWvqQMDvv3gjwabU0O+/eCFFD</t>
  </si>
  <si>
    <t>SVEuTkFTREFROkNBTE0uSVFfQ1VSUkVOVF9QT1JUSU9OX09QRVJfTEVBU0VfTElBQklMSVRJRVMuMjAwMC4zMS8wNy8yMDI2Li4uVVNELkgBAAAAIHoFAAMAAAAAAGI1kTA7794IlePEMjvv3ghAQ0lRLk5BU0RBUTpDQUxNLklRX05QUEVfRVhDTF9PUEVSX0xFQVNFUy4yMDAwLjMxLzA3LzIwMjYuLi5VU0QuSAEAAAAgegUAAgAAAAgxMzE4LjMzNQEIAAAABQAAAAExAQAAAAstMTg4MTA2ODI5NQMAAAADMTYwAgAAAAU0ODk3NgQAAAABMAcAAAAJNy8zMS8yMDI2CAAAAAk1LzMwLzIwMjYJAAAAATBa+pAwO+/eCAIqxDI7794IMkNJUS5OQVNEQVE6Q0FMTS5JUV9SVUFfTkVULjIwMDAuMzEvMDcvMjAyNi4uLlVTRC5IAQAAACB6BQADAAAAAABa+pAwO+/eCBTuwjI7794IN0NJUS5OQVNEQVE6Q0FMTS5JUV9PVEhFUl9FUVVJVFkuMjAwMC4zMS8wNy8yMDI2Li4uVVNELkgBAAAAIHoFAAIAAAAGLTEuNDY2AQgAAAAFAAAAATEBAAAACy0xODgxMDY4Mjk1AwAAAAMxNjACAAAABDEwMjgEAAAAATAHAAAACTcvMzEvMjAyNggAAAAJNS8zMC8yMDI2CQAAAAEwWvqQMDvv3giHyMEyO+/eCC5DSVEuTkFTREFROkNBTE0uSVFfQVBJQy45OTIuMzEvMDcvMjAyNi4uLlVTRC5IAQAAACB6BQACAAAABjUzLjMyMwEIAAAABQAAAAExAQAAAAoyMDQ1NzQ5MzEwAwAAAAMxNjACAAAABDEwODQEAAAAATAHAAAACTcvMzEvMjAy</t>
  </si>
  <si>
    <t>NggAAAAINi8yLzIwMTgJAAAAATBa+pAwO+/eCHMttjQ7794IS0NJUS5OQVNEQVE6Q0FMTS5JUV9MVF9QT1JUSU9OX09QRVJfTEVBU0VfTElBQklMSVRJRVMuOTkxLjMxLzA3LzIwMjYuLi5VU0QuSAEAAAAgegUAAwAAAAAAYjWRMDvv3giV48QyO+/eCDNDSVEuTkFTREFROkNBTE0uSVFfQlVJTERJTkdTLjk5My4zMS8wNy8yMDI2Li4uVVNELkgBAAAAIHoFAAIAAAAHMzcwLjQ1MQEIAAAABQAAAAExAQAAAAstMjE0MjQyOTAzOQMAAAADMTYwAgAAAAQzMDIzBAAAAAEwBwAAAAk3LzMxLzIwMjYIAAAACDYvMS8yMDE5CQAAAAEw4FyRMDvv3gi4NLA0O+/eCDBDSVEuTkFTREFROkNBTE0uSVFfUkVTVEFURU1FTlRfQ0YuOTkwLjMxLzA3LzIwMjYBAAAAIHoFAAMAAAACUlMAWa76MDvv3gjGMtgyO+/eCEBDSVEuTkFTREFROkNBTE0uSVFfREVGX1RBWF9BU1NFVFNfQ1VSUkVOVC45OTMuMzEvMDcvMjAyNi4uLlVTRC5IAQAAACB6BQADAAAAAABZrvowO+/eCCE4uzQ7794IO0NJUS5OQVNEQVE6Q0FMTS5JUV9DVVJSRU5UX1BPUlRfREVCVC45OTIuMzEvMDcvMjAyNi4uLlVTRC5IAQAAACB6BQACAAAABTMuNTM2AQgAAAAFAAAAATEBAAAACjIwNDU3NDkzMTADAAAAAzE2MAIAAAAEMTI5NwQAAAABMAcAAAAJNy8zMS8yMDI2CAAAAAg2LzIvMjAxOAkAAAABMGzV+jA7794IpRS5NDvv3ggsQ0lRLk5BU0RBUTpDQUxN</t>
  </si>
  <si>
    <t>LklRX0FQLjk5Mi4zMS8wNy8yMDI2Li4uVVNELkgBAAAAIHoFAAIAAAAFMzcuODQBCAAAAAUAAAABMQEAAAAKMjA0NTc0OTMxMAMAAAADMTYwAgAAAAQxMDE4BAAAAAEwBwAAAAk3LzMxLzIwMjYIAAAACDYvMi8yMDE4CQAAAAEwbNX6MDvv3gilYrk0O+/eCDxDSVEuTkFTREFROkNBTE0uSVFfRklOX0RJVl9BU1NFVFNfTFQuMjAwMC4zMS8wNy8yMDI2Li4uVVNELkgBAAAAIHoFAAMAAAAAAGzV+jA7794Iscq7Mjvv3ghAQ0lRLk5BU0RBUTpDQUxNLklRX0NBU0hfSU5URVJFU1RfUkVDRUlWRUQuOTkxLjMxLzA3LzIwMjYuLi5VU0QuSAEAAAAgegUAAwAAAAAAbIf6MDvv3ghPMLIyO+/eCDdDSVEuTkFTREFROkNBTE0uSVFfQ0FTSF9JTlRFUkVTVC45OTMuMzEvMDcvMjAyNi4uLlVTRC5IAQAAACB6BQACAAAABTAuNjQ0AQgAAAAFAAAAATEBAAAACy0yMTQyNDI5MDM5AwAAAAMxNjACAAAABDMwMjgEAAAAATAHAAAACTcvMzEvMjAyNggAAAAINi8xLzIwMTkJAAAAATA1YPowO+/eCH0xvzQ7794IR0NJUS5OQVNEQVE6Q0FMTS5JUV9UT1RBTF9ERUJUX1JFUEFJRF9FWENMX0xFQVNFUy45OTEuMzEvMDcvMjAyNi4uLlVTRC5IAQAAACB6BQACAAAABi0xNi41MQEIAAAABQAAAAExAQAAAAoxOTcyMDEyMTIxAwAAAAMxNjACAAAABTQ4OTg2BAAAAAEwBwAAAAk3LzMxLzIwMjYIAAAACDYvMy8yMDE3CQAAAAEwWa76</t>
  </si>
  <si>
    <t>MDvv3gjTQrUyO+/eCDlDSVEuTkFTREFROkNBTE0uSVFfTkVUX0RFQlRfSVNTVUVELjk5Mi4zMS8wNy8yMDI2Li4uVVNELkgBAAAAIHoFAAIAAAAGLTQuODQ5AQgAAAAFAAAAATEBAAAACjIwNDU3NDkzMTADAAAAAzE2MAIAAAAEMjAwMwQAAAABMAcAAAAJNy8zMS8yMDI2CAAAAAg2LzIvMjAxOAkAAAABMGyH+jA7794IZ5a9NDvv3ggtQ0lRLk5BU0RBUTpDQUxNLklRX0FSLjIwMDAuMzEvMDcvMjAyNi4uLlVTRC5IAQAAACB6BQACAAAABzEzNi4yNDkBCAAAAAUAAAABMQEAAAALLTE4ODEwNjgyOTUDAAAAAzE2MAIAAAAEMTAyMQQAAAABMAcAAAAJNy8zMS8yMDI2CAAAAAk1LzMwLzIwMjYJAAAAATBZrvowO+/eCM/kuDI7794ILUNJUS5OQVNEQVE6Q0FMTS5JUV9GWC4yMDAwLjMxLzA3LzIwMjYuLi5VU0QuSAEAAAAgegUAAwAAAAAA9pX2MDvv3gjt0q8yO+/eCEJDSVEuTkFTREFROkNBTE0uSVFfT1RIRVJfRklOQU5DRV9BQ1RfU1VQUEwuMjAwMC4zMS8wNy8yMDI2Li4uVVNELkgBAAAAIHoFAAMAAAAAAPaV9jA7794InXCvMjvv3ggyQ0lRLk5BU0RBUTpDQUxNLklRX1NPRlRXQVJFLjk5MS4zMS8wNy8yMDI2Li4uVVNELkgBAAAAIHoFAAMAAAAAAOBckTA7794I2qzKMjvv3gg2Q0lRLk5BU0RBUTpDQUxNLklRX0FNT1JUX0RJQ19DRi45OTIuMzEvMDcvMjAyNi4uLlVTRC5IAQAAACB6BQADAAAAAAD2lfYw</t>
  </si>
  <si>
    <t>O+/eCKV/vzQ7794INUNJUS5OQVNEQVE6Q0FMTS5JUV9ORVRfQ0hBTkdFLjIwMDAuMzEvMDcvMjAyNi4uLlVTRC5IAQAAACB6BQACAAAACC0zODYuODc3AQgAAAAFAAAAATEBAAAACy0xODgxMDY4Mjk1AwAAAAMxNjACAAAABDIwOTMEAAAAATAHAAAACTcvMzEvMjAyNggAAAAJNS8zMC8yMDI2CQAAAAEw9pX2MDvv3ghnIbAyO+/eCDdDSVEuTkFTREFROkNBTE0uSVFfQ09NTU9OX0RJVl9DRi45OTMuMzEvMDcvMjAyNi4uLlVTRC5IAQAAACB6BQACAAAABy00MS43MTMBCAAAAAUAAAABMQEAAAALLTIxNDI0MjkwMzkDAAAAAzE2MAIAAAAEMjA3NAQAAAABMAcAAAAJNy8zMS8yMDI2CAAAAAg2LzEvMjAxOQkAAAABMOZu9jA7794It1fBNDvv3gg2Q0lRLk5BU0RBUTpDQUxNLklRX0xFVkVSRURfRkNGLjIwMDAuMzEvMDcvMjAyNi4uLlVTRC5IAQAAACB6BQACAAAABjguNzk2NQEIAAAABQAAAAExAQAAAAstMTg4MTA2ODI5NQMAAAADMTYwAgAAAAQ0NDIyBAAAAAEwBwAAAAk3LzMxLzIwMjYIAAAACTUvMzAvMjAyNgkAAAABMGyH+jA7794IzqOzMjvv3gg1Q0lRLk5BU0RBUTpDQUxNLklRX1BSRUZfRVFVSVRZLjk5My4zMS8wNy8yMDI2Li4uVVNELkgBAAAAIHoFAAMAAAAAAFr6kDA7794If1S2NDvv3gg9Q0lRLk5BU0RBUTpDQUxNLklRX0NVUlJFTlRfUE9SVF9MRUFTRVMuOTkzLjMxLzA3LzIwMjYuLi5VU0Qu</t>
  </si>
  <si>
    <t>SAEAAAAgegUAAgAAAAUwLjE5NgEIAAAABQAAAAExAQAAAAstMjE0MjQyOTAzOQMAAAADMTYwAgAAAAQxMDkwBAAAAAEwBwAAAAk3LzMxLzIwMjYIAAAACDYvMS8yMDE5CQAAAAEwbNX6MDvv3giB7bg0O+/eCDNDSVEuTkFTREFROkNBTE0uSVFfSU5WRU5UT1JZLjk5MS4zMS8wNy8yMDI2Li4uVVNELkgBAAAAIHoFAAIAAAAHMTYwLjY5MgEIAAAABQAAAAExAQAAAAoxOTcyMDEyMTIxAwAAAAMxNjACAAAABDEwNDMEAAAAATAHAAAACTcvMzEvMjAyNggAAAAINi8zLzIwMTcJAAAAATBZrvowO+/eCMl/uTI7794IN0NJUS5OQVNEQVE6Q0FMTS5JUV9DT01NT05fSVNTVUVELjk5My4zMS8wNy8yMDI2Li4uVVNELkgBAAAAIHoFAAMAAAAAAOZu9jA7794IVrrBNDvv3gg4Q0lRLk5BU0RBUTpDQUxNLklRX0xUX0RFQlRfUkVQQUlELjk5MC4zMS8wNy8yMDI2Li4uVVNELkgBAAAAIHoFAAIAAAAGLTI1LjI5AQgAAAAFAAAAATEBAAAACjE4OTY4MjA1MTcDAAAAAzE2MAIAAAAEMjAzNgQAAAABMAcAAAAJNy8zMS8yMDI2CAAAAAk1LzI4LzIwMTYJAAAAATDmbvYwO+/eCByVrTI7794IQENJUS5OQVNEQVE6Q0FMTS5JUV9PVEhFUl9JTlZFU1RfQUNUX1NVUFBMLjk5Mi4zMS8wNy8yMDI2Li4uVVNELkgBAAAAIHoFAAMAAAAAAOZu9jA7794IUH3CNDvv3gg3Q0lRLk5BU0RBUTpDQUxNLklRX1NBTEVfSU5UQU5fQ0YuOTky</t>
  </si>
  <si>
    <t>LjMxLzA3LzIwMjYuLi5VU0QuSAEAAAAgegUAAwAAAAAA5m72MDvv3ggn38I0O+/eCDFDSVEuTkFTREFROkNBTE0uSVFfREVQX1JVQS45OTEuMzEvMDcvMjAyNi4uLlVTRC5IAQAAACB6BQADAAAAAAD2lfYwO+/eCJi9sDI7794IPkNJUS5OQVNEQVE6Q0FMTS5JUV9ORUdBVElWRV9HV19BTU9SVF9BVC45OTIuMzEvMDcvMjAyNi4uLlVTRC5IAQAAACB6BQADAAAAAAAaURgxO+/eCNhCyDQ7794INENJUS5OQVNEQVE6Q0FMTS5JUV9PSUxfSU1QQUlSLjk5Mi4zMS8wNy8yMDI2Li4uVVNELkgBAAAAIHoFAAMAAAAAAM4g9jA7794IKu7FNDvv3gg+Q0lRLk5BU0RBUTpDQUxNLklRX1NUT0NLX0JBU0VEX0NPTVBfVEFYLjk5Mi4zMS8wNy8yMDI2Li4uVVNELkgBAAAAIHoFAAMAAAAAAM4g9jA7794IKFDGNDvv3gg4Q0lRLk5BU0RBUTpDQUxNLklRX1NUT0NLX0JBU0VEX0NGLjk5Mi4zMS8wNy8yMDI2Li4uVVNELkgBAAAAIHoFAAIAAAAFMy40NjcBCAAAAAUAAAABMQEAAAAKMjA0NTc0OTMxMAMAAAADMTYwAgAAAAQyMTI3BAAAAAEwBwAAAAk3LzMxLzIwMjYIAAAACDYvMi8yMDE4CQAAAAEw1kf2MDvv3gi73MQ0O+/eCDhDSVEuTkFTREFROkNBTE0uSVFfQ0hBTkdFX0RFRl9UQVguOTkzLjMxLzA3LzIwMjYuLi5VU0QuSAEAAAAgegUAAwAAAAAA1kf2MDvv3gjLtsM0O+/eCDFDSVEuTkFTREFROkNBTE0uSVFfR0Ff</t>
  </si>
  <si>
    <t>RVhQLjIwMDAuMzEvMDcvMjAyNi4uLlVTRC5IAQAAACB6BQADAAAAAADpAhgxO+/eCAi8nzI7794IQUNJUS5OQVNEQVE6Q0FMTS5JUV9TQUxBUklFU19PVEhFUl9CRU5FRklUUy45OTAuMzEvMDcvMjAyNi4uLlVTRC5IAQAAACB6BQADAAAAAADxKRgxO+/eCKHUoTI7794IN0NJUS5OQVNEQVE6Q0FMTS5JUV9NQUlOVF9SRVBBSVIuMjAwMC4zMS8wNy8yMDI2Li4uVVNELkgBAAAAIHoFAAMAAAAAAPEpGDE7794IXIahMjvv3ghAQ0lRLk5BU0RBUTpDQUxNLklRX0FTU0VUX1dSSVRFRE9XTl9TVVBQTEUuOTkwLjMxLzA3LzIwMjYuLi5VU0QuSAEAAAAgegUAAwAAAAAA8SkYMTvv3gixhKIyO+/eCDdDSVEuTkFTREFROkNBTE0uSVFfTUVSR0VSX1NVUFBMRS45OTEuMzEvMDcvMjAyNi4uLlVTRC5IAQAAACB6BQADAAAAAADxKRgxO+/eCJQ2ojI7794IPkNJUS5OQVNEQVE6Q0FMTS5JUV9DVVJSX0RPTUVTVElDX1RBWEVTLjIwMDAuMzEvMDcvMjAyNi4uLlVTRC5IAQAAACB6BQACAAAABjI1LjUyOQEIAAAABQAAAAExAQAAAAstMTg4MTA2ODI5NQMAAAADMTYwAgAAAAQzMDI3BAAAAAEwBwAAAAk3LzMxLzIwMjYIAAAACTUvMzAvMjAyNgkAAAABML20FzE7794IgLWbMjvv3gg7Q0lRLk5BU0RBUTpDQUxNLklRX0lOVkVTVE1FTlRfSU5DT01FLjk5MS4zMS8wNy8yMDI2Li4uVVNELkgBAAAAIHoFAAMAAAAAAL20FzE7</t>
  </si>
  <si>
    <t>794IUxmbMjvv3gg+Q0lRLk5BU0RBUTpDQUxNLklRX0NBUElUQUxJWkVEX0lOVEVSRVNULjk5MC4zMS8wNy8yMDI2Li4uVVNELkgBAAAAIHoFAAIAAAADMS4xAQgAAAAFAAAAATEBAAAACjE4OTY4MjA1MTcDAAAAAzE2MAIAAAAEMzAzMgQAAAABMAcAAAAJNy8zMS8yMDI2CAAAAAk1LzI4LzIwMTYJAAAAATC9tBcxO+/eCNAWnTI7794ILkNJUS5OQVNEQVE6Q0FMTS5JUV9QQVlPVVRfUkFUSU8uOTkyLjMxLzA3LzIwMjYBAAAAIHoFAAMAAAAAAMzbFzE7794I1HunNDvv3gg0Q0lRLk5BU0RBUTpDQUxNLklRX0NPTU1PTl9ESVYuOTkwLjMxLzA3LzIwMjYuLi5VU0QuSAEAAAAgegUAAwAAAAAAzNsXMTvv3gjPmJ4yO+/eCDZDSVEuTkFTREFROkNBTE0uSVFfRUJJVEFfRVFfSU5DLjk5MS4zMS8wNy8yMDI2Li4uVVNELkgBAAAAIHoFAAIAAAAILTEyNi44OTIBCAAAAAUAAAABMQEAAAAKMTk3MjAxMjEyMQMAAAADMTYwAgAAAAUyMTY3NgQAAAABMAcAAAAJNy8zMS8yMDI2CAAAAAg2LzMvMjAxNwkAAAABMKqNFzE7794I4nqYMjvv3ghMQ0lRLk5BU0RBUTpDQUxNLklRX1BST1ZfQkFEX0RFQlRTX1BBVElFTlRfU0VSVklDRV9SRVYuOTkzLjMxLzA3LzIwMjYuLi5VU0QuSAEAAAAgegUAAwAAAAAAvbQXMTvv3gijJc40O+/eCCxDSVEuTkFTREFROkNBTE0uSVFfU0FNRV9TVE9SRS45OTMuMzEvMDcvMjAyNgEAAAAg</t>
  </si>
  <si>
    <t>egUAAwAAAAAAvbQXMTvv3gg88ac0O+/eCDtDSVEuTkFTREFROkNBTE0uSVFfRUJJVERBUl9FWENMX1NCQy4yMDAwLjMxLzA3LzIwMjYuLi5VU0QuSAEAAAAgegUAAwAAAAAAqo0XMTvv3giztZkyO+/eCEFDSVEuTkFTREFROkNBTE0uSVFfREVGRVJSRURfRE9NRVNUSUNfVEFYRVMuOTkyLjMxLzA3LzIwMjYuLi5VU0QuSAEAAAAgegUAAgAAAActMzMuODA5AQgAAAAFAAAAATEBAAAACjIwNDU3NDkzMTADAAAAAzE2MAIAAAAEMzA1NAQAAAABMAcAAAAJNy8zMS8yMDI2CAAAAAg2LzIvMjAxOAkAAAABML20FzE7794IUyfNNDvv3gg5Q0lRLk5BU0RBUTpDQUxNLklRX1RPVEFMX1JFVl9TSEFSRS45OTMuMzEvMDcvMjAyNi4uLlVTRC5IAQAAACB6BQACAAAACTI4LjA4NDg0MQEIAAAABQAAAAExAQAAAAstMjE0MjQyOTAzOQMAAAADMTYwAgAAAAQ0MzgyBAAAAAEwBwAAAAk3LzMxLzIwMjYIAAAACDYvMS8yMDE5CQAAAAEw07+KMTvv3ggKntE0O+/eCDVDSVEuTkFTREFROkNBTE0uSVFfRUJJVF9FUV9JTkMuOTkzLjMxLzA3LzIwMjYuLi5VU0QuSAEAAAAgegUAAgAAAAU1MC41OQEIAAAABQAAAAExAQAAAAstMjE0MjQyOTAzOQMAAAADMTYwAgAAAAUyMTY3NQQAAAABMAcAAAAJNy8zMS8yMDI2CAAAAAg2LzEvMjAxOQkAAAABMOrmijE7794IolfQNDvv3ghCQ0lRLk5BU0RBUTpDQUxNLklRX0xFQVNFX0FESlVT</t>
  </si>
  <si>
    <t>VE1FTlRfRUJJVERBLjIwMDAuMzEvMDcvMjAyNi4uLlVTRC5IAQAAACB6BQADAAAAAADq5ooxO+/eCGy3lzI7794IQUNJUS5OQVNEQVE6Q0FMTS5JUV9FQklUREFfRVFfSU5DX0VYQ0xfU0JDLjIwMDAuMzEvMDcvMjAyNi4uLlVTRC5IAQAAACB6BQACAAAABzQ3Mi4xNTEBCAAAAAUAAAABMQEAAAALLTE4ODEwNjgyOTUDAAAAAzE2MAIAAAAFMjQxMzEEAAAAATAHAAAACTcvMzEvMjAyNggAAAAJNS8zMC8yMDI2CQAAAAEw6uaKMTvv3ggR25YyO+/eCDFDSVEuTkFTREFROkNBTE0uSVFfRUJJVERBUi45OTEuMzEvMDcvMjAyNi4uLlVTRC5IAQAAACB6BQACAAAABy03Ny4zOTQBCAAAAAUAAAABMQEAAAAKMTk3MjAxMjEyMQMAAAADMTYwAgAAAAUyMTY3NAQAAAABMAcAAAAJNy8zMS8yMDI2CAAAAAg2LzMvMjAxNwkAAAABMKqNFzE7794I+CqZMjvv3gg0Q0lRLk5BU0RBUTpDQUxNLklRX0VBUk5JTkdfQ08uOTkxLjMxLzA3LzIwMjYuLi5VU0QuSAEAAAAgegUAAgAAAActNzQuNDI3AQgAAAAFAAAAATEBAAAACjE5NzIwMTIxMjEDAAAAAzE2MAIAAAABNwQAAAABMAcAAAAJNy8zMS8yMDI2CAAAAAg2LzMvMjAxNwkAAAABMMOYijE7794IwTWTMjvv3gg5Q0lRLk5BU0RBUTpDQUxNLklRX0RJTFVUX0VQU19OT1JNLjIwMDAuMzEvMDcvMjAyNi4uLlVTRC5IAQAAACB6BQACAAAACDUuMzcyMTc5AQgAAAAFAAAAATEB</t>
  </si>
  <si>
    <t>AAAACy0xODgxMDY4Mjk1AwAAAAMxNjACAAAABDQzODAEAAAAATAHAAAACTcvMzEvMjAyNggAAAAJNS8zMC8yMDI2CQAAAAEw07+KMTvv3gj1n5UyO+/eCDhDSVEuTkFTREFROkNBTE0uSVFfRElMVVRfRVBTX0VYQ0wuOTkxLjMxLzA3LzIwMjYuLi5VU0QuSAEAAAAgegUAAgAAAAUtMS41NAEIAAAABQAAAAExAQAAAAoxOTcyMDEyMTIxAwAAAAMxNjACAAAAAzE0MgQAAAABMAcAAAAJNy8zMS8yMDI2CAAAAAg2LzMvMjAxNwkAAAABMNO/ijE7794I5CqVMjvv3gg4Q0lRLk5BU0RBUTpDQUxNLklRX0JBU0lDX0VQU19JTkNMLjk5My4zMS8wNy8yMDI2Li4uVVNELkgBAAAAIHoFAAIAAAAIMS4xMTg4ODUBCAAAAAUAAAABMQEAAAALLTIxNDI0MjkwMzkDAAAAAzE2MAIAAAABOQQAAAABMAcAAAAJNy8zMS8yMDI2CAAAAAg2LzEvMjAxOQkAAAABMNO/ijE7794IBXXSNDvv3ggxQ0lRLk5BU0RBUTpDQUxNLklRX1BFUklPRExFTkdUSF9JUy45OTEuMzEvMDcvMjAyNgEAAAAgegUAAQAAAAIxMgDq5ooxO+/eCB5d1jI7794IPENJUS5OQVNEQVE6Q0FMTS5JUV9DVVJSRU5UX1BPUlRfREVCVC4yMDAwLjMxLzA3LzIwMjYuLi5VU0QuSAEAAAAgegUAAwAAAAAAbNX6MDvv3ghBUr0yO+/eCDZDSVEuTkFTREFROkNBTE0uSVFfTEVHQUxfU0VUVExFLjk5My4zMS8wNy8yMDI2Li4uVVNELkgBAAAAIHoFAAMAAAAAAMOYijE7</t>
  </si>
  <si>
    <t>794I9K3TNDvv3gg5Q0lRLk5BU0RBUTpDQUxNLklRX0FTU0VUX1dSSVRFRE9XTi45OTMuMzEvMDcvMjAyNi4uLlVTRC5IAQAAACB6BQADAAAAAADDmIoxO+/eCH5K1DQ7794IOENJUS5OQVNEQVE6Q0FMTS5JUV9JTVBBSVJNRU5UX0dXLjIwMDAuMzEvMDcvMjAyNi4uLlVTRC5IAQAAACB6BQADAAAAAADDmIoxO+/eCLvDkTI7794INUNJUS5OQVNEQVE6Q0FMTS5JUV9OSV9DT01QQU5ZLjIwMDAuMzEvMDcvMjAyNi4uLlVTRC5IAQAAACB6BQACAAAABzMxOC4xMTIBCAAAAAUAAAABMQEAAAALLTE4ODEwNjgyOTUDAAAAAzE2MAIAAAAFNDE1NzEEAAAAATAHAAAACTcvMzEvMjAyNggAAAAJNS8zMC8yMDI2CQAAAAEww5iKMTvv3ghm3pMyO+/eCDVDSVEuTkFTREFROkNBTE0uSVFfUFJFRl9SRURFRU0uOTkzLjMxLzA3LzIwMjYuLi5VU0QuSAEAAAAgegUAAwAAAAAAevz6MDvv3ghRtrY0O+/eCClDSVEuTkFTREFROkNBTE0uSVFfR0FBUF9DRi45OTIuMzEvMDcvMjAyNgEAAAAgegUAAwAAAAdVUyBHQUFQAFmu+jA7794Ian2mNDvv3ghFQ0lRLk5BU0RBUTpDQUxNLklRX09QRVJBVElOR19MRUFTRV9MSUFCSUxJVElFUy45OTIuMzEvMDcvMjAyNi4uLlVTRC5IAQAAACB6BQADAAAAAABsh/owO+/eCEX6vDQ7794IN0NJUS5OQVNEQVE6Q0FMTS5JUV9VTkxFVkVSRURfRkNGLjk5Mi4zMS8wNy8yMDI2Li4uVVNELkgB</t>
  </si>
  <si>
    <t>AAAAIHoFAAIAAAAJMjE5LjUyOTI1AQgAAAAFAAAAATEBAAAACjIwNDU3NDkzMTADAAAAAzE2MAIAAAAENDQyMwQAAAABMAcAAAAJNy8zMS8yMDI2CAAAAAg2LzIvMjAxOAkAAAABMGyH+jA7794Is729NDvv3gg1Q0lRLk5BU0RBUTpDQUxNLklRX1BSRUZfT1RIRVIuMjAwMC4zMS8wNy8yMDI2Li4uVVNELkgBAAAAIHoFAAMAAAAAAFr6kDA7794Iqa/AMjvv3gguQ0lRLk5BU0RBUTpDQUxNLklRX05QUEUuOTkyLjMxLzA3LzIwMjYuLi5VU0QuSAEAAAAgegUAAgAAAAc0MjUuMzg0AQgAAAAFAAAAATEBAAAACjIwNDU3NDkzMTADAAAAAzE2MAIAAAAEMTAwNAQAAAABMAcAAAAJNy8zMS8yMDI2CAAAAAg2LzIvMjAxOAkAAAABMGzV+jA7794IN4i6NDvv3ghCQ0lRLk5BU0RBUTpDQUxNLklRX09QRVJBVElOR19MRUFTRV9QQVlNRU5UUy45OTIuMzEvMDcvMjAyNi4uLlVTRC5IAQAAACB6BQADAAAAAABsh/owO+/eCLAhvTQ7794INkNJUS5OQVNEQVE6Q0FMTS5JUV9BTU9SVF9ESUNfQ0YuOTkxLjMxLzA3LzIwMjYuLi5VU0QuSAEAAAAgegUAAwAAAAAA9pX2MDvv3gjRWbEyO+/eCDFDSVEuTkFTREFROkNBTE0uSVFfREVQX1JVQS45OTIuMzEvMDcvMjAyNi4uLlVTRC5IAQAAACB6BQADAAAAAAD2lfYwO+/eCAsJwDQ7794IPUNJUS5OQVNEQVE6Q0FMTS5JUV9EQV9TVVBQTF9QQVJUSUFMX0NGLjk5MS4zMS8wNy8y</t>
  </si>
  <si>
    <t>MDI2Li4uVVNELkgBAAAAIHoFAAMAAAAAAPaV9jA7794IZyGwMjvv3gg7Q0lRLk5BU0RBUTpDQUxNLklRX1RPVEFMX0RJVl9QQUlEX0NGLjk5MC4zMS8wNy8yMDI2Li4uVVNELkgBAAAAIHoFAAIAAAAILTEyMC45NDIBCAAAAAUAAAABMQEAAAAKMTg5NjgyMDUxNwMAAAADMTYwAgAAAAQyMDIyBAAAAAEwBwAAAAk3LzMxLzIwMjYIAAAACTUvMjgvMjAxNgkAAAABMOZu9jA7794I7vWuMjvv3gg3Q0lRLk5BU0RBUTpDQUxNLklRX1VOTEVWRVJFRF9GQ0YuOTkzLjMxLzA3LzIwMjYuLi5VU0QuSAEAAAAgegUAAgAAAAgtMy45OTkyNQEIAAAABQAAAAExAQAAAAstMjE0MjQyOTAzOQMAAAADMTYwAgAAAAQ0NDIzBAAAAAEwBwAAAAk3LzMxLzIwMjYIAAAACDYvMS8yMDE5CQAAAAEwbIf6MDvv3gizvb00O+/eCDlDSVEuTkFTREFROkNBTE0uSVFfQ0FTSF9UQVhFU19PUEVSLjk5Mi4zMS8wNy8yMDI2Li4uVVNELkgBAAAAIHoFAAMAAAAAAGyH+jA7794ISW6+NDvv3ggxQ0lRLk5BU0RBUTpDQUxNLklRX0RFUF9SVUEuOTkzLjMxLzA3LzIwMjYuLi5VU0QuSAEAAAAgegUAAwAAAAAA9pX2MDvv3ggLCcA0O+/eCDtDSVEuTkFTREFROkNBTE0uSVFfQ1VSUkVOVF9QT1JUX0RFQlQuOTkxLjMxLzA3LzIwMjYuLi5VU0QuSAEAAAAgegUAAgAAAAU0LjgyNgEIAAAABQAAAAExAQAAAAoxOTcyMDEyMTIxAwAAAAMxNjACAAAA</t>
  </si>
  <si>
    <t>BDEyOTcEAAAAATAHAAAACTcvMzEvMjAyNggAAAAINi8zLzIwMTcJAAAAATBs1fowO+/eCEYrvTI7794IM0NJUS5OQVNEQVE6Q0FMTS5JUV9DQVNIX09QRVIuOTkxLjMxLzA3LzIwMjYuLi5VU0QuSAEAAAAgegUAAgAAAActNDUuOTE4AQgAAAAFAAAAATEBAAAACjE5NzIwMTIxMjEDAAAAAzE2MAIAAAAEMjAwNgQAAAABMAcAAAAJNy8zMS8yMDI2CAAAAAg2LzMvMjAxNwkAAAABMNZH9jA7794I5UyrMjvv3gg/Q0lRLk5BU0RBUTpDQUxNLklRX0NIQU5HRV9UUkFESU5HX0FTU0VUUy45OTIuMzEvMDcvMjAyNi4uLlVTRC5IAQAAACB6BQADAAAAAADWR/YwO+/eCNo/xDQ7794IL0NJUS5OQVNEQVE6Q0FMTS5JUV9ET19DRi45OTAuMzEvMDcvMjAyNi4uLlVTRC5IAQAAACB6BQADAAAAAADWR/YwO+/eCISsqTI7794IOUNJUS5OQVNEQVE6Q0FMTS5JUV9DQVNIX0FDUVVJUkVfQ0YuOTkyLjMxLzA3LzIwMjYuLi5VU0QuSAEAAAAgegUAAwAAAAAA1kf2MDvv3giFLcM0O+/eCDRDSVEuTkFTREFROkNBTE0uSVFfQ0FTSF9GSU5BTi45OTIuMzEvMDcvMjAyNi4uLlVTRC5IAQAAACB6BQACAAAABi01LjY5OAEIAAAABQAAAAExAQAAAAoyMDQ1NzQ5MzEwAwAAAAMxNjACAAAABDIwMDQEAAAAATAHAAAACTcvMzEvMjAyNggAAAAINi8yLzIwMTgJAAAAATD2lfYwO+/eCGrOwDQ7794IOkNJUS5OQVNEQVE6Q0FMTS5JUV9H</t>
  </si>
  <si>
    <t>QUlOX0JBUkdBSU5fQUNRLjk5Mi4zMS8wNy8yMDI2Li4uVVNELkgBAAAAIHoFAAMAAAAAAPEpGDE7794IxPLINDvv3ghAQ0lRLk5BU0RBUTpDQUxNLklRX0FTU0VUX1dSSVRFRE9XTl9TVVBQTEUuOTkyLjMxLzA3LzIwMjYuLi5VU0QuSAEAAAAgegUAAwAAAAAA8SkYMTvv3ggyGsk0O+/eCDhDSVEuTkFTREFROkNBTE0uSVFfU1RPQ0tfQkFTRURfUkQuOTkyLjMxLzA3LzIwMjYuLi5VU0QuSAEAAAAgegUAAwAAAAAAGlEYMTvv3girG8g0O+/eCDVDSVEuTkFTREFROkNBTE0uSVFfREFfU1VQUExfQ0YuOTkwLjMxLzA3LzIwMjYuLi5VU0QuSAEAAAAgegUAAgAAAAY0MS45OTIBCAAAAAUAAAABMQEAAAAKMTg5NjgyMDUxNwMAAAADMTYwAgAAAAQyMTcxBAAAAAEwBwAAAAk3LzMxLzIwMjYIAAAACTUvMjgvMjAxNgkAAAABMM4g9jA7794IUxSnMjvv3ghBQ0lRLk5BU0RBUTpDQUxNLklRX1JFU1RSX1NUT0NLX0NPTVBfUFJFVEFYLjk5MC4zMS8wNy8yMDI2Li4uVVNELkgBAAAAIHoFAAMAAAAAAM4g9jA7794IsESlMjvv3gg2Q0lRLk5BU0RBUTpDQUxNLklRX01BSU5UX1JFUEFJUi45OTMuMzEvMDcvMjAyNi4uLlVTRC5IAQAAACB6BQADAAAAAADxKRgxO+/eCFe2yTQ7794IRENJUS5OQVNEQVE6Q0FMTS5JUV9ERVBSRUNJQVRJT05fUkVOVEFMX0FTU0VUUy45OTIuMzEvMDcvMjAyNi4uLlVTRC5IAQAAACB6BQAD</t>
  </si>
  <si>
    <t>AAAAAADpAhgxO+/eCHcryjQ7794INkNJUS5OQVNEQVE6Q0FMTS5JUV9PVEhFUl9SRU5UQUwuOTkyLjMxLzA3LzIwMjYuLi5VU0QuSAEAAAAgegUAAwAAAAAA6QIYMTvv3giTUso0O+/eCDtDSVEuTkFTREFROkNBTE0uSVFfQ09OVElOR0VOVF9SRU5UQUwuOTkxLjMxLzA3LzIwMjYuLi5VU0QuSAEAAAAgegUAAwAAAAAA6QIYMTvv3ggtgKAyO+/eCDhDSVEuTkFTREFROkNBTE0uSVFfTkVUX1JFTlRBTF9FWFAuOTkyLjMxLzA3LzIwMjYuLi5VU0QuSAEAAAAgegUAAwAAAAAA6QIYMTvv3ghgoso0O+/eCENDSVEuTkFTREFROkNBTE0uSVFfTk9OUkVDVVJSSU5HX0lOQ09NRV9UQVhFUy45OTIuMzEvMDcvMjAyNi4uLlVTRC5IAQAAACB6BQACAAAABy00Mi45NzMBCAAAAAUAAAABMQEAAAAKMjA0NTc0OTMxMAMAAAADMTYwAgAAAAU0ODgzOQQAAAABMAcAAAAJNy8zMS8yMDI2CAAAAAg2LzIvMjAxOAkAAAABML20FzE7794INNnMNDvv3ghJQ0lRLk5BU0RBUTpDQUxNLklRX0RJU1RSSUJVVEFCTEVfQ0FTSF9TVEFOREFSRElaRUQuOTkyLjMxLzA3LzIwMjYuLi5VU0QuSAEAAAAgegUAAwAAAAAAzNsXMTvv3gjo2ss0O+/eCDNDSVEuTkFTREFROkNBTE0uSVFfUkRfRVhQX0ZOLjk5MS4zMS8wNy8yMDI2Li4uVVNELkgBAAAAIHoFAAMAAAAAAOkCGDE7794ICLyfMjvv3gg5Q0lRLk5BU0RBUTpDQUxNLklRX1NBTEVT</t>
  </si>
  <si>
    <t>X01BUktFVElORy45OTAuMzEvMDcvMjAyNi4uLlVTRC5IAQAAACB6BQACAAAABjQ5LjYyOQEIAAAABQAAAAExAQAAAAoxODk2ODIwNTE3AwAAAAMxNjACAAAABTIxNTYxBAAAAAEwBwAAAAk3LzMxLzIwMjYIAAAACTUvMjgvMjAxNgkAAAABMOkCGDE7794I6W2fMjvv3ggqQ0lRLk5BU0RBUTpDQUxNLklRX0dBQVBfSVMuMjAwMC4zMS8wNy8yMDI2AQAAACB6BQADAAAAB1VTIEdBQVAA6QIYMTvv3gio5NcyO+/eCEBDSVEuTkFTREFROkNBTE0uSVFfVE9UQUxfUkVWX0FTX1JFUE9SVEVELjIwMDAuMzEvMDcvMjAyNi4uLlVTRC5IAQAAACB6BQADAAAAAAC9tBcxO+/eCHoGmjI7794INkNJUS5OQVNEQVE6Q0FMTS5JUV9FQklUREFfQ0FQRVguOTkxLjMxLzA3LzIwMjYuLi5VU0QuSAEAAAAgegUAAgAAAAgtMTQ4LjAyNgEIAAAABQAAAAExAQAAAAoxOTcyMDEyMTIxAwAAAAMxNjACAAAABTM1Mzc5BAAAAAEwBwAAAAk3LzMxLzIwMjYIAAAACDYvMy8yMDE3CQAAAAEwqo0XMTvv3giztZkyO+/eCDxDSVEuTkFTREFROkNBTE0uSVFfQ1VSUl9GT1JFSUdOX1RBWEVTLjk5MS4zMS8wNy8yMDI2Li4uVVNELkgBAAAAIHoFAAMAAAAAAL20FzE7794IgLWbMjvv3gg7Q0lRLk5BU0RBUTpDQUxNLklRX0lOVkVTVE1FTlRfSU5DT01FLjk5My4zMS8wNy8yMDI2Li4uVVNELkgBAAAAIHoFAAMAAAAAAL20FzE7794IerDNNDvv</t>
  </si>
  <si>
    <t>3ghEQ0lRLk5BU0RBUTpDQUxNLklRX0VBUk5JTkdfUEFSRU5UX0VYQ0xfRVhUUkEuMjAwMC4zMS8wNy8yMDI2Li4uVVNELkgBAAAAIHoFAAIAAAAHMzE2LjY4MgEIAAAABQAAAAExAQAAAAstMTg4MTA2ODI5NQMAAAADMTYwAgAAAAU0MTU5NgQAAAABMAcAAAAJNy8zMS8yMDI2CAAAAAk1LzMwLzIwMjYJAAAAATC9tBcxO+/eCDnLmjI7794IOENJUS5OQVNEQVE6Q0FMTS5JUV9ESUxVVF9FUFNfTk9STS45OTMuMzEvMDcvMjAyNi4uLlVTRC5IAQAAACB6BQACAAAACDAuODkzNzM2AQgAAAAFAAAAATEBAAAACy0yMTQyNDI5MDM5AwAAAAMxNjACAAAABDQzODAEAAAAATAHAAAACTcvMzEvMjAyNggAAAAINi8xLzIwMTkJAAAAATDTv4oxO+/eCBPs0TQ7794IS0NJUS5OQVNEQVE6Q0FMTS5JUV9FQklUREFfRVFfSU5DX0VYQ0xfT1BFUl9MRUFTRV9BREouOTkxLjMxLzA3LzIwMjYuLi5VU0QuSAEAAAAgegUAAgAAAActNzkuOTc5AQgAAAAFAAAAATEBAAAACjE5NzIwMTIxMjEDAAAAAzE2MAIAAAAFNDg5ODcEAAAAATAHAAAACTcvMzEvMjAyNggAAAAINi8zLzIwMTcJAAAAATDq5ooxO+/eCGy3lzI7794IQENJUS5OQVNEQVE6Q0FMTS5JUV9FQklUREFfRVFfSU5DX0VYQ0xfU0JDLjk5My4zMS8wNy8yMDI2Li4uVVNELkgBAAAAIHoFAAIAAAAHMTA4Ljg1OQEIAAAABQAAAAExAQAAAAstMjE0MjQyOTAzOQMAAAAD</t>
  </si>
  <si>
    <t>MTYwAgAAAAUyNDEzMQQAAAABMAcAAAAJNy8zMS8yMDI2CAAAAAg2LzEvMjAxOQkAAAABMOrmijE7794I5CjRNDvv3ggxQ0lRLk5BU0RBUTpDQUxNLklRX0VCSVREQVIuOTkzLjMxLzA3LzIwMjYuLi5VU0QuSAEAAAAgegUAAwAAAAAAqo0XMTvv3giYEM80O+/eCD9DSVEuTkFTREFROkNBTE0uSVFfRUJJVF9FUV9JTkNfRVhDTF9TQkMuMjAwMC4zMS8wNy8yMDI2Li4uVVNELkgBAAAAIHoFAAIAAAAHMzQ3LjgwOQEIAAAABQAAAAExAQAAAAstMTg4MTA2ODI5NQMAAAADMTYwAgAAAAUyNDEzMAQAAAABMAcAAAAJNy8zMS8yMDI2CAAAAAk1LzMwLzIwMjYJAAAAATCM+ooxO+/eCJksmDI7794IOENJUS5OQVNEQVE6Q0FMTS5JUV9ESUxVVF9FUFNfRVhDTC45OTMuMzEvMDcvMjAyNi4uLlVTRC5IAQAAACB6BQACAAAACDEuMTE4ODg1AQgAAAAFAAAAATEBAAAACy0yMTQyNDI5MDM5AwAAAAMxNjACAAAAAzE0MgQAAAABMAcAAAAJNy8zMS8yMDI2CAAAAAg2LzEvMjAxOQkAAAABMNO/ijE7794I9k3SNDvv3gg5Q0lRLk5BU0RBUTpDQUxNLklRX0JBU0lDX0VQU19FWENMLjIwMDAuMzEvMDcvMjAyNi4uLlVTRC5IAQAAACB6BQACAAAACDYuNjQ2MDAyAQgAAAAFAAAAATEBAAAACy0xODgxMDY4Mjk1AwAAAAMxNjACAAAABDMwNjQEAAAAATAHAAAACTcvMzEvMjAyNggAAAAJNS8zMC8yMDI2CQAAAAEw07+KMTvv3gjS</t>
  </si>
  <si>
    <t>A5UyO+/eCDdDSVEuTkFTREFROkNBTE0uSVFfTklfQVZBSUxfSU5DTC45OTEuMzEvMDcvMjAyNi4uLlVTRC5IAQAAACB6BQACAAAABy03NC4yNzgBCAAAAAUAAAABMQEAAAAKMTk3MjAxMjEyMQMAAAADMTYwAgAAAAIxNgQAAAABMAcAAAAJNy8zMS8yMDI2CAAAAAg2LzMvMjAxNwkAAAABMNO/ijE7794ISGeUMjvv3ghDQ0lRLk5BU0RBUTpDQUxNLklRX0RJU1RSSUJVVEFCTEVfQ0FTSF9TSEFSRS4yMDAwLjMxLzA3LzIwMjYuLi5VU0QuSAEAAAAgegUAAwAAAAAA07+KMTvv3gidPpYyO+/eCDNDSVEuTkFTREFROkNBTE0uSVFfRElWX1NIQVJFLjk5MS4zMS8wNy8yMDI2Li4uVVNELkgBAAAAIHoFAAMAAAAAANO/ijE7794IGe6VMjvv3ggvQ0lRLk5BU0RBUTpDQUxNLklRX0lQUkQuMjAwMC4zMS8wNy8yMDI2Li4uVVNELkgBAAAAIHoFAAMAAAAAAMOYijE7794I/DiSMjvv3gg1Q0lRLk5BU0RBUTpDQUxNLklRX0dBSU5fSU5WRVNULjk5MS4zMS8wNy8yMDI2Li4uVVNELkgBAAAAIHoFAAIAAAAFMC4yMjQBCAAAAAUAAAABMQEAAAAKMTk3MjAxMjEyMQMAAAADMTYwAgAAAAI2MgQAAAABMAcAAAAJNy8zMS8yMDI2CAAAAAg2LzMvMjAxNwkAAAABMMOYijE7794Iu8ORMjvv3gg+Q0lRLk5BU0RBUTpDQUxNLklRX01JTk9SSVRZX0lOVEVSRVNUX0lTLjk5MS4zMS8wNy8yMDI2Li4uVVNELkgBAAAAIHoFAAIAAAAF</t>
  </si>
  <si>
    <t>MC4xNDkBCAAAAAUAAAABMQEAAAAKMTk3MjAxMjEyMQMAAAADMTYwAgAAAAI4MwQAAAABMAcAAAAJNy8zMS8yMDI2CAAAAAg2LzMvMjAxNwkAAAABMMOYijE7794IZt6TMjvv3gg0Q0lRLk5BU0RBUTpDQUxNLklRX0VBUk5JTkdfQ08uOTkzLjMxLzA3LzIwMjYuLi5VU0QuSAEAAAAgegUAAgAAAAY1NS4wNjIBCAAAAAUAAAABMQEAAAALLTIxNDI0MjkwMzkDAAAAAzE2MAIAAAABNwQAAAABMAcAAAAJNy8zMS8yMDI2CAAAAAg2LzEvMjAxOQkAAAABMMOYijE7794IBXPTNDvv3gg+Q0lRLk5BU0RBUTpDQUxNLklRX09USEVSX1VOVVNVQUxfU1VQUEwuMjAwMC4zMS8wNy8yMDI2Li4uVVNELkgBAAAAIHoFAAMAAAAAAMOYijE7794IjQ6TMjvv3ghCQ0lRLk5BU0RBUTpDQUxNLklRX09QRVJBVElOR19MRUFTRV9QQVlNRU5UUy45OTAuMzEvMDcvMjAyNi4uLlVTRC5IAQAAACB6BQADAAAAAABsh/owO+/eCICStDI7794ILENJUS5OQVNEQVE6Q0FMTS5JUV9BRS45OTAuMzEvMDcvMjAyNi4uLlVTRC5IAQAAACB6BQACAAAABjMwLjg2OQEIAAAABQAAAAExAQAAAAoxODk2ODIwNTE3AwAAAAMxNjACAAAABDEwMTYEAAAAATAHAAAACTcvMzEvMjAyNggAAAAJNS8yOC8yMDE2CQAAAAEwbNX6MDvv3ggOybwyO+/eCC1DSVEuTkFTREFROkNBTE0uSVFfQUUuMjAwMC4zMS8wNy8yMDI2Li4uVVNELkgBAAAAIHoFAAIAAAAG</t>
  </si>
  <si>
    <t>MTA5LjQxAQgAAAAFAAAAATEBAAAACy0xODgxMDY4Mjk1AwAAAAMxNjACAAAABDEwMTYEAAAAATAHAAAACTcvMzEvMjAyNggAAAAJNS8zMC8yMDI2CQAAAAEwbNX6MDvv3gjTA70yO+/eCDZDSVEuTkFTREFROkNBTE0uSVFfVE9UQUxfUkVDRUlWLjk5MS4zMS8wNy8yMDI2Li4uVVNELkgBAAAAIHoFAAIAAAAFMTE3LjIBCAAAAAUAAAABMQEAAAAKMTk3MjAxMjEyMQMAAAADMTYwAgAAAAQxMDAxBAAAAAEwBwAAAAk3LzMxLzIwMjYIAAAACDYvMy8yMDE3CQAAAAEwWa76MDvv3ggzR7kyO+/eCC5DSVEuTkFTREFROkNBTE0uSVFfQ0FMQ19UWVBFX0NGLjk5My4zMS8wNy8yMDI2AQAAACB6BQADAAAAA1JFUABZrvowO+/eCLakpjQ7794INkNJUS5OQVNEQVE6Q0FMTS5JUV9BTU9SVF9ESUNfQ0YuOTkwLjMxLzA3LzIwMjYuLi5VU0QuSAEAAAAgegUAAwAAAAAA9pX2MDvv3givMrEyO+/eCEdDSVEuTkFTREFROkNBTE0uSVFfREVQUkVDSUFUSU9OX1JFTlRBTF9BU1NFVFNfQ0YuOTkyLjMxLzA3LzIwMjYuLi5VU0QuSAEAAAAgegUAAwAAAAAA9pX2MDvv3ggLCcA0O+/eCC9DSVEuTkFTREFROkNBTE0uSVFfR1BQRS4yMDAwLjMxLzA3LzIwMjYuLi5VU0QuSAEAAAAgegUAAgAAAAgyMzA0LjcwOAEIAAAABQAAAAExAQAAAAstMTg4MTA2ODI5NQMAAAADMTYwAgAAAAQxMTY5BAAAAAEwBwAAAAk3LzMxLzIwMjYIAAAA</t>
  </si>
  <si>
    <t>CTUvMzAvMjAyNgkAAAABMGzV+jA7794INbm6Mjvv3gg4Q0lRLk5BU0RBUTpDQUxNLklRX1NUX05PVEVfUkVDRUlWLjk5MS4zMS8wNy8yMDI2Li4uVVNELkgBAAAAIHoFAAMAAAAAAFmu+jA7794IIiC5Mjvv3ggxQ0lRLk5BU0RBUTpDQUxNLklRX1JFU1RBVEVNRU5UX0NGLjIwMDAuMzEvMDcvMjAyNgEAAAAgegUAAwAAAAFPAFmu+jA7794I3FnYMjvv3gg7Q0lRLk5BU0RBUTpDQUxNLklRX0NIQU5HRV9JTlZFTlRPUlkuMjAwMC4zMS8wNy8yMDI2Li4uVVNELkgBAAAAIHoFAAIAAAAHLTM0Ljk3OAEIAAAABQAAAAExAQAAAAstMTg4MTA2ODI5NQMAAAADMTYwAgAAAAQyMDk5BAAAAAEwBwAAAAk3LzMxLzIwMjYIAAAACTUvMzAvMjAyNgkAAAABMNZH9jA7794I41yqMjvv3gg4Q0lRLk5BU0RBUTpDQUxNLklRX1NUX0RFQlRfSVNTVUVELjk5MC4zMS8wNy8yMDI2Li4uVVNELkgBAAAAIHoFAAMAAAAAAOZu9jA7794IkOisMjvv3gg5Q0lRLk5BU0RBUTpDQUxNLklRX0lOVkVTVF9MT0FOU19DRi45OTMuMzEvMDcvMjAyNi4uLlVTRC5IAQAAACB6BQADAAAAAADmbvYwO+/eCEakwjQ7794IPENJUS5OQVNEQVE6Q0FMTS5JUV9UT1RBTF9ERUJUX0lTU1VFRC4yMDAwLjMxLzA3LzIwMjYuLi5VU0QuSAEAAAAgegUAAwAAAAAA5m72MDvv3ggRbq0yO+/eCDRDSVEuTkFTREFROkNBTE0uSVFfQ0FTSF9UQVhFUy45OTMu</t>
  </si>
  <si>
    <t>MzEvMDcvMjAyNi4uLlVTRC5IAQAAACB6BQACAAAABjM2LjMxMgEIAAAABQAAAAExAQAAAAstMjE0MjQyOTAzOQMAAAADMTYwAgAAAAQzMDUzBAAAAAEwBwAAAAk3LzMxLzIwMjYIAAAACDYvMS8yMDE5CQAAAAEwbIf6MDvv3ghElb40O+/eCERDSVEuTkFTREFROkNBTE0uSVFfU1RPQ0tfQkFTRURfRVhQTE9SRV9EUklMTC4yMDAwLjMxLzA3LzIwMjYuLi5VU0QuSAEAAAAgegUAAwAAAAAAziD2MDvv3gie4qQyO+/eCDhDSVEuTkFTREFROkNBTE0uSVFfQ1JFRElUX0xPU1NfQ0YuOTkwLjMxLzA3LzIwMjYuLi5VU0QuSAEAAAAgegUAAwAAAAAA1kf2MDvv3gjp1KgyO+/eCD5DSVEuTkFTREFROkNBTE0uSVFfTUlOT1JJVFlfSU5URVJFU1RfQ0YuOTkwLjMxLzA3LzIwMjYuLi5VU0QuSAEAAAAgegUAAwAAAAAAziD2MDvv3ggjEqgyO+/eCDRDSVEuTkFTREFROkNBTE0uSVFfT0lMX0lNUEFJUi45OTAuMzEvMDcvMjAyNi4uLlVTRC5IAQAAACB6BQADAAAAAADOIPYwO+/eCOp1pzI7794IOUNJUS5OQVNEQVE6Q0FMTS5JUV9DSEFOR0VfSU5DX1RBWC4yMDAwLjMxLzA3LzIwMjYuLi5VU0QuSAEAAAAgegUAAgAAAAYtOTQuODEBCAAAAAUAAAABMQEAAAALLTE4ODEwNjgyOTUDAAAAAzE2MAIAAAAEMjEwMQQAAAABMAcAAAAJNy8zMS8yMDI2CAAAAAk1LzMwLzIwMjYJAAAAATDWR/YwO+/eCIjXqjI7794IMENJUS5O</t>
  </si>
  <si>
    <t>QVNEQVE6Q0FMTS5JUV9SRVNUQVRFTUVOVF9JUy45OTIuMzEvMDcvMjAyNgEAAAAgegUAAwAAAAJSQwDpAhgxO+/eCMkZpzQ7794IOUNJUS5OQVNEQVE6Q0FMTS5JUV9TVE9DS19CQVNFRF9TR0EuOTkwLjMxLzA3LzIwMjYuLi5VU0QuSAEAAAAgegUAAgAAAAUzLjAxOAEIAAAABQAAAAExAQAAAAoxODk2ODIwNTE3AwAAAAMxNjACAAAABTIyNjc5BAAAAAEwBwAAAAk3LzMxLzIwMjYIAAAACTUvMjgvMjAxNgkAAAABMMH59TA7794IfJSkMjvv3gg8Q0lRLk5BU0RBUTpDQUxNLklRX05FR0FUSVZFX0dXX0FNT1JULjIwMDAuMzEvMDcvMjAyNi4uLlVTRC5IAQAAACB6BQADAAAAAAAaURgxO+/eCDbRozI7794IPkNJUS5OQVNEQVE6Q0FMTS5JUV9PVEhFUl9VTlVTVUFMX1NVUFBMRS45OTIuMzEvMDcvMjAyNi4uLlVTRC5IAQAAACB6BQADAAAAAADxKRgxO+/eCPCQyDQ7794IO0NJUS5OQVNEQVE6Q0FMTS5JUV9JTlNfU0VUVExFX1NVUFBMRS45OTIuMzEvMDcvMjAyNi4uLlVTRC5IAQAAACB6BQADAAAAAADxKRgxO+/eCPW3yDQ7794IQkNJUS5OQVNEQVE6Q0FMTS5JUV9FWENJU0VfVEFYRVNfRVhDTF9TQUxFUy4yMDAwLjMxLzA3LzIwMjYuLi5VU0QuSAEAAAAgegUAAwAAAAAAvbQXMTvv3ghbQJsyO+/eCDFDSVEuTkFTREFROkNBTE0uSVFfTklfU0ZBUy45OTEuMzEvMDcvMjAyNi4uLlVTRC5IAQAAACB6BQAD</t>
  </si>
  <si>
    <t>AAAAAAC9tBcxO+/eCDnLmjI7794IQENJUS5OQVNEQVE6Q0FMTS5JUV9ERUZFUlJFRF9GT1JFSUdOX1RBWEVTLjk5MS4zMS8wNy8yMDI2Li4uVVNELkgBAAAAIHoFAAMAAAAAAL20FzE7794IbFOcMjvv3ggzQ0lRLk5BU0RBUTpDQUxNLklRX0RBX0VCSVREQS45OTIuMzEvMDcvMjAyNi4uLlVTRC5IAQAAACB6BQACAAAABjU0LjAyNgEIAAAABQAAAAExAQAAAAoyMDQ1NzQ5MzEwAwAAAAMxNjACAAAABDIyMDYEAAAAATAHAAAACTcvMzEvMjAyNggAAAAINi8yLzIwMTgJAAAAATDM2xcxO+/eCOjayzQ7794IOkNJUS5OQVNEQVE6Q0FMTS5JUV9JTlRfRVhQX0lOQ0xfQ0FQLjk5MC4zMS8wNy8yMDI2Li4uVVNELkgBAAAAIHoFAAIAAAAFMi4yNTYBCAAAAAUAAAABMQEAAAAKMTg5NjgyMDUxNwMAAAADMTYwAgAAAAUyMTg2MQQAAAABMAcAAAAJNy8zMS8yMDI2CAAAAAk1LzI4LzIwMTYJAAAAATDM2xcxO+/eCL2LnTI7794IP0NJUS5OQVNEQVE6Q0FMTS5JUV9FQklUQV9FUV9JTkNfRVhDTF9TQkMuOTkxLjMxLzA3LzIwMjYuLi5VU0QuSAEAAAAgegUAAgAAAAgtMTIzLjQ2NQEIAAAABQAAAAExAQAAAAoxOTcyMDEyMTIxAwAAAAMxNjACAAAABTI0MTMyBAAAAAEwBwAAAAk3LzMxLzIwMjYIAAAACDYvMy8yMDE3CQAAAAEwqo0XMTvv3gj/yJgyO+/eCD5DSVEuTkFTREFROkNBTE0uSVFfRUJJVF9FUV9JTkNfRVhD</t>
  </si>
  <si>
    <t>TF9TQkMuOTkzLjMxLzA3LzIwMjYuLi5VU0QuSAEAAAAgegUAAgAAAAY1NC4yMDkBCAAAAAUAAAABMQEAAAALLTIxNDI0MjkwMzkDAAAAAzE2MAIAAAAFMjQxMzAEAAAAATAHAAAACTcvMzEvMjAyNggAAAAINi8xLzIwMTkJAAAAATDq5ooxO+/eCIAk0DQ7794IS0NJUS5OQVNEQVE6Q0FMTS5JUV9FQklUREFfRVFfSU5DX0VYQ0xfT1BFUl9MRUFTRV9BREouOTkzLjMxLzA3LzIwMjYuLi5VU0QuSAEAAAAgegUAAgAAAAYxMDUuMjQBCAAAAAUAAAABMQEAAAALLTIxNDI0MjkwMzkDAAAAAzE2MAIAAAAFNDg5ODcEAAAAATAHAAAACTcvMzEvMjAyNggAAAAINi8xLzIwMTkJAAAAATDq5ooxO+/eCPKf0DQ7794IP0NJUS5OQVNEQVE6Q0FMTS5JUV9UT1RBTF9SRVZfQVNfUkVQT1JURUQuOTkzLjMxLzA3LzIwMjYuLi5VU0QuSAEAAAAgegUAAwAAAAAAvbQXMTvv3gimh840O+/eCDlDSVEuTkFTREFROkNBTE0uSVFfRUJJVERBUl9FUV9JTkMuMjAwMC4zMS8wNy8yMDI2Li4uVVNELkgBAAAAIHoFAAMAAAAAAKqNFzE7794IAlKZMjvv3ghPQ0lRLk5BU0RBUTpDQUxNLklRX0RJU1RSSUJVVEFCTEVfQ0FTSF9QRVJfU0hBUkVfRElMVVRFRC4yMDAwLjMxLzA3LzIwMjYuLi5VU0QuSAEAAAAgegUAAwAAAAAA07+KMTvv3ggWx5UyO+/eCC9DSVEuTkFTREFROkNBTE0uSVFfRElMVVRfV0VJR0hULjIwMDAuMzEvMDcvMjAy</t>
  </si>
  <si>
    <t>NgEAAAAgegUAAgAAAAY0Ny43ODEA07+KMTvv3gj+rNUyO+/eCDpDSVEuTkFTREFROkNBTE0uSVFfRUJJVERBX0VYQ0xfU0JDLjIwMDAuMzEvMDcvMjAyNi4uLlVTRC5IAQAAACB6BQACAAAABzQ3My40NTEBCAAAAAUAAAABMQEAAAALLTE4ODEwNjgyOTUDAAAAAzE2MAIAAAAFMjQxMzUEAAAAATAHAAAACTcvMzEvMjAyNggAAAAJNS8zMC8yMDI2CQAAAAEw6uaKMTvv3gg2LpcyO+/eCDBDSVEuTkFTREFROkNBTE0uSVFfRUJJVERBLjk5MS4zMS8wNy8yMDI2Li4uVVNELkgBAAAAIHoFAAIAAAAHLTgxLjM2OQEIAAAABQAAAAExAQAAAAoxOTcyMDEyMTIxAwAAAAMxNjACAAAABDQwNTEEAAAAATAHAAAACTcvMzEvMjAyNggAAAAINi8zLzIwMTcJAAAAATDq5ooxO+/eCAWNljI7794IO0NJUS5OQVNEQVE6Q0FMTS5JUV9TUEVDSUFMX0RJVl9TSEFSRS45OTEuMzEvMDcvMjAyNi4uLlVTRC5IAQAAACB6BQADAAAAAADTv4oxO+/eCJ0+ljI7794ILUNJUS5OQVNEQVE6Q0FMTS5JUV9ETy4yMDAwLjMxLzA3LzIwMjYuLi5VU0QuSAEAAAAgegUAAwAAAAAAw5iKMTvv3ggrkJMyO+/eCC1DSVEuTkFTREFROkNBTE0uSVFfRUJULjk5MS4zMS8wNy8yMDI2Li4uVVNELkgBAAAAIHoFAAIAAAAILTExNC4yOTQBCAAAAAUAAAABMQEAAAAKMTk3MjAxMjEyMQMAAAADMTYwAgAAAAMxMzkEAAAAATAHAAAACTcvMzEvMjAyNggA</t>
  </si>
  <si>
    <t>AAAINi8zLzIwMTcJAAAAATDDmIoxO+/eCA3lkjI7794ILkNJUS5OQVNEQVE6Q0FMTS5JUV9CQVNJQ19XRUlHSFQuOTkxLjMxLzA3LzIwMjYBAAAAIHoFAAIAAAAGNDguMzYyANO/ijE7794I9IXVMjvv3gg3Q0lRLk5BU0RBUTpDQUxNLklRX05JX0FWQUlMX0lOQ0wuOTkzLjMxLzA3LzIwMjYuLi5VU0QuSAEAAAAgegUAAgAAAAY1NC4yMjkBCAAAAAUAAAABMQEAAAALLTIxNDI0MjkwMzkDAAAAAzE2MAIAAAACMTYEAAAAATAHAAAACTcvMzEvMjAyNggAAAAINi8xLzIwMTkJAAAAATDTv4oxO+/eCCnD0jQ7794IM0NJUS5OQVNEQVE6Q0FMTS5JUV9ESVZfU0hBUkUuOTkzLjMxLzA3LzIwMjYuLi5VU0QuSAEAAAAgegUAAgAAAAUwLjUwNgEIAAAABQAAAAExAQAAAAstMjE0MjQyOTAzOQMAAAADMTYwAgAAAAQzMDU4BAAAAAEwBwAAAAk3LzMxLzIwMjYIAAAACDYvMS8yMDE5CQAAAAEw07+KMTvv3ggExdE0O+/eCDdDSVEuTkFTREFROkNBTE0uSVFfQ1VSUkVOQ1lfR0FJTi45OTEuMzEvMDcvMjAyNi4uLlVTRC5IAQAAACB6BQADAAAAAADDmIoxO+/eCKTkkDI7794INkNJUS5OQVNEQVE6Q0FMTS5JUV9JTlRFUkVTVF9FWFAuOTkzLjMxLzA3LzIwMjYuLi5VU0QuSAEAAAAgegUAAgAAAAYtMC42NDQBCAAAAAUAAAABMQEAAAALLTIxNDI0MjkwMzkDAAAAAzE2MAIAAAACODIEAAAAATAHAAAACTcvMzEvMjAyNggA</t>
  </si>
  <si>
    <t>AAAINi8xLzIwMTkJAAAAATDAcYoxO+/eCNtI1TQ7794INENJUS5OQVNEQVE6Q0FMTS5JUV9PVEhFUl9PUEVSLjk5My4zMS8wNy8yMDI2Li4uVVNELkgBAAAAIHoFAAMAAAAAAMBxijE7794IPb7VNDvv3gguQ0lRLk5BU0RBUTpDQUxNLklRX0lQUkQuOTkzLjMxLzA3LzIwMjYuLi5VU0QuSAEAAAAgegUAAwAAAAAAw5iKMTvv3ghQ/NM0O+/eCDZDSVEuTkFTREFROkNBTE0uSVFfUkVTVFJVQ1RVUkUuMjAwMC4zMS8wNy8yMDI2Li4uVVNELkgBAAAAIHoFAAMAAAAAAMOYijE7794IaWGRMjvv3gg6Q0lRLk5BU0RBUTpDQUxNLklRX09USEVSX1JFVl9TVVBQTC4yMDAwLjMxLzA3LzIwMjYuLi5VU0QuSAEAAAAgegUAAwAAAAAAwHGKMTvv3giAQooyO+/eCDpDSVEuTkFTREFROkNBTE0uSVFfR0FJTl9BU1NFVFNfUkVWLjIwMDAuMzEvMDcvMjAyNi4uLlVTRC5IAQAAACB6BQADAAAAAADAcYoxO+/eCNK2iTI7794IM0NJUS5OQVNEQVE6Q0FMTS5JUV9EQV9TVVBQTC4yMDAwLjMxLzA3LzIwMjYuLi5VU0QuSAEAAAAgegUAAwAAAAAAwHGKMTvv3ggha48yO+/eCDVDSVEuTkFTREFROkNBTE0uSVFfU1RPQ0tfQkFTRUQuOTkxLjMxLzA3LzIwMjYuLi5VU0QuSAEAAAAgegUAAwAAAAAAwHGKMTvv3gg1qI4yO+/eCDNDSVEuTkFTREFROkNBTE0uSVFfU0dBX1NVUFBMLjk5MS4zMS8wNy8yMDI2Li4uVVNELkgBAAAAIHoF</t>
  </si>
  <si>
    <t>AAIAAAAHMTc2LjAzMgEIAAAABQAAAAExAQAAAAoxOTcyMDEyMTIxAwAAAAMxNjACAAAAAzEwMgQAAAABMAcAAAAJNy8zMS8yMDI2CAAAAAg2LzMvMjAxNwkAAAABMMBxijE7794IoqSNMjvv3gg4Q0lRLk5BU0RBUTpDQUxNLklRX1NUX05PVEVfUkVDRUlWLjk5My4zMS8wNy8yMDI2Li4uVVNELkgBAAAAIHoFAAMAAAAAAFmu+jA7794Izvu7NDvv3ggwQ0lRLk5BU0RBUTpDQUxNLklRX1JFU1RBVEVNRU5UX0NGLjk5My4zMS8wNy8yMDI2AQAAACB6BQADAAAAAk5DAFmu+jA7794ItqSmNDvv3ggtQ0lRLk5BU0RBUTpDQUxNLklRX1JFVi45OTEuMzEvMDcvMjAyNi4uLlVTRC5IAQAAACB6BQACAAAACDEwNzQuNTEzAQgAAAAFAAAAATEBAAAACjE5NzIwMTIxMjEDAAAAAzE2MAIAAAADMTEyBAAAAAEwBwAAAAk3LzMxLzIwMjYIAAAACDYvMy8yMDE3CQAAAAEwwHGKMTvv3ghnGokyO+/eCEFDSVEuTkFTREFROkNBTE0uSVFfRVhDSVNFX1RBWEVTX0lOQ0xfU0FMRVMuOTkwLjMxLzA3LzIwMjYuLi5VU0QuSAEAAAAgegUAAwAAAAAAvbQXMTvv3ghbQJsyO+/eCDVDSVEuTkFTREFROkNBTE0uSVFfRklOX0RJVl9FWFAuOTkzLjMxLzA3LzIwMjYuLi5VU0QuSAEAAAAgegUAAwAAAAAAwHGKMTvv3gj/hNc0O+/eCEJDSVEuTkFTREFROkNBTE0uSVFfT1BFUkFUSU5HX0xFQVNFX1BBWU1FTlRTLjk5MS4zMS8wNy8yMDI2</t>
  </si>
  <si>
    <t>Li4uVVNELkgBAAAAIHoFAAMAAAAAAGyH+jA7794IgJK0Mjvv3ghFQ0lRLk5BU0RBUTpDQUxNLklRX0NIQU5HRV9ORVRfV09SS0lOR19DQVBJVEFMLjIwMDAuMzEvMDcvMjAyNi4uLlVTRC5IAQAAACB6BQACAAAABjE4NC4zMwEIAAAABQAAAAExAQAAAAstMTg4MTA2ODI5NQMAAAADMTYwAgAAAAQ0NDIxBAAAAAEwBwAAAAk3LzMxLzIwMjYIAAAACTUvMzAvMjAyNgkAAAABMGyH+jA7794Iv3yzMjvv3gg+Q0lRLk5BU0RBUTpDQUxNLklRX0NBU0hfSU5URVJFU1RfRklOQU4uMjAwMC4zMS8wNy8yMDI2Li4uVVNELkgBAAAAIHoFAAMAAAAAAGyH+jA7794IdaWyMjvv3gg7Q0lRLk5BU0RBUTpDQUxNLklRX0NBU0hfSU5URVJFU1RfTkVULjk5MC4zMS8wNy8yMDI2Li4uVVNELkgBAAAAIHoFAAMAAAAAAGyH+jA7794IJuKxMjvv3ggzQ0lRLk5BU0RBUTpDQUxNLklRX1RPVEFMX0NBLjIwMDAuMzEvMDcvMjAyNi4uLlVTRC5IAQAAACB6BQACAAAACDE1ODEuNTQyAQgAAAAFAAAAATEBAAAACy0xODgxMDY4Mjk1AwAAAAMxNjACAAAABDEwMDgEAAAAATAHAAAACTcvMzEvMjAyNggAAAAJNS8zMC8yMDI2CQAAAAEwbNX6MDvv3gg1uboyO+/eCDxDSVEuTkFTREFROkNBTE0uSVFfVE9UQUxfREVCVF9SRVBBSUQuMjAwMC4zMS8wNy8yMDI2Li4uVVNELkgBAAAAIHoFAAMAAAAAAOZu9jA7794I0c+tMjvv3gg4Q0lRLk5B</t>
  </si>
  <si>
    <t>U0RBUTpDQUxNLklRX1NUX0RFQlRfUkVQQUlELjk5MC4zMS8wNy8yMDI2Li4uVVNELkgBAAAAIHoFAAMAAAAAAOZu9jA7794IEW6tMjvv3gg4Q0lRLk5BU0RBUTpDQUxNLklRX1NUX0RFQlRfSVNTVUVELjk5MS4zMS8wNy8yMDI2Li4uVVNELkgBAAAAIHoFAAMAAAAAAOZu9jA7794IkOisMjvv3ghHQ0lRLk5BU0RBUTpDQUxNLklRX0RFUFJFQ0lBVElPTl9SRU5UQUxfQVNTRVRTX0NGLjk5My4zMS8wNy8yMDI2Li4uVVNELkgBAAAAIHoFAAMAAAAAAPaV9jA7794ICwnANDvv3ggxQ0lRLk5BU0RBUTpDQUxNLklRX1BFUklPRExFTkdUSF9DRi45OTIuMzEvMDcvMjAyNgEAAAAgegUAAQAAAAIxMgD2lfYwO+/eCLbypjQ7794IP0NJUS5OQVNEQVE6Q0FMTS5JUV9SRVNUUl9TVE9DS19DT01QX1RBWC4yMDAwLjMxLzA3LzIwMjYuLi5VU0QuSAEAAAAgegUAAwAAAAAAziD2MDvv3gjvkqUyO+/eCDlDSVEuTkFTREFROkNBTE0uSVFfR0FJTl9BU1NFVFNfQ0YuMjAwMC4zMS8wNy8yMDI2Li4uVVNELkgBAAAAIHoFAAMAAAAAAM4g9jA7794IknKoMjvv3gg2Q0lRLk5BU0RBUTpDQUxNLklRX1NBTEVfUFBFX0NGLjIwMDAuMzEvMDcvMjAyNi4uLlVTRC5IAQAAACB6BQACAAAABTAuMzI4AQgAAAAFAAAAATEBAAAACy0xODgxMDY4Mjk1AwAAAAMxNjACAAAABDIwNDIEAAAAATAHAAAACTcvMzEvMjAyNggAAAAJNS8zMC8y</t>
  </si>
  <si>
    <t>MDI2CQAAAAEw1kf2MDvv3ghUnKsyO+/eCDhDSVEuTkFTREFROkNBTE0uSVFfQ0hBTkdFX0lOQ19UQVguOTkyLjMxLzA3LzIwMjYuLi5VU0QuSAEAAAAgegUAAwAAAAAA1kf2MDvv3ggI3sM0O+/eCDNDSVEuTkFTREFROkNBTE0uSVFfQ0hBTkdFX0FQLjk5MC4zMS8wNy8yMDI2Li4uVVNELkgBAAAAIHoFAAIAAAAGLTguNTA4AQgAAAAFAAAAATEBAAAACjE4OTY4MjA1MTcDAAAAAzE2MAIAAAAEMjAxNwQAAAABMAcAAAAJNy8zMS8yMDI2CAAAAAk1LzI4LzIwMTYJAAAAATDWR/YwO+/eCONcqjI7794IO0NJUS5OQVNEQVE6Q0FMTS5JUV9TVE9DS19CQVNFRF9PVEhFUi45OTAuMzEvMDcvMjAyNi4uLlVTRC5IAQAAACB6BQACAAAABTAuMDUzAQgAAAAFAAAAATEBAAAACjE4OTY4MjA1MTcDAAAAAzE2MAIAAAAFMjI2NzYEAAAAATAHAAAACTcvMzEvMjAyNggAAAAJNS8yOC8yMDE2CQAAAAEwziD2MDvv3gie4qQyO+/eCDhDSVEuTkFTREFROkNBTE0uSVFfU1RPQ0tfQkFTRURfR0EuOTkzLjMxLzA3LzIwMjYuLi5VU0QuSAEAAAAgegUAAwAAAAAAGlEYMTvv3gjmxMc0O+/eCD5DSVEuTkFTREFROkNBTE0uSVFfTkVHQVRJVkVfR1dfQU1PUlRfQVQuOTkwLjMxLzA3LzIwMjYuLi5VU0QuSAEAAAAgegUAAwAAAAAAGlEYMTvv3gg20aMyO+/eCDRDSVEuTkFTREFROkNBTE0uSVFfT0lMX0lNUEFJUi45OTEuMzEvMDcv</t>
  </si>
  <si>
    <t>MjAyNi4uLlVTRC5IAQAAACB6BQADAAAAAADOIPYwO+/eCOp1pzI7794IQkNJUS5OQVNEQVE6Q0FMTS5JUV9TVE9DS19CQVNFRF9DT01QX1BSRVRBWC4yMDAwLjMxLzA3LzIwMjYuLi5VU0QuSAEAAAAgegUAAgAAAAU1Ljc1NwDOIPYwO+/eCD2LpjI7794IMUNJUS5OQVNEQVE6Q0FMTS5JUV9FRkZFQ1RfVEFYX1JBVEUuOTkxLjMxLzA3LzIwMjYBAAAAIHoFAAMAAAACTk0BCAAAAAUAAAABMQEAAAAKMTk3MjAxMjEyMQMAAAADMTYwAgAAAAQ0Mzc2BAAAAAEwBwAAAAk3LzMxLzIwMjYIAAAACDYvMy8yMDE3CQAAAAEwzNsXMTvv3ghxDdcyO+/eCEFDSVEuTkFTREFROkNBTE0uSVFfQU5OVV9ESVNUUklCVVRJT05fVU5JVC4yMDAwLjMxLzA3LzIwMjYuLi5VU0QuSAEAAAAgegUAAwAAAAAAzNsXMTvv3gjPmJ4yO+/eCDBDSVEuTkFTREFROkNBTE0uSVFfUkVTVEFURU1FTlRfSVMuOTkzLjMxLzA3LzIwMjYBAAAAIHoFAAMAAAACUkMA6QIYMTvv3gjJGac0O+/eCD5DSVEuTkFTREFROkNBTE0uSVFfT1RIRVJfVU5VU1VBTF9TVVBQTEUuOTkzLjMxLzA3LzIwMjYuLi5VU0QuSAEAAAAgegUAAwAAAAAA8SkYMTvv3gjwkMg0O+/eCDlDSVEuTkFTREFROkNBTE0uSVFfU1RPQ0tfQkFTRURfQVQuMjAwMC4zMS8wNy8yMDI2Li4uVVNELkgBAAAAIHoFAAMAAAAAAM4g9jA7794IsESlMjvv3ggsQ0lRLk5BU0RBUTpDQUxN</t>
  </si>
  <si>
    <t>LklRX0FQLjk5MS4zMS8wNy8yMDI2Li4uVVNELkgBAAAAIHoFAAIAAAAGMzAuNjI5AQgAAAAFAAAAATEBAAAACjE5NzIwMTIxMjEDAAAAAzE2MAIAAAAEMTAxOAQAAAABMAcAAAAJNy8zMS8yMDI2CAAAAAg2LzMvMjAxNwkAAAABMGzV+jA7794IDsm8Mjvv3ggzQ0lRLk5BU0RBUTpDQUxNLklRX0RBX0VCSVREQS45OTMuMzEvMDcvMjAyNi4uLlVTRC5IAQAAACB6BQACAAAABTU0LjY1AQgAAAAFAAAAATEBAAAACy0yMTQyNDI5MDM5AwAAAAMxNjACAAAABDIyMDYEAAAAATAHAAAACTcvMzEvMjAyNggAAAAINi8xLzIwMTkJAAAAATDM2xcxO+/eCOwBzDQ7794IOkNJUS5OQVNEQVE6Q0FMTS5JUV9JTlRfRVhQX0lOQ0xfQ0FQLjk5MS4zMS8wNy8yMDI2Li4uVVNELkgBAAAAIHoFAAIAAAAFMS40MTgBCAAAAAUAAAABMQEAAAAKMTk3MjAxMjEyMQMAAAADMTYwAgAAAAUyMTg2MQQAAAABMAcAAAAJNy8zMS8yMDI2CAAAAAg2LzMvMjAxNwkAAAABMMzbFzE7794IvYudMjvv3gg/Q0lRLk5BU0RBUTpDQUxNLklRX0NBUElUQUxJWkVEX0lOVEVSRVNULjIwMDAuMzEvMDcvMjAyNi4uLlVTRC5IAQAAACB6BQADAAAAAADM2xcxO+/eCLQ9nTI7794ILUNJUS5OQVNEQVE6Q0FMTS5JUV9ESUMuOTkxLjMxLzA3LzIwMjYuLi5VU0QuSAEAAAAgegUAAwAAAAAAzNsXMTvv3gjJ5p4yO+/eCD5DSVEuTkFTREFROkNBTE0uSVFf</t>
  </si>
  <si>
    <t>TkVHQVRJVkVfR1dfQU1PUlRfQ0YuOTkwLjMxLzA3LzIwMjYuLi5VU0QuSAEAAAAgegUAAwAAAAAA9pX2MDvv3gi5C7EyO+/eCC5DSVEuTkFTREFROkNBTE0uSVFfR1BQRS45OTEuMzEvMDcvMjAyNi4uLlVTRC5IAQAAACB6BQACAAAABzkyNy4xNzkBCAAAAAUAAAABMQEAAAAKMTk3MjAxMjEyMQMAAAADMTYwAgAAAAQxMTY5BAAAAAEwBwAAAAk3LzMxLzIwMjYIAAAACDYvMy8yMDE3CQAAAAEwbNX6MDvv3gg1uboyO+/eCEBDSVEuTkFTREFROkNBTE0uSVFfREVGRVJSRURfRk9SRUlHTl9UQVhFUy45OTIuMzEvMDcvMjAyNi4uLlVTRC5IAQAAACB6BQADAAAAAAC9tBcxO+/eCEEAzTQ7794INkNJUS5OQVNEQVE6Q0FMTS5JUV9UT1RBTF9MRUFTRVMuOTkyLjMxLzA3LzIwMjYuLi5VU0QuSAEAAAAgegUAAgAAAAQxLjM0AQgAAAAFAAAAATEBAAAACjIwNDU3NDkzMTADAAAAAzE2MAIAAAAFNDg5NzkEAAAAATAHAAAACTcvMzEvMjAyNggAAAAINi8yLzIwMTgJAAAAATBiNZEwO+/eCCJZszQ7794IOUNJUS5OQVNEQVE6Q0FMTS5JUV9ERUZfVEFYX0xJQUJfTFQuOTkwLjMxLzA3LzIwMjYuLi5VU0QuSAEAAAAgegUAAgAAAAY5NS4zODIBCAAAAAUAAAABMQEAAAAKMTg5NjgyMDUxNwMAAAADMTYwAgAAAAQxMDI3BAAAAAEwBwAAAAk3LzMxLzIwMjYIAAAACTUvMjgvMjAxNgkAAAABMHr8+jA7794Iw6C/Mjvv3gg8</t>
  </si>
  <si>
    <t>Q0lRLk5BU0RBUTpDQUxNLklRX0NPTU1PTl9QUkVGX0RJVl9DRi45OTAuMzEvMDcvMjAyNi4uLlVTRC5IAQAAACB6BQADAAAAAADmbvYwO+/eCObOrjI7794IN0NJUS5OQVNEQVE6Q0FMTS5JUV9DT01NT05fSVNTVUVELjk5MC4zMS8wNy8yMDI2Li4uVVNELkgBAAAAIHoFAAMAAAAAAOZu9jA7794I0c+tMjvv3gg0Q0lRLk5BU0RBUTpDQUxNLklRX0NBU0hfVEFYRVMuOTkxLjMxLzA3LzIwMjYuLi5VU0QuSAEAAAAgegUAAgAAAActMTUuMjMzAQgAAAAFAAAAATEBAAAACjE5NzIwMTIxMjEDAAAAAzE2MAIAAAAEMzA1MwQAAAABMAcAAAAJNy8zMS8yMDI2CAAAAAg2LzMvMjAxNwkAAAABMGyH+jA7794IdaWyMjvv3gg7Q0lRLk5BU0RBUTpDQUxNLklRX0NBU0hfSU5URVJFU1RfTkVULjk5Mi4zMS8wNy8yMDI2Li4uVVNELkgBAAAAIHoFAAMAAAAAAGyH+jA7794IfTG/NDvv3gg9Q0lRLk5BU0RBUTpDQUxNLklRX1NBTEVfUkVBTF9FU1RBVEVfQ0YuOTkyLjMxLzA3LzIwMjYuLi5VU0QuSAEAAAAgegUAAwAAAAAA5m72MDvv3giaBsM0O+/eCDRDSVEuTkFTREFROkNBTE0uSVFfREVQUkVfU1VQUC45OTMuMzEvMDcvMjAyNi4uLlVTRC5IAQAAACB6BQADAAAAAAD2lfYwO+/eCAsJwDQ7794IPENJUS5OQVNEQVE6Q0FMTS5JUV9DT01NT05fUFJFRl9ESVZfQ0YuOTkxLjMxLzA3LzIwMjYuLi5VU0QuSAEAAAAgegUA</t>
  </si>
  <si>
    <t>AwAAAAAA5m72MDvv3gjmzq4yO+/eCD9DSVEuTkFTREFROkNBTE0uSVFfQ0hBTkdFX0RFRl9UQVhfVE9UQUwuMjAwMC4zMS8wNy8yMDI2Li4uVVNELkgBAAAAIHoFAAIAAAAGNjcuMzYzAQgAAAAFAAAAATEBAAAACy0xODgxMDY4Mjk1AwAAAAMxNjACAAAABTMwOTI0BAAAAAEwBwAAAAk3LzMxLzIwMjYIAAAACTUvMzAvMjAyNgkAAAABMGyH+jA7794IsVWzMjvv3gg0Q0lRLk5BU0RBUTpDQUxNLklRX0NBU0hfVEFYRVMuOTkyLjMxLzA3LzIwMjYuLi5VU0QuSAEAAAAgegUAAgAAAActNDUuMTAxAQgAAAAFAAAAATEBAAAACjIwNDU3NDkzMTADAAAAAzE2MAIAAAAEMzA1MwQAAAABMAcAAAAJNy8zMS8yMDI2CAAAAAg2LzIvMjAxOAkAAAABMGyH+jA7794IQby+NDvv3gg4Q0lRLk5BU0RBUTpDQUxNLklRX1NUT0NLX0JBU0VEX0NGLjk5MC4zMS8wNy8yMDI2Li4uVVNELkgBAAAAIHoFAAIAAAAFMy4wNzEBCAAAAAUAAAABMQEAAAAKMTg5NjgyMDUxNwMAAAADMTYwAgAAAAQyMTI3BAAAAAEwBwAAAAk3LzMxLzIwMjYIAAAACTUvMjgvMjAxNgkAAAABMNZH9jA7794IbiOpMjvv3gg9Q0lRLk5BU0RBUTpDQUxNLklRX0FTU0VUX1dSSVRFRE9XTl9DRi4yMDAwLjMxLzA3LzIwMjYuLi5VU0QuSAEAAAAgegUAAwAAAAAA1kf2MDvv3gjp1KgyO+/eCDhDSVEuTkFTREFROkNBTE0uSVFfR0FJTl9JTlZFU1RfQ0YuOTkx</t>
  </si>
  <si>
    <t>LjMxLzA3LzIwMjYuLi5VU0QuSAEAAAAgegUAAgAAAAUzLjM5OAEIAAAABQAAAAExAQAAAAoxOTcyMDEyMTIxAwAAAAMxNjACAAAABDIwOTAEAAAAATAHAAAACTcvMzEvMjAyNggAAAAINi8zLzIwMTcJAAAAATDOIPYwO+/eCJJyqDI7794INUNJUS5OQVNEQVE6Q0FMTS5JUV9TQUxFX1BQRV9DRi45OTMuMzEvMDcvMjAyNi4uLlVTRC5IAQAAACB6BQACAAAABTEuNTc1AQgAAAAFAAAAATEBAAAACy0yMTQyNDI5MDM5AwAAAAMxNjACAAAABDIwNDIEAAAAATAHAAAACTcvMzEvMjAyNggAAAAINi8xLzIwMTkJAAAAATDWR/YwO+/eCKFUwzQ7794IOENJUS5OQVNEQVE6Q0FMTS5JUV9TVF9ERUJUX0lTU1VFRC45OTMuMzEvMDcvMjAyNi4uLlVTRC5IAQAAACB6BQADAAAAAADmbvYwO+/eCHRWwjQ7794IPkNJUS5OQVNEQVE6Q0FMTS5JUV9JTVBBSVJNRU5UX0dXX1NVUFBMRS45OTEuMzEvMDcvMjAyNi4uLlVTRC5IAQAAACB6BQADAAAAAADxKRgxO+/eCMVdojI7794IPENJUS5OQVNEQVE6Q0FMTS5JUV9SRVNUUlVDVFVSRV9TVVBQTEUuOTkwLjMxLzA3LzIwMjYuLi5VU0QuSAEAAAAgegUAAwAAAAAA8SkYMTvv3gil+6EyO+/eCDtDSVEuTkFTREFROkNBTE0uSVFfU1RPQ0tfQkFTRURfVE9UQUwuOTkxLjMxLzA3LzIwMjYuLi5VU0QuSAEAAAAgegUAAgAAAAUzLjQyNwEIAAAABQAAAAExAQAAAAoxOTcyMDEyMTIx</t>
  </si>
  <si>
    <t>AwAAAAMxNjACAAAABTI0MDM0BAAAAAEwBwAAAAk3LzMxLzIwMjYIAAAACDYvMy8yMDE3CQAAAAEwziD2MDvv3gjSMKUyO+/eCDhDSVEuTkFTREFROkNBTE0uSVFfU1RPQ0tfQkFTRURfUkQuOTkxLjMxLzA3LzIwMjYuLi5VU0QuSAEAAAAgegUAAwAAAAAAGlEYMTvv3gh0H6QyO+/eCERDSVEuTkFTREFROkNBTE0uSVFfU1RPQ0tfT1BUSU9OU19DT01QX1BSRVRBWC4yMDAwLjMxLzA3LzIwMjYuLi5VU0QuSAEAAAAgegUAAwAAAAAAziD2MDvv3gjOFaYyO+/eCENDSVEuTkFTREFROkNBTE0uSVFfSU1QVVRfT1BFUl9MRUFTRV9JTlRfRVhQLjIwMDAuMzEvMDcvMjAyNi4uLlVTRC5IAQAAACB6BQADAAAAAADxKRgxO+/eCKHUoTI7794IQkNJUS5OQVNEQVE6Q0FMTS5JUV9FWFBMT1JFX0RSSUxMX0VYUF9UT1RBTC4yMDAwLjMxLzA3LzIwMjYuLi5VU0QuSAEAAAAgegUAAwAAAAAA8SkYMTvv3ghfX6EyO+/eCDlDSVEuTkFTREFROkNBTE0uSVFfTUlOSU1VTV9SRU5UQUwuMjAwMC4zMS8wNy8yMDI2Li4uVVNELkgBAAAAIHoFAAMAAAAAAOkCGDE7794IU7ugMjvv3gg2Q0lRLk5BU0RBUTpDQUxNLklRX0lQUkRfU1VQUExFLjIwMDAuMzEvMDcvMjAyNi4uLlVTRC5IAQAAACB6BQADAAAAAADxKRgxO+/eCM/SojI7794IOkNJUS5OQVNEQVE6Q0FMTS5JUV9JTlRfRVhQX0lOQ0xfQ0FQLjk5My4zMS8wNy8yMDI2Li4u</t>
  </si>
  <si>
    <t>VVNELkgBAAAAIHoFAAIAAAAFMC42NDQBCAAAAAUAAAABMQEAAAALLTIxNDI0MjkwMzkDAAAAAzE2MAIAAAAFMjE4NjEEAAAAATAHAAAACTcvMzEvMjAyNggAAAAINi8xLzIwMTkJAAAAATDM2xcxO+/eCOgVzDQ7794INUNJUS5OQVNEQVE6Q0FMTS5JUV9JTlRfRVhQX0xURC45OTEuMzEvMDcvMjAyNi4uLlVTRC5IAQAAACB6BQACAAAABTEuNDE4AQgAAAAFAAAAATEBAAAACjE5NzIwMTIxMjEDAAAAAzE2MAIAAAAEMzEwMQQAAAABMAcAAAAJNy8zMS8yMDI2CAAAAAg2LzMvMjAxNwkAAAABMMzbFzE7794ItD2dMjvv3ggyQ0lRLk5BU0RBUTpDQUxNLklRX05JX05PUk0uMjAwMC4zMS8wNy8yMDI2Li4uVVNELkgBAAAAIHoFAAIAAAAKMjU2LjY4ODEyNQEIAAAABQAAAAExAQAAAAstMTg4MTA2ODI5NQMAAAADMTYwAgAAAAQ0Mzc4BAAAAAEwBwAAAAk3LzMxLzIwMjYIAAAACTUvMzAvMjAyNgkAAAABML20FzE7794Isu+cMjvv3ggxQ0lRLk5BU0RBUTpDQUxNLklRX0VGRkVDVF9UQVhfUkFURS45OTMuMzEvMDcvMjAyNgEAAAAgegUAAgAAAAcyMi4yMzQzAQgAAAAFAAAAATEBAAAACy0yMTQyNDI5MDM5AwAAAAMxNjACAAAABDQzNzYEAAAAATAHAAAACTcvMzEvMjAyNggAAAAINi8xLzIwMTkJAAAAATDM2xcxO+/eCNR7pzQ7794IO0NJUS5OQVNEQVE6Q0FMTS5JUV9ESVNUUklCVVRBQkxFX0NBU0hfUEFZT1VU</t>
  </si>
  <si>
    <t>Ljk5MS4zMS8wNy8yMDI2AQAAACB6BQADAAAAAADM2xcxO+/eCGTm1jI7794IP0NJUS5OQVNEQVE6Q0FMTS5JUV9FQklUREFfTEVBU0VfQURKVVNURUQuOTkyLjMxLzA3LzIwMjYuLi5VU0QuSAEAAAAgegUAAgAAAAcyMzUuNzU2AQgAAAAFAAAAATEBAAAACjIwNDU3NDkzMTADAAAAAzE2MAIAAAAFNDg5OTMEAAAAATAHAAAACTcvMzEvMjAyNggAAAAINi8yLzIwMTgJAAAAATDq5ooxO+/eCIja0DQ7794IL0NJUS5OQVNEQVE6Q0FMTS5JUV9FQklUQS45OTAuMzEvMDcvMjAyNi4uLlVTRC5IAQAAACB6BQACAAAABzQ3Mi45MTQBCAAAAAUAAAABMQEAAAAKMTg5NjgyMDUxNwMAAAADMTYwAgAAAAYxMDA2ODkEAAAAATAHAAAACTcvMzEvMjAyNggAAAAJNS8yOC8yMDE2CQAAAAEwjPqKMTvv3gjiepgyO+/eCExDSVEuTkFTREFROkNBTE0uSVFfUFJPVl9CQURfREVCVFNfUEFUSUVOVF9TRVJWSUNFX1JFVi45OTAuMzEvMDcvMjAyNi4uLlVTRC5IAQAAACB6BQADAAAAAAC9tBcxO+/eCFRBmjI7794IO0NJUS5OQVNEQVE6Q0FMTS5JUV9GRUVTX09USEVSX0lOQ09NRS45OTIuMzEvMDcvMjAyNi4uLlVTRC5IAQAAACB6BQADAAAAAACqjRcxO+/eCKaHzjQ7794INENJUS5OQVNEQVE6Q0FMTS5JUV9DVVJSX1RBWEVTLjk5MS4zMS8wNy8yMDI2Li4uVVNELkgBAAAAIHoFAAIAAAAFLTU0LjcBCAAAAAUAAAABMQEAAAAK</t>
  </si>
  <si>
    <t>MTk3MjAxMjEyMQMAAAADMTYwAgAAAAUzNTM4MwQAAAABMAcAAAAJNy8zMS8yMDI2CAAAAAg2LzMvMjAxNwkAAAABML20FzE7794IntybMjvv3gg3Q0lRLk5BU0RBUTpDQUxNLklRX0RPX0ZJTkFOQ0VfQ0YuOTkxLjMxLzA3LzIwMjYuLi5VU0QuSAEAAAAgegUAAwAAAAAAbIf6MDvv3gglZ7QyO+/eCERDSVEuTkFTREFROkNBTE0uSVFfQ0hBTkdFX05FVF9XT1JLSU5HX0NBUElUQUwuOTkwLjMxLzA3LzIwMjYuLi5VU0QuSAEAAAAgegUAAgAAAAYxMC43NTIBCAAAAAUAAAABMQEAAAAKMTg5NjgyMDUxNwMAAAADMTYwAgAAAAQ0NDIxBAAAAAEwBwAAAAk3LzMxLzIwMjYIAAAACTUvMjgvMjAxNgkAAAABMGyH+jA7794IsVWzMjvv3gg4Q0lRLk5BU0RBUTpDQUxNLklRX1VORUFSTl9SRVZfTFQuMjAwMC4zMS8wNy8yMDI2Li4uVVNELkgBAAAAIHoFAAMAAAAAAHr8+jA7794Iunm/Mjvv3gg5Q0lRLk5BU0RBUTpDQUxNLklRX09USEVSX0xUX0FTU0VUUy45OTEuMzEvMDcvMjAyNi4uLlVTRC5IAQAAACB6BQACAAAABTguMjk5AQgAAAAFAAAAATEBAAAACjE5NzIwMTIxMjEDAAAAAzE2MAIAAAAEMTA2MAQAAAABMAcAAAAJNy8zMS8yMDI2CAAAAAg2LzMvMjAxNwkAAAABMGzV+jA7794I+nq8Mjvv3gguQ0lRLk5BU0RBUTpDQUxNLklRX0VCSVQuOTkyLjMxLzA3LzIwMjYuLi5VU0QuSAEAAAAgegUAAgAAAAYxODEu</t>
  </si>
  <si>
    <t>NzMBCAAAAAUAAAABMQEAAAAKMjA0NTc0OTMxMAMAAAADMTYwAgAAAAM0MDAEAAAAATAHAAAACTcvMzEvMjAyNggAAAAINi8yLzIwMTgJAAAAATDq5ooxO+/eCKJX0DQ7794IO0NJUS5OQVNEQVE6Q0FMTS5JUV9TVE9DS19CQVNFRF9UT1RBTC45OTIuMzEvMDcvMjAyNi4uLlVTRC5IAQAAACB6BQACAAAABTMuNDY3AQgAAAAFAAAAATEBAAAACjIwNDU3NDkzMTADAAAAAzE2MAIAAAAFMjQwMzQEAAAAATAHAAAACTcvMzEvMjAyNggAAAAINi8yLzIwMTgJAAAAATDOIPYwO+/eCIonxzQ7794IQENJUS5OQVNEQVE6Q0FMTS5JUV9TVE9DS19PUFRJT05TX0NPTVBfVEFYLjk5MC4zMS8wNy8yMDI2Li4uVVNELkgBAAAAIHoFAAMAAAAAAM4g9jA7794IzhWmMjvv3ggyQ0lRLk5BU0RBUTpDQUxNLklRX0xPQU5TX0NGLjk5MC4zMS8wNy8yMDI2Li4uVVNELkgBAAAAIHoFAAMAAAAAANZH9jA7794IuZmoMjvv3gg8Q0lRLk5BU0RBUTpDQUxNLklRX0NIQU5HRV9VTkVBUk5fUkVWLjIwMDAuMzEvMDcvMjAyNi4uLlVTRC5IAQAAACB6BQADAAAAAADWR/YwO+/eCIjXqjI7794IPENJUS5OQVNEQVE6Q0FMTS5JUV9DT01NT05fUFJFRl9ESVZfQ0YuOTkzLjMxLzA3LzIwMjYuLi5VU0QuSAEAAAAgegUAAwAAAAAA5m72MDvv3givMME0O+/eCDZDSVEuTkFTREFROkNBTE0uSVFfTUFJTlRfUkVQQUlSLjk5MC4zMS8wNy8yMDI2</t>
  </si>
  <si>
    <t>Li4uVVNELkgBAAAAIHoFAAMAAAAAAPEpGDE7794IX1+hMjvv3gg4Q0lRLk5BU0RBUTpDQUxNLklRX0FJUkNSQUZUX1JFTlQuMjAwMC4zMS8wNy8yMDI2Li4uVVNELkgBAAAAIHoFAAMAAAAAAOkCGDE7794I9BChMjvv3gg2Q0lRLk5BU0RBUTpDQUxNLklRX09USEVSX1JFTlRBTC45OTAuMzEvMDcvMjAyNi4uLlVTRC5IAQAAACB6BQADAAAAAADpAhgxO+/eCFO7oDI7794INUNJUS5OQVNEQVE6Q0FMTS5JUV9JUFJEX1NVUFBMRS45OTIuMzEvMDcvMjAyNi4uLlVTRC5IAQAAACB6BQADAAAAAADxKRgxO+/eCMTyyDQ7794IPkNJUS5OQVNEQVE6Q0FMTS5JUV9JTVBBSVJNRU5UX0dXX1NVUFBMRS45OTIuMzEvMDcvMjAyNi4uLlVTRC5IAQAAACB6BQADAAAAAADxKRgxO+/eCDNByTQ7794IOkNJUS5OQVNEQVE6Q0FMTS5JUV9GSU5fRElWX0RFQlRfTFQuMjAwMC4zMS8wNy8yMDI2Li4uVVNELkgBAAAAIHoFAAMAAAAAAHr8+jA7794InRe/Mjvv3ghAQ0lRLk5BU0RBUTpDQUxNLklRX05FVF9SRU5UQUxfRVhQX1NVUFBMRS4yMDAwLjMxLzA3LzIwMjYuLi5VU0QuSAEAAAAgegUAAwAAAAAA6QIYMTvv3gguWaAyO+/eCDZDSVEuTkFTREFROkNBTE0uSVFfQURWRVJUSVNJTkcuMjAwMC4zMS8wNy8yMDI2Li4uVVNELkgBAAAAIHoFAAMAAAAAAOkCGDE7794I6W2fMjvv3gg8Q0lRLk5BU0RBUTpDQUxNLklRX1JFU1RS</t>
  </si>
  <si>
    <t>VUNUVVJFX1NVUFBMRS45OTEuMzEvMDcvMjAyNi4uLlVTRC5IAQAAACB6BQADAAAAAADxKRgxO+/eCKX7oTI7794IP0NJUS5OQVNEQVE6Q0FMTS5JUV9JTVBVVF9PUEVSX0xFQVNFX0RFUFIuOTkwLjMxLzA3LzIwMjYuLi5VU0QuSAEAAAAgegUAAgAAAAgyLjE1ODQwOAEIAAAABQAAAAExAQAAAAoxODk2ODIwNTE3AwAAAAMxNjACAAAABTIxNjczBAAAAAEwBwAAAAk3LzMxLzIwMjYIAAAACTUvMjgvMjAxNgkAAAABMPEpGDE7794Ij62hMjvv3ggzQ0lRLk5BU0RBUTpDQUxNLklRX0NBU0hfT1BFUi45OTAuMzEvMDcvMjAyNi4uLlVTRC5IAQAAACB6BQACAAAABzM4OC40MzcBCAAAAAUAAAABMQEAAAAKMTg5NjgyMDUxNwMAAAADMTYwAgAAAAQyMDA2BAAAAAEwBwAAAAk3LzMxLzIwMjYIAAAACTUvMjgvMjAxNgkAAAABMNZH9jA7794IxCWrMjvv3gg4Q0lRLk5BU0RBUTpDQUxNLklRX0NIQU5HRV9JTkNfVEFYLjk5MC4zMS8wNy8yMDI2Li4uVVNELkgBAAAAIHoFAAMAAAAAANZH9jA7794IiNeqMjvv3gg7Q0lRLk5BU0RBUTpDQUxNLklRX1RPVEFMX0RFQlRfSVNTVUVELjk5MC4zMS8wNy8yMDI2Li4uVVNELkgBAAAAIHoFAAMAAAAAAOZu9jA7794IBEetMjvv3gg2Q0lRLk5BU0RBUTpDQUxNLklRX0RPX0lOVkVTVF9DRi45OTMuMzEvMDcvMjAyNi4uLlVTRC5IAQAAACB6BQADAAAAAABsh/owO+/eCFRvvTQ7</t>
  </si>
  <si>
    <t>794IQUNJUS5OQVNEQVE6Q0FMTS5JUV9GSU5BTkNFX0xFQVNFU19DVVJSRU5ULjIwMDAuMzEvMDcvMjAyNi4uLlVTRC5IAQAAACB6BQADAAAAAABiNZEwO+/eCB94xDI7794IPUNJUS5OQVNEQVE6Q0FMTS5JUV9HQUlOX0JBUkdBSU5fQUNRX0NGLjk5My4zMS8wNy8yMDI2Li4uVVNELkgBAAAAIHoFAAMAAAAAAFmu+jA7794I55e8NDvv3ggvQ0lRLk5BU0RBUTpDQUxNLklRX05JX0NGLjk5MC4zMS8wNy8yMDI2Li4uVVNELkgBAAAAIHoFAAIAAAAHMzE2LjA0MQEIAAAABQAAAAExAQAAAAoxODk2ODIwNTE3AwAAAAMxNjACAAAABDIxNTAEAAAAATAHAAAACTcvMzEvMjAyNggAAAAJNS8yOC8yMDE2CQAAAAEwziD2MDvv3ghL7aYyO+/eCD5DSVEuTkFTREFROkNBTE0uSVFfVEFYX0JFTkVGSVRfT1BUSU9OUy4yMDAwLjMxLzA3LzIwMjYuLi5VU0QuSAEAAAAgegUAAwAAAAAA1kf2MDvv3ghgcakyO+/eCDJDSVEuTkFTREFROkNBTE0uSVFfTE9BTlNfQ0YuOTkxLjMxLzA3LzIwMjYuLi5VU0QuSAEAAAAgegUAAwAAAAAA1kf2MDvv3gi5magyO+/eCD1DSVEuTkFTREFROkNBTE0uSVFfSU5WRVNUX1NFQ1VSSVRZX0NGLjIwMDAuMzEvMDcvMjAyNi4uLlVTRC5IAQAAACB6BQACAAAABjk5LjU3OAEIAAAABQAAAAExAQAAAAstMTg4MTA2ODI5NQMAAAADMTYwAgAAAAQyMDI3BAAAAAEwBwAAAAk3LzMxLzIwMjYIAAAA</t>
  </si>
  <si>
    <t>CTUvMzAvMjAyNgkAAAABMOZu9jA7794IkV+sMjvv3gg+Q0lRLk5BU0RBUTpDQUxNLklRX0NIQU5HRV9ERUZfVEFYX1RPVEFMLjk5MS4zMS8wNy8yMDI2Li4uVVNELkgBAAAAIHoFAAIAAAAGMTQuODMzAQgAAAAFAAAAATEBAAAACjE5NzIwMTIxMjEDAAAAAzE2MAIAAAAFMzA5MjQEAAAAATAHAAAACTcvMzEvMjAyNggAAAAINi8zLzIwMTcJAAAAATBsh/owO+/eCKwuszI7794IN0NJUS5OQVNEQVE6Q0FMTS5JUV9DQVNIX0lOVEVSRVNULjk5MC4zMS8wNy8yMDI2Li4uVVNELkgBAAAAIHoFAAIAAAAFMS4wNjcBCAAAAAUAAAABMQEAAAAKMTg5NjgyMDUxNwMAAAADMTYwAgAAAAQzMDI4BAAAAAEwBwAAAAk3LzMxLzIwMjYIAAAACTUvMjgvMjAxNgkAAAABMPaV9jA7794IJuKxMjvv3ghAQ0lRLk5BU0RBUTpDQUxNLklRX0RBX0NGX0VYQ0xfT1BFUl9MRUFTRVMuOTkwLjMxLzA3LzIwMjYuLi5VU0QuSAEAAAAgegUAAgAAAAY0NC41OTIBCAAAAAUAAAABMQEAAAAKMTg5NjgyMDUxNwMAAAADMTYwAgAAAAU0ODk4NQQAAAABMAcAAAAJNy8zMS8yMDI2CAAAAAk1LzI4LzIwMTYJAAAAATD2lfYwO+/eCLkLsTI7794IOUNJUS5OQVNEQVE6Q0FMTS5JUV9SRVNUUklDVEVEX0NBU0guOTkwLjMxLzA3LzIwMjYuLi5VU0QuSAEAAAAgegUAAwAAAAAAWa76MDvv3ghAQ7oyO+/eCDlDSVEuTkFTREFROkNBTE0uSVFfQ0FT</t>
  </si>
  <si>
    <t>SF9TVF9JTlZFU1QuMjAwMC4zMS8wNy8yMDI2Li4uVVNELkgBAAAAIHoFAAIAAAAHOTI0LjA1NwEIAAAABQAAAAExAQAAAAstMTg4MTA2ODI5NQMAAAADMTYwAgAAAAQxMDAyBAAAAAEwBwAAAAk3LzMxLzIwMjYIAAAACTUvMzAvMjAyNgkAAAABMFmu+jA7794I0r24Mjvv3gg4Q0lRLk5BU0RBUTpDQUxNLklRX0NIQU5HRV9JTkNfVEFYLjk5MS4zMS8wNy8yMDI2Li4uVVNELkgBAAAAIHoFAAMAAAAAANZH9jA7794IiNeqMjvv3gg5Q0lRLk5BU0RBUTpDQUxNLklRX0xUX0RFQlRfUkVQQUlELjIwMDAuMzEvMDcvMjAyNi4uLlVTRC5IAQAAACB6BQADAAAAAADmbvYwO+/eCNHPrTI7794IO0NJUS5OQVNEQVE6Q0FMTS5JUV9UT1RBTF9ERUJUX0lTU1VFRC45OTEuMzEvMDcvMjAyNi4uLlVTRC5IAQAAACB6BQADAAAAAADmbvYwO+/eCARHrTI7794INUNJUS5OQVNEQVE6Q0FMTS5JUV9DQVNIX0lOVkVTVC45OTEuMzEvMDcvMjAyNi4uLlVTRC5IAQAAACB6BQACAAAABjUyLjczNAEIAAAABQAAAAExAQAAAAoxOTcyMDEyMTIxAwAAAAMxNjACAAAABDIwMDUEAAAAATAHAAAACTcvMzEvMjAyNggAAAAINi8zLzIwMTcJAAAAATDmbvYwO+/eCMTUrDI7794IPENJUS5OQVNEQVE6Q0FMTS5JUV9JTlZFU1RfU0VDVVJJVFlfQ0YuOTkyLjMxLzA3LzIwMjYuLi5VU0QuSAEAAAAgegUAAgAAAAgtMTQ1LjE0MgEIAAAABQAA</t>
  </si>
  <si>
    <t>AAExAQAAAAoyMDQ1NzQ5MzEwAwAAAAMxNjACAAAABDIwMjcEAAAAATAHAAAACTcvMzEvMjAyNggAAAAINi8yLzIwMTgJAAAAATDmbvYwO+/eCEakwjQ7794IL0NJUS5OQVNEQVE6Q0FMTS5JUV9OSV9DRi45OTIuMzEvMDcvMjAyNi4uLlVTRC5IAQAAACB6BQACAAAABzEyNS45MzIBCAAAAAUAAAABMQEAAAAKMjA0NTc0OTMxMAMAAAADMTYwAgAAAAQyMTUwBAAAAAEwBwAAAAk3LzMxLzIwMjYIAAAACDYvMi8yMDE4CQAAAAEwziD2MDvv3ggcKcY0O+/eCEFDSVEuTkFTREFROkNBTE0uSVFfU1RPQ0tfQkFTRURfQ09NUF9QUkVUQVguOTkwLjMxLzA3LzIwMjYuLi5VU0QuSAEAAAAgegUAAgAAAAUzLjA3MQDOIPYwO+/eCCtkpjI7794IQENJUS5OQVNEQVE6Q0FMTS5JUV9TVE9DS19PUFRJT05TX0NPTVBfVEFYLjk5Mi4zMS8wNy8yMDI2Li4uVVNELkgBAAAAIHoFAAMAAAAAAM4g9jA7794IWsXGNDvv3gg7Q0lRLk5BU0RBUTpDQUxNLklRX1BST1ZfQkFEX0RFQlRTX0NGLjk5MC4zMS8wNy8yMDI2Li4uVVNELkgBAAAAIHoFAAMAAAAAANZH9jA7794IYHGpMjvv3ggyQ0lRLk5BU0RBUTpDQUxNLklRX0xPQU5TX0NGLjk5Mi4zMS8wNy8yMDI2Li4uVVNELkgBAAAAIHoFAAMAAAAAANZH9jA7794I1SrFNDvv3gg/Q0lRLk5BU0RBUTpDQUxNLklRX05FVF9SRU5UQUxfRVhQX1NVUFBMRS45OTMuMzEvMDcvMjAyNi4u</t>
  </si>
  <si>
    <t>LlVTRC5IAQAAACB6BQADAAAAAADpAhgxO+/eCGCiyjQ7794IPkNJUS5OQVNEQVE6Q0FMTS5JUV9PVEhFUl9VTlVTVUFMX1NVUFBMRS45OTAuMzEvMDcvMjAyNi4uLlVTRC5IAQAAACB6BQACAAAABTAuNzk4AQgAAAAFAAAAATEBAAAACjE4OTY4MjA1MTcDAAAAAzE2MAIAAAAFMzMzOTMEAAAAATAHAAAACTcvMzEvMjAyNggAAAAJNS8yOC8yMDE2CQAAAAEw8SkYMTvv3gg0b6MyO+/eCDtDSVEuTkFTREFROkNBTE0uSVFfSU5TX1NFVFRMRV9TVVBQTEUuOTkwLjMxLzA3LzIwMjYuLi5VU0QuSAEAAAAgegUAAwAAAAAA8SkYMTvv3gj5+aIyO+/eCDxDSVEuTkFTREFROkNBTE0uSVFfUkVTVFJVQ1RVUkVfU1VQUExFLjk5My4zMS8wNy8yMDI2Li4uVVNELkgBAAAAIHoFAAMAAAAAAPEpGDE7794IJWjJNDvv3gg4Q0lRLk5BU0RBUTpDQUxNLklRX1NUT0NLX0JBU0VEX0dBLjk5MC4zMS8wNy8yMDI2Li4uVVNELkgBAAAAIHoFAAMAAAAAABpRGDE7794IbG2kMjvv3ggzQ0lRLk5BU0RBUTpDQUxNLklRX01BUktFVElORy45OTEuMzEvMDcvMjAyNi4uLlVTRC5IAQAAACB6BQADAAAAAADpAhgxO+/eCMVGnzI7794IKUNJUS5OQVNEQVE6Q0FMTS5JUV9HQUFQX0lTLjk5MC4zMS8wNy8yMDI2AQAAACB6BQADAAAAB1VTIEdBQVAA6QIYMTvv3giTvdcyO+/eCDBDSVEuTkFTREFROkNBTE0uSVFfUkVTVEFURU1FTlRfSVMu</t>
  </si>
  <si>
    <t>OTkwLjMxLzA3LzIwMjYBAAAAIHoFAAMAAAACTkMA6QIYMTvv3giPW9cyO+/eCD9DSVEuTkFTREFROkNBTE0uSVFfSU1QVVRfT1BFUl9MRUFTRV9ERVBSLjk5My4zMS8wNy8yMDI2Li4uVVNELkgBAAAAIHoFAAMAAAAAAPEpGDE7794ISY/JNDvv3gg2Q0lRLk5BU0RBUTpDQUxNLklRX01BSU5UX1JFUEFJUi45OTIuMzEvMDcvMjAyNi4uLlVTRC5IAQAAACB6BQADAAAAAADxKRgxO+/eCGXdyTQ7794IQ0NJUS5OQVNEQVE6Q0FMTS5JUV9OT05SRUNVUlJJTkdfSU5DT01FX1RBWEVTLjk5MS4zMS8wNy8yMDI2Li4uVVNELkgBAAAAIHoFAAMAAAAAAL20FzE7794IenqcMjvv3ghDQ0lRLk5BU0RBUTpDQUxNLklRX0RJU1RSSUJVVEFCTEVfQ0FTSF9TSEFSRVNfRElMVVRFRC45OTIuMzEvMDcvMjAyNgEAAAAgegUAAwAAAAAA07+KMTvv3ghBP6g0O+/eCElDSVEuTkFTREFROkNBTE0uSVFfRElTVFJJQlVUQUJMRV9DQVNIX1NUQU5EQVJESVpFRC45OTAuMzEvMDcvMjAyNi4uLlVTRC5IAQAAACB6BQADAAAAAADM2xcxO+/eCBopnjI7794IO0NJUS5OQVNEQVE6Q0FMTS5JUV9ORVRfUkVOVEFMX0VYUF9GTi45OTIuMzEvMDcvMjAyNi4uLlVTRC5IAQAAACB6BQADAAAAAADpAhgxO+/eCGrJyjQ7794IMENJUS5OQVNEQVE6Q0FMTS5JUV9HQV9FWFAuOTkyLjMxLzA3LzIwMjYuLi5VU0QuSAEAAAAgegUAAwAAAAAA6QIY</t>
  </si>
  <si>
    <t>MTvv3giM8Mo0O+/eCC1DSVEuTkFTREFROkNBTE0uSVFfU0FNRV9TVE9SRS4yMDAwLjMxLzA3LzIwMjYBAAAAIHoFAAMAAAAAAL20FzE7794I4ZfWMjvv3gg6Q0lRLk5BU0RBUTpDQUxNLklRX0VCSVREQVJfRVhDTF9TQkMuOTkxLjMxLzA3LzIwMjYuLi5VU0QuSAEAAAAgegUAAgAAAActNzMuOTY3AQgAAAAFAAAAATEBAAAACjE5NzIwMTIxMjEDAAAAAzE2MAIAAAAFMjQxMzcEAAAAATAHAAAACTcvMzEvMjAyNggAAAAINi8zLzIwMTcJAAAAATCqjRcxO+/eCE2OmTI7794IPUNJUS5OQVNEQVE6Q0FMTS5JUV9DVVJSX0RPTUVTVElDX1RBWEVTLjk5MS4zMS8wNy8yMDI2Li4uVVNELkgBAAAAIHoFAAIAAAAFLTU0LjcBCAAAAAUAAAABMQEAAAAKMTk3MjAxMjEyMQMAAAADMTYwAgAAAAQzMDI3BAAAAAEwBwAAAAk3LzMxLzIwMjYIAAAACDYvMy8yMDE3CQAAAAEwvbQXMTvv3gh9jpsyO+/eCDlDSVEuTkFTREFROkNBTE0uSVFfSU5URVJFU1RfSU5DT01FLjk5My4zMS8wNy8yMDI2Li4uVVNELkgBAAAAIHoFAAIAAAAFMTguNDYBCAAAAAUAAAABMQEAAAALLTIxNDI0MjkwMzkDAAAAAzE2MAIAAAADMjEwBAAAAAEwBwAAAAk3LzMxLzIwMjYIAAAACDYvMS8yMDE5CQAAAAEwvbQXMTvv3giI1800O+/eCDJDSVEuTkFTREFROkNBTE0uSVFfRElMVVRfTkkuOTkyLjMxLzA3LzIwMjYuLi5VU0QuSAEAAAAgegUAAgAA</t>
  </si>
  <si>
    <t>AAgxMjYuMDE2OAEIAAAABQAAAAExAQAAAAoyMDQ1NzQ5MzEwAwAAAAMxNjACAAAABDM1MjIEAAAAATAHAAAACTcvMzEvMjAyNggAAAAINi8yLzIwMTgJAAAAATC9tBcxO+/eCC2yzDQ7794IQUNJUS5OQVNEQVE6Q0FMTS5JUV9MRUFTRV9BREpVU1RNRU5UX0VCSVREQS45OTEuMzEvMDcvMjAyNi4uLlVTRC5IAQAAACB6BQADAAAAAADq5ooxO+/eCGKQlzI7794IQENJUS5OQVNEQVE6Q0FMTS5JUV9FQklUREFfRVFfSU5DX0VYQ0xfU0JDLjk5MS4zMS8wNy8yMDI2Li4uVVNELkgBAAAAIHoFAAIAAAAHLTc2LjU1MgEIAAAABQAAAAExAQAAAAoxOTcyMDEyMTIxAwAAAAMxNjACAAAABTI0MTMxBAAAAAEwBwAAAAk3LzMxLzIwMjYIAAAACDYvMy8yMDE3CQAAAAEw6uaKMTvv3gjxs5YyO+/eCDhDSVEuTkFTREFROkNBTE0uSVFfRUJJVEFfRVhDTF9TQkMuOTkzLjMxLzA3LzIwMjYuLi5VU0QuSAEAAAAgegUAAgAAAAY1Mi4yMzMBCAAAAAUAAAABMQEAAAALLTIxNDI0MjkwMzkDAAAAAzE2MAIAAAAFMjQxMzYEAAAAATAHAAAACTcvMzEvMjAyNggAAAAINi8xLzIwMTkJAAAAATCqjRcxO+/eCBZJzzQ7794IL0NJUS5OQVNEQVE6Q0FMTS5JUV9FQklUQS45OTMuMzEvMDcvMjAyNi4uLlVTRC5IAQAAACB6BQACAAAABjQ4LjYxNAEIAAAABQAAAAExAQAAAAstMjE0MjQyOTAzOQMAAAADMTYwAgAAAAYxMDA2ODkEAAAA</t>
  </si>
  <si>
    <t>ATAHAAAACTcvMzEvMjAyNggAAAAINi8xLzIwMTkJAAAAATCM+ooxO+/eCGqXzzQ7794INkNJUS5OQVNEQVE6Q0FMTS5JUV9FQklUX0VRX0lOQy4yMDAwLjMxLzA3LzIwMjYuLi5VU0QuSAEAAAAgegUAAgAAAAczNDIuMDUyAQgAAAAFAAAAATEBAAAACy0xODgxMDY4Mjk1AwAAAAMxNjACAAAABTIxNjc1BAAAAAEwBwAAAAk3LzMxLzIwMjYIAAAACTUvMzAvMjAyNgkAAAABMOrmijE7794ItAWYMjvv3ggyQ0lRLk5BU0RBUTpDQUxNLklRX0xUX0RFQlQuMjAwMC4zMS8wNy8yMDI2Li4uVVNELkgBAAAAIHoFAAMAAAAAAHr8+jA7794Ijcm+Mjvv3gg5Q0lRLk5BU0RBUTpDQUxNLklRX1JFU1RSSUNURURfQ0FTSC45OTIuMzEvMDcvMjAyNi4uLlVTRC5IAQAAACB6BQADAAAAAABZrvowO+/eCGD9ujQ7794IL0NJUS5OQVNEQVE6Q0FMTS5JUV9GSUxJTkdEQVRFX0lTLjk5My4zMS8wNy8yMDI2AQAAACB6BQAFAAAACjE5LzA3LzIwMjEA6uaKMTvv3ggxGKg0O+/eCDpDSVEuTkFTREFROkNBTE0uSVFfVE9UQUxfUkVWX1NIQVJFLjIwMDAuMzEvMDcvMjAyNi4uLlVTRC5IAQAAACB6BQACAAAACTYxLjEwNDU1NAEIAAAABQAAAAExAQAAAAstMTg4MTA2ODI5NQMAAAADMTYwAgAAAAQ0MzgyBAAAAAEwBwAAAAk3LzMxLzIwMjYIAAAACTUvMzAvMjAyNgkAAAABMNO/ijE7794InT6WMjvv3gg1Q0lRLk5BU0RBUTpDQUxN</t>
  </si>
  <si>
    <t>LklRX01BSU5UX0NBUEVYLjk5My4zMS8wNy8yMDI2Li4uVVNELkgBAAAAIHoFAAMAAAAAAGyH+jA7794IVG+9NDvv3gg+Q0lRLk5BU0RBUTpDQUxNLklRX0NIQU5HRV9ERUZfVEFYX1RPVEFMLjk5Mi4zMS8wNy8yMDI2Li4uVVNELkgBAAAAIHoFAAIAAAAHLTMzLjgwOQEIAAAABQAAAAExAQAAAAoyMDQ1NzQ5MzEwAwAAAAMxNjACAAAABTMwOTI0BAAAAAEwBwAAAAk3LzMxLzIwMjYIAAAACDYvMi8yMDE4CQAAAAEwbIf6MDvv3gifC740O+/eCD1DSVEuTkFTREFROkNBTE0uSVFfQ0FTSF9JTlRFUkVTVF9GSU5BTi45OTEuMzEvMDcvMjAyNi4uLlVTRC5IAQAAACB6BQADAAAAAABsh/owO+/eCGJ+sjI7794IOENJUS5OQVNEQVE6Q0FMTS5JUV9ESUxVVF9FUFNfTk9STS45OTEuMzEvMDcvMjAyNi4uLlVTRC5IAQAAACB6BQACAAAACS0xLjQyOTUyNgEIAAAABQAAAAExAQAAAAoxOTcyMDEyMTIxAwAAAAMxNjACAAAABDQzODAEAAAAATAHAAAACTcvMzEvMjAyNggAAAAINi8zLzIwMTcJAAAAATDTv4oxO+/eCBN5lTI7794IQkNJUS5OQVNEQVE6Q0FMTS5JUV9SVUFfT1BFUkFUSU5HX0xFQVNFX05FVC4yMDAwLjMxLzA3LzIwMjYuLi5VU0QuSAEAAAAgegUAAwAAAAAAWvqQMDvv3ghXscMyO+/eCDdDSVEuTkFTREFROkNBTE0uSVFfQ0FTSF9JTlRFUkVTVC45OTEuMzEvMDcvMjAyNi4uLlVTRC5IAQAAACB6BQAC</t>
  </si>
  <si>
    <t>AAAABTAuMzE3AQgAAAAFAAAAATEBAAAACjE5NzIwMTIxMjEDAAAAAzE2MAIAAAAEMzAyOAQAAAABMAcAAAAJNy8zMS8yMDI2CAAAAAg2LzMvMjAxNwkAAAABMPaV9jA7794IHruxMjvv3ghAQ0lRLk5BU0RBUTpDQUxNLklRX0RBX0NGX0VYQ0xfT1BFUl9MRUFTRVMuOTkxLjMxLzA3LzIwMjYuLi5VU0QuSAEAAAAgegUAAgAAAAY0OS4xMTMBCAAAAAUAAAABMQEAAAAKMTk3MjAxMjEyMQMAAAADMTYwAgAAAAU0ODk4NQQAAAABMAcAAAAJNy8zMS8yMDI2CAAAAAg2LzMvMjAxNwkAAAABMPaV9jA7794IuQuxMjvv3gg0Q0lRLk5BU0RBUTpDQUxNLklRX0RFUFJFX1NVUFAuOTkwLjMxLzA3LzIwMjYuLi5VU0QuSAEAAAAgegUAAgAAAAQ0MS40AQgAAAAFAAAAATEBAAAACjE4OTY4MjA1MTcDAAAAAzE2MAIAAAAEMjE0MwQAAAABMAcAAAAJNy8zMS8yMDI2CAAAAAk1LzI4LzIwMTYJAAAAATD2lfYwO+/eCF5vsDI7794IOUNJUS5OQVNEQVE6Q0FMTS5JUV9TUEVDSUFMX0RJVl9DRi4yMDAwLjMxLzA3LzIwMjYuLi5VU0QuSAEAAAAgegUAAwAAAAAA5m72MDvv3ggDRK8yO+/eCDhDSVEuTkFTREFROkNBTE0uSVFfQ0FTSF9TVF9JTlZFU1QuOTkyLjMxLzA3LzIwMjYuLi5VU0QuSAEAAAAgegUAAgAAAAczMzEuMDE3AQgAAAAFAAAAATEBAAAACjIwNDU3NDkzMTADAAAAAzE2MAIAAAAEMTAwMgQAAAABMAcAAAAJNy8z</t>
  </si>
  <si>
    <t>MS8yMDI2CAAAAAg2LzIvMjAxOAkAAAABMFmu+jA7794I2Um8NDvv3gg3Q0lRLk5BU0RBUTpDQUxNLklRX0lOQ19FUVVJVFlfQ0YuOTkxLjMxLzA3LzIwMjYuLi5VU0QuSAEAAAAgegUAAgAAAAUtMS4zOQEIAAAABQAAAAExAQAAAAoxOTcyMDEyMTIxAwAAAAMxNjACAAAABDIwODYEAAAAATAHAAAACTcvMzEvMjAyNggAAAAINi8zLzIwMTcJAAAAATDWR/YwO+/eCDL8qDI7794IPENJUS5OQVNEQVE6Q0FMTS5JUV9JTlZFU1RfU0VDVVJJVFlfQ0YuOTkzLjMxLzA3LzIwMjYuLi5VU0QuSAEAAAAgegUAAgAAAAYzNi40ODYBCAAAAAUAAAABMQEAAAALLTIxNDI0MjkwMzkDAAAAAzE2MAIAAAAEMjAyNwQAAAABMAcAAAAJNy8zMS8yMDI2CAAAAAg2LzEvMjAxOQkAAAABMOZu9jA7794IRqTCNDvv3gg7Q0lRLk5BU0RBUTpDQUxNLklRX1RPVEFMX0RFQlRfUkVQQUlELjk5MS4zMS8wNy8yMDI2Li4uVVNELkgBAAAAIHoFAAIAAAAGLTE2LjUxAQgAAAAFAAAAATEBAAAACjE5NzIwMTIxMjEDAAAAAzE2MAIAAAAEMjE2NgQAAAABMAcAAAAJNy8zMS8yMDI2CAAAAAg2LzMvMjAxNwkAAAABMOZu9jA7794I0c+tMjvv3gg7Q0lRLk5BU0RBUTpDQUxNLklRX1RPVEFMX0RFQlRfSVNTVUVELjk5My4zMS8wNy8yMDI2Li4uVVNELkgBAAAAIHoFAAMAAAAAAOZu9jA7794IES/CNDvv3gg1Q0lRLk5BU0RBUTpDQUxNLklRX0NB</t>
  </si>
  <si>
    <t>U0hfSU5WRVNULjk5Mi4zMS8wNy8yMDI2Li4uVVNELkgBAAAAIHoFAAIAAAAHLTE2My44NQEIAAAABQAAAAExAQAAAAoyMDQ1NzQ5MzEwAwAAAAMxNjACAAAABDIwMDUEAAAAATAHAAAACTcvMzEvMjAyNggAAAAINi8yLzIwMTgJAAAAATDmbvYwO+/eCFB9wjQ7794INkNJUS5OQVNEQVE6Q0FMTS5JUV9EQV9TVVBQTF9DRi4yMDAwLjMxLzA3LzIwMjYuLi5VU0QuSAEAAAAgegUAAgAAAAcxMTcuNTc3AQgAAAAFAAAAATEBAAAACy0xODgxMDY4Mjk1AwAAAAMxNjACAAAABDIxNzEEAAAAATAHAAAACTcvMzEvMjAyNggAAAAJNS8zMC8yMDI2CQAAAAEwziD2MDvv3gjqdacyO+/eCEFDSVEuTkFTREFROkNBTE0uSVFfU1RPQ0tfQkFTRURfQ09NUF9QUkVUQVguOTkxLjMxLzA3LzIwMjYuLi5VU0QuSAEAAAAgegUAAgAAAAUzLjQyNwDOIPYwO+/eCCtkpjI7794IOkNJUS5OQVNEQVE6Q0FMTS5JUV9DSEFOR0VfSU5WRU5UT1JZLjk5MC4zMS8wNy8yMDI2Li4uVVNELkgBAAAAIHoFAAIAAAAGLTguNTM5AQgAAAAFAAAAATEBAAAACjE4OTY4MjA1MTcDAAAAAzE2MAIAAAAEMjA5OQQAAAABMAcAAAAJNy8zMS8yMDI2CAAAAAk1LzI4LzIwMTYJAAAAATDWR/YwO+/eCONcqjI7794IMENJUS5OQVNEQVE6Q0FMTS5JUV9ET19DRi4yMDAwLjMxLzA3LzIwMjYuLi5VU0QuSAEAAAAgegUAAwAAAAAA1kf2MDvv3gie56kyO+/e</t>
  </si>
  <si>
    <t>CDtDSVEuTkFTREFROkNBTE0uSVFfUFJPVl9CQURfREVCVFNfQ0YuOTkxLjMxLzA3LzIwMjYuLi5VU0QuSAEAAAAgegUAAwAAAAAA1kf2MDvv3ghgcakyO+/eCDBDSVEuTkFTREFROkNBTE0uSVFfR0FfRVhQLjk5My4zMS8wNy8yMDI2Li4uVVNELkgBAAAAIHoFAAMAAAAAAOkCGDE7794IlhfLNDvv3ggzQ0lRLk5BU0RBUTpDQUxNLklRX01BUktFVElORy45OTIuMzEvMDcvMjAyNi4uLlVTRC5IAQAAACB6BQADAAAAAADpAhgxO+/eCJw+yzQ7794IPkNJUS5OQVNEQVE6Q0FMTS5JUV9PVEhFUl9VTlVTVUFMX1NVUFBMRS45OTEuMzEvMDcvMjAyNi4uLlVTRC5IAQAAACB6BQADAAAAAADxKRgxO+/eCDRvozI7794IPkNJUS5OQVNEQVE6Q0FMTS5JUV9SRVNUUl9TVE9DS19DT01QX1RBWC45OTMuMzEvMDcvMjAyNi4uLlVTRC5IAQAAACB6BQADAAAAAADOIPYwO+/eCIcAxzQ7794IOENJUS5OQVNEQVE6Q0FMTS5JUV9TVE9DS19CQVNFRF9HQS45OTIuMzEvMDcvMjAyNi4uLlVTRC5IAQAAACB6BQADAAAAAAAaURgxO+/eCObExzQ7794ISUNJUS5OQVNEQVE6Q0FMTS5JUV9ESVNUUklCVVRBQkxFX0NBU0hfU1RBTkRBUkRJWkVELjk5MS4zMS8wNy8yMDI2Li4uVVNELkgBAAAAIHoFAAMAAAAAAMzbFzE7794IGimeMjvv3gg+Q0lRLk5BU0RBUTpDQUxNLklRX05PTkNBU0hfUEVOU0lPTl9FWFAuMjAwMC4zMS8wNy8y</t>
  </si>
  <si>
    <t>MDI2Li4uVVNELkgBAAAAIHoFAAIAAAADMS4xAQgAAAAFAAAAATEBAAAACy0xODgxMDY4Mjk1AwAAAAMxNjACAAAABTIxNjc4BAAAAAEwBwAAAAk3LzMxLzIwMjYIAAAACTUvMzAvMjAyNgkAAAABMMzbFzE7794IGAKeMjvv3ggwQ0lRLk5BU0RBUTpDQUxNLklRX1JFU1RBVEVNRU5UX0lTLjk5MS4zMS8wNy8yMDI2AQAAACB6BQADAAAAAlJDAOkCGDE7794Ij1vXMjvv3ggvQ0lRLk5BU0RBUTpDQUxNLklRX1BBWU9VVF9SQVRJTy4yMDAwLjMxLzA3LzIwMjYBAAAAIHoFAAIAAAAHNzMuMTQwMgEIAAAABQAAAAExAQAAAAstMTg4MTA2ODI5NQMAAAADMTYwAgAAAAQ0Mzc3BAAAAAEwBwAAAAk3LzMxLzIwMjYIAAAACTUvMzAvMjAyNgkAAAABMMzbFzE7794IgDTXMjvv3gg7Q0lRLk5BU0RBUTpDQUxNLklRX05FVF9SRU5UQUxfRVhQX0ZOLjk5My4zMS8wNy8yMDI2Li4uVVNELkgBAAAAIHoFAAMAAAAAAOkCGDE7794IasnKNDvv3ghBQ0lRLk5BU0RBUTpDQUxNLklRX0xFQVNFX0FESlVTVE1FTlRfRUJJVERBLjk5Mi4zMS8wNy8yMDI2Li4uVVNELkgBAAAAIHoFAAMAAAAAAOrmijE7794IiNrQNDvv3gg6Q0lRLk5BU0RBUTpDQUxNLklRX0VCSVREQVJfRVhDTF9TQkMuOTkyLjMxLzA3LzIwMjYuLi5VU0QuSAEAAAAgegUAAwAAAAAAqo0XMTvv3gi0rs40O+/eCD9DSVEuTkFTREFROkNBTE0uSVFfVE9UQUxfUkVW</t>
  </si>
  <si>
    <t>X0FTX1JFUE9SVEVELjk5MC4zMS8wNy8yMDI2Li4uVVNELkgBAAAAIHoFAAMAAAAAAL20FzE7794IegaaMjvv3ghCQ0lRLk5BU0RBUTpDQUxNLklRX0RFRkVSUkVEX0RPTUVTVElDX1RBWEVTLjIwMDAuMzEvMDcvMjAyNi4uLlVTRC5IAQAAACB6BQACAAAABjY3LjM2MwEIAAAABQAAAAExAQAAAAstMTg4MTA2ODI5NQMAAAADMTYwAgAAAAQzMDU0BAAAAAEwBwAAAAk3LzMxLzIwMjYIAAAACTUvMzAvMjAyNgkAAAABML20FzE7794IrwOcMjvv3gg9Q0lRLk5BU0RBUTpDQUxNLklRX0NVUlJfRE9NRVNUSUNfVEFYRVMuOTkyLjMxLzA3LzIwMjYuLi5VU0QuSAEAAAAgegUAAgAAAAUyNC45NQEIAAAABQAAAAExAQAAAAoyMDQ1NzQ5MzEwAwAAAAMxNjACAAAABDMwMjcEAAAAATAHAAAACTcvMzEvMjAyNggAAAAINi8yLzIwMTgJAAAAATC9tBcxO+/eCG5OzTQ7794IOkNJUS5OQVNEQVE6Q0FMTS5JUV9MT05HX1RFUk1fTEVBU0VTLjk5Mi4zMS8wNy8yMDI2Li4uVVNELkgBAAAAIHoFAAIAAAAEMS4zNAEIAAAABQAAAAExAQAAAAoyMDQ1NzQ5MzEwAwAAAAMxNjACAAAABDExODMEAAAAATAHAAAACTcvMzEvMjAyNggAAAAINi8yLzIwMTgJAAAAATB6/PowO+/eCBIWuDQ7794IOENJUS5OQVNEQVE6Q0FMTS5JUV9ESUxVVF9FUFNfTk9STS45OTIuMzEvMDcvMjAyNi4uLlVTRC5IAQAAACB6BQACAAAACDIuNTU1NDU2</t>
  </si>
  <si>
    <t>AQgAAAAFAAAAATEBAAAACjIwNDU3NDkzMTADAAAAAzE2MAIAAAAENDM4MAQAAAABMAcAAAAJNy8zMS8yMDI2CAAAAAg2LzIvMjAxOAkAAAABMNO/ijE7794IE+zRNDvv3ghCQ0lRLk5BU0RBUTpDQUxNLklRX0RJU1RSSUJVVEFCTEVfQ0FTSF9TSEFSRS45OTAuMzEvMDcvMjAyNi4uLlVTRC5IAQAAACB6BQADAAAAAADTv4oxO+/eCJ0+ljI7794IPkNJUS5OQVNEQVE6Q0FMTS5JUV9FQklUX0VRX0lOQ19FWENMX1NCQy45OTAuMzEvMDcvMjAyNi4uLlVTRC5IAQAAACB6BQACAAAABzQ3OC40MDEBCAAAAAUAAAABMQEAAAAKMTg5NjgyMDUxNwMAAAADMTYwAgAAAAUyNDEzMAQAAAABMAcAAAAJNy8zMS8yMDI2CAAAAAk1LzI4LzIwMTYJAAAAATDq5ooxO+/eCLQFmDI7794INENJUS5OQVNEQVE6Q0FMTS5JUV9ERVBSRV9TVVBQLjk5MS4zMS8wNy8yMDI2Li4uVVNELkgBAAAAIHoFAAIAAAAENDguOAEIAAAABQAAAAExAQAAAAoxOTcyMDEyMTIxAwAAAAMxNjACAAAABDIxNDMEAAAAATAHAAAACTcvMzEvMjAyNggAAAAINi8zLzIwMTcJAAAAATD2lfYwO+/eCF5vsDI7794IOUNJUS5OQVNEQVE6Q0FMTS5JUV9NSVNDX0FESlVTVF9DRi4yMDAwLjMxLzA3LzIwMjYuLi5VU0QuSAEAAAAgegUAAwAAAAAA9pX2MDvv3gjt0q8yO+/eCD5DSVEuTkFTREFROkNBTE0uSVFfQ0hBTkdFX0RFRl9UQVhfVE9UQUwuOTkzLjMx</t>
  </si>
  <si>
    <t>LzA3LzIwMjYuLi5VU0QuSAEAAAAgegUAAgAAAAU2LjEyMwEIAAAABQAAAAExAQAAAAstMjE0MjQyOTAzOQMAAAADMTYwAgAAAAUzMDkyNAQAAAABMAcAAAAJNy8zMS8yMDI2CAAAAAg2LzEvMjAxOQkAAAABMGyH+jA7794Inwu+NDvv3gg4Q0lRLk5BU0RBUTpDQUxNLklRX0JBU0lDX0VQU19FWENMLjk5MC4zMS8wNy8yMDI2Li4uVVNELkgBAAAAIHoFAAIAAAAINi41NTc1NDcBCAAAAAUAAAABMQEAAAAKMTg5NjgyMDUxNwMAAAADMTYwAgAAAAQzMDY0BAAAAAEwBwAAAAk3LzMxLzIwMjYIAAAACTUvMjgvMjAxNgkAAAABMNO/ijE7794IptyUMjvv3gg/Q0lRLk5BU0RBUTpDQUxNLklRX1JVQV9DQVBJVEFMX0xFQVNFX05FVC45OTMuMzEvMDcvMjAyNi4uLlVTRC5IAQAAACB6BQADAAAAAABa+pAwO+/eCFPgtDQ7794INUNJUS5OQVNEQVE6Q0FMTS5JUV9DT01NT05fUkVQLjIwMDAuMzEvMDcvMjAyNi4uLlVTRC5IAQAAACB6BQACAAAACC0xMzEuMTI0AQgAAAAFAAAAATEBAAAACy0xODgxMDY4Mjk1AwAAAAMxNjACAAAABDIxNjQEAAAAATAHAAAACTcvMzEvMjAyNggAAAAJNS8zMC8yMDI2CQAAAAEw5m72MDvv3ghLHq4yO+/eCDtDSVEuTkFTREFROkNBTE0uSVFfVE9UQUxfREVCVF9SRVBBSUQuOTkyLjMxLzA3LzIwMjYuLi5VU0QuSAEAAAAgegUAAgAAAAYtNC44NDkBCAAAAAUAAAABMQEAAAAKMjA0NTc0</t>
  </si>
  <si>
    <t>OTMxMAMAAAADMTYwAgAAAAQyMTY2BAAAAAEwBwAAAAk3LzMxLzIwMjYIAAAACDYvMi8yMDE4CQAAAAEw5m72MDvv3gg84cE0O+/eCD1DSVEuTkFTREFROkNBTE0uSVFfQ0FTSF9JTlRFUkVTVF9GSU5BTi45OTIuMzEvMDcvMjAyNi4uLlVTRC5IAQAAACB6BQADAAAAAABsh/owO+/eCEG8vjQ7794IN0NJUS5OQVNEQVE6Q0FMTS5JUV9DQVNIX0lOVEVSRVNULjk5Mi4zMS8wNy8yMDI2Li4uVVNELkgBAAAAIHoFAAIAAAAFMC4yNjUBCAAAAAUAAAABMQEAAAAKMjA0NTc0OTMxMAMAAAADMTYwAgAAAAQzMDI4BAAAAAEwBwAAAAk3LzMxLzIwMjYIAAAACDYvMi8yMDE4CQAAAAEw9pX2MDvv3gh9Mb80O+/eCEBDSVEuTkFTREFROkNBTE0uSVFfREFfQ0ZfRVhDTF9PUEVSX0xFQVNFUy45OTMuMzEvMDcvMjAyNi4uLlVTRC5IAQAAACB6BQACAAAABTU0LjY1AQgAAAAFAAAAATEBAAAACy0yMTQyNDI5MDM5AwAAAAMxNjACAAAABTQ4OTg1BAAAAAEwBwAAAAk3LzMxLzIwMjYIAAAACDYvMS8yMDE5CQAAAAEw9pX2MDvv3gjWzb80O+/eCDhDSVEuTkFTREFROkNBTE0uSVFfT1RIRVJfT1BFUl9BQ1QuOTkwLjMxLzA3LzIwMjYuLi5VU0QuSAEAAAAgegUAAgAAAAQyMC42AQgAAAAFAAAAATEBAAAACjE4OTY4MjA1MTcDAAAAAzE2MAIAAAAEMjA0NwQAAAABMAcAAAAJNy8zMS8yMDI2CAAAAAk1LzI4LzIwMTYJAAAAATDW</t>
  </si>
  <si>
    <t>R/YwO+/eCJ7nqTI7794IO0NJUS5OQVNEQVE6Q0FMTS5JUV9QUk9WX0JBRF9ERUJUU19DRi45OTIuMzEvMDcvMjAyNi4uLlVTRC5IAQAAACB6BQADAAAAAADWR/YwO+/eCLS1xDQ7794IN0NJUS5OQVNEQVE6Q0FMTS5JUV9JTkNfRVFVSVRZX0NGLjk5Mi4zMS8wNy8yMDI2Li4uVVNELkgBAAAAIHoFAAIAAAAGLTMuNTE3AQgAAAAFAAAAATEBAAAACjIwNDU3NDkzMTADAAAAAzE2MAIAAAAEMjA4NgQAAAABMAcAAAAJNy8zMS8yMDI2CAAAAAg2LzIvMjAxOAkAAAABMNZH9jA7794IyAPFNDvv3ggwQ0lRLk5BU0RBUTpDQUxNLklRX0NBUEVYLjIwMDAuMzEvMDcvMjAyNi4uLlVTRC5IAQAAACB6BQACAAAABy0xNTEuMjIBCAAAAAUAAAABMQEAAAALLTE4ODEwNjgyOTUDAAAAAzE2MAIAAAAEMjAyMQQAAAABMAcAAAAJNy8zMS8yMDI2CAAAAAk1LzMwLzIwMjYJAAAAATDWR/YwO+/eCFScqzI7794INUNJUS5OQVNEQVE6Q0FMTS5JUV9QUkVGX0RJVl9DRi45OTMuMzEvMDcvMjAyNi4uLlVTRC5IAQAAACB6BQADAAAAAADmbvYwO+/eCK8wwTQ7794IQUNJUS5OQVNEQVE6Q0FMTS5JUV9TVE9DS19CQVNFRF9DT01QX1BSRVRBWC45OTIuMzEvMDcvMjAyNi4uLlVTRC5IAQAAACB6BQACAAAABTMuNDY3AM4g9jA7794IN3fGNDvv3ghDQ0lRLk5BU0RBUTpDQUxNLklRX1NUT0NLX0JBU0VEX0VYUExPUkVfRFJJTEwuOTkw</t>
  </si>
  <si>
    <t>LjMxLzA3LzIwMjYuLi5VU0QuSAEAAAAgegUAAwAAAAAAwfn1MDvv3giiu6QyO+/eCDhDSVEuTkFTREFROkNBTE0uSVFfR0FJTl9BU1NFVFNfQ0YuOTkwLjMxLzA3LzIwMjYuLi5VU0QuSAEAAAAgegUAAgAAAAYtMS41NjMBCAAAAAUAAAABMQEAAAAKMTg5NjgyMDUxNwMAAAADMTYwAgAAAAQyMDI2BAAAAAEwBwAAAAk3LzMxLzIwMjYIAAAACTUvMjgvMjAxNgkAAAABMM4g9jA7794IODmoMjvv3gg7Q0lRLk5BU0RBUTpDQUxNLklRX0dXX0lOVEFOX0FNT1JUX0NGLjk5MC4zMS8wNy8yMDI2Li4uVVNELkgBAAAAIHoFAAIAAAADMi42AQgAAAAFAAAAATEBAAAACjE4OTY4MjA1MTcDAAAAAzE2MAIAAAAEMjE4MgQAAAABMAcAAAAJNy8zMS8yMDI2CAAAAAk1LzI4LzIwMTYJAAAAATDOIPYwO+/eCOp1pzI7794IOkNJUS5OQVNEQVE6Q0FMTS5JUV9DSEFOR0VfSU5WRU5UT1JZLjk5MS4zMS8wNy8yMDI2Li4uVVNELkgBAAAAIHoFAAIAAAAFMi4zODYBCAAAAAUAAAABMQEAAAAKMTk3MjAxMjEyMQMAAAADMTYwAgAAAAQyMDk5BAAAAAEwBwAAAAk3LzMxLzIwMjYIAAAACDYvMy8yMDE3CQAAAAEw1kf2MDvv3gjjXKoyO+/eCD1DSVEuTkFTREFROkNBTE0uSVFfR0FJTl9CQVJHQUlOX0FDUV9DRi45OTAuMzEvMDcvMjAyNi4uLlVTRC5IAQAAACB6BQADAAAAAABZrvowO+/eCNNCtTI7794INUNJUS5OQVNEQVE6Q0FM</t>
  </si>
  <si>
    <t>TS5JUV9NQUlOVF9DQVBFWC45OTIuMzEvMDcvMjAyNi4uLlVTRC5IAQAAACB6BQADAAAAAABsh/owO+/eCFRvvTQ7794IM0NJUS5OQVNEQVE6Q0FMTS5JUV9NQVJLRVRJTkcuOTkzLjMxLzA3LzIwMjYuLi5VU0QuSAEAAAAgegUAAwAAAAAA6QIYMTvv3gicPss0O+/eCDJDSVEuTkFTREFROkNBTE0uSVFfVE9UQUxfQ0wuOTkxLjMxLzA3LzIwMjYuLi5VU0QuSAEAAAAgegUAAgAAAAY2NC42NzkBCAAAAAUAAAABMQEAAAAKMTk3MjAxMjEyMQMAAAADMTYwAgAAAAQxMDA5BAAAAAEwBwAAAAk3LzMxLzIwMjYIAAAACDYvMy8yMDE3CQAAAAEwevz6MDvv3ghXe74yO+/eCD9DSVEuTkFTREFROkNBTE0uSVFfVE9UQUxfVU5VU1VBTF9TVVBQTEUuMjAwMC4zMS8wNy8yMDI2Li4uVVNELkgBAAAAIHoFAAMAAAAAAPEpGDE7794INtGjMjvv3gg1Q0lRLk5BU0RBUTpDQUxNLklRX1BSRUZfSVNTVUVELjk5MS4zMS8wNy8yMDI2Li4uVVNELkgBAAAAIHoFAAMAAAAAAOZu9jA7794ISx6uMjvv3gg7Q0lRLk5BU0RBUTpDQUxNLklRX1RPVEFMX0RFQlRfUkVQQUlELjk5My4zMS8wNy8yMDI2Li4uVVNELkgBAAAAIHoFAAIAAAAGLTMuNzU0AQgAAAAFAAAAATEBAAAACy0yMTQyNDI5MDM5AwAAAAMxNjACAAAABDIxNjYEAAAAATAHAAAACTcvMzEvMjAyNggAAAAINi8xLzIwMTkJAAAAATDmbvYwO+/eCDzhwTQ7794IP0NJUS5O</t>
  </si>
  <si>
    <t>QVNEQVE6Q0FMTS5JUV9DQVNIX0lOVEVSRVNUX0lOVkVTVC4yMDAwLjMxLzA3LzIwMjYuLi5VU0QuSAEAAAAgegUAAwAAAAAAbIf6MDvv3ghifrIyO+/eCDRDSVEuTkFTREFROkNBTE0uSVFfREVQUkVfU1VQUC45OTIuMzEvMDcvMjAyNi4uLlVTRC5IAQAAACB6BQACAAAABDUxLjEBCAAAAAUAAAABMQEAAAAKMjA0NTc0OTMxMAMAAAADMTYwAgAAAAQyMTQzBAAAAAEwBwAAAAk3LzMxLzIwMjYIAAAACDYvMi8yMDE4CQAAAAEw9pX2MDvv3gjVQ8A0O+/eCEBDSVEuTkFTREFROkNBTE0uSVFfREVGX1RBWF9BU1NFVFNfQ1VSUkVOVC45OTIuMzEvMDcvMjAyNi4uLlVTRC5IAQAAACB6BQADAAAAAABZrvowO+/eCCE4uzQ7794IO0NJUS5OQVNEQVE6Q0FMTS5JUV9HV19JTlRBTl9BTU9SVF9DRi45OTEuMzEvMDcvMjAyNi4uLlVTRC5IAQAAACB6BQACAAAAAzIuMgEIAAAABQAAAAExAQAAAAoxOTcyMDEyMTIxAwAAAAMxNjACAAAABDIxODIEAAAAATAHAAAACTcvMzEvMjAyNggAAAAINi8zLzIwMTcJAAAAATDOIPYwO+/eCKdOpzI7794IRkNJUS5OQVNEQVE6Q0FMTS5JUV9DSEFOR0VfT1RIRVJfTkVUX09QRVJfQVNTRVRTLjk5MS4zMS8wNy8yMDI2Li4uVVNELkgBAAAAIHoFAAMAAAAAANZH9jA7794IxCWrMjvv3gg6Q0lRLk5BU0RBUTpDQUxNLklRX0NIQU5HRV9JTlZFTlRPUlkuOTkyLjMxLzA3LzIwMjYuLi5V</t>
  </si>
  <si>
    <t>U0QuSAEAAAAgegUAAgAAAAYtNy45NTIBCAAAAAUAAAABMQEAAAAKMjA0NTc0OTMxMAMAAAADMTYwAgAAAAQyMDk5BAAAAAEwBwAAAAk3LzMxLzIwMjYIAAAACDYvMi8yMDE4CQAAAAEw1kf2MDvv3ggLLMQ0O+/eCDhDSVEuTkFTREFROkNBTE0uSVFfT1RIRVJfT1BFUl9BQ1QuOTkxLjMxLzA3LzIwMjYuLi5VU0QuSAEAAAAgegUAAgAAAAYxNC40NzUBCAAAAAUAAAABMQEAAAAKMTk3MjAxMjEyMQMAAAADMTYwAgAAAAQyMDQ3BAAAAAEwBwAAAAk3LzMxLzIwMjYIAAAACDYvMy8yMDE3CQAAAAEw1kf2MDvv3gie56kyO+/eCDVDSVEuTkFTREFROkNBTE0uSVFfU0FMRV9QUEVfQ0YuOTkwLjMxLzA3LzIwMjYuLi5VU0QuSAEAAAAgegUAAgAAAAQyLjg2AQgAAAAFAAAAATEBAAAACjE4OTY4MjA1MTcDAAAAAzE2MAIAAAAEMjA0MgQAAAABMAcAAAAJNy8zMS8yMDI2CAAAAAk1LzI4LzIwMTYJAAAAATDWR/YwO+/eCFScqzI7794IO0NJUS5OQVNEQVE6Q0FMTS5JUV9ORUdBVElWRV9HV19BTU9SVC45OTAuMzEvMDcvMjAyNi4uLlVTRC5IAQAAACB6BQADAAAAAADxKRgxO+/eCDbRozI7794IOkNJUS5OQVNEQVE6Q0FMTS5JUV9TVE9DS19CQVNFRF9DT01QLjk5MS4zMS8wNy8yMDI2Li4uVVNELkgBAAAAIHoFAAMAAAAAAM4g9jA7794I/8WmMjvv3ghBQ0lRLk5BU0RBUTpDQUxNLklRX1NUT0NLX0JBU0VEX0NPTVBf</t>
  </si>
  <si>
    <t>UFJFVEFYLjk5My4zMS8wNy8yMDI2Li4uVVNELkgBAAAAIHoFAAIAAAAFMy42MTkAziD2MDvv3gg3d8Y0O+/eCDdDSVEuTkFTREFROkNBTE0uSVFfSU5DX0VRVUlUWV9DRi45OTMuMzEvMDcvMjAyNi4uLlVTRC5IAQAAACB6BQACAAAABi00Ljc3NgEIAAAABQAAAAExAQAAAAstMjE0MjQyOTAzOQMAAAADMTYwAgAAAAQyMDg2BAAAAAEwBwAAAAk3LzMxLzIwMjYIAAAACDYvMS8yMDE5CQAAAAEw1kf2MDvv3gjIA8U0O+/eCDhDSVEuTkFTREFROkNBTE0uSVFfR0FJTl9BU1NFVFNfQ0YuOTkxLjMxLzA3LzIwMjYuLi5VU0QuSAEAAAAgegUAAgAAAAUzLjY2NAEIAAAABQAAAAExAQAAAAoxOTcyMDEyMTIxAwAAAAMxNjACAAAABDIwMjYEAAAAATAHAAAACTcvMzEvMjAyNggAAAAINi8zLzIwMTcJAAAAATDOIPYwO+/eCDg5qDI7794IR0NJUS5OQVNEQVE6Q0FMTS5JUV9UT1RBTF9ERUJUX1JFUEFJRF9FWENMX0xFQVNFUy45OTAuMzEvMDcvMjAyNi4uLlVTRC5IAQAAACB6BQACAAAABi0yNS4yOQEIAAAABQAAAAExAQAAAAoxODk2ODIwNTE3AwAAAAMxNjACAAAABTQ4OTg2BAAAAAEwBwAAAAk3LzMxLzIwMjYIAAAACTUvMjgvMjAxNgkAAAABMFmu+jA7794I00K1Mjvv3gg6Q0lRLk5BU0RBUTpDQUxNLklRX0NBU0hfVEFYRVNfRklOQU4uOTkyLjMxLzA3LzIwMjYuLi5VU0QuSAEAAAAgegUAAwAAAAAAbIf6MDvv</t>
  </si>
  <si>
    <t>3gjBRr40O+/eCD5DSVEuTkFTREFROkNBTE0uSVFfQ0FTSF9JTlRFUkVTVF9JTlZFU1QuOTkzLjMxLzA3LzIwMjYuLi5VU0QuSAEAAAAgegUAAwAAAAAAbIf6MDvv3giP4740O+/eCENDSVEuTkFTREFROkNBTE0uSVFfU1RPQ0tfQkFTRURfRVhQTE9SRV9EUklMTC45OTIuMzEvMDcvMjAyNi4uLlVTRC5IAQAAACB6BQADAAAAAADB+fUwO+/eCPadxzQ7794IP0NJUS5OQVNEQVE6Q0FMTS5JUV9ORUdBVElWRV9HV19BTU9SVF9BVC4yMDAwLjMxLzA3LzIwMjYuLi5VU0QuSAEAAAAgegUAAwAAAAAAGlEYMTvv3gh0H6QyO+/eCEZDSVEuTkFTREFROkNBTE0uSVFfQ0hBTkdFX09USEVSX05FVF9PUEVSX0FTU0VUUy45OTIuMzEvMDcvMjAyNi4uLlVTRC5IAQAAACB6BQADAAAAAADWR/YwO+/eCMu2wzQ7794INUNJUS5OQVNEQVE6Q0FMTS5JUV9QUkVGX0lTU1VFRC45OTIuMzEvMDcvMjAyNi4uLlVTRC5IAQAAACB6BQADAAAAAADmbvYwO+/eCP6SwTQ7794IQUNJUS5OQVNEQVE6Q0FMTS5JUV9PVEhFUl9JTlZFU1RfQUNUX1NVUFBMLjIwMDAuMzEvMDcvMjAyNi4uLlVTRC5IAQAAACB6BQADAAAAAADmbvYwO+/eCLCtrDI7794IR0NJUS5OQVNEQVE6Q0FMTS5JUV9EQV9TVVBQTF9DRl9FWENMX09QRVJfTEVBU0VTLjIwMDAuMzEvMDcvMjAyNi4uLlVTRC5IAQAAACB6BQACAAAABzExNy41NzcBCAAAAAUAAAABMQEA</t>
  </si>
  <si>
    <t>AAALLTE4ODEwNjgyOTUDAAAAAzE2MAIAAAAFNDg5ODMEAAAAATAHAAAACTcvMzEvMjAyNggAAAAJNS8zMC8yMDI2CQAAAAEw9pX2MDvv3gip5LAyO+/eCDhDSVEuTkFTREFROkNBTE0uSVFfQ0FTSF9TVF9JTlZFU1QuOTkwLjMxLzA3LzIwMjYuLi5VU0QuSAEAAAAgegUAAgAAAAczODkuNTQ1AQgAAAAFAAAAATEBAAAACjE4OTY4MjA1MTcDAAAAAzE2MAIAAAAEMTAwMgQAAAABMAcAAAAJNy8zMS8yMDI2CAAAAAk1LzI4LzIwMTYJAAAAATBZrvowO+/eCKFvuDI7794IL0NJUS5OQVNEQVE6Q0FMTS5JUV9EQV9DRi45OTAuMzEvMDcvMjAyNi4uLlVTRC5IAQAAACB6BQACAAAABjQ0LjU5MgEIAAAABQAAAAExAQAAAAoxODk2ODIwNTE3AwAAAAMxNjACAAAABDIxNjAEAAAAATAHAAAACTcvMzEvMjAyNggAAAAJNS8yOC8yMDE2CQAAAAEwziD2MDvv3ggbxKcyO+/eCDtDSVEuTkFTREFROkNBTE0uSVFfR1dfSU5UQU5fQU1PUlRfQ0YuOTkyLjMxLzA3LzIwMjYuLi5VU0QuSAEAAAAgegUAAgAAAAMyLjgBCAAAAAUAAAABMQEAAAAKMjA0NTc0OTMxMAMAAAADMTYwAgAAAAQyMTgyBAAAAAEwBwAAAAk3LzMxLzIwMjYIAAAACDYvMi8yMDE4CQAAAAEwziD2MDvv3gjYAcY0O+/eCDpDSVEuTkFTREFROkNBTE0uSVFfU1RPQ0tfQkFTRURfQ09NUC45OTIuMzEvMDcvMjAyNi4uLlVTRC5IAQAAACB6BQADAAAAAADOIPYw</t>
  </si>
  <si>
    <t>O+/eCBwpxjQ7794IOENJUS5OQVNEQVE6Q0FMTS5JUV9PVEhFUl9PUEVSX0FDVC45OTIuMzEvMDcvMjAyNi4uLlVTRC5IAQAAACB6BQACAAAABy0zMy40NzQBCAAAAAUAAAABMQEAAAAKMjA0NTc0OTMxMAMAAAADMTYwAgAAAAQyMDQ3BAAAAAEwBwAAAAk3LzMxLzIwMjYIAAAACDYvMi8yMDE4CQAAAAEw1kf2MDvv3ggVZ8Q0O+/eCDVDSVEuTkFTREFROkNBTE0uSVFfU0FMRV9QUEVfQ0YuOTkxLjMxLzA3LzIwMjYuLi5VU0QuSAEAAAAgegUAAgAAAAUwLjA4NAEIAAAABQAAAAExAQAAAAoxOTcyMDEyMTIxAwAAAAMxNjACAAAABDIwNDIEAAAAATAHAAAACTcvMzEvMjAyNggAAAAINi8zLzIwMTcJAAAAATDWR/YwO+/eCFScqzI7794IOENJUS5OQVNEQVE6Q0FMTS5JUV9PVEhFUl9DTF9TVVBQTC45OTIuMzEvMDcvMjAyNi4uLlVTRC5IAQAAACB6BQACAAAABjE3LjA5MwEIAAAABQAAAAExAQAAAAoyMDQ1NzQ5MzEwAwAAAAMxNjACAAAABDEwNTcEAAAAATAHAAAACTcvMzEvMjAyNggAAAAINi8yLzIwMTgJAAAAATB6/PowO+/eCD1RuDQ7794IQ0NJUS5OQVNEQVE6Q0FMTS5JUV9TVE9DS19PUFRJT05TX0NPTVBfUFJFVEFYLjk5MC4zMS8wNy8yMDI2Li4uVVNELkgBAAAAIHoFAAMAAAAAAM4g9jA7794I/eClMjvv3gg4Q0lRLk5BU0RBUTpDQUxNLklRX1NUT0NLX0JBU0VEX0FULjk5MC4zMS8wNy8yMDI2Li4u</t>
  </si>
  <si>
    <t>VVNELkgBAAAAIHoFAAMAAAAAAM4g9jA7794IwAmlMjvv3ghDQ0lRLk5BU0RBUTpDQUxNLklRX1NUT0NLX0JBU0VEX0VYUExPUkVfRFJJTEwuOTkzLjMxLzA3LzIwMjYuLi5VU0QuSAEAAAAgegUAAwAAAAAAwfn1MDvv3giOdsc0O+/eCDhDSVEuTkFTREFROkNBTE0uSVFfR0FJTl9BU1NFVFNfQ0YuOTkyLjMxLzA3LzIwMjYuLi5VU0QuSAEAAAAgegUAAgAAAAUwLjQ3MwEIAAAABQAAAAExAQAAAAoyMDQ1NzQ5MzEwAwAAAAMxNjACAAAABDIwMjYEAAAAATAHAAAACTcvMzEvMjAyNggAAAAINi8yLzIwMTgJAAAAATDOIPYwO+/eCAB5xTQ7794IRkNJUS5OQVNEQVE6Q0FMTS5JUV9EQV9TVVBQTF9DRl9FWENMX09QRVJfTEVBU0VTLjk5Mi4zMS8wNy8yMDI2Li4uVVNELkgBAAAAIHoFAAIAAAAGNTEuMjI2AQgAAAAFAAAAATEBAAAACjIwNDU3NDkzMTADAAAAAzE2MAIAAAAFNDg5ODMEAAAAATAHAAAACTcvMzEvMjAyNggAAAAINi8yLzIwMTgJAAAAATD2lfYwO+/eCMLhvzQ7794IQ0NJUS5OQVNEQVE6Q0FMTS5JUV9HV19JTlRBTl9BTU9SVF9QQVJUSUFMX0NGLjk5Mi4zMS8wNy8yMDI2Li4uVVNELkgBAAAAIHoFAAMAAAAAAPaV9jA7794I1UPANDvv3gg6Q0lRLk5BU0RBUTpDQUxNLklRX1NUT0NLX0JBU0VEX0NPR1MuOTkwLjMxLzA3LzIwMjYuLi5VU0QuSAEAAAAgegUAAwAAAAAAGlEYMTvv3gh0H6QyO+/e</t>
  </si>
  <si>
    <t>CDtDSVEuTkFTREFROkNBTE0uSVFfTkVHQVRJVkVfR1dfQU1PUlQuOTkyLjMxLzA3LzIwMjYuLi5VU0QuSAEAAAAgegUAAwAAAAAA8SkYMTvv3gjfacg0O+/eCDdDSVEuTkFTREFROkNBTE0uSVFfUlVBX0FDQ1VNX0RFUC45OTEuMzEvMDcvMjAyNi4uLlVTRC5IAQAAACB6BQADAAAAAABa+pAwO+/eCNd4wjI7794IOENJUS5OQVNEQVE6Q0FMTS5JUV9PVEhFUl9PUEVSX0FDVC45OTMuMzEvMDcvMjAyNi4uLlVTRC5IAQAAACB6BQACAAAABTYuOTc5AQgAAAAFAAAAATEBAAAACy0yMTQyNDI5MDM5AwAAAAMxNjACAAAABDIwNDcEAAAAATAHAAAACTcvMzEvMjAyNggAAAAINi8xLzIwMTkJAAAAATDWR/YwO+/eCBVnxDQ7794INUNJUS5OQVNEQVE6Q0FMTS5JUV9DQVNIX0lOVkVTVC45OTAuMzEvMDcvMjAyNi4uLlVTRC5IAQAAACB6BQACAAAACC0yMTkuMTQ4AQgAAAAFAAAAATEBAAAACjE4OTY4MjA1MTcDAAAAAzE2MAIAAAAEMjAwNQQAAAABMAcAAAAJNy8zMS8yMDI2CAAAAAk1LzI4LzIwMTYJAAAAATDmbvYwO+/eCLCtrDI7794IOENJUS5OQVNEQVE6Q0FMTS5JUV9TUEVDSUFMX0RJVl9DRi45OTEuMzEvMDcvMjAyNi4uLlVTRC5IAQAAACB6BQADAAAAAADmbvYwO+/eCPocrzI7794IOENJUS5OQVNEQVE6Q0FMTS5JUV9DT01NT05fRElWX0NGLjIwMDAuMzEvMDcvMjAyNi4uLlVTRC5IAQAAACB6BQACAAAA</t>
  </si>
  <si>
    <t>CC0yMzEuNjIyAQgAAAAFAAAAATEBAAAACy0xODgxMDY4Mjk1AwAAAAMxNjACAAAABDIwNzQEAAAAATAHAAAACTcvMzEvMjAyNggAAAAJNS8zMC8yMDI2CQAAAAEw5m72MDvv3ggNqK4yO+/eCDhDSVEuTkFTREFROkNBTE0uSVFfTFRfREVCVF9SRVBBSUQuOTkxLjMxLzA3LzIwMjYuLi5VU0QuSAEAAAAgegUAAgAAAAYtMTYuNTEBCAAAAAUAAAABMQEAAAAKMTk3MjAxMjEyMQMAAAADMTYwAgAAAAQyMDM2BAAAAAEwBwAAAAk3LzMxLzIwMjYIAAAACDYvMy8yMDE3CQAAAAEw5m72MDvv3ggcla0yO+/eCENDSVEuTkFTREFROkNBTE0uSVFfU1RPQ0tfT1BUSU9OU19DT01QX1BSRVRBWC45OTEuMzEvMDcvMjAyNi4uLlVTRC5IAQAAACB6BQADAAAAAADOIPYwO+/eCP3gpTI7794IOENJUS5OQVNEQVE6Q0FMTS5JUV9TVE9DS19CQVNFRF9BVC45OTEuMzEvMDcvMjAyNi4uLlVTRC5IAQAAACB6BQADAAAAAADOIPYwO+/eCMAJpTI7794IL0NJUS5OQVNEQVE6Q0FMTS5JUV9EQV9DRi45OTEuMzEvMDcvMjAyNi4uLlVTRC5IAQAAACB6BQACAAAABjQ5LjExMwEIAAAABQAAAAExAQAAAAoxOTcyMDEyMTIxAwAAAAMxNjACAAAABDIxNjAEAAAAATAHAAAACTcvMzEvMjAyNggAAAAINi8zLzIwMTcJAAAAATDOIPYwO+/eCBvEpzI7794INENJUS5OQVNEQVE6Q0FMTS5JUV9DSEFOR0VfQVAuMjAwMC4zMS8wNy8yMDI2Li4u</t>
  </si>
  <si>
    <t>VVNELkgBAAAAIHoFAAIAAAAGLTguMzM4AQgAAAAFAAAAATEBAAAACy0xODgxMDY4Mjk1AwAAAAMxNjACAAAABDIwMTcEAAAAATAHAAAACTcvMzEvMjAyNggAAAAJNS8zMC8yMDI2CQAAAAEw1kf2MDvv3ggDq6oyO+/eCDNDSVEuTkFTREFROkNBTE0uSVFfQ0hBTkdFX0FSLjk5MC4zMS8wNy8yMDI2Li4uVVNELkgBAAAAIHoFAAIAAAAFMjEuMTYBCAAAAAUAAAABMQEAAAAKMTg5NjgyMDUxNwMAAAADMTYwAgAAAAQyMDE4BAAAAAEwBwAAAAk3LzMxLzIwMjYIAAAACTUvMjgvMjAxNgkAAAABMNZH9jA7794I4TWqMjvv3gg8Q0lRLk5BU0RBUTpDQUxNLklRX1VORUFSTl9SRVZfQ1VSUkVOVC45OTMuMzEvMDcvMjAyNi4uLlVTRC5IAQAAACB6BQADAAAAAABs1fowO+/eCDZ4uDQ7794IOENJUS5OQVNEQVE6Q0FMTS5JUV9TVE9DS19CQVNFRF9TTS45OTAuMzEvMDcvMjAyNi4uLlVTRC5IAQAAACB6BQADAAAAAAAaURgxO+/eCGxtpDI7794IOkNJUS5OQVNEQVE6Q0FMTS5JUV9TVE9DS19CQVNFRF9DT0dTLjk5MS4zMS8wNy8yMDI2Li4uVVNELkgBAAAAIHoFAAMAAAAAABpRGDE7794IdB+kMjvv3gg8Q0lRLk5BU0RBUTpDQUxNLklRX0lOU19TRVRUTEVfU1VQUExFLjIwMDAuMzEvMDcvMjAyNi4uLlVTRC5IAQAAACB6BQADAAAAAADxKRgxO+/eCCZIozI7794IOkNJUS5OQVNEQVE6Q0FMTS5JUV9TVE9DS19CQVNF</t>
  </si>
  <si>
    <t>RF9DT01QLjk5My4zMS8wNy8yMDI2Li4uVVNELkgBAAAAIHoFAAMAAAAAAM4g9jA7794IKFDGNDvv3gg/Q0lRLk5BU0RBUTpDQUxNLklRX0ZJTl9ESVZfTE9BTlNfQ1VSUkVOVC45OTMuMzEvMDcvMjAyNi4uLlVTRC5IAQAAACB6BQADAAAAAABZrvowO+/eCH+GuzQ7794ILUNJUS5OQVNEQVE6Q0FMTS5JUV9SRS4yMDAwLjMxLzA3LzIwMjYuLi5VU0QuSAEAAAAgegUAAgAAAAgyNzY1LjEwOAEIAAAABQAAAAExAQAAAAstMTg4MTA2ODI5NQMAAAADMTYwAgAAAAQxMjIyBAAAAAEwBwAAAAk3LzMxLzIwMjYIAAAACTUvMzAvMjAyNgkAAAABMFr6kDA7794IImbBMjvv3gg7Q0lRLk5BU0RBUTpDQUxNLklRX0dBSU5fQkFSR0FJTl9BQ1EuMjAwMC4zMS8wNy8yMDI2Li4uVVNELkgBAAAAIHoFAAMAAAAAAPEpGDE7794I+fmiMjvv3ghBQ0lRLk5BU0RBUTpDQUxNLklRX0FTU0VUX1dSSVRFRE9XTl9TVVBQTEUuMjAwMC4zMS8wNy8yMDI2Li4uVVNELkgBAAAAIHoFAAMAAAAAAPEpGDE7794I7auiMjvv3gg+Q0lRLk5BU0RBUTpDQUxNLklRX0lNUEFJUk1FTlRfR1dfU1VQUExFLjk5MC4zMS8wNy8yMDI2Li4uVVNELkgBAAAAIHoFAAMAAAAAAPEpGDE7794IlDaiMjvv3gg9Q0lRLk5BU0RBUTpDQUxNLklRX1NBTEVfUkVBTF9FU1RBVEVfQ0YuOTkxLjMxLzA3LzIwMjYuLi5VU0QuSAEAAAAgegUAAwAAAAAA5m72MDvv</t>
  </si>
  <si>
    <t>3ghfEawyO+/eCDhDSVEuTkFTREFROkNBTE0uSVFfQ0hBTkdFX0RFRl9UQVguOTkwLjMxLzA3LzIwMjYuLi5VU0QuSAEAAAAgegUAAwAAAAAA1kf2MDvv3gi3/qoyO+/eCDtDSVEuTkFTREFROkNBTE0uSVFfTUlOT1JJVFlfSU5URVJFU1QuOTkyLjMxLzA3LzIwMjYuLi5VU0QuSAEAAAAgegUAAgAAAAUyLjM0OQEIAAAABQAAAAExAQAAAAoyMDQ1NzQ5MzEwAwAAAAMxNjACAAAABDEwNTIEAAAAATAHAAAACTcvMzEvMjAyNggAAAAINi8yLzIwMTgJAAAAATBa+pAwO+/eCAORtTQ7794INENJUS5OQVNEQVE6Q0FMTS5JUV9DQVNIX0VRVUlWLjk5Mi4zMS8wNy8yMDI2Li4uVVNELkgBAAAAIHoFAAIAAAAGNDguNDMxAQgAAAAFAAAAATEBAAAACjIwNDU3NDkzMTADAAAAAzE2MAIAAAAEMTA5NgQAAAABMAcAAAAJNy8zMS8yMDI2CAAAAAg2LzIvMjAxOAkAAAABMFmu+jA7794I55e8NDvv3gg8Q0lRLk5BU0RBUTpDQUxNLklRX0NBU0hfSU5URVJFU1RfT1BFUi45OTIuMzEvMDcvMjAyNi4uLlVTRC5IAQAAACB6BQADAAAAAABsh/owO+/eCFEKvzQ7794ILkNJUS5OQVNEQVE6Q0FMTS5JUV9QQVlPVVRfUkFUSU8uOTkwLjMxLzA3LzIwMjYBAAAAIHoFAAIAAAAHMzguMjY3OAEIAAAABQAAAAExAQAAAAoxODk2ODIwNTE3AwAAAAMxNjACAAAABDQzNzcEAAAAATAHAAAACTcvMzEvMjAyNggAAAAJNS8yOC8yMDE2CQAA</t>
  </si>
  <si>
    <t>AAEwzNsXMTvv3giANNcyO+/eCDdDSVEuTkFTREFROkNBTE0uSVFfQUlSQ1JBRlRfUkVOVC45OTEuMzEvMDcvMjAyNi4uLlVTRC5IAQAAACB6BQADAAAAAADpAhgxO+/eCIbioDI7794IO0NJUS5OQVNEQVE6Q0FMTS5JUV9SRVNUUl9TVE9DS19DT01QLjIwMDAuMzEvMDcvMjAyNi4uLlVTRC5IAQAAACB6BQADAAAAAADOIPYwO+/eCP3gpTI7794IO0NJUS5OQVNEQVE6Q0FMTS5JUV9TVE9DS19CQVNFRF9PVEhFUi45OTIuMzEvMDcvMjAyNi4uLlVTRC5IAQAAACB6BQADAAAAAADOIPYwO+/eCI52xzQ7794IOENJUS5OQVNEQVE6Q0FMTS5JUV9MVF9ERUJUX0lTU1VFRC45OTEuMzEvMDcvMjAyNi4uLlVTRC5IAQAAACB6BQADAAAAAADmbvYwO+/eCO8frTI7794IOENJUS5OQVNEQVE6Q0FMTS5JUV9DUkVESVRfTE9TU19DRi45OTEuMzEvMDcvMjAyNi4uLlVTRC5IAQAAACB6BQADAAAAAADWR/YwO+/eCDL8qDI7794INkNJUS5OQVNEQVE6Q0FMTS5JUV9PVEhFUl9BTU9SVC4yMDAwLjMxLzA3LzIwMjYuLi5VU0QuSAEAAAAgegUAAwAAAAAAziD2MDvv3ggjEqgyO+/eCD9DSVEuTkFTREFROkNBTE0uSVFfTkVUX1JFTlRBTF9FWFBfU1VQUExFLjk5Mi4zMS8wNy8yMDI2Li4uVVNELkgBAAAAIHoFAAMAAAAAAOkCGDE7794IYKLKNDvv3gg1Q0lRLk5BU0RBUTpDQUxNLklRX0FEVkVSVElTSU5HLjk5Mi4zMS8wNy8y</t>
  </si>
  <si>
    <t>MDI2Li4uVVNELkgBAAAAIHoFAAIAAAADNi4zAQgAAAAFAAAAATEBAAAACjIwNDU3NDkzMTADAAAAAzE2MAIAAAAEMzAxMwQAAAABMAcAAAAJNy8zMS8yMDI2CAAAAAg2LzIvMjAxOAkAAAABMOkCGDE7794I32XLNDvv3gg3Q0lRLk5BU0RBUTpDQUxNLklRX0FJUkNSQUZUX1JFTlQuOTkyLjMxLzA3LzIwMjYuLi5VU0QuSAEAAAAgegUAAwAAAAAA6QIYMTvv3gh3K8o0O+/eCDpDSVEuTkFTREFROkNBTE0uSVFfUkVTVFJfU1RPQ0tfQ09NUC45OTIuMzEvMDcvMjAyNi4uLlVTRC5IAQAAACB6BQADAAAAAADOIPYwO+/eCIcAxzQ7794IPUNJUS5OQVNEQVE6Q0FMTS5JUV9MRUdBTF9TRVRUTEVfU1VQUExFLjk5MC4zMS8wNy8yMDI2Li4uVVNELkgBAAAAIHoFAAMAAAAAAPEpGDE7794IJkijMjvv3gg6Q0lRLk5BU0RBUTpDQUxNLklRX0NBU0hfQUNRVUlSRV9DRi4yMDAwLjMxLzA3LzIwMjYuLi5VU0QuSAEAAAAgegUAAgAAAActNDUyLjU3AQgAAAAFAAAAATEBAAAACy0xODgxMDY4Mjk1AwAAAAMxNjACAAAABDIwNTcEAAAAATAHAAAACTcvMzEvMjAyNggAAAAJNS8zMC8yMDI2CQAAAAEw1kf2MDvv3ghj6qsyO+/eCDhDSVEuTkFTREFROkNBTE0uSVFfQ0hBTkdFX0RFRl9UQVguOTkxLjMxLzA3LzIwMjYuLi5VU0QuSAEAAAAgegUAAwAAAAAA1kf2MDvv3gi3/qoyO+/eCD5DSVEuTkFTREFROkNBTE0uSVFfREVG</t>
  </si>
  <si>
    <t>RVJSRURfVEFYRVNfVE9UQUwuOTkxLjMxLzA3LzIwMjYuLi5VU0QuSAEAAAAgegUAAgAAAAYxNC44MzMBCAAAAAUAAAABMQEAAAAKMTk3MjAxMjEyMQMAAAADMTYwAgAAAAUzNTM4NQQAAAABMAcAAAAJNy8zMS8yMDI2CAAAAAg2LzMvMjAxNwkAAAABML20FzE7794IenqcMjvv3ggzQ0lRLk5BU0RBUTpDQUxNLklRX1JEX0VYUF9GTi45OTAuMzEvMDcvMjAyNi4uLlVTRC5IAQAAACB6BQADAAAAAADpAhgxO+/eCAi8nzI7794INUNJUS5OQVNEQVE6Q0FMTS5JUV9BRFZFUlRJU0lORy45OTMuMzEvMDcvMjAyNi4uLlVTRC5IAQAAACB6BQACAAAAAzcuMwEIAAAABQAAAAExAQAAAAstMjE0MjQyOTAzOQMAAAADMTYwAgAAAAQzMDEzBAAAAAEwBwAAAAk3LzMxLzIwMjYIAAAACDYvMS8yMDE5CQAAAAEw6QIYMTvv3gjfZcs0O+/eCC5DSVEuTkFTREFROkNBTE0uSVFfUEFZT1VUX1JBVElPLjk5MS4zMS8wNy8yMDI2AQAAACB6BQADAAAAAADM2xcxO+/eCIA01zI7794IPENJUS5OQVNEQVE6Q0FMTS5JUV9SRVNUUlVDVFVSRV9TVVBQTEUuOTkyLjMxLzA3LzIwMjYuLi5VU0QuSAEAAAAgegUAAwAAAAAA8SkYMTvv3gglaMk0O+/eCDRDSVEuTkFTREFROkNBTE0uSVFfQ1VSUl9UQVhFUy45OTMuMzEvMDcvMjAyNi4uLlVTRC5IAQAAACB6BQACAAAABDkuNjIBCAAAAAUAAAABMQEAAAALLTIxNDI0MjkwMzkDAAAAAzE2</t>
  </si>
  <si>
    <t>MAIAAAAFMzUzODMEAAAAATAHAAAACTcvMzEvMjAyNggAAAAINi8xLzIwMTkJAAAAATC9tBcxO+/eCFMnzTQ7794IS0NJUS5OQVNEQVE6Q0FMTS5JUV9MT05HX1RFUk1fREVCVF9SRVBBSURfRVhDTF9MRUFTRVMuOTkxLjMxLzA3LzIwMjYuLi5VU0QuSAEAAAAgegUAAgAAAAYtMTYuNTEBCAAAAAUAAAABMQEAAAAKMTk3MjAxMjEyMQMAAAADMTYwAgAAAAU0ODk4NAQAAAABMAcAAAAJNy8zMS8yMDI2CAAAAAg2LzMvMjAxNwkAAAABMFmu+jA7794IfBu1Mjvv3ggzQ0lRLk5BU0RBUTpDQUxNLklRX0RBX0VCSVREQS45OTAuMzEvMDcvMjAyNi4uLlVTRC5IAQAAACB6BQACAAAABjQ0LjU5MgEIAAAABQAAAAExAQAAAAoxODk2ODIwNTE3AwAAAAMxNjACAAAABDIyMDYEAAAAATAHAAAACTcvMzEvMjAyNggAAAAJNS8yOC8yMDE2CQAAAAEwzNsXMTvv3gga250yO+/eCDZDSVEuTkFTREFROkNBTE0uSVFfSU5UX0VYUF9MVEQuMjAwMC4zMS8wNy8yMDI2Li4uVVNELkgBAAAAIHoFAAIAAAAFMC41NTYBCAAAAAUAAAABMQEAAAALLTE4ODEwNjgyOTUDAAAAAzE2MAIAAAAEMzEwMQQAAAABMAcAAAAJNy8zMS8yMDI2CAAAAAk1LzMwLzIwMjYJAAAAATDM2xcxO+/eCMxknTI7794IMkNJUS5OQVNEQVE6Q0FMTS5JUV9ESUxVVF9OSS45OTEuMzEvMDcvMjAyNi4uLlVTRC5IAQAAACB6BQACAAAACS03NC40Nzc0OAEIAAAA</t>
  </si>
  <si>
    <t>BQAAAAExAQAAAAoxOTcyMDEyMTIxAwAAAAMxNjACAAAABDM1MjIEAAAAATAHAAAACTcvMzEvMjAyNggAAAAINi8zLzIwMTcJAAAAATC9tBcxO+/eCLLvnDI7794INUNJUS5OQVNEQVE6Q0FMTS5JUV9JUFJEX1NVUFBMRS45OTAuMzEvMDcvMjAyNi4uLlVTRC5IAQAAACB6BQADAAAAAADxKRgxO+/eCO2rojI7794IOENJUS5OQVNEQVE6Q0FMTS5JUV9DUkVESVRfTE9TU19DRi45OTIuMzEvMDcvMjAyNi4uLlVTRC5IAQAAACB6BQADAAAAAADWR/YwO+/eCNUqxTQ7794IOkNJUS5OQVNEQVE6Q0FMTS5JUV9SRVNUUl9TVE9DS19DT01QLjk5My4zMS8wNy8yMDI2Li4uVVNELkgBAAAAIHoFAAMAAAAAAM4g9jA7794IhwDHNDvv3ggzQ0lRLk5BU0RBUTpDQUxNLklRX0RJVkVTVF9DRi45OTEuMzEvMDcvMjAyNi4uLlVTRC5IAQAAACB6BQADAAAAAADWR/YwO+/eCGPqqzI7794IOENJUS5OQVNEQVE6Q0FMTS5JUV9DSEFOR0VfREVGX1RBWC45OTIuMzEvMDcvMjAyNi4uLlVTRC5IAQAAACB6BQADAAAAAADWR/YwO+/eCMu2wzQ7794IPUNJUS5OQVNEQVE6Q0FMTS5JUV9OT05DQVNIX1BFTlNJT05fRVhQLjk5My4zMS8wNy8yMDI2Li4uVVNELkgBAAAAIHoFAAIAAAAFMC4zNzcBCAAAAAUAAAABMQEAAAALLTIxNDI0MjkwMzkDAAAAAzE2MAIAAAAFMjE2NzgEAAAAATAHAAAACTcvMzEvMjAyNggAAAAINi8xLzIwMTkJ</t>
  </si>
  <si>
    <t>AAAAATDM2xcxO+/eCOgVzDQ7794IQkNJUS5OQVNEQVE6Q0FMTS5JUV9JTVBVVF9PUEVSX0xFQVNFX0lOVF9FWFAuOTkwLjMxLzA3LzIwMjYuLi5VU0QuSAEAAAAgegUAAgAAAAgxLjkzMTU5MgEIAAAABQAAAAExAQAAAAoxODk2ODIwNTE3AwAAAAMxNjACAAAABTIxNjcyBAAAAAEwBwAAAAk3LzMxLzIwMjYIAAAACTUvMjgvMjAxNgkAAAABMPEpGDE7794IXIahMjvv3gg3Q0lRLk5BU0RBUTpDQUxNLklRX0FJUkNSQUZUX1JFTlQuOTkzLjMxLzA3LzIwMjYuLi5VU0QuSAEAAAAgegUAAwAAAAAA6QIYMTvv3gh3K8o0O+/eCDNDSVEuTkFTREFROkNBTE0uSVFfUkRfRVhQX0ZOLjk5Mi4zMS8wNy8yMDI2Li4uVVNELkgBAAAAIHoFAAMAAAAAAOkCGDE7794IjPDKNDvv3gg9Q0lRLk5BU0RBUTpDQUxNLklRX0xFR0FMX1NFVFRMRV9TVVBQTEUuOTkxLjMxLzA3LzIwMjYuLi5VU0QuSAEAAAAgegUAAwAAAAAA8SkYMTvv3ggmSKMyO+/eCDZDSVEuTkFTREFROkNBTE0uSVFfRUJJVEFfRVFfSU5DLjk5Mi4zMS8wNy8yMDI2Li4uVVNELkgBAAAAIHoFAAIAAAAHMTg4LjA0NwEIAAAABQAAAAExAQAAAAoyMDQ1NzQ5MzEwAwAAAAMxNjACAAAABTIxNjc2BAAAAAEwBwAAAAk3LzMxLzIwMjYIAAAACDYvMi8yMDE4CQAAAAEwqo0XMTvv3ghql880O+/eCC9DSVEuTkFTREFROkNBTE0uSVFfRUJJVC4yMDAwLjMxLzA3LzIw</t>
  </si>
  <si>
    <t>MjYuLi5VU0QuSAEAAAAgegUAAgAAAAczNDMuMzUyAQgAAAAFAAAAATEBAAAACy0xODgxMDY4Mjk1AwAAAAMxNjACAAAAAzQwMAQAAAABMAcAAAAJNy8zMS8yMDI2CAAAAAk1LzMwLzIwMjYJAAAAATDq5ooxO+/eCLjelzI7794IS0NJUS5OQVNEQVE6Q0FMTS5JUV9JTlRFUkVTVF9FWFBfTEVBU0VfTElBQklMSVRZX0RFQlQuOTkwLjMxLzA3LzIwMjYuLi5VU0QuSAEAAAAgegUAAwAAAAAAzNsXMTvv3gjMZJ0yO+/eCD5DSVEuTkFTREFROkNBTE0uSVFfREVGRVJSRURfVEFYRVNfVE9UQUwuOTkyLjMxLzA3LzIwMjYuLi5VU0QuSAEAAAAgegUAAgAAAActMzMuODA5AQgAAAAFAAAAATEBAAAACjIwNDU3NDkzMTADAAAAAzE2MAIAAAAFMzUzODUEAAAAATAHAAAACTcvMzEvMjAyNggAAAAINi8yLzIwMTgJAAAAATC9tBcxO+/eCEEAzTQ7794IQUNJUS5OQVNEQVE6Q0FMTS5JUV9FWENJU0VfVEFYRVNfSU5DTF9TQUxFUy45OTEuMzEvMDcvMjAyNi4uLlVTRC5IAQAAACB6BQADAAAAAAC9tBcxO+/eCHFnmzI7794IMkNJUS5OQVNEQVE6Q0FMTS5JUV9FQlRfRVhDTC45OTEuMzEvMDcvMjAyNi4uLlVTRC5IAQAAACB6BQACAAAACC0xMTAuODU0AQgAAAAFAAAAATEBAAAACjE5NzIwMTIxMjEDAAAAAzE2MAIAAAABNAQAAAABMAcAAAAJNy8zMS8yMDI2CAAAAAg2LzMvMjAxNwkAAAABMMOYijE7794I1DKRMjvv3ghO</t>
  </si>
  <si>
    <t>Q0lRLk5BU0RBUTpDQUxNLklRX0RJU1RSSUJVVEFCTEVfQ0FTSF9QRVJfU0hBUkVfRElMVVRFRC45OTEuMzEvMDcvMjAyNi4uLlVTRC5IAQAAACB6BQADAAAAAADTv4oxO+/eCPWflTI7794IMkNJUS5OQVNEQVE6Q0FMTS5JUV9FUFNfTk9STS45OTIuMzEvMDcvMjAyNi4uLlVTRC5IAQAAACB6BQACAAAACDIuNTYxNTM0AQgAAAAFAAAAATEBAAAACjIwNDU3NDkzMTADAAAAAzE2MAIAAAAENDM3OQQAAAABMAcAAAAJNy8zMS8yMDI2CAAAAAg2LzIvMjAxOAkAAAABMNO/ijE7794IE+zRNDvv3gg8Q0lRLk5BU0RBUTpDQUxNLklRX1NQRUNJQUxfRElWX1NIQVJFLjIwMDAuMzEvMDcvMjAyNi4uLlVTRC5IAQAAACB6BQADAAAAAADq5ooxO+/eCONlljI7794IOUNJUS5OQVNEQVE6Q0FMTS5JUV9UT1RBTF9SRVZfU0hBUkUuOTkyLjMxLzA3LzIwMjYuLi5VU0QuSAEAAAAgegUAAgAAAAkzMS4wODI0OTcBCAAAAAUAAAABMQEAAAAKMjA0NTc0OTMxMAMAAAADMTYwAgAAAAQ0MzgyBAAAAAEwBwAAAAk3LzMxLzIwMjYIAAAACDYvMi8yMDE4CQAAAAEw07+KMTvv3ggKntE0O+/eCDhDSVEuTkFTREFROkNBTE0uSVFfR1dfSU5UQU5fQU1PUlQuOTkyLjMxLzA3LzIwMjYuLi5VU0QuSAEAAAAgegUAAwAAAAAAwHGKMTvv3ghJ5dU0O+/eCDhDSVEuTkFTREFROkNBTE0uSVFfUFJFX09QRU5fQ09TVC4yMDAwLjMxLzA3LzIw</t>
  </si>
  <si>
    <t>MjYuLi5VU0QuSAEAAAAgegUAAwAAAAAAwHGKMTvv3gjh4Y4yO+/eCDdDSVEuTkFTREFROkNBTE0uSVFfRVhQTE9SRV9EUklMTC45OTMuMzEvMDcvMjAyNi4uLlVTRC5IAQAAACB6BQADAAAAAADAcYoxO+/eCJbX1jQ7794ILENJUS5OQVNEQVE6Q0FMTS5JUV9HUC45OTAuMzEvMDcvMjAyNi4uLlVTRC5IAQAAACB6BQACAAAABzY0OC4wNzQBCAAAAAUAAAABMQEAAAAKMTg5NjgyMDUxNwMAAAADMTYwAgAAAAIxMAQAAAABMAcAAAAJNy8zMS8yMDI2CAAAAAk1LzI4LzIwMTYJAAAAATDAcYoxO+/eCKKkjTI7794IPUNJUS5OQVNEQVE6Q0FMTS5JUV9JTlRFUkVTVF9JTlZFU1RfSU5DLjk5MC4zMS8wNy8yMDI2Li4uVVNELkgBAAAAIHoFAAIAAAAGMTEuMjQ0AQgAAAAFAAAAATEBAAAACjE4OTY4MjA1MTcDAAAAAzE2MAIAAAACNjUEAAAAATAHAAAACTcvMzEvMjAyNggAAAAJNS8yOC8yMDE2CQAAAAEww5iKMTvv3gh4QpAyO+/eCDVDSVEuTkFTREFROkNBTE0uSVFfRklOX0RJVl9SRVYuOTkwLjMxLzA3LzIwMjYuLi5VU0QuSAEAAAAgegUAAwAAAAAAwHGKMTvv3gikQYkyO+/eCEBDSVEuTkFTREFROkNBTE0uSVFfRUJJVERBX0VRX0lOQ19FWENMX1NCQy45OTIuMzEvMDcvMjAyNi4uLlVTRC5IAQAAACB6BQACAAAABjI0Mi43NAEIAAAABQAAAAExAQAAAAoyMDQ1NzQ5MzEwAwAAAAMxNjACAAAABTI0MTMxBAAA</t>
  </si>
  <si>
    <t>AAEwBwAAAAk3LzMxLzIwMjYIAAAACDYvMi8yMDE4CQAAAAEw6uaKMTvv3gjkKNE0O+/eCDJDSVEuTkFTREFROkNBTE0uSVFfUEVSSU9ETEVOR1RIX0lTLjIwMDAuMzEvMDcvMjAyNgEAAAAgegUAAQAAAAIxMgDq5ooxO+/eCB5d1jI7794IO0NJUS5OQVNEQVE6Q0FMTS5JUV9TUEVDSUFMX0RJVl9TSEFSRS45OTIuMzEvMDcvMjAyNi4uLlVTRC5IAQAAACB6BQADAAAAAADTv4oxO+/eCBt30TQ7794IOUNJUS5OQVNEQVE6Q0FMTS5JUV9PVEhFUl9SRVZfU1VQUEwuOTkxLjMxLzA3LzIwMjYuLi5VU0QuSAEAAAAgegUAAwAAAAAAwHGKMTvv3ggqG4oyO+/eCDhDSVEuTkFTREFROkNBTE0uSVFfQ1JFRElUX0xPU1NfQ0YuOTkzLjMxLzA3LzIwMjYuLi5VU0QuSAEAAAAgegUAAwAAAAAA1kf2MDvv3gjVKsU0O+/eCC9DSVEuTkFTREFROkNBTE0uSVFfREFfQ0YuOTkyLjMxLzA3LzIwMjYuLi5VU0QuSAEAAAAgegUAAgAAAAY1NC4wMjYBCAAAAAUAAAABMQEAAAAKMjA0NTc0OTMxMAMAAAADMTYwAgAAAAQyMTYwBAAAAAEwBwAAAAk3LzMxLzIwMjYIAAAACDYvMi8yMDE4CQAAAAEwziD2MDvv3ggPx8U0O+/eCDRDSVEuTkFTREFROkNBTE0uSVFfQ09NTU9OX1JFUC45OTIuMzEvMDcvMjAyNi4uLlVTRC5IAQAAACB6BQACAAAABi0xLjEyOAEIAAAABQAAAAExAQAAAAoyMDQ1NzQ5MzEwAwAAAAMxNjACAAAABDIxNjQE</t>
  </si>
  <si>
    <t>AAAAATAHAAAACTcvMzEvMjAyNggAAAAINi8yLzIwMTgJAAAAATDmbvYwO+/eCP6SwTQ7794INkNJUS5OQVNEQVE6Q0FMTS5JUV9DQVNIX0lOVkVTVC4yMDAwLjMxLzA3LzIwMjYuLi5VU0QuSAEAAAAgegUAAgAAAAgtNTAzLjg4NAEIAAAABQAAAAExAQAAAAstMTg4MTA2ODI5NQMAAAADMTYwAgAAAAQyMDA1BAAAAAEwBwAAAAk3LzMxLzIwMjYIAAAACTUvMzAvMjAyNgkAAAABMOZu9jA7794IkOisMjvv3ggzQ0lRLk5BU0RBUTpDQUxNLklRX0RJVkVTVF9DRi45OTIuMzEvMDcvMjAyNi4uLlVTRC5IAQAAACB6BQADAAAAAADWR/YwO+/eCIUtwzQ7794ISkNJUS5OQVNEQVE6Q0FMTS5JUV9ESVNUUklCVVRBQkxFX0NBU0hfU1RBTkRBUkRJWkVELjIwMDAuMzEvMDcvMjAyNi4uLlVTRC5IAQAAACB6BQADAAAAAADM2xcxO+/eCD5xnjI7794IO0NJUS5OQVNEQVE6Q0FMTS5JUV9TVE9DS19CQVNFRF9PVEhFUi45OTEuMzEvMDcvMjAyNi4uLlVTRC5IAQAAACB6BQADAAAAAADOIPYwO+/eCJ7ipDI7794IOkNJUS5OQVNEQVE6Q0FMTS5JUV9TVE9DS19CQVNFRF9DT0dTLjk5Mi4zMS8wNy8yMDI2Li4uVVNELkgBAAAAIHoFAAMAAAAAABpRGDE7794IqxvINDvv3gg9Q0lRLk5BU0RBUTpDQUxNLklRX0xFR0FMX1NFVFRMRV9TVVBQTEUuOTkyLjMxLzA3LzIwMjYuLi5VU0QuSAEAAAAgegUAAwAAAAAA8SkYMTvv3gjw</t>
  </si>
  <si>
    <t>kMg0O+/eCDpDSVEuTkFTREFROkNBTE0uSVFfVE9UQUxfUkVWXzFZUl9BTk5fR1JPV1RILjk5My4zMS8wNy8yMDI2AQAAACB6BQACAAAABy05LjQzMTIBCAAAAAUAAAABMQEAAAALLTIxNDI0MjkwMzkDAAAAAzE2MAIAAAAENDE5NAQAAAABMAcAAAAJNy8zMS8yMDI2CAAAAAg2LzEvMjAxOQkAAAABMLKIhzA7794INpagNDvv3ggyQ0lRLk5BU0RBUTpDQUxNLklRX0VQU181WVJfQU5OX0NBR1IuOTkxLjMxLzA3LzIwMjYBAAAAIHoFAAMAAAACTk0BCAAAAAUAAAABMQEAAAAKMTk3MjAxMjEyMQMAAAADMTYwAgAAAAQ0MjM5BAAAAAEwBwAAAAk3LzMxLzIwMjYIAAAACDYvMy8yMDE3CQAAAAEwsoiHMDvv3ggyvuMyO+/eCDFDSVEuTkFTREFROkNBTE0uSVFfR1BfNVlSX0FOTl9DQUdSLjk5My4zMS8wNy8yMDI2AQAAACB6BQACAAAABy01Ljk0NDMBCAAAAAUAAAABMQEAAAALLTIxNDI0MjkwMzkDAAAAAzE2MAIAAAAENDIzNAQAAAABMAcAAAAJNy8zMS8yMDI2CAAAAAg2LzEvMjAxOQkAAAABMLKIhzA7794I7XCfNDvv3ghIQ0lRLk5BU0RBUTpDQUxNLklRX05FVF9ERUJUX0VCSVREQV9FWENMX09QRVJfTEVBU0VTX0NBUEVYLjk5My4zMS8wNy8yMDI2AQAAACB6BQADAAAAAk5NAQgAAAAFAAAAATEBAAAACy0yMTQyNDI5MDM5AwAAAAMxNjACAAAABTQ5MTgyBAAAAAEwBwAAAAk3LzMxLzIwMjYIAAAACDYvMS8y</t>
  </si>
  <si>
    <t>MDE5CQAAAAEwsoiHMDvv3giE5KA0O+/eCDpDSVEuTkFTREFROkNBTE0uSVFfVE9UQUxfREVCVF9FQklUREFfQ0FQRVguMjAwMC4zMS8wNy8yMDI2AQAAACB6BQADAAAAAACyiIcwO+/eCKB04DI7794IRENJUS5OQVNEQVE6Q0FMTS5JUV9UT1RBTF9ERUJUX0VCSVREQV9FWENMX09QRVJfTEVBU0VTLjk5MS4zMS8wNy8yMDI2AQAAACB6BQADAAAAAk5NAQgAAAAFAAAAATEBAAAACjE5NzIwMTIxMjEDAAAAAzE2MAIAAAAFNDg5OTQEAAAAATAHAAAACTcvMzEvMjAyNggAAAAINi8zLzIwMTcJAAAAATACdYcwO+/eCEz/3zI7794IMkNJUS5OQVNEQVE6Q0FMTS5JUV9HUF8zWVJfQU5OX0NBR1IuMjAwMC4zMS8wNy8yMDI2AQAAACB6BQACAAAABy0xNy40OTEBCAAAAAUAAAABMQEAAAALLTE4ODEwNjgyOTUDAAAAAzE2MAIAAAAENDIyMQQAAAABMAcAAAAJNy8zMS8yMDI2CAAAAAk1LzMwLzIwMjYJAAAAATCyiIcwO+/eCH1K4jI7794IM0NJUS5OQVNEQVE6Q0FMTS5JUV9OSV8xWVJfQU5OX0dST1dUSC45OTEuMzEvMDcvMjAyNgEAAAAgegUAAwAAAAJOTQEIAAAABQAAAAExAQAAAAoxOTcyMDEyMTIxAwAAAAMxNjACAAAABDQxOTkEAAAAATAHAAAACTcvMzEvMjAyNggAAAAINi8zLzIwMTcJAAAAATCyiIcwO+/eCErB4TI7794IM0NJUS5OQVNEQVE6Q0FMTS5JUV9EQVlTX1BBWUFCTEVfT1VULjIwMDAuMzEvMDcv</t>
  </si>
  <si>
    <t>MjAyNgEAAAAgegUAAgAAAAkxNS40NzAzNjQBCAAAAAUAAAABMQEAAAALLTE4ODEwNjgyOTUDAAAAAzE2MAIAAAAENDE4MwQAAAABMAcAAAAJNy8zMS8yMDI2CAAAAAk1LzMwLzIwMjYJAAAAATBL340wO+/eCIMW3jI7794IMkNJUS5OQVNEQVE6Q0FMTS5JUV9DRk9fQ1VSUkVOVF9MSUFCLjk5MS4zMS8wNy8yMDI2AQAAACB6BQACAAAACS0wLjcwOTkzNgEIAAAABQAAAAExAQAAAAoxOTcyMDEyMTIxAwAAAAMxNjACAAAABDQxODUEAAAAATAHAAAACTcvMzEvMjAyNggAAAAINi8zLzIwMTcJAAAAATAhuI0wO+/eCAJj3TI7794IMkNJUS5OQVNEQVE6Q0FMTS5JUV9FQklUREFfQ0FQRVhfSU5ULjk5MS4zMS8wNy8yMDI2AQAAACB6BQADAAAAAk5NAQgAAAAFAAAAATEBAAAACjE5NzIwMTIxMjEDAAAAAzE2MAIAAAAENDE5MQQAAAABMAcAAAAJNy8zMS8yMDI2CAAAAAg2LzMvMjAxNwkAAAABMEvfjTA7794IBGPfMjvv3gg5Q0lRLk5BU0RBUTpDQUxNLklRX1RPVEFMX0xJQUJfVE9UQUxfQVNTRVRTLjk5My4zMS8wNy8yMDI2AQAAACB6BQACAAAABzE0LjM5NzIBCAAAAAUAAAABMQEAAAALLTIxNDI0MjkwMzkDAAAAAzE2MAIAAAAENDE4OAQAAAABMAcAAAAJNy8zMS8yMDI2CAAAAAg2LzEvMjAxOQkAAAABMEvfjTA7794I5TGiNDvv3gg1Q0lRLk5BU0RBUTpDQUxNLklRX1RPVEFMX0RFQlRfQ0FQSVRBTC4yMDAw</t>
  </si>
  <si>
    <t>LjMxLzA3LzIwMjYBAAAAIHoFAAMAAAAAAEvfjTA7794IvIveMjvv3ghEQ0lRLk5BU0RBUTpDQUxNLklRX1RPVEFMX0RFQlRfRUJJVERBX0VYQ0xfT1BFUl9MRUFTRVMuOTkyLjMxLzA3LzIwMjYBAAAAIHoFAAIAAAAIMC4wMjU4MzEBCAAAAAUAAAABMQEAAAAKMjA0NTc0OTMxMAMAAAADMTYwAgAAAAU0ODk5NAQAAAABMAcAAAAJNy8zMS8yMDI2CAAAAAg2LzIvMjAxOAkAAAABMAJ1hzA7794Ipm2hNDvv3gg1Q0lRLk5BU0RBUTpDQUxNLklRX0VCSVREQV8zWVJfQU5OX0NBR1IuOTkwLjMxLzA3LzIwMjYBAAAAIHoFAAIAAAAHNjIuMjY2MQEIAAAABQAAAAExAQAAAAoxODk2ODIwNTE3AwAAAAMxNjACAAAABDQyMjIEAAAAATAHAAAACTcvMzEvMjAyNggAAAAJNS8yOC8yMDE2CQAAAAEwsoiHMDvv3gh9SuIyO+/eCDNDSVEuTkFTREFROkNBTE0uSVFfTklfMVlSX0FOTl9HUk9XVEguOTkyLjMxLzA3LzIwMjYBAAAAIHoFAAMAAAACTk0BCAAAAAUAAAABMQEAAAAKMjA0NTc0OTMxMAMAAAADMTYwAgAAAAQ0MTk5BAAAAAEwBwAAAAk3LzMxLzIwMjYIAAAACDYvMi8yMDE4CQAAAAEwsoiHMDvv3ggZSKA0O+/eCDJDSVEuTkFTREFROkNBTE0uSVFfRVBTXzVZUl9BTk5fQ0FHUi45OTIuMzEvMDcvMjAyNgEAAAAgegUAAgAAAAcxOS44ODI4AQgAAAAFAAAAATEBAAAACjIwNDU3NDkzMTADAAAAAzE2MAIAAAAENDIz</t>
  </si>
  <si>
    <t>OQQAAAABMAcAAAAJNy8zMS8yMDI2CAAAAAg2LzIvMjAxOAkAAAABMLKIhzA7794I1yKfNDvv3ggqQ0lRLk5BU0RBUTpDQUxNLklRX0FSX1RVUk5TLjk5My4zMS8wNy8yMDI2AQAAACB6BQACAAAACTE5Ljc1NzQyNwEIAAAABQAAAAExAQAAAAstMjE0MjQyOTAzOQMAAAADMTYwAgAAAAQ0MDAxBAAAAAEwBwAAAAk3LzMxLzIwMjYIAAAACDYvMS8yMDE5CQAAAAEwIbiNMDvv3giVkqM0O+/eCC1DSVEuTkFTREFROkNBTE0uSVFfRUJJVF9NQVJHSU4uOTkwLjMxLzA3LzIwMjYBAAAAIHoFAAIAAAAHMjQuNjQxMQEIAAAABQAAAAExAQAAAAoxODk2ODIwNTE3AwAAAAMxNjACAAAABDQwNTMEAAAAATAHAAAACTcvMzEvMjAyNggAAAAJNS8yOC8yMDE2CQAAAAEwIbiNMDvv3ght6NsyO+/eCDJDSVEuTkFTREFROkNBTE0uSVFfREFZU19QQVlBQkxFX09VVC45OTIuMzEvMDcvMjAyNgEAAAAgegUAAgAAAAkxMC44MzczNzIBCAAAAAUAAAABMQEAAAAKMjA0NTc0OTMxMAMAAAADMTYwAgAAAAQ0MTgzBAAAAAEwBwAAAAk3LzMxLzIwMjYIAAAACDYvMi8yMDE4CQAAAAEwS9+NMDvv3gi6zqI0O+/eCDJDSVEuTkFTREFROkNBTE0uSVFfQ0ZPX0NVUlJFTlRfTElBQi45OTIuMzEvMDcvMjAyNgEAAAAgegUAAgAAAAgxLjg1ODQ4MgEIAAAABQAAAAExAQAAAAoyMDQ1NzQ5MzEwAwAAAAMxNjACAAAABDQxODUEAAAAATAHAAAA</t>
  </si>
  <si>
    <t>CTcvMzEvMjAyNggAAAAINi8yLzIwMTgJAAAAATAhuI0wO+/eCE1EozQ7794IMENJUS5OQVNEQVE6Q0FMTS5JUV9MVF9ERUJUX0VRVUlUWS45OTAuMzEvMDcvMjAyNgEAAAAgegUAAgAAAAYxLjAwODMBCAAAAAUAAAABMQEAAAAKMTg5NjgyMDUxNwMAAAADMTYwAgAAAAQ0MDg1BAAAAAEwBwAAAAk3LzMxLzIwMjYIAAAACTUvMjgvMjAxNgkAAAABMEvfjTA7794IvIveMjvv3ghKQ0lRLk5BU0RBUTpDQUxNLklRX1RPVEFMX0RFQlRfRUJJVERBX0VYQ0xfT1BFUl9MRUFTRVNfQ0FQRVguOTkwLjMxLzA3LzIwMjYBAAAAIHoFAAIAAAAIMC4wNTgyNzUBCAAAAAUAAAABMQEAAAAKMTg5NjgyMDUxNwMAAAADMTYwAgAAAAU0OTE4MwQAAAABMAcAAAAJNy8zMS8yMDI2CAAAAAk1LzI4LzIwMTYJAAAAATCyiIcwO+/eCKB04DI7794IPUNJUS5OQVNEQVE6Q0FMTS5JUV9MVF9ERUJUX0RFUklWQVRJVkVTLjk5Mi4zMS8wNy8yMDI2Li4uVVNELkgBAAAAIHoFAAMAAAAAAM6QjTA7794ISZ6qNDvv3ggwQ0lRLk5BU0RBUTpDQUxNLklRX0dXX05FVC45OTIuMzEvMDcvMjAyNi4uLlVTRC5IAQAAACB6BQADAAAAAADOkI0wO+/eCDdSqTQ7794IL0NJUS5OQVNEQVE6Q0FMTS5JUV9SRVRVUk5fRVFVSVRZLjk5Mi4zMS8wNy8yMDI2AQAAACB6BQACAAAABzE0LjAyMDQBCAAAAAUAAAABMQEAAAAKMjA0NTc0OTMxMAMAAAADMTYw</t>
  </si>
  <si>
    <t>AgAAAAQ0MTI4BAAAAAEwBwAAAAk3LzMxLzIwMjYIAAAACDYvMi8yMDE4CQAAAAEwIbiNMDvv3gi6zqQ0O+/eCDlDSVEuTkFTREFROkNBTE0uSVFfSU5URVJDT01QQU5ZX0NMLjk5MC4zMS8wNy8yMDI2Li4uVVNELkgBAAAAIHoFAAMAAAAAACG4jTA7794Iiv3TMjvv3ggtQ0lRLk5BU0RBUTpDQUxNLklRX0FTU0VUX1RVUk5TLjk5MC4zMS8wNy8yMDI2AQAAACB6BQACAAAACDEuODcwODQyAQgAAAAFAAAAATEBAAAACjE4OTY4MjA1MTcDAAAAAzE2MAIAAAAENDE3NwQAAAABMAcAAAAJNy8zMS8yMDI2CAAAAAk1LzI4LzIwMTYJAAAAATAhuI0wO+/eCI5K3DI7794INENJUS5OQVNEQVE6Q0FMTS5JUV9HUF8xWVJfQU5OX0dST1dUSC4yMDAwLjMxLzA3LzIwMjYBAAAAIHoFAAIAAAAILTYzLjY5MDQBCAAAAAUAAAABMQEAAAALLTE4ODEwNjgyOTUDAAAAAzE2MAIAAAAENDE5NQQAAAABMAcAAAAJNy8zMS8yMDI2CAAAAAk1LzMwLzIwMjYJAAAAATCyiIcwO+/eCBua4TI7794IMkNJUS5OQVNEQVE6Q0FMTS5JUV9FUFNfNVlSX0FOTl9DQUdSLjk5My4zMS8wNy8yMDI2AQAAACB6BQACAAAACC0xMy4xMTY5AQgAAAAFAAAAATEBAAAACy0yMTQyNDI5MDM5AwAAAAMxNjACAAAABDQyMzkEAAAAATAHAAAACTcvMzEvMjAyNggAAAAINi8xLzIwMTkJAAAAATCyiIcwO+/eCNcinzQ7794INkNJUS5OQVNEQVE6Q0FMTS5J</t>
  </si>
  <si>
    <t>UV9FQklUREFfNVlSX0FOTl9DQUdSLjIwMDAuMzEvMDcvMjAyNgEAAAAgegUAAgAAAAc2Ni44MjU2AQgAAAAFAAAAATEBAAAACy0xODgxMDY4Mjk1AwAAAAMxNjACAAAABDQyMzUEAAAAATAHAAAACTcvMzEvMjAyNggAAAAJNS8zMC8yMDI2CQAAAAEwsoiHMDvv3ggJcOMyO+/eCDJDSVEuTkFTREFROkNBTE0uSVFfRVBTXzNZUl9BTk5fQ0FHUi45OTEuMzEvMDcvMjAyNgEAAAAgegUAAwAAAAJOTQEIAAAABQAAAAExAQAAAAoxOTcyMDEyMTIxAwAAAAMxNjACAAAABDQyMjYEAAAAATAHAAAACTcvMzEvMjAyNggAAAAINi8zLzIwMTcJAAAAATCyiIcwO+/eCHnT4jI7794IQ0NJUS5OQVNEQVE6Q0FMTS5JUV9ERVJJVkFUSVZFX0FTU0VUU19DVVJSRU5ULjk5MC4zMS8wNy8yMDI2Li4uVVNELkgBAAAAIHoFAAMAAAAAAM6QjTA7794IsuzRMjvv3gg9Q0lRLk5BU0RBUTpDQUxNLklRX1RPVEFMX1JFVl9FTVBMT1lFRS4yMDAwLjMxLzA3LzIwMjYuLi5VU0QuSAEAAAAgegUAAgAAAAc2MDIuMDc0AQgAAAAFAAAAATEBAAAACy0xODgxMDY4Mjk1AwAAAAMxNjACAAAABDQxMjMEAAAAATAHAAAACTcvMzEvMjAyNggAAAAJNS8zMC8yMDI2CQAAAAEwsoiHMDvv3gh6S9QyO+/eCEpDSVEuTkFTREFROkNBTE0uSVFfVE9UQUxfREVCVF9FQklUREFfRVhDTF9PUEVSX0xFQVNFU19DQVBFWC45OTEuMzEvMDcvMjAyNgEAAAAg</t>
  </si>
  <si>
    <t>egUAAwAAAAJOTQEIAAAABQAAAAExAQAAAAoxOTcyMDEyMTIxAwAAAAMxNjACAAAABTQ5MTgzBAAAAAEwBwAAAAk3LzMxLzIwMjYIAAAACDYvMy8yMDE3CQAAAAEwsoiHMDvv3gigdOAyO+/eCERDSVEuTkFTREFROkNBTE0uSVFfVE9UQUxfREVCVF9FQklUREFfRVhDTF9PUEVSX0xFQVNFUy45OTMuMzEvMDcvMjAyNgEAAAAgegUAAgAAAAgwLjAyNTQyMgEIAAAABQAAAAExAQAAAAstMjE0MjQyOTAzOQMAAAADMTYwAgAAAAU0ODk5NAQAAAABMAcAAAAJNy8zMS8yMDI2CAAAAAg2LzEvMjAxOQkAAAABMAJ1hzA7794Ipm2hNDvv3gg1Q0lRLk5BU0RBUTpDQUxNLklRX0VCSVREQV8zWVJfQU5OX0NBR1IuOTkxLjMxLzA3LzIwMjYBAAAAIHoFAAMAAAACTk0BCAAAAAUAAAABMQEAAAAKMTk3MjAxMjEyMQMAAAADMTYwAgAAAAQ0MjIyBAAAAAEwBwAAAAk3LzMxLzIwMjYIAAAACDYvMy8yMDE3CQAAAAEwsoiHMDvv3gh9SuIyO+/eCDNDSVEuTkFTREFROkNBTE0uSVFfTklfMVlSX0FOTl9HUk9XVEguOTkzLjMxLzA3LzIwMjYBAAAAIHoFAAIAAAAILTU2LjkzNzkBCAAAAAUAAAABMQEAAAALLTIxNDI0MjkwMzkDAAAAAzE2MAIAAAAENDE5OQQAAAABMAcAAAAJNy8zMS8yMDI2CAAAAAg2LzEvMjAxOQkAAAABMLKIhzA7794IGUigNDvv3ghKQ0lRLk5BU0RBUTpDQUxNLklRX1RPVEFMX0RFQlRfRUJJVERBX0VYQ0xf</t>
  </si>
  <si>
    <t>T1BFUl9MRUFTRVNfQ0FQRVguOTkyLjMxLzA3LzIwMjYBAAAAIHoFAAIAAAAIMC4wMjgxODMBCAAAAAUAAAABMQEAAAAKMjA0NTc0OTMxMAMAAAADMTYwAgAAAAU0OTE4MwQAAAABMAcAAAAJNy8zMS8yMDI2CAAAAAg2LzIvMjAxOAkAAAABMLKIhzA7794IkQuhNDvv3gg3Q0lRLk5BU0RBUTpDQUxNLklRX0VCSVREQV8xWVJfQU5OX0dST1dUSC45OTAuMzEvMDcvMjAyNgEAAAAgegUAAgAAAAY4Ni41MzEBCAAAAAUAAAABMQEAAAAKMTg5NjgyMDUxNwMAAAADMTYwAgAAAAQ0MTk2BAAAAAEwBwAAAAk3LzMxLzIwMjYIAAAACTUvMjgvMjAxNgkAAAABMLKIhzA7794IW3PhMjvv3ggzQ0lRLk5BU0RBUTpDQUxNLklRX0VCSVRfNVlSX0FOTl9DQUdSLjk5MC4zMS8wNy8yMDI2AQAAACB6BQACAAAABzQyLjkwNzMBCAAAAAUAAAABMQEAAAAKMTg5NjgyMDUxNwMAAAADMTYwAgAAAAQ0MjM2BAAAAAEwBwAAAAk3LzMxLzIwMjYIAAAACTUvMjgvMjAxNgkAAAABMLKIhzA7794IDUnjMjvv3ggyQ0lRLk5BU0RBUTpDQUxNLklRX0VQU18zWVJfQU5OX0NBR1IuOTkyLjMxLzA3LzIwMjYBAAAAIHoFAAIAAAAHLTcuOTE3NwEIAAAABQAAAAExAQAAAAoyMDQ1NzQ5MzEwAwAAAAMxNjACAAAABDQyMjYEAAAAATAHAAAACTcvMzEvMjAyNggAAAAINi8yLzIwMTgJAAAAATCyiIcwO+/eCP2XnzQ7794IK0NJUS5OQVNEQVE6Q0FM</t>
  </si>
  <si>
    <t>TS5JUV9FQklUX0lOVC4yMDAwLjMxLzA3LzIwMjYBAAAAIHoFAAIAAAAKNjE3LjUzOTU2OAEIAAAABQAAAAExAQAAAAstMTg4MTA2ODI5NQMAAAADMTYwAgAAAAQ0MTg5BAAAAAEwBwAAAAk3LzMxLzIwMjYIAAAACTUvMzAvMjAyNgkAAAABMEvfjTA7794I1DvfMjvv3ggvQ0lRLk5BU0RBUTpDQUxNLklRX0NVUlJFTlRfUkFUSU8uOTkwLjMxLzA3LzIwMjYBAAAAIHoFAAIAAAAINy41MDQ3OTkBCAAAAAUAAAABMQEAAAAKMTg5NjgyMDUxNwMAAAADMTYwAgAAAAQ0MDMwBAAAAAEwBwAAAAk3LzMxLzIwMjYIAAAACTUvMjgvMjAxNgkAAAABMCG4jTA7794IkBTdMjvv3ghDQ0lRLk5BU0RBUTpDQUxNLklRX0VCSVREQV9FWENMX09QRVJfTEVBU0VTX0NBUEVYX0lOVC45OTAuMzEvMDcvMjAyNgEAAAAgegUAAgAAAAozNzkuNTY4MzM5AQgAAAAFAAAAATEBAAAACjE4OTY4MjA1MTcDAAAAAzE2MAIAAAAFNDkxNzQEAAAAATAHAAAACTcvMzEvMjAyNggAAAAJNS8yOC8yMDE2CQAAAAEwS9+NMDvv3ggosd8yO+/eCCxDSVEuTkFTREFROkNBTE0uSVFfRUJJVERBX0lOVC45OTAuMzEvMDcvMjAyNgEAAAAgegUAAgAAAAo0NDUuNDIwNDE1AQgAAAAFAAAAATEBAAAACjE4OTY4MjA1MTcDAAAAAzE2MAIAAAAENDE5MAQAAAABMAcAAAAJNy8zMS8yMDI2CAAAAAk1LzI4LzIwMTYJAAAAATBL340wO+/eCNQ73zI7794IMENJ</t>
  </si>
  <si>
    <t>US5OQVNEQVE6Q0FMTS5JUV9MVF9ERUJUX0VRVUlUWS45OTIuMzEvMDcvMjAyNgEAAAAgegUAAgAAAAYwLjI2NzIBCAAAAAUAAAABMQEAAAAKMjA0NTc0OTMxMAMAAAADMTYwAgAAAAQ0MDg1BAAAAAEwBwAAAAk3LzMxLzIwMjYIAAAACDYvMi8yMDE4CQAAAAEwS9+NMDvv3gj5k6I0O+/eCDxDSVEuTkFTREFROkNBTE0uSVFfVE9UQUxfUkVWX0VNUExPWUVFLjk5Mi4zMS8wNy8yMDI2Li4uVVNELkgBAAAAIHoFAAIAAAAFNDI5LjkBCAAAAAUAAAABMQEAAAAKMjA0NTc0OTMxMAMAAAADMTYwAgAAAAQ0MTIzBAAAAAEwBwAAAAk3LzMxLzIwMjYIAAAACDYvMi8yMDE4CQAAAAEwsoiHMDvv3ghKyKg0O+/eCENDSVEuTkFTREFROkNBTE0uSVFfREVSSVZBVElWRV9BU1NFVFNfQ1VSUkVOVC45OTIuMzEvMDcvMjAyNi4uLlVTRC5IAQAAACB6BQADAAAAAADOkI0wO+/eCCA8qjQ7794IP0NJUS5OQVNEQVE6Q0FMTS5JUV9BRFZBTkNFU19GT1JfU1VQUExJRVMuOTkwLjMxLzA3LzIwMjYuLi5VU0QuSAEAAAAgegUAAwAAAAAAzpCNMDvv3ghCEtMyO+/eCC9DSVEuTkFTREFROkNBTE0uSVFfUkVUVVJOX0FTU0VUUy45OTAuMzEvMDcvMjAyNgEAAAAgegUAAgAAAAcyOC44MTIzAQgAAAAFAAAAATEBAAAACjE4OTY4MjA1MTcDAAAAAzE2MAIAAAAENDE3OAQAAAABMAcAAAAJNy8zMS8yMDI2CAAAAAk1LzI4LzIwMTYJAAAA</t>
  </si>
  <si>
    <t>ATAhuI0wO+/eCFER2zI7794IMENJUS5OQVNEQVE6Q0FMTS5JUV9SRVNUQVRFTUVOVF9CUy45OTIuMzEvMDcvMjAyNgEAAAAgegUAAwAAAAJOQwAhuI0wO+/eCAUdpTQ7794ILUNJUS5OQVNEQVE6Q0FMTS5JUV9BU1NFVF9UVVJOUy45OTIuMzEvMDcvMjAyNgEAAAAgegUAAgAAAAYxLjM3NjYBCAAAAAUAAAABMQEAAAAKMjA0NTc0OTMxMAMAAAADMTYwAgAAAAQ0MTc3BAAAAAEwBwAAAAk3LzMxLzIwMjYIAAAACDYvMi8yMDE4CQAAAAEwIbiNMDvv3gi6B6Q0O+/eCDdDSVEuTkFTREFROkNBTE0uSVFfRUJJVERBXzFZUl9BTk5fR1JPV1RILjk5MS4zMS8wNy8yMDI2AQAAACB6BQADAAAAAk5NAQgAAAAFAAAAATEBAAAACjE5NzIwMTIxMjEDAAAAAzE2MAIAAAAENDE5NgQAAAABMAcAAAAJNy8zMS8yMDI2CAAAAAg2LzMvMjAxNwkAAAABMLKIhzA7794IW3PhMjvv3ggzQ0lRLk5BU0RBUTpDQUxNLklRX0VCSVRfNVlSX0FOTl9DQUdSLjk5MS4zMS8wNy8yMDI2AQAAACB6BQADAAAAAk5NAQgAAAAFAAAAATEBAAAACjE5NzIwMTIxMjEDAAAAAzE2MAIAAAAENDIzNgQAAAABMAcAAAAJNy8zMS8yMDI2CAAAAAg2LzMvMjAxNwkAAAABMLKIhzA7794IDUnjMjvv3ggyQ0lRLk5BU0RBUTpDQUxNLklRX0VQU18zWVJfQU5OX0NBR1IuOTkzLjMxLzA3LzIwMjYBAAAAIHoFAAIAAAAILTQ0LjQ1NzcBCAAAAAUAAAABMQEA</t>
  </si>
  <si>
    <t>AAALLTIxNDI0MjkwMzkDAAAAAzE2MAIAAAAENDIyNgQAAAABMAcAAAAJNy8zMS8yMDI2CAAAAAg2LzEvMjAxOQkAAAABMLKIhzA7794I/ZefNDvv3gg9Q0lRLk5BU0RBUTpDQUxNLklRX1NUX0RFQlRfREVSSVZBVElWRVMuOTkwLjMxLzA3LzIwMjYuLi5VU0QuSAEAAAAgegUAAwAAAAAAzpCNMDvv3gigJNEyO+/eCEJDSVEuTkFTREFROkNBTE0uSVFfQUNDVU1fQU1PUlRfSU5UQU5fQVNTRVRTLjk5Mi4zMS8wNy8yMDI2Li4uVVNELkgBAAAAIHoFAAIAAAAHLTI0LjAzMgEIAAAABQAAAAExAQAAAAoyMDQ1NzQ5MzEwAwAAAAMxNjACAAAABTI0MzMxBAAAAAEwBwAAAAk3LzMxLzIwMjYIAAAACDYvMi8yMDE4CQAAAAEwzpCNMDvv3ggTFao0O+/eCCpDSVEuTkFTREFROkNBTE0uSVFfRUJJVF9JTlQuOTkzLjMxLzA3LzIwMjYBAAAAIHoFAAIAAAAJNzEuMTM5NzUxAQgAAAAFAAAAATEBAAAACy0yMTQyNDI5MDM5AwAAAAMxNjACAAAABDQxODkEAAAAATAHAAAACTcvMzEvMjAyNggAAAAINi8xLzIwMTkJAAAAATBL340wO+/eCOUxojQ7794IMENJUS5OQVNEQVE6Q0FMTS5JUV9MVF9ERUJUX0VRVUlUWS45OTMuMzEvMDcvMjAyNgEAAAAgegUAAgAAAAYwLjA4NjYBCAAAAAUAAAABMQEAAAALLTIxNDI0MjkwMzkDAAAAAzE2MAIAAAAENDA4NQQAAAABMAcAAAAJNy8zMS8yMDI2CAAAAAg2LzEvMjAxOQkAAAABMEvf</t>
  </si>
  <si>
    <t>jTA7794I+ZOiNDvv3gg8Q0lRLk5BU0RBUTpDQUxNLklRX1RPVEFMX1JFVl9FTVBMT1lFRS45OTMuMzEvMDcvMjAyNi4uLlVTRC5IAQAAACB6BQACAAAABzQwMC4yMzEBCAAAAAUAAAABMQEAAAALLTIxNDI0MjkwMzkDAAAAAzE2MAIAAAAENDEyMwQAAAABMAcAAAAJNy8zMS8yMDI2CAAAAAg2LzEvMjAxOQkAAAABMLKIhzA7794ISsioNDvv3ggyQ0lRLk5BU0RBUTpDQUxNLklRX05FVF9ERUJUX0VCSVREQS4yMDAwLjMxLzA3LzIwMjYBAAAAIHoFAAMAAAACTk0BCAAAAAUAAAABMQEAAAALLTE4ODEwNjgyOTUDAAAAAzE2MAIAAAAENDE5MwQAAAABMAcAAAAJNy8zMS8yMDI2CAAAAAk1LzMwLzIwMjYJAAAAATACdYcwO+/eCFIm4DI7794INUNJUS5OQVNEQVE6Q0FMTS5JUV9FUFNfMVlSX0FOTl9HUk9XVEguMjAwMC4zMS8wNy8yMDI2AQAAACB6BQACAAAACC03My40MjY5AQgAAAAFAAAAATEBAAAACy0xODgxMDY4Mjk1AwAAAAMxNjACAAAABDQyMDAEAAAAATAHAAAACTcvMzEvMjAyNggAAAAJNS8zMC8yMDI2CQAAAAEwsoiHMDvv3ghcD+IyO+/eCDdDSVEuTkFTREFROkNBTE0uSVFfUkVUVVJOX0NPTU1PTl9FUVVJVFkuMjAwMC4zMS8wNy8yMDI2AQAAACB6BQACAAAABzEyLjE5NTYBCAAAAAUAAAABMQEAAAALLTE4ODEwNjgyOTUDAAAAAzE2MAIAAAAFMzMzMjAEAAAAATAHAAAACTcvMzEvMjAyNggAAAAJ</t>
  </si>
  <si>
    <t>NS8zMC8yMDI2CQAAAAEwIbiNMDvv3ghAmtsyO+/eCDJDSVEuTkFTREFROkNBTE0uSVFfQ0FTSF9DT05WRVJTSU9OLjIwMDAuMzEvMDcvMjAyNgEAAAAgegUAAgAAAAc2Mi44MjY0AQgAAAAFAAAAATEBAAAACy0xODgxMDY4Mjk1AwAAAAMxNjACAAAABDQxODQEAAAAATAHAAAACTcvMzEvMjAyNggAAAAJNS8zMC8yMDI2CQAAAAEwS9+NMDvv3gibPd4yO+/eCDBDSVEuTkFTREFROkNBTE0uSVFfREFZU19TQUxFU19PVVQuOTkxLjMxLzA3LzIwMjYBAAAAIHoFAAIAAAAJMjEuMjgxMzAyAQgAAAAFAAAAATEBAAAACjE5NzIwMTIxMjEDAAAAAzE2MAIAAAAENDA0MgQAAAABMAcAAAAJNy8zMS8yMDI2CAAAAAg2LzMvMjAxNwkAAAABMCG4jTA7794I4Z3dMjvv3ggvQ0lRLk5BU0RBUTpDQUxNLklRX0NVUlJFTlRfUkFUSU8uOTkxLjMxLzA3LzIwMjYBAAAAIHoFAAIAAAAINi43NDQxNjcBCAAAAAUAAAABMQEAAAAKMTk3MjAxMjEyMQMAAAADMTYwAgAAAAQ0MDMwBAAAAAEwBwAAAAk3LzMxLzIwMjYIAAAACDYvMy8yMDE3CQAAAAEwIbiNMDvv3giQFN0yO+/eCENDSVEuTkFTREFROkNBTE0uSVFfRUJJVERBX0VYQ0xfT1BFUl9MRUFTRVNfQ0FQRVhfSU5ULjk5MS4zMS8wNy8yMDI2AQAAACB6BQADAAAAAk5NAQgAAAAFAAAAATEBAAAACjE5NzIwMTIxMjEDAAAAAzE2MAIAAAAFNDkxNzQEAAAAATAHAAAACTcvMzEv</t>
  </si>
  <si>
    <t>MjAyNggAAAAINi8zLzIwMTcJAAAAATBL340wO+/eCCix3zI7794IP0NJUS5OQVNEQVE6Q0FMTS5JUV9BRFZBTkNFU19GT1JfU1VQUExJRVMuOTkxLjMxLzA3LzIwMjYuLi5VU0QuSAEAAAAgegUAAwAAAAAAzpCNMDvv3ghCEtMyO+/eCC9DSVEuTkFTREFROkNBTE0uSVFfUkVUVVJOX0FTU0VUUy45OTEuMzEvMDcvMjAyNgEAAAAgegUAAgAAAActNy42MDQzAQgAAAAFAAAAATEBAAAACjE5NzIwMTIxMjEDAAAAAzE2MAIAAAAENDE3OAQAAAABMAcAAAAJNy8zMS8yMDI2CAAAAAg2LzMvMjAxNwkAAAABMCG4jTA7794IURHbMjvv3ggwQ0lRLk5BU0RBUTpDQUxNLklRX1JFU1RBVEVNRU5UX0JTLjk5My4zMS8wNy8yMDI2AQAAACB6BQADAAAAAk5DACG4jTA7794I2UOlNDvv3ggtQ0lRLk5BU0RBUTpDQUxNLklRX0FTU0VUX1RVUk5TLjk5My4zMS8wNy8yMDI2AQAAACB6BQACAAAABzEuMTgwMTkBCAAAAAUAAAABMQEAAAALLTIxNDI0MjkwMzkDAAAAAzE2MAIAAAAENDE3NwQAAAABMAcAAAAJNy8zMS8yMDI2CAAAAAg2LzEvMjAxOQkAAAABMCG4jTA7794IugekNDvv3gguQ0lRLk5BU0RBUTpDQUxNLklRX0VCSVRfTUFSR0lOLjIwMDAuMzEvMDcvMjAyNgEAAAAgegUAAgAAAAcxMS43OTI0AQgAAAAFAAAAATEBAAAACy0xODgxMDY4Mjk1AwAAAAMxNjACAAAABDQwNTMEAAAAATAHAAAACTcvMzEvMjAyNggAAAAJ</t>
  </si>
  <si>
    <t>NS8zMC8yMDI2CQAAAAEwIbiNMDvv3ght6NsyO+/eCD1DSVEuTkFTREFROkNBTE0uSVFfVE9UQUxfREVCVF9FWENMX0ZJTi45OTMuMzEvMDcvMjAyNi4uLlVTRC5IAQAAACB6BQACAAAABTIuNTU0AQgAAAAFAAAAATEBAAAACy0yMTQyNDI5MDM5AwAAAAMxNjACAAAABTIxODYwBAAAAAEwBwAAAAk3LzMxLzIwMjYIAAAACDYvMS8yMDE5CQAAAAEw8FWNMDvv3givOqs0O+/eCDBDSVEuTkFTREFROkNBTE0uSVFfQ09TVF9CT1JST1dJTkcuOTkzLjMxLzA3LzIwMjYBAAAAIHoFAAIAAAAHMTQuOTAwNQEIAAAABQAAAAExAQAAAAstMjE0MjQyOTAzOQMAAAADMTYwAgAAAAUyMTY4MQQAAAABMAcAAAAJNy8zMS8yMDI2CAAAAAg2LzEvMjAxOQkAAAABMPBVjTA7794IBGulNDvv3ghCQ0lRLk5BU0RBUTpDQUxNLklRX0FDQ1VNX0FNT1JUX0lOVEFOX0FTU0VUUy45OTMuMzEvMDcvMjAyNi4uLlVTRC5IAQAAACB6BQACAAAABy0yNi44MjcBCAAAAAUAAAABMQEAAAALLTIxNDI0MjkwMzkDAAAAAzE2MAIAAAAFMjQzMzEEAAAAATAHAAAACTcvMzEvMjAyNggAAAAINi8xLzIwMTkJAAAAATDOkI0wO+/eCBMVqjQ7794IQkNJUS5OQVNEQVE6Q0FMTS5JUV9ERVJJVkFUSVZFX0xJQUJfQ1VSUkVOVC4yMDAwLjMxLzA3LzIwMjYuLi5VU0QuSAEAAAAgegUAAwAAAAAAzpCNMDvv3giNntEyO+/eCDRDSVEuTkFTREFROkNBTE0u</t>
  </si>
  <si>
    <t>SVFfSU5UQU5fTkVULjIwMDAuMzEvMDcvMjAyNi4uLlVTRC5IAQAAACB6BQACAAAABTczLjEzAQgAAAAFAAAAATEBAAAACy0xODgxMDY4Mjk1AwAAAAMxNjACAAAABTQ4OTYyBAAAAAEwBwAAAAk3LzMxLzIwMjYIAAAACTUvMzAvMjAyNgkAAAABMM6QjTA7794IAojTMjvv3gg+Q0lRLk5BU0RBUTpDQUxNLklRX0xJQUJJTElUSUVTX0xFVkVMXzIuMjAwMC4zMS8wNy8yMDI2Li4uVVNELkgBAAAAIHoFAAMAAAAAAPBVjTA7794IVzvOMjvv3gg8Q0lRLk5BU0RBUTpDQUxNLklRX0ZJTl9ESVZfU1RfSU5WRVNULjIwMDAuMzEvMDcvMjAyNi4uLlVTRC5IAQAAACB6BQADAAAAAADwVY0wO+/eCInDzzI7794IP0NJUS5OQVNEQVE6Q0FMTS5JUV9GSU5fRElWX1NUX0RFQlRfVE9UQUwuOTkxLjMxLzA3LzIwMjYuLi5VU0QuSAEAAAAgegUAAwAAAAAA8FWNMDvv3gghOs8yO+/eCDRDSVEuTkFTREFROkNBTE0uSVFfQVZHX1RFTVBfRU1QTE9ZRUVTLjk5MS4zMS8wNy8yMDI2AQAAACB6BQADAAAAAADwVY0wO+/eCG2m2TI7794IPUNJUS5OQVNEQVE6Q0FMTS5JUV9TVF9ERUJUX0RFUklWQVRJVkVTLjk5MS4zMS8wNy8yMDI2Li4uVVNELkgBAAAAIHoFAAMAAAAAAM6QjTA7794Ikf3QMjvv3ghBQ0lRLk5BU0RBUTpDQUxNLklRX01JTk9SSVRZX0lOVF9SRURFRU1fVE9ULjk5MS4zMS8wNy8yMDI2Li4uVVNELkgBAAAAIHoF</t>
  </si>
  <si>
    <t>AAMAAAAAAPuDkTA7794IEYTLMjvv3ghKQ0lRLk5BU0RBUTpDQUxNLklRX0FTU0VUU19ORVRUSU5HX09USEVSX0FESlVTVE1FTlRTLjk5MS4zMS8wNy8yMDI2Li4uVVNELkgBAAAAIHoFAAMAAAAAAPyqkTA7794IL5fNMjvv3ghMQ0lRLk5BU0RBUTpDQUxNLklRX0xJUVVJREFUSU9OX1ZBTFVFX1BSRUZFUlJFRF9SRURFRU0uOTkzLjMxLzA3LzIwMjYuLi5VU0QuSAEAAAAgegUAAwAAAAAA+4ORMDvv3ggrX640O+/eCCtDSVEuTkFTREFROkNBTE0uSVFfUEFSVF9USU1FLjk5My4zMS8wNy8yMDI2AQAAACB6BQACAAAAAzE3OADwVY0wO+/eCBMIpjQ7794IQUNJUS5OQVNEQVE6Q0FMTS5JUV9MSUFCSUxJVElFU19GQUlSX1ZBTFVFLjIwMDAuMzEvMDcvMjAyNi4uLlVTRC5IAQAAACB6BQACAAAABDIxLjUA8FWNMDvv3gjtxM4yO+/eCDdDSVEuTkFTREFROkNBTE0uSVFfRVFVSVRZX01FVEhPRC45OTMuMzEvMDcvMjAyNi4uLlVTRC5IAQAAACB6BQACAAAABjY3LjU1NAEIAAAABQAAAAExAQAAAAstMjE0MjQyOTAzOQMAAAADMTYwAgAAAAQzMDYzBAAAAAEwBwAAAAk3LzMxLzIwMjYIAAAACDYvMS8yMDE5CQAAAAEw4FyRMDvv3giP+LA0O+/eCDVDSVEuTkFTREFROkNBTE0uSVFfV09SS0lOR19DQVAuOTkzLjMxLzA3LzIwMjYuLi5VU0QuSAEAAAAgegUAAgAAAAc0OTIuODQ2AQgAAAAFAAAAATEBAAAACy0yMTQy</t>
  </si>
  <si>
    <t>NDI5MDM5AwAAAAMxNjACAAAABDQxNjUEAAAAATAHAAAACTcvMzEvMjAyNggAAAAINi8xLzIwMTkJAAAAATDgXJEwO+/eCJRasTQ7794ILUNJUS5OQVNEQVE6Q0FMTS5JUV9DSVAuOTkzLjMxLzA3LzIwMjYuLi5VU0QuSAEAAAAgegUAAgAAAAY1Mi41NTEBCAAAAAUAAAABMQEAAAALLTIxNDI0MjkwMzkDAAAAAzE2MAIAAAAEMzAzMwQAAAABMAcAAAAJNy8zMS8yMDI2CAAAAAg2LzEvMjAxOQkAAAABMPuDkTA7794Ihb+vNDvv3gg0Q0lRLk5BU0RBUTpDQUxNLklRX09USEVSX0lOVi4yMDAwLjMxLzA3LzIwMjYuLi5VU0QuSAEAAAAgegUAAwAAAAAA4FyRMDvv3giXEMoyO+/eCEhDSVEuTkFTREFROkNBTE0uSVFfR0VORVJBTF9QQVJUTkVSX0NPTU1PTl9FUVVJVFkuMjAwMC4zMS8wNy8yMDI2Li4uVVNELkgBAAAAIHoFAAMAAAAAAPuDkTA7794IRErMMjvv3ghTQ0lRLk5BU0RBUTpDQUxNLklRX0ZJTkFOQ0lOR19PQkxJR19DVVJSRU5UX0VYQ0xfT1BFUl9MRUFTRVMuMjAwMC4zMS8wNy8yMDI2Li4uVVNELkgBAAAAIHoFAAMAAAAAAGI1kTA7794IBm3FMjvv3ggzQ0lRLk5BU0RBUTpDQUxNLklRX05FVF9ERUJULjIwMDAuMzEvMDcvMjAyNi4uLlVTRC5IAQAAACB6BQACAAAACC05MjQuMDU3AQgAAAAFAAAAATEBAAAACy0xODgxMDY4Mjk1AwAAAAMxNjACAAAABDQzNjQEAAAAATAHAAAACTcvMzEvMjAyNggA</t>
  </si>
  <si>
    <t>AAAJNS8zMC8yMDI2CQAAAAEw4FyRMDvv3gjZO8gyO+/eCDRDSVEuTkFTREFROkNBTE0uSVFfVE9UQUxfREVCVC45OTEuMzEvMDcvMjAyNi4uLlVTRC5IAQAAACB6BQACAAAABjEwLjkzOQEIAAAABQAAAAExAQAAAAoxOTcyMDEyMTIxAwAAAAMxNjACAAAABDQxNzMEAAAAATAHAAAACTcvMzEvMjAyNggAAAAINi8zLzIwMTcJAAAAATDgXJEwO+/eCPiWxzI7794ILUNJUS5OQVNEQVE6Q0FMTS5JUV9UQlYuOTkxLjMxLzA3LzIwMjYuLi5VU0QuSAEAAAAgegUAAgAAAAc3NzguMDEzAQgAAAAFAAAAATEBAAAACjE5NzIwMTIxMjEDAAAAAzE2MAIAAAAEMTMxMAQAAAABMAcAAAAJNy8zMS8yMDI2CAAAAAg2LzMvMjAxNwkAAAABMGI1kTA7794IaH7GMjvv3ggxQ0lRLk5BU0RBUTpDQUxNLklRX1JBV19JTlYuOTkxLjMxLzA3LzIwMjYuLi5VU0QuSAEAAAAgegUAAgAAAAY5OC4wNTkBCAAAAAUAAAABMQEAAAAKMTk3MjAxMjEyMQMAAAADMTYwAgAAAAQzMTcxBAAAAAEwBwAAAAk3LzMxLzIwMjYIAAAACDYvMy8yMDE3CQAAAAEw4FyRMDvv3gjPmskyO+/eCDdDSVEuTkFTREFROkNBTE0uSVFfRUJJVERBXzFZUl9BTk5fR1JPV1RILjk5Mi4zMS8wNy8yMDI2AQAAACB6BQADAAAAAk5NAQgAAAAFAAAAATEBAAAACjIwNDU3NDkzMTADAAAAAzE2MAIAAAAENDE5NgQAAAABMAcAAAAJNy8zMS8yMDI2CAAAAAg2LzIvMjAx</t>
  </si>
  <si>
    <t>OAkAAAABMLKIhzA7794INpagNDvv3ggzQ0lRLk5BU0RBUTpDQUxNLklRX0VCSVRfNVlSX0FOTl9DQUdSLjk5Mi4zMS8wNy8yMDI2AQAAACB6BQACAAAABzE2LjA0ODYBCAAAAAUAAAABMQEAAAAKMjA0NTc0OTMxMAMAAAADMTYwAgAAAAQ0MjM2BAAAAAEwBwAAAAk3LzMxLzIwMjYIAAAACDYvMi8yMDE4CQAAAAEwsoiHMDvv3gjtcJ80O+/eCDNDSVEuTkFTREFROkNBTE0uSVFfRUJJVF8zWVJfQU5OX0NBR1IuOTkwLjMxLzA3LzIwMjYBAAAAIHoFAAIAAAAGNzUuOTQ5AQgAAAAFAAAAATEBAAAACjE4OTY4MjA1MTcDAAAAAzE2MAIAAAAENDIyMwQAAAABMAcAAAAJNy8zMS8yMDI2CAAAAAk1LzI4LzIwMTYJAAAAATCyiIcwO+/eCJqY4jI7794IMkNJUS5OQVNEQVE6Q0FMTS5JUV9CVl9TSEFSRS45OTMuMzEvMDcvMjAyNi4uLlVTRC5IAQAAACB6BQACAAAACTIwLjI2MTcxNgEIAAAABQAAAAExAQAAAAstMjE0MjQyOTAzOQMAAAADMTYwAgAAAAQ0MDIwBAAAAAEwBwAAAAk3LzMxLzIwMjYIAAAACDYvMS8yMDE5CQAAAAEwYjWRMDvv3gjs47I0O+/eCEFDSVEuTkFTREFROkNBTE0uSVFfVE9UQUxfREVCVF9FWENMX0xFQVNFUy4yMDAwLjMxLzA3LzIwMjYuLi5VU0QuSAEAAAAgegUAAwAAAAAAYjWRMDvv3ghJCcYyO+/eCDNDSVEuTkFTREFROkNBTE0uSVFfVE9UQUxfREVCVF9FUVVJVFkuOTkwLjMxLzA3LzIw</t>
  </si>
  <si>
    <t>MjYBAAAAIHoFAAIAAAAGMi43ODczAQgAAAAFAAAAATEBAAAACjE4OTY4MjA1MTcDAAAAAzE2MAIAAAAENDAzNAQAAAABMAcAAAAJNy8zMS8yMDI2CAAAAAk1LzI4LzIwMTYJAAAAATBL340wO+/eCJs93jI7794IMENJUS5OQVNEQVE6Q0FMTS5JUV9EQVlTX1NBTEVTX09VVC45OTIuMzEvMDcvMjAyNgEAAAAgegUAAgAAAAkxNy4xOTQ2MzIBCAAAAAUAAAABMQEAAAAKMjA0NTc0OTMxMAMAAAADMTYwAgAAAAQ0MDQyBAAAAAEwBwAAAAk3LzMxLzIwMjYIAAAACDYvMi8yMDE4CQAAAAEwIbiNMDvv3gg7HaM0O+/eCENDSVEuTkFTREFROkNBTE0uSVFfRUJJVERBX0VYQ0xfT1BFUl9MRUFTRVNfQ0FQRVhfSU5ULjk5Mi4zMS8wNy8yMDI2AQAAACB6BQACAAAACjgxNS40MTUwOTQBCAAAAAUAAAABMQEAAAAKMjA0NTc0OTMxMAMAAAADMTYwAgAAAAU0OTE3NAQAAAABMAcAAAAJNy8zMS8yMDI2CAAAAAg2LzIvMjAxOAkAAAABMEvfjTA7794I2s+hNDvv3ghCQ0lRLk5BU0RBUTpDQUxNLklRX05FVF9ERUJUX0VCSVREQV9FWENMX09QRVJfTEVBU0VTLjk5MC4zMS8wNy8yMDI2AQAAACB6BQADAAAAAk5NAQgAAAAFAAAAATEBAAAACjE4OTY4MjA1MTcDAAAAAzE2MAIAAAAFNDkxNzUEAAAAATAHAAAACTcvMzEvMjAyNggAAAAJNS8yOC8yMDE2CQAAAAEwAnWHMDvv3ghSJuAyO+/eCDhDSVEuTkFTREFROkNBTE0uSVFf</t>
  </si>
  <si>
    <t>VE9UQUxfUkVWXzNZUl9BTk5fQ0FHUi45OTAuMzEvMDcvMjAyNgEAAAAgegUAAgAAAAcxNC4wMDUzAQgAAAAFAAAAATEBAAAACjE4OTY4MjA1MTcDAAAAAzE2MAIAAAAENDIyMAQAAAABMAcAAAAJNy8zMS8yMDI2CAAAAAk1LzI4LzIwMTYJAAAAATCyiIcwO+/eCFwP4jI7794IP0NJUS5OQVNEQVE6Q0FMTS5JUV9BRFZBTkNFU19GT1JfU1VQUExJRVMuOTkyLjMxLzA3LzIwMjYuLi5VU0QuSAEAAAAgegUAAwAAAAAAzpCNMDvv3gj6n6k0O+/eCC9DSVEuTkFTREFROkNBTE0uSVFfUkVUVVJOX0FTU0VUUy45OTIuMzEvMDcvMjAyNgEAAAAgegUAAgAAAAcxMC40MDMzAQgAAAAFAAAAATEBAAAACjIwNDU3NDkzMTADAAAAAzE2MAIAAAAENDE3OAQAAAABMAcAAAAJNy8zMS8yMDI2CAAAAAg2LzIvMjAxOAkAAAABMCG4jTA7794I7vWkNDvv3gg9Q0lRLk5BU0RBUTpDQUxNLklRX0lOVEVSQ09NUEFOWV9OT05fQ0wuOTkwLjMxLzA3LzIwMjYuLi5VU0QuSAEAAAAgegUAAwAAAAAAIbiNMDvv3gheJNQyO+/eCCtDSVEuTkFTREFROkNBTE0uSVFfTklfTUFSR0lOLjk5MC4zMS8wNy8yMDI2AQAAACB6BQACAAAABzE2LjU1ODMBCAAAAAUAAAABMQEAAAAKMTg5NjgyMDUxNwMAAAADMTYwAgAAAAQ0MDk0BAAAAAEwBwAAAAk3LzMxLzIwMjYIAAAACTUvMjgvMjAxNgkAAAABMCG4jTA7794IbejbMjvv3gg2Q0lRLk5BU0RB</t>
  </si>
  <si>
    <t>UTpDQUxNLklRX1JFVFVSTl9DT01NT05fRVFVSVRZLjk5Mi4zMS8wNy8yMDI2AQAAACB6BQACAAAABzE0LjAyMzQBCAAAAAUAAAABMQEAAAAKMjA0NTc0OTMxMAMAAAADMTYwAgAAAAUzMzMyMAQAAAABMAcAAAAJNy8zMS8yMDI2CAAAAAg2LzIvMjAxOAkAAAABMCG4jTA7794IsKekNDvv3gg8Q0lRLk5BU0RBUTpDQUxNLklRX0RFQlRfRVFVSVZfTkVUX1BCTy45OTAuMzEvMDcvMjAyNi4uLlVTRC5IAQAAACB6BQACAAAAAzMuNQEIAAAABQAAAAExAQAAAAoxODk2ODIwNTE3AwAAAAMxNjACAAAABTIxNjc5BAAAAAEwBwAAAAk3LzMxLzIwMjYIAAAACTUvMjgvMjAxNgkAAAABMPBVjTA7794IicPPMjvv3gg/Q0lRLk5BU0RBUTpDQUxNLklRX0ZJTl9ESVZfU1RfREVCVF9UT1RBTC45OTIuMzEvMDcvMjAyNi4uLlVTRC5IAQAAACB6BQADAAAAAADwVY0wO+/eCHcnrDQ7794IPUNJUS5OQVNEQVE6Q0FMTS5JUV9TVF9ERUJUX0RFUklWQVRJVkVTLjk5Mi4zMS8wNy8yMDI2Li4uVVNELkgBAAAAIHoFAAMAAAAAAM6QjTA7794Iw+yqNDvv3ghFQ0lRLk5BU0RBUTpDQUxNLklRX0RFUklWQVRJVkVfTElBQl9OT05fQ1VSUkVOVC45OTAuMzEvMDcvMjAyNi4uLlVTRC5IAQAAACB6BQADAAAAAADOkI0wO+/eCI2e0TI7794IOUNJUS5OQVNEQVE6Q0FMTS5JUV9JTlRFUkNPTVBBTllfQ0EuOTkwLjMxLzA3LzIwMjYuLi5V</t>
  </si>
  <si>
    <t>U0QuSAEAAAAgegUAAwAAAAAAzpCNMDvv3ggCiNMyO+/eCEFDSVEuTkFTREFROkNBTE0uSVFfTUlOT1JJVFlfSU5UX1JFREVFTV9UT1QuOTkyLjMxLzA3LzIwMjYuLi5VU0QuSAEAAAAgegUAAwAAAAAA+4ORMDvv3ghXSq80O+/eCEpDSVEuTkFTREFROkNBTE0uSVFfQVNTRVRTX05FVFRJTkdfT1RIRVJfQURKVVNUTUVOVFMuOTkyLjMxLzA3LzIwMjYuLi5VU0QuSAEAAAAgegUAAwAAAAAA/KqRMDvv3gjMJa00O+/eCE1DSVEuTkFTREFROkNBTE0uSVFfTElRVUlEQVRJT05fVkFMVUVfUFJFRkVSUkVEX0NPTlZFUlQuOTkwLjMxLzA3LzIwMjYuLi5VU0QuSAEAAAAgegUAAwAAAAAA+4ORMDvv3gh208wyO+/eCElDSVEuTkFTREFROkNBTE0uSVFfRkFJUl9WQUxVRV9DSEFOR0VfSU5DTF9FQVJOSU5HUy45OTAuMzEvMDcvMjAyNi4uLlVTRC5IAQAAACB6BQADAAAAAADwVY0wO+/eCO3EzjI7794IPUNJUS5OQVNEQVE6Q0FMTS5JUV9MSUFCSUxJVElFU19MRVZFTF8yLjk5Mi4zMS8wNy8yMDI2Li4uVVNELkgBAAAAIHoFAAIAAAAFNS45MDMA8FWNMDvv3giOsKw0O+/eCDlDSVEuTkFTREFROkNBTE0uSVFfVE9UQUxfUkVWXzVZUl9BTk5fQ0FHUi4yMDAwLjMxLzA3LzIwMjYBAAAAIHoFAAIAAAAHMTYuNjM0MgEIAAAABQAAAAExAQAAAAstMTg4MTA2ODI5NQMAAAADMTYwAgAAAAQ0MjMzBAAAAAEwBwAAAAk3LzMx</t>
  </si>
  <si>
    <t>LzIwMjYIAAAACTUvMzAvMjAyNgkAAAABMLKIhzA7794I6SHjMjvv3ggzQ0lRLk5BU0RBUTpDQUxNLklRX0VCSVRfM1lSX0FOTl9DQUdSLjk5MS4zMS8wNy8yMDI2AQAAACB6BQADAAAAAk5NAQgAAAAFAAAAATEBAAAACjE5NzIwMTIxMjEDAAAAAzE2MAIAAAAENDIyMwQAAAABMAcAAAAJNy8zMS8yMDI2CAAAAAg2LzMvMjAxNwkAAAABMLKIhzA7794ImpjiMjvv3ggxQ0lRLk5BU0RBUTpDQUxNLklRX1JBV19JTlYuOTkyLjMxLzA3LzIwMjYuLi5VU0QuSAEAAAAgegUAAgAAAAY5Ni41OTQBCAAAAAUAAAABMQEAAAAKMjA0NTc0OTMxMAMAAAADMTYwAgAAAAQzMTcxBAAAAAEwBwAAAAk3LzMxLzIwMjYIAAAACDYvMi8yMDE4CQAAAAEw4FyRMDvv3gjLvbA0O+/eCC5DSVEuTkFTREFROkNBTE0uSVFfTEFORC45OTAuMzEvMDcvMjAyNi4uLlVTRC5IAQAAACB6BQACAAAABjgwLjc3NQEIAAAABQAAAAExAQAAAAoxODk2ODIwNTE3AwAAAAMxNjACAAAABDMwOTgEAAAAATAHAAAACTcvMzEvMjAyNggAAAAJNS8yOC8yMDE2CQAAAAEw4FyRMDvv3giXEMoyO+/eCEVDSVEuTkFTREFROkNBTE0uSVFfR0VORVJBTF9QQVJUTkVSX1BSRUZfRVFVSVRZLjk5MC4zMS8wNy8yMDI2Li4uVVNELkgBAAAAIHoFAAMAAAAAAPuDkTA7794IRErMMjvv3gg3Q0lRLk5BU0RBUTpDQUxNLklRX05FVF9ERUJUX0VCSVREQV9DQVBFWC45</t>
  </si>
  <si>
    <t>OTEuMzEvMDcvMjAyNgEAAAAgegUAAwAAAAJOTQEIAAAABQAAAAExAQAAAAoxOTcyMDEyMTIxAwAAAAMxNjACAAAABTIzMzE0BAAAAAEwBwAAAAk3LzMxLzIwMjYIAAAACDYvMy8yMDE3CQAAAAEwsoiHMDvv3giDr+AyO+/eCEJDSVEuTkFTREFROkNBTE0uSVFfTkVUX0RFQlRfRUJJVERBX0VYQ0xfT1BFUl9MRUFTRVMuOTkxLjMxLzA3LzIwMjYBAAAAIHoFAAMAAAACTk0BCAAAAAUAAAABMQEAAAAKMTk3MjAxMjEyMQMAAAADMTYwAgAAAAU0OTE3NQQAAAABMAcAAAAJNy8zMS8yMDI2CAAAAAg2LzMvMjAxNwkAAAABMAJ1hzA7794IUibgMjvv3gg0Q0lRLk5BU0RBUTpDQUxNLklRX0VQU18xWVJfQU5OX0dST1dUSC45OTMuMzEvMDcvMjAyNgEAAAAgegUAAgAAAActNTYuOTY2AQgAAAAFAAAAATEBAAAACy0yMTQyNDI5MDM5AwAAAAMxNjACAAAABDQyMDAEAAAAATAHAAAACTcvMzEvMjAyNggAAAAINi8xLzIwMTkJAAAAATCyiIcwO+/eCAghoDQ7794IN0NJUS5OQVNEQVE6Q0FMTS5JUV9FQklUREFfMVlSX0FOTl9HUk9XVEguOTkzLjMxLzA3LzIwMjYBAAAAIHoFAAIAAAAILTU3LjM4NjUBCAAAAAUAAAABMQEAAAALLTIxNDI0MjkwMzkDAAAAAzE2MAIAAAAENDE5NgQAAAABMAcAAAAJNy8zMS8yMDI2CAAAAAg2LzEvMjAxOQkAAAABMLKIhzA7794INpagNDvv3ggqQ0lRLk5BU0RBUTpDQUxNLklRX1pfU0NP</t>
  </si>
  <si>
    <t>UkUuMjAwMC4zMS8wNy8yMDI2AQAAACB6BQACAAAACDguNjc4MjAxAQgAAAAFAAAAATEBAAAACy0xODgxMDY4Mjk1AwAAAAMxNjACAAAABjEwMDEyMwQAAAABMAcAAAAJNy8zMS8yMDI2CAAAAAk1LzMwLzIwMjYJAAAAATCyiIcwO+/eCCwl4TI7794IMUNJUS5OQVNEQVE6Q0FMTS5JUV9HUF81WVJfQU5OX0NBR1IuOTkwLjMxLzA3LzIwMjYBAAAAIHoFAAIAAAAHMjkuMTUxNAEIAAAABQAAAAExAQAAAAoxODk2ODIwNTE3AwAAAAMxNjACAAAABDQyMzQEAAAAATAHAAAACTcvMzEvMjAyNggAAAAJNS8yOC8yMDE2CQAAAAEwsoiHMDvv3gjpIeMyO+/eCDNDSVEuTkFTREFROkNBTE0uSVFfRUJJVF8zWVJfQU5OX0NBR1IuOTkyLjMxLzA3LzIwMjYBAAAAIHoFAAIAAAAHLTguMjU1NQEIAAAABQAAAAExAQAAAAoyMDQ1NzQ5MzEwAwAAAAMxNjACAAAABDQyMjMEAAAAATAHAAAACTcvMzEvMjAyNggAAAAINi8yLzIwMTgJAAAAATCyiIcwO+/eCLnSnzQ7794IQ0NJUS5OQVNEQVE6Q0FMTS5JUV9FQklUREFfRVhDTF9PUEVSX0xFQVNFU19DQVBFWF9JTlQuOTkzLjMxLzA3LzIwMjYBAAAAIHoFAAIAAAAJNTAuNDI3MDE4AQgAAAAFAAAAATEBAAAACy0yMTQyNDI5MDM5AwAAAAMxNjACAAAABTQ5MTc0BAAAAAEwBwAAAAk3LzMxLzIwMjYIAAAACDYvMS8yMDE5CQAAAAEwS9+NMDvv3gjaz6E0O+/eCC1DSVEuTkFTREFR</t>
  </si>
  <si>
    <t>OkNBTE0uSVFfRUJJVERBX0lOVC4yMDAwLjMxLzA3LzIwMjYBAAAAIHoFAAIAAAAKODQxLjE3NjI1OAEIAAAABQAAAAExAQAAAAstMTg4MTA2ODI5NQMAAAADMTYwAgAAAAQ0MTkwBAAAAAEwBwAAAAk3LzMxLzIwMjYIAAAACTUvMzAvMjAyNgkAAAABMEvfjTA7794IBGPfMjvv3ggyQ0lRLk5BU0RBUTpDQUxNLklRX0xUX0RFQlRfQ0FQSVRBTC4yMDAwLjMxLzA3LzIwMjYBAAAAIHoFAAMAAAAAAEvfjTA7794I19neMjvv3ggxQ0lRLk5BU0RBUTpDQUxNLklRX0dQXzVZUl9BTk5fQ0FHUi45OTEuMzEvMDcvMjAyNgEAAAAgegUAAgAAAAgtMjUuNjI3NQEIAAAABQAAAAExAQAAAAoxOTcyMDEyMTIxAwAAAAMxNjACAAAABDQyMzQEAAAAATAHAAAACTcvMzEvMjAyNggAAAAINi8zLzIwMTcJAAAAATCyiIcwO+/eCNj64jI7794IPUNJUS5OQVNEQVE6Q0FMTS5JUV9FQklUREFfRVhDTF9PUEVSX0xFQVNFU19JTlQuOTkwLjMxLzA3LzIwMjYBAAAAIHoFAAIAAAAKNDQ1LjQyMDQxNQEIAAAABQAAAAExAQAAAAoxODk2ODIwNTE3AwAAAAMxNjACAAAABTQ5MTczBAAAAAEwBwAAAAk3LzMxLzIwMjYIAAAACTUvMjgvMjAxNgkAAAABMEvfjTA7794IBGPfMjvv3ggxQ0lRLk5BU0RBUTpDQUxNLklRX0xUX0RFQlRfQ0FQSVRBTC45OTIuMzEvMDcvMjAyNgEAAAAgegUAAgAAAAYwLjI2NTUBCAAAAAUAAAABMQEAAAAKMjA0</t>
  </si>
  <si>
    <t>NTc0OTMxMAMAAAADMTYwAgAAAAQ0MTg3BAAAAAEwBwAAAAk3LzMxLzIwMjYIAAAACDYvMi8yMDE4CQAAAAEwS9+NMDvv3giybKI0O+/eCDdDSVEuTkFTREFROkNBTE0uSVFfTkVUX0RFQlRfRUJJVERBX0NBUEVYLjk5Mi4zMS8wNy8yMDI2AQAAACB6BQADAAAAAk5NAQgAAAAFAAAAATEBAAAACjIwNDU3NDkzMTADAAAAAzE2MAIAAAAFMjMzMTQEAAAAATAHAAAACTcvMzEvMjAyNggAAAAINi8yLzIwMTgJAAAAATCyiIcwO+/eCITkoDQ7794IOkNJUS5OQVNEQVE6Q0FMTS5JUV9UT1RBTF9SRVZfMVlSX0FOTl9HUk9XVEguOTkwLjMxLzA3LzIwMjYBAAAAIHoFAAIAAAAHMjEuMDk3MwEIAAAABQAAAAExAQAAAAoxODk2ODIwNTE3AwAAAAMxNjACAAAABDQxOTQEAAAAATAHAAAACTcvMzEvMjAyNggAAAAJNS8yOC8yMDE2CQAAAAEwsoiHMDvv3ggsJeEyO+/eCDNDSVEuTkFTREFROkNBTE0uSVFfRUJJVF8zWVJfQU5OX0NBR1IuOTkzLjMxLzA3LzIwMjYBAAAAIHoFAAIAAAAILTUzLjk4ODIBCAAAAAUAAAABMQEAAAALLTIxNDI0MjkwMzkDAAAAAzE2MAIAAAAENDIyMwQAAAABMAcAAAAJNy8zMS8yMDI2CAAAAAg2LzEvMjAxOQkAAAABMLKIhzA7794IudKfNDvv3gg5Q0lRLk5BU0RBUTpDQUxNLklRX1RPVEFMX1JFVl8zWVJfQU5OX0NBR1IuMjAwMC4zMS8wNy8yMDI2AQAAACB6BQACAAAABy0yLjU0OTgBCAAA</t>
  </si>
  <si>
    <t>AAUAAAABMQEAAAALLTE4ODEwNjgyOTUDAAAAAzE2MAIAAAAENDIyMAQAAAABMAcAAAAJNy8zMS8yMDI2CAAAAAk1LzMwLzIwMjYJAAAAATCyiIcwO+/eCH1K4jI7794INkNJUS5OQVNEQVE6Q0FMTS5JUV9FQklUXzFZUl9BTk5fR1JPV1RILjIwMDAuMzEvMDcvMjAyNgEAAAAgegUAAgAAAAgtNzcuOTYyNgEIAAAABQAAAAExAQAAAAstMTg4MTA2ODI5NQMAAAADMTYwAgAAAAQ0MTk3BAAAAAEwBwAAAAk3LzMxLzIwMjYIAAAACTUvMzAvMjAyNgkAAAABMLKIhzA7794ISsHhMjvv3ggzQ0lRLk5BU0RBUTpDQUxNLklRX1RPVEFMX0RFQlRfRVFVSVRZLjk5Mi4zMS8wNy8yMDI2AQAAACB6BQACAAAABjAuNjM3MgEIAAAABQAAAAExAQAAAAoyMDQ1NzQ5MzEwAwAAAAMxNjACAAAABDQwMzQEAAAAATAHAAAACTcvMzEvMjAyNggAAAAINi8yLzIwMTgJAAAAATBL340wO+/eCLrOojQ7794IMUNJUS5OQVNEQVE6Q0FMTS5JUV9OSV81WVJfQU5OX0NBR1IuOTkxLjMxLzA3LzIwMjYBAAAAIHoFAAMAAAACTk0BCAAAAAUAAAABMQEAAAAKMTk3MjAxMjEyMQMAAAADMTYwAgAAAAQ0MjM4BAAAAAEwBwAAAAk3LzMxLzIwMjYIAAAACDYvMy8yMDE3CQAAAAEwsoiHMDvv3ggYl+MyO+/eCERDSVEuTkFTREFROkNBTE0uSVFfVE9UQUxfREVCVF9FQklUREFfRVhDTF9PUEVSX0xFQVNFUy45OTAuMzEvMDcvMjAyNgEAAAAgegUA</t>
  </si>
  <si>
    <t>AgAAAAgwLjA0OTY1OQEIAAAABQAAAAExAQAAAAoxODk2ODIwNTE3AwAAAAMxNjACAAAABTQ4OTk0BAAAAAEwBwAAAAk3LzMxLzIwMjYIAAAACTUvMjgvMjAxNgkAAAABMAJ1hzA7794IQtjfMjvv3ggxQ0lRLk5BU0RBUTpDQUxNLklRX0dQXzNZUl9BTk5fQ0FHUi45OTAuMzEvMDcvMjAyNgEAAAAgegUAAgAAAAc0NC41NTQ4AQgAAAAFAAAAATEBAAAACjE4OTY4MjA1MTcDAAAAAzE2MAIAAAAENDIyMQQAAAABMAcAAAAJNy8zMS8yMDI2CAAAAAk1LzI4LzIwMTYJAAAAATCyiIcwO+/eCH1K4jI7794INUNJUS5OQVNEQVE6Q0FMTS5JUV9FQklUXzFZUl9BTk5fR1JPV1RILjk5Mi4zMS8wNy8yMDI2AQAAACB6BQADAAAAAk5NAQgAAAAFAAAAATEBAAAACjIwNDU3NDkzMTADAAAAAzE2MAIAAAAENDE5NwQAAAABMAcAAAAJNy8zMS8yMDI2CAAAAAg2LzIvMjAxOAkAAAABMLKIhzA7794IJm+gNDvv3gg6Q0lRLk5BU0RBUTpDQUxNLklRX1RPVEFMX1JFVl8xWVJfQU5OX0dST1dUSC45OTIuMzEvMDcvMjAyNgEAAAAgegUAAgAAAAczOS44NzA5AQgAAAAFAAAAATEBAAAACjIwNDU3NDkzMTADAAAAAzE2MAIAAAAENDE5NAQAAAABMAcAAAAJNy8zMS8yMDI2CAAAAAg2LzIvMjAxOAkAAAABMLKIhzA7794Ib72gNDvv3ggxQ0lRLk5BU0RBUTpDQUxNLklRX05JXzVZUl9BTk5fQ0FHUi45OTIuMzEvMDcvMjAyNgEAAAAg</t>
  </si>
  <si>
    <t>egUAAgAAAAcyMC4wODg1AQgAAAAFAAAAATEBAAAACjIwNDU3NDkzMTADAAAAAzE2MAIAAAAENDIzOAQAAAABMAcAAAAJNy8zMS8yMDI2CAAAAAg2LzIvMjAxOAkAAAABMLKIhzA7794I1yKfNDvv3ggvQ0lRLk5BU0RBUTpDQUxNLklRX0VCSVREQV9NQVJHSU4uOTkwLjMxLzA3LzIwMjYBAAAAIHoFAAIAAAAHMjYuOTc3NAEIAAAABQAAAAExAQAAAAoxODk2ODIwNTE3AwAAAAMxNjACAAAABDQwNDcEAAAAATAHAAAACTcvMzEvMjAyNggAAAAJNS8yOC8yMDE2CQAAAAEwIbiNMDvv3ghdwdsyO+/eCDJDSVEuTkFTREFROkNBTE0uSVFfREFZU19QQVlBQkxFX09VVC45OTAuMzEvMDcvMjAyNgEAAAAgegUAAgAAAAcxMS42MTE2AQgAAAAFAAAAATEBAAAACjE4OTY4MjA1MTcDAAAAAzE2MAIAAAAENDE4MwQAAAABMAcAAAAJNy8zMS8yMDI2CAAAAAk1LzI4LzIwMTYJAAAAATBL340wO+/eCDTF3TI7794ILUNJUS5OQVNEQVE6Q0FMTS5JUV9RVUlDS19SQVRJTy45OTIuMzEvMDcvMjAyNgEAAAAgegUAAgAAAAgzLjg2NTU3NgEIAAAABQAAAAExAQAAAAoyMDQ1NzQ5MzEwAwAAAAMxNjACAAAABDQxMjEEAAAAATAHAAAACTcvMzEvMjAyNggAAAAINi8yLzIwMTgJAAAAATAhuI0wO+/eCE1EozQ7794IPUNJUS5OQVNEQVE6Q0FMTS5JUV9FQklUREFfRVhDTF9PUEVSX0xFQVNFU19JTlQuOTkyLjMxLzA3LzIwMjYBAAAA</t>
  </si>
  <si>
    <t>IHoFAAIAAAAKODg5LjY0NTI4MwEIAAAABQAAAAExAQAAAAoyMDQ1NzQ5MzEwAwAAAAMxNjACAAAABTQ5MTczBAAAAAEwBwAAAAk3LzMxLzIwMjYIAAAACDYvMi8yMDE4CQAAAAEwS9+NMDvv3gijCqI0O+/eCDlDSVEuTkFTREFROkNBTE0uSVFfVE9UQUxfREVCVF9FQklUREFfQ0FQRVguOTkwLjMxLzA3LzIwMjYBAAAAIHoFAAIAAAAIMC4wNTgyNzUBCAAAAAUAAAABMQEAAAAKMTg5NjgyMDUxNwMAAAADMTYwAgAAAAUyMzMxMwQAAAABMAcAAAAJNy8zMS8yMDI2CAAAAAk1LzI4LzIwMTYJAAAAATACdYcwO+/eCKB04DI7794IMkNJUS5OQVNEQVE6Q0FMTS5JUV9OSV8zWVJfQU5OX0NBR1IuMjAwMC4zMS8wNy8yMDI2AQAAACB6BQACAAAACC0yNS4yNDM5AQgAAAAFAAAAATEBAAAACy0xODgxMDY4Mjk1AwAAAAMxNjACAAAABDQyMjUEAAAAATAHAAAACTcvMzEvMjAyNggAAAAJNS8zMC8yMDI2CQAAAAEwsoiHMDvv3gh50+IyO+/eCDZDSVEuTkFTREFROkNBTE0uSVFfR1dfSU5UQU5fTkVULjk5Mi4zMS8wNy8yMDI2Li4uVVNELkgBAAAAIHoFAAMAAAAAAM6QjTA7794IAXmpNDvv3gg4Q0lRLk5BU0RBUTpDQUxNLklRX0FDQ1VNX0FNT1JUX0dXLjk5Mi4zMS8wNy8yMDI2Li4uVVNELkgBAAAAIHoFAAMAAAAAAM6QjTA7794ICcepNDvv3ggwQ0lRLk5BU0RBUTpDQUxNLklRX1JFVFVSTl9DQVBJVEFMLjk5Mi4z</t>
  </si>
  <si>
    <t>MS8wNy8yMDI2AQAAACB6BQACAAAABzEyLjUwMDYBCAAAAAUAAAABMQEAAAAKMjA0NTc0OTMxMAMAAAADMTYwAgAAAAQ0MzYzBAAAAAEwBwAAAAk3LzMxLzIwMjYIAAAACDYvMi8yMDE4CQAAAAEwIbiNMDvv3gi6zqQ0O+/eCD1DSVEuTkFTREFROkNBTE0uSVFfSU5URVJDT01QQU5ZX05PTl9DQS45OTAuMzEvMDcvMjAyNi4uLlVTRC5IAQAAACB6BQADAAAAAAAhuI0wO+/eCMDW0zI7794IOUNJUS5OQVNEQVE6Q0FMTS5JUV9UT1RBTF9ERUJUX0VCSVREQV9DQVBFWC45OTEuMzEvMDcvMjAyNgEAAAAgegUAAwAAAAJOTQEIAAAABQAAAAExAQAAAAoxOTcyMDEyMTIxAwAAAAMxNjACAAAABTIzMzEzBAAAAAEwBwAAAAk3LzMxLzIwMjYIAAAACDYvMy8yMDE3CQAAAAEwAnWHMDvv3gigdOAyO+/eCDNDSVEuTkFTREFROkNBTE0uSVFfVE9UQUxfREVCVF9FQklUREEuOTkzLjMxLzA3LzIwMjYBAAAAIHoFAAIAAAAIMC4wMjU0MjIBCAAAAAUAAAABMQEAAAALLTIxNDI0MjkwMzkDAAAAAzE2MAIAAAAENDE5MgQAAAABMAcAAAAJNy8zMS8yMDI2CAAAAAg2LzEvMjAxOQkAAAABMAJ1hzA7794I2s+hNDvv3ggxQ0lRLk5BU0RBUTpDQUxNLklRX0dQXzNZUl9BTk5fQ0FHUi45OTEuMzEvMDcvMjAyNgEAAAAgegUAAgAAAAgtNDYuODE0MwEIAAAABQAAAAExAQAAAAoxOTcyMDEyMTIxAwAAAAMxNjACAAAABDQyMjEEAAAA</t>
  </si>
  <si>
    <t>ATAHAAAACTcvMzEvMjAyNggAAAAINi8zLzIwMTcJAAAAATCyiIcwO+/eCHw24jI7794INUNJUS5OQVNEQVE6Q0FMTS5JUV9FQklUXzFZUl9BTk5fR1JPV1RILjk5My4zMS8wNy8yMDI2AQAAACB6BQACAAAACC03NC43OTAxAQgAAAAFAAAAATEBAAAACy0yMTQyNDI5MDM5AwAAAAMxNjACAAAABDQxOTcEAAAAATAHAAAACTcvMzEvMjAyNggAAAAINi8xLzIwMTkJAAAAATCyiIcwO+/eCCZvoDQ7794IMUNJUS5OQVNEQVE6Q0FMTS5JUV9OSV81WVJfQU5OX0NBR1IuOTkzLjMxLzA3LzIwMjYBAAAAIHoFAAIAAAAILTEzLjA2NDcBCAAAAAUAAAABMQEAAAALLTIxNDI0MjkwMzkDAAAAAzE2MAIAAAAENDIzOAQAAAABMAcAAAAJNy8zMS8yMDI2CAAAAAg2LzEvMjAxOQkAAAABMLKIhzA7794I1yKfNDvv3ggrQ0lRLk5BU0RBUTpDQUxNLklRX0FSX1RVUk5TLjIwMDAuMzEvMDcvMjAyNgEAAAAgegUAAgAAAAkxNS4zMTExNjIBCAAAAAUAAAABMQEAAAALLTE4ODEwNjgyOTUDAAAAAzE2MAIAAAAENDAwMQQAAAABMAcAAAAJNy8zMS8yMDI2CAAAAAk1LzMwLzIwMjYJAAAAATAhuI0wO+/eCL7m3DI7794IPUNJUS5OQVNEQVE6Q0FMTS5JUV9FQklUREFfRVhDTF9PUEVSX0xFQVNFU19JTlQuOTkzLjMxLzA3LzIwMjYBAAAAIHoFAAIAAAADMTU2AQgAAAAFAAAAATEBAAAACy0yMTQyNDI5MDM5AwAAAAMxNjACAAAABTQ5</t>
  </si>
  <si>
    <t>MTczBAAAAAEwBwAAAAk3LzMxLzIwMjYIAAAACDYvMS8yMDE5CQAAAAEwS9+NMDvv3gijCqI0O+/eCDpDSVEuTkFTREFROkNBTE0uSVFfVE9UQUxfTElBQl9UT1RBTF9BU1NFVFMuMjAwMC4zMS8wNy8yMDI2AQAAACB6BQACAAAABjE1LjAyOQEIAAAABQAAAAExAQAAAAstMTg4MTA2ODI5NQMAAAADMTYwAgAAAAQ0MTg4BAAAAAEwBwAAAAk3LzMxLzIwMjYIAAAACTUvMzAvMjAyNgkAAAABMEvfjTA7794I9iffMjvv3gg0Q0lRLk5BU0RBUTpDQUxNLklRX1RPVEFMX0RFQlRfQ0FQSVRBTC45OTEuMzEvMDcvMjAyNgEAAAAgegUAAgAAAAYxLjI3ODcBCAAAAAUAAAABMQEAAAAKMTk3MjAxMjEyMQMAAAADMTYwAgAAAAQ0MTg2BAAAAAEwBwAAAAk3LzMxLzIwMjYIAAAACDYvMy8yMDE3CQAAAAEwS9+NMDvv3gi8i94yO+/eCElDSVEuTkFTREFROkNBTE0uSVFfTkVUX0RFQlRfRUJJVERBX0VYQ0xfT1BFUl9MRUFTRVNfQ0FQRVguMjAwMC4zMS8wNy8yMDI2AQAAACB6BQADAAAAAk5NAQgAAAAFAAAAATEBAAAACy0xODgxMDY4Mjk1AwAAAAMxNjACAAAABTQ5MTgyBAAAAAEwBwAAAAk3LzMxLzIwMjYIAAAACTUvMzAvMjAyNgkAAAABMLKIhzA7794Iz9bgMjvv3gg9Q0lRLk5BU0RBUTpDQUxNLklRX0lOVEVSQ09NUEFOWV9OT05fQ0EuOTkxLjMxLzA3LzIwMjYuLi5VU0QuSAEAAAAgegUAAwAAAAAAIbiNMDvv3gjA</t>
  </si>
  <si>
    <t>1tMyO+/eCDBDSVEuTkFTREFROkNBTE0uSVFfQ0FQRVhfUENUX1JFVi4yMDAwLjMxLzA3LzIwMjYBAAAAIHoFAAIAAAAGNS4xOTM2AQgAAAAFAAAAATEBAAAACy0xODgxMDY4Mjk1AwAAAAMxNjACAAAABTM1MzgwBAAAAAEwBwAAAAk3LzMxLzIwMjYIAAAACTUvMzAvMjAyNgkAAAABMCG4jTA7794IjkrcMjvv3ggvQ0lRLk5BU0RBUTpDQUxNLklRX0VCSVREQV9NQVJHSU4uOTkxLjMxLzA3LzIwMjYBAAAAIHoFAAIAAAAHLTcuNTcyNgEIAAAABQAAAAExAQAAAAoxOTcyMDEyMTIxAwAAAAMxNjACAAAABDQwNDcEAAAAATAHAAAACTcvMzEvMjAyNggAAAAINi8zLzIwMTcJAAAAATAhuI0wO+/eCF3B2zI7794IMkNJUS5OQVNEQVE6Q0FMTS5JUV9EQVlTX1BBWUFCTEVfT1VULjk5MS4zMS8wNy8yMDI2AQAAACB6BQACAAAACTExLjk4OTk3OAEIAAAABQAAAAExAQAAAAoxOTcyMDEyMTIxAwAAAAMxNjACAAAABDQxODMEAAAAATAHAAAACTcvMzEvMjAyNggAAAAINi8zLzIwMTcJAAAAATBL340wO+/eCDTF3TI7794ILUNJUS5OQVNEQVE6Q0FMTS5JUV9RVUlDS19SQVRJTy45OTMuMzEvMDcvMjAyNgEAAAAgegUAAgAAAAg1LjIyMjMxNQEIAAAABQAAAAExAQAAAAstMjE0MjQyOTAzOQMAAAADMTYwAgAAAAQ0MTIxBAAAAAEwBwAAAAk3LzMxLzIwMjYIAAAACDYvMS8yMDE5CQAAAAEwIbiNMDvv3ghNRKM0O+/eCEdD</t>
  </si>
  <si>
    <t>SVEuTkFTREFROkNBTE0uSVFfQ1VSUkVOVF9QT1JUX0RFQlRfREVSSVZBVElWRVMuOTkzLjMxLzA3LzIwMjYuLi5VU0QuSAEAAAAgegUAAwAAAAAAzpCNMDvv3giexao0O+/eCDZDSVEuTkFTREFROkNBTE0uSVFfR1dfSU5UQU5fTkVULjk5My4zMS8wNy8yMDI2Li4uVVNELkgBAAAAIHoFAAMAAAAAAM6QjTA7794IAXmpNDvv3gg9Q0lRLk5BU0RBUTpDQUxNLklRX0dST1NTX0lOVEFOX0FTU0VUUy4yMDAwLjMxLzA3LzIwMjYuLi5VU0QuSAEAAAAgegUAAgAAAAY5OS4xMjgBCAAAAAUAAAABMQEAAAALLTE4ODEwNjgyOTUDAAAAAzE2MAIAAAAFMjQyOTMEAAAAATAHAAAACTcvMzEvMjAyNggAAAAJNS8zMC8yMDI2CQAAAAEwzpCNMDvv3gjgYdIyO+/eCDBDSVEuTkFTREFROkNBTE0uSVFfUkVUVVJOX0NBUElUQUwuOTkzLjMxLzA3LzIwMjYBAAAAIHoFAAIAAAAGMi45MzA1AQgAAAAFAAAAATEBAAAACy0yMTQyNDI5MDM5AwAAAAMxNjACAAAABDQzNjMEAAAAATAHAAAACTcvMzEvMjAyNggAAAAINi8xLzIwMTkJAAAAATAhuI0wO+/eCLrOpDQ7794IQkNJUS5OQVNEQVE6Q0FMTS5JUV9FTVBMT1lFRVNfVU5ERVJfVU5JT05fQ09OVFJBQ1RTLjIwMDAuMzEvMDcvMjAyNgEAAAAgegUAAgAAAAI0MADwVY0wO+/eCG2m2TI7794IQENJUS5OQVNEQVE6Q0FMTS5JUV9DT05USU5HRU5UX0xJQUJJTElUSUVTLjk5My4z</t>
  </si>
  <si>
    <t>MS8wNy8yMDI2Li4uVVNELkgBAAAAIHoFAAMAAAAAAPBVjTA7794IvBOrNDvv3ghAQ0lRLk5BU0RBUTpDQUxNLklRX1JFU1RSSUNURURfQ0FTSF9UT1RBTC4yMDAwLjMxLzA3LzIwMjYuLi5VU0QuSAEAAAAgegUAAgAAAAM2LjMBCAAAAAUAAAABMQEAAAALLTE4ODEwNjgyOTUDAAAAAzE2MAIAAAAFMjQxOTIEAAAAATAHAAAACTcvMzEvMjAyNggAAAAJNS8zMC8yMDI2CQAAAAEw8FWNMDvv3ghpiNAyO+/eCD9DSVEuTkFTREFROkNBTE0uSVFfREVCVF9FUVVJVl9PUEVSX0xFQVNFLjk5MS4zMS8wNy8yMDI2Li4uVVNELkgBAAAAIHoFAAIAAAAEMzEuOAEIAAAABQAAAAExAQAAAAoxOTcyMDEyMTIxAwAAAAMxNjACAAAABTIxNjcxBAAAAAEwBwAAAAk3LzMxLzIwMjYIAAAACDYvMy8yMDE3CQAAAAEw8FWNMDvv3giU6s8yO+/eCENDSVEuTkFTREFROkNBTE0uSVFfREVSSVZBVElWRV9UUkFESU5HX0FTU0VUUy45OTEuMzEvMDcvMjAyNi4uLlVTRC5IAQAAACB6BQADAAAAAADOkI0wO+/eCLLs0TI7794ILENJUS5OQVNEQVE6Q0FMTS5JUV9GVUxMX1RJTUUuMjAwMC4zMS8wNy8yMDI2AQAAACB6BQACAAAABDQ3NjIA8FWNMDvv3ggOMdkyO+/eCE9DSVEuTkFTREFROkNBTE0uSVFfTElBQklMSVRJRVNfTkVUVElOR19PVEhFUl9BREpVU1RNRU5UUy45OTEuMzEvMDcvMjAyNi4uLlVTRC5IAQAAACB6BQADAAAAAADw</t>
  </si>
  <si>
    <t>VY0wO+/eCJh2zjI7794IO0NJUS5OQVNEQVE6Q0FMTS5JUV9BU1NFVFNfRkFJUl9WQUxVRS45OTMuMzEvMDcvMjAyNi4uLlVTRC5IAQAAACB6BQACAAAABzI1My41MzgA8FWNMDvv3gi+16w0O+/eCDxDSVEuTkFTREFROkNBTE0uSVFfRklOX0RJVl9DQVNIX0VRVUlWLjk5MS4zMS8wNy8yMDI2Li4uVVNELkgBAAAAIHoFAAMAAAAAAPBVjTA7794IYWHPMjvv3ggzQ0lRLk5BU0RBUTpDQUxNLklRX05VTUJFUl9BRFJIT0xERVJTLjk5My4zMS8wNy8yMDI2AQAAACB6BQADAAAAAADwVY0wO+/eCARrpTQ7794INUNJUS5OQVNEQVE6Q0FMTS5JUV9FQklUREFfNVlSX0FOTl9DQUdSLjk5MC4zMS8wNy8yMDI2AQAAACB6BQACAAAABzM2LjI0OTYBCAAAAAUAAAABMQEAAAAKMTg5NjgyMDUxNwMAAAADMTYwAgAAAAQ0MjM1BAAAAAEwBwAAAAk3LzMxLzIwMjYIAAAACTUvMjgvMjAxNgkAAAABMLKIhzA7794IDUnjMjvv3ggyQ0lRLk5BU0RBUTpDQUxNLklRX0VQU18zWVJfQU5OX0NBR1IuOTkwLjMxLzA3LzIwMjYBAAAAIHoFAAIAAAAGODMuODk3AQgAAAAFAAAAATEBAAAACjE4OTY4MjA1MTcDAAAAAzE2MAIAAAAENDIyNgQAAAABMAcAAAAJNy8zMS8yMDI2CAAAAAk1LzI4LzIwMTYJAAAAATCyiIcwO+/eCHnT4jI7794IQ0NJUS5OQVNEQVE6Q0FMTS5JUV9GSU5fRElWX01JTk9SSVRZX0lOVEVSRVNULjk5My4zMS8w</t>
  </si>
  <si>
    <t>Ny8yMDI2Li4uVVNELkgBAAAAIHoFAAMAAAAAAPuDkTA7794IEyOvNDvv3ghRQ0lRLk5BU0RBUTpDQUxNLklRX0xJUVVJREFUSU9OX1ZBTFVFX1BSRUZFUlJFRF9OT05fUkVERUVNLjIwMDAuMzEvMDcvMjAyNi4uLlVTRC5IAQAAACB6BQADAAAAAAD7g5EwO+/eCL/6zDI7794IS0NJUS5OQVNEQVE6Q0FMTS5JUV9HRU5FUkFMX1BBUlRORVJfTUlOT1JJVFlfSU5URVJFU1QuOTkxLjMxLzA3LzIwMjYuLi5VU0QuSAEAAAAgegUAAwAAAAAA+4ORMDvv3gihccwyO+/eCCpDSVEuTkFTREFROkNBTE0uSVFfRUJJVF9JTlQuOTkwLjMxLzA3LzIwMjYBAAAAIHoFAAIAAAAJNDA2Ljg0NjAyAQgAAAAFAAAAATEBAAAACjE4OTY4MjA1MTcDAAAAAzE2MAIAAAAENDE4OQQAAAABMAcAAAAJNy8zMS8yMDI2CAAAAAk1LzI4LzIwMTYJAAAAATBL340wO+/eCOkA3zI7794INENJUS5OQVNEQVE6Q0FMTS5JUV9UT1RBTF9ERUJUX0NBUElUQUwuOTkyLjMxLzA3LzIwMjYBAAAAIHoFAAIAAAAGMC42MzMyAQgAAAAFAAAAATEBAAAACjIwNDU3NDkzMTADAAAAAzE2MAIAAAAENDE4NgQAAAABMAcAAAAJNy8zMS8yMDI2CAAAAAg2LzIvMjAxOAkAAAABMEvfjTA7794I+ZOiNDvv3gg8Q0lRLk5BU0RBUTpDQUxNLklRX1RPVEFMX1JFVl9FTVBMT1lFRS45OTAuMzEvMDcvMjAyNi4uLlVTRC5IAQAAACB6BQACAAAABzU5NC41OTUBCAAA</t>
  </si>
  <si>
    <t>AAUAAAABMQEAAAAKMTg5NjgyMDUxNwMAAAADMTYwAgAAAAQ0MTIzBAAAAAEwBwAAAAk3LzMxLzIwMjYIAAAACTUvMjgvMjAxNgkAAAABMLKIhzA7794IekvUMjvv3gg5Q0lRLk5BU0RBUTpDQUxNLklRX1RPVEFMX0RFQlRfRUJJVERBX0NBUEVYLjk5Mi4zMS8wNy8yMDI2AQAAACB6BQACAAAACDAuMDI4MTgzAQgAAAAFAAAAATEBAAAACjIwNDU3NDkzMTADAAAAAzE2MAIAAAAFMjMzMTMEAAAAATAHAAAACTcvMzEvMjAyNggAAAAINi8yLzIwMTgJAAAAATACdYcwO+/eCJELoTQ7794IMUNJUS5OQVNEQVE6Q0FMTS5JUV9HUF8zWVJfQU5OX0NBR1IuOTkyLjMxLzA3LzIwMjYBAAAAIHoFAAIAAAAHLTMuMDEwNgEIAAAABQAAAAExAQAAAAoyMDQ1NzQ5MzEwAwAAAAMxNjACAAAABDQyMjEEAAAAATAHAAAACTcvMzEvMjAyNggAAAAINi8yLzIwMTgJAAAAATCyiIcwO+/eCAghoDQ7794ILENJUS5OQVNEQVE6Q0FMTS5JUV9QRVJJT0REQVRFLjk4OS4zMS8wNy8yMDI2AQAAACB6BQAFAAAACjMwLzA1LzIwMTUAIbiNMDvv3ghREdsyO+/eCDBDSVEuTkFTREFROkNBTE0uSVFfUkVTVEFURU1FTlRfQlMuOTkwLjMxLzA3LzIwMjYBAAAAIHoFAAMAAAACTkMAIbiNMDvv3gjDm9oyO+/eCC9DSVEuTkFTREFROkNBTE0uSVFfQ0FQRVhfUENUX1JFVi45OTIuMzEvMDcvMjAyNgEAAAAgegUAAgAAAAYxLjMwODgBCAAAAAUA</t>
  </si>
  <si>
    <t>AAABMQEAAAAKMjA0NTc0OTMxMAMAAAADMTYwAgAAAAUzNTM4MAQAAAABMAcAAAAJNy8zMS8yMDI2CAAAAAg2LzIvMjAxOAkAAAABMCG4jTA7794IugekNDvv3ggvQ0lRLk5BU0RBUTpDQUxNLklRX0VCSVREQV9NQVJHSU4uOTkyLjMxLzA3LzIwMjYBAAAAIHoFAAIAAAAHMTUuNjg2NAEIAAAABQAAAAExAQAAAAoyMDQ1NzQ5MzEwAwAAAAMxNjACAAAABDQwNDcEAAAAATAHAAAACTcvMzEvMjAyNggAAAAINi8yLzIwMTgJAAAAATAhuI0wO+/eCL+ApDQ7794IMUNJUS5OQVNEQVE6Q0FMTS5JUV9JTlZFTlRPUllfVFVSTlMuOTkwLjMxLzA3LzIwMjYBAAAAIHoFAAIAAAAIOC4zNzQyNzgBCAAAAAUAAAABMQEAAAAKMTg5NjgyMDUxNwMAAAADMTYwAgAAAAQ0MDgyBAAAAAEwBwAAAAk3LzMxLzIwMjYIAAAACTUvMjgvMjAxNgkAAAABMCG4jTA7794IvubcMjvv3gg9Q0lRLk5BU0RBUTpDQUxNLklRX1RPVEFMX0RFQlRfRVhDTF9GSU4uOTkwLjMxLzA3LzIwMjYuLi5VU0QuSAEAAAAgegUAAgAAAAUyNS41NwEIAAAABQAAAAExAQAAAAoxODk2ODIwNTE3AwAAAAMxNjACAAAABTIxODYwBAAAAAEwBwAAAAk3LzMxLzIwMjYIAAAACTUvMjgvMjAxNgkAAAABMPBVjTA7794IimHQMjvv3gg/Q0lRLk5BU0RBUTpDQUxNLklRX0RFQlRfRVFVSVZfT1BFUl9MRUFTRS45OTIuMzEvMDcvMjAyNi4uLlVTRC5IAQAAACB6BQAD</t>
  </si>
  <si>
    <t>AAAAAADwVY0wO+/eCPGvqzQ7794IQkNJUS5OQVNEQVE6Q0FMTS5JUV9BQ0NVTV9BTU9SVF9JTlRBTl9BU1NFVFMuOTkwLjMxLzA3LzIwMjYuLi5VU0QuSAEAAAAgegUAAgAAAActMTguOTgxAQgAAAAFAAAAATEBAAAACjE4OTY4MjA1MTcDAAAAAzE2MAIAAAAFMjQzMzEEAAAAATAHAAAACTcvMzEvMjAyNggAAAAJNS8yOC8yMDE2CQAAAAEwzpCNMDvv3gjgYdIyO+/eCENDSVEuTkFTREFROkNBTE0uSVFfREVSSVZBVElWRV9UUkFESU5HX0FTU0VUUy45OTIuMzEvMDcvMjAyNi4uLlVTRC5IAQAAACB6BQADAAAAAADOkI0wO+/eCCA8qjQ7794IPUNJUS5OQVNEQVE6Q0FMTS5JUV9JTlRFUkNPTVBBTllfTk9OX0NBLjk5Mi4zMS8wNy8yMDI2Li4uVVNELkgBAAAAIHoFAAMAAAAAACG4jTA7794I2CqpNDvv3gg4Q0lRLk5BU0RBUTpDQUxNLklRX0FTU0VUU19MRVZFTF8zLjk5MC4zMS8wNy8yMDI2Li4uVVNELkgBAAAAIHoFAAMAAAAAAPuDkTA7794IL5fNMjvv3ghMQ0lRLk5BU0RBUTpDQUxNLklRX0xJUVVJREFUSU9OX1ZBTFVFX1BSRUZFUlJFRF9SRURFRU0uOTkwLjMxLzA3LzIwMjYuLi5VU0QuSAEAAAAgegUAAwAAAAAA+4ORMDvv3gi/+swyO+/eCCtDSVEuTkFTREFROkNBTE0uSVFfRlVMTF9USU1FLjk5Mi4zMS8wNy8yMDI2AQAAACB6BQACAAAABDM0MTkA8FWNMDvv3ggTCKY0O+/eCE9DSVEuTkFTREFR</t>
  </si>
  <si>
    <t>OkNBTE0uSVFfTElBQklMSVRJRVNfTkVUVElOR19PVEhFUl9BREpVU1RNRU5UUy45OTIuMzEvMDcvMjAyNi4uLlVTRC5IAQAAACB6BQADAAAAAADwVY0wO+/eCKKcrDQ7794IL0NJUS5OQVNEQVE6Q0FMTS5JUV9BVkdfRU1QTE9ZRUVTLjk5MC4zMS8wNy8yMDI2AQAAACB6BQADAAAAAADwVY0wO+/eCG2m2TI7794IN0NJUS5OQVNEQVE6Q0FMTS5JUV9FUVVJVFlfTUVUSE9ELjk5MC4zMS8wNy8yMDI2Li4uVVNELkgBAAAAIHoFAAIAAAAENDcuNQEIAAAABQAAAAExAQAAAAoxODk2ODIwNTE3AwAAAAMxNjACAAAABDMwNjMEAAAAATAHAAAACTcvMzEvMjAyNggAAAAJNS8yOC8yMDE2CQAAAAEw4FyRMDvv3ggT7MgyO+/eCDNDSVEuTkFTREFROkNBTE0uSVFfVE9UQUxfQ0FQLjk5Mi4zMS8wNy8yMDI2Li4uVVNELkgBAAAAIHoFAAIAAAAHOTYxLjc3MgEIAAAABQAAAAExAQAAAAoyMDQ1NzQ5MzEwAwAAAAMxNjACAAAABDQxNzUEAAAAATAHAAAACTcvMzEvMjAyNggAAAAINi8yLzIwMTgJAAAAATDgXJEwO+/eCJRasTQ7794ILUNJUS5OQVNEQVE6Q0FMTS5JUV9DSVAuOTkwLjMxLzA3LzIwMjYuLi5VU0QuSAEAAAAgegUAAgAAAAY1MC4xNzgBCAAAAAUAAAABMQEAAAAKMTg5NjgyMDUxNwMAAAADMTYwAgAAAAQzMDMzBAAAAAEwBwAAAAk3LzMxLzIwMjYIAAAACTUvMjgvMjAxNgkAAAABMPuDkTA7794I9NPKMjvv</t>
  </si>
  <si>
    <t>3ggzQ0lRLk5BU0RBUTpDQUxNLklRX0JVSUxESU5HUy45OTIuMzEvMDcvMjAyNi4uLlVTRC5IAQAAACB6BQACAAAABjM2MC4wMwEIAAAABQAAAAExAQAAAAoyMDQ1NzQ5MzEwAwAAAAMxNjACAAAABDMwMjMEAAAAATAHAAAACTcvMzEvMjAyNggAAAAINi8yLzIwMTgJAAAAATDgXJEwO+/eCLg0sDQ7794IS0NJUS5OQVNEQVE6Q0FMTS5JUV9HRU5FUkFMX1BBUlRORVJfTUlOT1JJVFlfSU5URVJFU1QuOTkyLjMxLzA3LzIwMjYuLi5VU0QuSAEAAAAgegUAAwAAAAAA+4ORMDvv3ghA6K40O+/eCFBDSVEuTkFTREFROkNBTE0uSVFfQ1VSUkVOVF9QT1JUSU9OX09QRVJfTEVBU0VfTElBQklMSVRJRVMuOTkwLjMxLzA3LzIwMjYuLi5VU0QuSAEAAAAgegUAAwAAAAAAYjWRMDvv3ggwxsQyO+/eCEBDSVEuTkFTREFROkNBTE0uSVFfRklOQU5DRV9MRUFTRVNfQ1VSUkVOVC45OTAuMzEvMDcvMjAyNi4uLlVTRC5IAQAAACB6BQADAAAAAABa+pAwO+/eCAIqxDI7794IO0NJUS5OQVNEQVE6Q0FMTS5JUV9UT1RBTF9PVVRTVEFORElOR19CU19EQVRFLjk5Mi4zMS8wNy8yMDI2AQAAACB6BQACAAAABjQ4LjYzMQEEAAAABQAAAAE1AQAAAAoyMDQ1NzQ5MzEwAgAAAAUyNDE1MgYAAAABMGI1kTA7794IW1amNDvv3ghFQ0lRLk5BU0RBUTpDQUxNLklRX1RPVEFMX0RFQlRfRVhDTF9PUEVSX0xFQVNFUy45OTIuMzEvMDcvMjAy</t>
  </si>
  <si>
    <t>Ni4uLlVTRC5IAQAAACB6BQACAAAABDYuMDkBCAAAAAUAAAABMQEAAAAKMjA0NTc0OTMxMAMAAAADMTYwAgAAAAU0ODk4MgQAAAABMAcAAAAJNy8zMS8yMDI2CAAAAAg2LzIvMjAxOAkAAAABMGI1kTA7794I+AqzNDvv3gg8Q0lRLk5BU0RBUTpDQUxNLklRX1RCVl9TSEFSRV9SRVBPUlRFRC45OTAuMzEvMDcvMjAyNi4uLlVTRC5IAQAAACB6BQADAAAAAABiNZEwO+/eCGh+xjI7794INUNJUS5OQVNEQVE6Q0FMTS5JUV9QUkVGX1JFREVFTS45OTAuMzEvMDcvMjAyNi4uLlVTRC5IAQAAACB6BQADAAAAAAB6/PowO+/eCKImwDI7794IMUNJUS5OQVNEQVE6Q0FMTS5JUV9QRU5TSU9OLjk5Mi4zMS8wNy8yMDI2Li4uVVNELkgBAAAAIHoFAAMAAAAAAHr8+jA7794I2nm3NDvv3gg7Q0lRLk5BU0RBUTpDQUxNLklRX1RPVEFMX0xJQUJfRVFVSVRZLjk5MC4zMS8wNy8yMDI2Li4uVVNELkgBAAAAIHoFAAIAAAAIMTExMS43NjUBCAAAAAUAAAABMQEAAAAKMTg5NjgyMDUxNwMAAAADMTYwAgAAAAQxMDEzBAAAAAEwBwAAAAk3LzMxLzIwMjYIAAAACTUvMjgvMjAxNgkAAAABMFr6kDA7794IdyrCMjvv3gg2Q0lRLk5BU0RBUTpDQUxNLklRX09USEVSX0VRVUlUWS45OTIuMzEvMDcvMjAyNi4uLlVTRC5IAQAAACB6BQACAAAABi0wLjY5MwEIAAAABQAAAAExAQAAAAoyMDQ1NzQ5MzEwAwAAAAMxNjACAAAABDEwMjgEAAAA</t>
  </si>
  <si>
    <t>ATAHAAAACTcvMzEvMjAyNggAAAAINi8yLzIwMTgJAAAAATBa+pAwO+/eCES4tTQ7794IQUNJUS5OQVNEQVE6Q0FMTS5JUV9SVUFfT1BFUkFUSU5HX0xFQVNFX05FVC45OTIuMzEvMDcvMjAyNi4uLlVTRC5IAQAAACB6BQADAAAAAABa+pAwO+/eCGVXtDQ7794IPENJUS5OQVNEQVE6Q0FMTS5JUV9UT1RBTF9SRVZfRU1QTE9ZRUUuOTkxLjMxLzA3LzIwMjYuLi5VU0QuSAEAAAAgegUAAgAAAAczMDYuMzAzAQgAAAAFAAAAATEBAAAACjE5NzIwMTIxMjEDAAAAAzE2MAIAAAAENDEyMwQAAAABMAcAAAAJNy8zMS8yMDI2CAAAAAg2LzMvMjAxNwkAAAABMLKIhzA7794IekvUMjvv3ggxQ0lRLk5BU0RBUTpDQUxNLklRX05JXzNZUl9BTk5fQ0FHUi45OTMuMzEvMDcvMjAyNgEAAAAgegUAAgAAAAgtNDQuNDMxNQEIAAAABQAAAAExAQAAAAstMjE0MjQyOTAzOQMAAAADMTYwAgAAAAQ0MjI1BAAAAAEwBwAAAAk3LzMxLzIwMjYIAAAACDYvMS8yMDE5CQAAAAEwsoiHMDvv3ggNv580O+/eCDFDSVEuTkFTREFROkNBTE0uSVFfR1BfM1lSX0FOTl9DQUdSLjk5My4zMS8wNy8yMDI2AQAAACB6BQACAAAACC0yOS45NDAzAQgAAAAFAAAAATEBAAAACy0yMTQyNDI5MDM5AwAAAAMxNjACAAAABDQyMjEEAAAAATAHAAAACTcvMzEvMjAyNggAAAAINi8xLzIwMTkJAAAAATCyiIcwO+/eCAghoDQ7794INENJUS5OQVNEQVE6Q0FM</t>
  </si>
  <si>
    <t>TS5JUV9OSV8xWVJfQU5OX0dST1dUSC4yMDAwLjMxLzA3LzIwMjYBAAAAIHoFAAIAAAAILTc0LjA0MzUBCAAAAAUAAAABMQEAAAALLTE4ODEwNjgyOTUDAAAAAzE2MAIAAAAENDE5OQQAAAABMAcAAAAJNy8zMS8yMDI2CAAAAAk1LzMwLzIwMjYJAAAAATCyiIcwO+/eCDHo4TI7794INUNJUS5OQVNEQVE6Q0FMTS5JUV9FQklUREFfNVlSX0FOTl9DQUdSLjk5MS4zMS8wNy8yMDI2AQAAACB6BQADAAAAAk5NAQgAAAAFAAAAATEBAAAACjE5NzIwMTIxMjEDAAAAAzE2MAIAAAAENDIzNQQAAAABMAcAAAAJNy8zMS8yMDI2CAAAAAg2LzMvMjAxNwkAAAABMLKIhzA7794IDUnjMjvv3gg1Q0lRLk5BU0RBUTpDQUxNLklRX0VCSVREQV81WVJfQU5OX0NBR1IuOTkyLjMxLzA3LzIwMjYBAAAAIHoFAAIAAAAHMTQuMzYyNQEIAAAABQAAAAExAQAAAAoyMDQ1NzQ5MzEwAwAAAAMxNjACAAAABDQyMzUEAAAAATAHAAAACTcvMzEvMjAyNggAAAAINi8yLzIwMTgJAAAAATCyiIcwO+/eCO1wnzQ7794IM0NJUS5OQVNEQVE6Q0FMTS5JUV9FUFNfNVlSX0FOTl9DQUdSLjIwMDAuMzEvMDcvMjAyNgEAAAAgegUAAgAAAAgxNzcuOTAxNAEIAAAABQAAAAExAQAAAAstMTg4MTA2ODI5NQMAAAADMTYwAgAAAAQ0MjM5BAAAAAEwBwAAAAk3LzMxLzIwMjYIAAAACTUvMzAvMjAyNgkAAAABMLKIhzA7794IANLjMjvv3gg5Q0lRLk5BU0RB</t>
  </si>
  <si>
    <t>UTpDQUxNLklRX1RPVEFMX0RFQlRfRUJJVERBX0NBUEVYLjk5My4zMS8wNy8yMDI2AQAAACB6BQACAAAACDAuMDc4NjQ1AQgAAAAFAAAAATEBAAAACy0yMTQyNDI5MDM5AwAAAAMxNjACAAAABTIzMzEzBAAAAAEwBwAAAAk3LzMxLzIwMjYIAAAACDYvMS8yMDE5CQAAAAEwAnWHMDvv3giRC6E0O+/eCEVDSVEuTkFTREFROkNBTE0uSVFfVE9UQUxfREVCVF9FQklUREFfRVhDTF9PUEVSX0xFQVNFUy4yMDAwLjMxLzA3LzIwMjYBAAAAIHoFAAMAAAAAAAJ1hzA7794ITP/fMjvv3ggzQ0lRLk5BU0RBUTpDQUxNLklRX0dQXzFZUl9BTk5fR1JPV1RILjk5MS4zMS8wNy8yMDI2AQAAACB6BQACAAAACC05Mi45NzE1AQgAAAAFAAAAATEBAAAACjE5NzIwMTIxMjEDAAAAAzE2MAIAAAAENDE5NQQAAAABMAcAAAAJNy8zMS8yMDI2CAAAAAg2LzMvMjAxNwkAAAABMLKIhzA7794IW3PhMjvv3gg0Q0lRLk5BU0RBUTpDQUxNLklRX0VQU18xWVJfQU5OX0dST1dUSC45OTIuMzEvMDcvMjAyNgEAAAAgegUAAwAAAAJOTQEIAAAABQAAAAExAQAAAAoyMDQ1NzQ5MzEwAwAAAAMxNjACAAAABDQyMDAEAAAAATAHAAAACTcvMzEvMjAyNggAAAAINi8yLzIwMTgJAAAAATCyiIcwO+/eCBlIoDQ7794INENJUS5OQVNEQVE6Q0FMTS5JUV9FUFNfMVlSX0FOTl9HUk9XVEguOTkxLjMxLzA3LzIwMjYBAAAAIHoFAAMAAAACTk0BCAAAAAUA</t>
  </si>
  <si>
    <t>AAABMQEAAAAKMTk3MjAxMjEyMQMAAAADMTYwAgAAAAQ0MjAwBAAAAAEwBwAAAAk3LzMxLzIwMjYIAAAACDYvMy8yMDE3CQAAAAEwsoiHMDvv3ggx6OEyO+/eCDVDSVEuTkFTREFROkNBTE0uSVFfRUJJVERBXzVZUl9BTk5fQ0FHUi45OTMuMzEvMDcvMjAyNgEAAAAgegUAAgAAAActMTEuNzQzAQgAAAAFAAAAATEBAAAACy0yMTQyNDI5MDM5AwAAAAMxNjACAAAABDQyMzUEAAAAATAHAAAACTcvMzEvMjAyNggAAAAINi8xLzIwMTkJAAAAATCyiIcwO+/eCO1wnzQ7794IM0NJUS5OQVNEQVE6Q0FMTS5JUV9FUFNfM1lSX0FOTl9DQUdSLjIwMDAuMzEvMDcvMjAyNgEAAAAgegUAAgAAAAgtMjQuNjg2NAEIAAAABQAAAAExAQAAAAstMTg4MTA2ODI5NQMAAAADMTYwAgAAAAQ0MjI2BAAAAAEwBwAAAAk3LzMxLzIwMjYIAAAACTUvMzAvMjAyNgkAAAABMLKIhzA7794I2PriMjvv3gg2Q0lRLk5BU0RBUTpDQUxNLklRX0VCSVREQV8zWVJfQU5OX0NBR1IuMjAwMC4zMS8wNy8yMDI2AQAAACB6BQACAAAACC0yMy4yOTkyAQgAAAAFAAAAATEBAAAACy0xODgxMDY4Mjk1AwAAAAMxNjACAAAABDQyMjIEAAAAATAHAAAACTcvMzEvMjAyNggAAAAJNS8zMC8yMDI2CQAAAAEwsoiHMDvv3giJceIyO+/eCDhDSVEuTkFTREFROkNBTE0uSVFfVE9UQUxfUkVWXzVZUl9BTk5fQ0FHUi45OTEuMzEvMDcvMjAyNgEAAAAgegUAAgAA</t>
  </si>
  <si>
    <t>AActMC43MDM0AQgAAAAFAAAAATEBAAAACjE5NzIwMTIxMjEDAAAAAzE2MAIAAAAENDIzMwQAAAABMAcAAAAJNy8zMS8yMDI2CAAAAAg2LzMvMjAxNwkAAAABMLKIhzA7794I2PriMjvv3ggpQ0lRLk5BU0RBUTpDQUxNLklRX1pfU0NPUkUuOTkwLjMxLzA3LzIwMjYBAAAAIHoFAAIAAAAJMTIuNjQ1MDIyAQgAAAAFAAAAATEBAAAACjE4OTY4MjA1MTcDAAAAAzE2MAIAAAAGMTAwMTIzBAAAAAEwBwAAAAk3LzMxLzIwMjYIAAAACTUvMjgvMjAxNgkAAAABMLKIhzA7794IJP7gMjvv3gg3Q0lRLk5BU0RBUTpDQUxNLklRX05FVF9ERUJUX0VCSVREQV9DQVBFWC45OTAuMzEvMDcvMjAyNgEAAAAgegUAAwAAAAJOTQEIAAAABQAAAAExAQAAAAoxODk2ODIwNTE3AwAAAAMxNjACAAAABTIzMzE0BAAAAAEwBwAAAAk3LzMxLzIwMjYIAAAACTUvMjgvMjAxNgkAAAABMLKIhzA7794Ig6/gMjvv3gg4Q0lRLk5BU0RBUTpDQUxNLklRX1RPVEFMX1JFVl81WVJfQU5OX0NBR1IuOTkwLjMxLzA3LzIwMjYBAAAAIHoFAAIAAAAHMTUuMTY5MwEIAAAABQAAAAExAQAAAAoxODk2ODIwNTE3AwAAAAMxNjACAAAABDQyMzMEAAAAATAHAAAACTcvMzEvMjAyNggAAAAJNS8yOC8yMDE2CQAAAAEwsoiHMDvv3gjY+uIyO+/eCDVDSVEuTkFTREFROkNBTE0uSVFfRUJJVERBXzNZUl9BTk5fQ0FHUi45OTIuMzEvMDcvMjAyNgEAAAAgegUA</t>
  </si>
  <si>
    <t>AgAAAActNS4xMjI4AQgAAAAFAAAAATEBAAAACjIwNDU3NDkzMTADAAAAAzE2MAIAAAAENDIyMgQAAAABMAcAAAAJNy8zMS8yMDI2CAAAAAg2LzIvMjAxOAkAAAABMLKIhzA7794I9vmfNDvv3ghKQ0lRLk5BU0RBUTpDQUxNLklRX1RPVEFMX0RFQlRfRUJJVERBX0VYQ0xfT1BFUl9MRUFTRVNfQ0FQRVguOTkzLjMxLzA3LzIwMjYBAAAAIHoFAAIAAAAIMC4wNzg2NDUBCAAAAAUAAAABMQEAAAALLTIxNDI0MjkwMzkDAAAAAzE2MAIAAAAFNDkxODMEAAAAATAHAAAACTcvMzEvMjAyNggAAAAINi8xLzIwMTkJAAAAATCyiIcwO+/eCJELoTQ7794IMUNJUS5OQVNEQVE6Q0FMTS5JUV9ORVRfREVCVF9FQklUREEuOTkzLjMxLzA3LzIwMjYBAAAAIHoFAAMAAAACTk0BCAAAAAUAAAABMQEAAAALLTIxNDI0MjkwMzkDAAAAAzE2MAIAAAAENDE5MwQAAAABMAcAAAAJNy8zMS8yMDI2CAAAAAg2LzEvMjAxOQkAAAABMAJ1hzA7794Ipm2hNDvv3gg1Q0lRLk5BU0RBUTpDQUxNLklRX0VCSVREQV8zWVJfQU5OX0NBR1IuOTkzLjMxLzA3LzIwMjYBAAAAIHoFAAIAAAAILTQyLjAwMDEBCAAAAAUAAAABMQEAAAALLTIxNDI0MjkwMzkDAAAAAzE2MAIAAAAENDIyMgQAAAABMAcAAAAJNy8zMS8yMDI2CAAAAAg2LzEvMjAxOQkAAAABMLKIhzA7794IudKfNDvv3gg4Q0lRLk5BU0RBUTpDQUxNLklRX0VCSVREQV8xWVJfQU5OX0dS</t>
  </si>
  <si>
    <t>T1dUSC4yMDAwLjMxLzA3LzIwMjYBAAAAIHoFAAIAAAAILTcxLjY5MDMBCAAAAAUAAAABMQEAAAALLTE4ODEwNjgyOTUDAAAAAzE2MAIAAAAENDE5NgQAAAABMAcAAAAJNy8zMS8yMDI2CAAAAAk1LzMwLzIwMjYJAAAAATCyiIcwO+/eCBua4TI7794INENJUS5OQVNEQVE6Q0FMTS5JUV9FQklUXzVZUl9BTk5fQ0FHUi4yMDAwLjMxLzA3LzIwMjYBAAAAIHoFAAMAAAACTk0BCAAAAAUAAAABMQEAAAALLTE4ODEwNjgyOTUDAAAAAzE2MAIAAAAENDIzNgQAAAABMAcAAAAJNy8zMS8yMDI2CAAAAAk1LzMwLzIwMjYJAAAAATCyiIcwO+/eCAlw4zI7794IMENJUS5OQVNEQVE6Q0FMTS5JUV9DVVJSRU5UX1JBVElPLjIwMDAuMzEvMDcvMjAyNgEAAAAgegUAAgAAAAg3LjY5NTQ2OAEIAAAABQAAAAExAQAAAAstMTg4MTA2ODI5NQMAAAADMTYwAgAAAAQ0MDMwBAAAAAEwBwAAAAk3LzMxLzIwMjYIAAAACTUvMzAvMjAyNgkAAAABMCG4jTA7794I5TvdMjvv3ghEQ0lRLk5BU0RBUTpDQUxNLklRX0VCSVREQV9FWENMX09QRVJfTEVBU0VTX0NBUEVYX0lOVC4yMDAwLjMxLzA3LzIwMjYBAAAAIHoFAAIAAAAKNTY5LjE5Nzg0MQEIAAAABQAAAAExAQAAAAstMTg4MTA2ODI5NQMAAAADMTYwAgAAAAU0OTE3NAQAAAABMAcAAAAJNy8zMS8yMDI2CAAAAAk1LzMwLzIwMjYJAAAAATD9TYcwO+/eCELY3zI7794ILENJUS5OQVNE</t>
  </si>
  <si>
    <t>QVE6Q0FMTS5JUV9FQklUREFfSU5ULjk5MS4zMS8wNy8yMDI2AQAAACB6BQADAAAAAk5NAQgAAAAFAAAAATEBAAAACjE5NzIwMTIxMjEDAAAAAzE2MAIAAAAENDE5MAQAAAABMAcAAAAJNy8zMS8yMDI2CAAAAAg2LzMvMjAxNwkAAAABMEvfjTA7794I1DvfMjvv3ggxQ0lRLk5BU0RBUTpDQUxNLklRX0xUX0RFQlRfQ0FQSVRBTC45OTEuMzEvMDcvMjAyNgEAAAAgegUAAgAAAAYwLjcxNDYBCAAAAAUAAAABMQEAAAAKMTk3MjAxMjEyMQMAAAADMTYwAgAAAAQ0MTg3BAAAAAEwBwAAAAk3LzMxLzIwMjYIAAAACDYvMy8yMDE3CQAAAAEwS9+NMDvv3gjGst4yO+/eCClDSVEuTkFTREFROkNBTE0uSVFfWl9TQ09SRS45OTEuMzEvMDcvMjAyNgEAAAAgegUAAgAAAAg4LjQzNDQ4NQEIAAAABQAAAAExAQAAAAoxOTcyMDEyMTIxAwAAAAMxNjACAAAABjEwMDEyMwQAAAABMAcAAAAJNy8zMS8yMDI2CAAAAAg2LzMvMjAxNwkAAAABMLKIhzA7794IJP7gMjvv3gg4Q0lRLk5BU0RBUTpDQUxNLklRX1RPVEFMX1JFVl81WVJfQU5OX0NBR1IuOTkyLjMxLzA3LzIwMjYBAAAAIHoFAAIAAAAFMy4xMzMBCAAAAAUAAAABMQEAAAAKMjA0NTc0OTMxMAMAAAADMTYwAgAAAAQ0MjMzBAAAAAEwBwAAAAk3LzMxLzIwMjYIAAAACDYvMi8yMDE4CQAAAAEwsoiHMDvv3gj9l580O+/eCDNDSVEuTkFTREFROkNBTE0uSVFfRklYRURfQVNT</t>
  </si>
  <si>
    <t>RVRfVFVSTlMuOTkxLjMxLzA3LzIwMjYBAAAAIHoFAAIAAAAIMi41MjY5MDQBCAAAAAUAAAABMQEAAAAKMTk3MjAxMjEyMQMAAAADMTYwAgAAAAQ0MDY2BAAAAAEwBwAAAAk3LzMxLzIwMjYIAAAACDYvMy8yMDE3CQAAAAEwIbiNMDvv3gidmNwyO+/eCDFDSVEuTkFTREFROkNBTE0uSVFfTklfNVlSX0FOTl9DQUdSLjk5MC4zMS8wNy8yMDI2AQAAACB6BQACAAAABzM5LjAzMTIBCAAAAAUAAAABMQEAAAAKMTg5NjgyMDUxNwMAAAADMTYwAgAAAAQ0MjM4BAAAAAEwBwAAAAk3LzMxLzIwMjYIAAAACTUvMjgvMjAxNgkAAAABMLKIhzA7794ICXDjMjvv3ggxQ0lRLk5BU0RBUTpDQUxNLklRX0NBU0hfQ09OVkVSU0lPTi45OTMuMzEvMDcvMjAyNgEAAAAgegUAAgAAAAg2MC42NDQyMgEIAAAABQAAAAExAQAAAAstMjE0MjQyOTAzOQMAAAADMTYwAgAAAAQ0MTg0BAAAAAEwBwAAAAk3LzMxLzIwMjYIAAAACDYvMS8yMDE5CQAAAAEwS9+NMDvv3gi6zqI0O+/eCDFDSVEuTkFTREFROkNBTE0uSVFfREFZU19TQUxFU19PVVQuMjAwMC4zMS8wNy8yMDI2AQAAACB6BQACAAAACTIzLjc3MzIwNAEIAAAABQAAAAExAQAAAAstMTg4MTA2ODI5NQMAAAADMTYwAgAAAAQ0MDQyBAAAAAEwBwAAAAk3LzMxLzIwMjYIAAAACTUvMzAvMjAyNgkAAAABMEvfjTA7794I4Z3dMjvv3gg0Q0lRLk5BU0RBUTpDQUxNLklRX0RBWVNfSU5W</t>
  </si>
  <si>
    <t>RU5UT1JZX09VVC45OTAuMzEvMDcvMjAyNgEAAAAgegUAAgAAAAk0My40NjYzMzIBCAAAAAUAAAABMQEAAAAKMTg5NjgyMDUxNwMAAAADMTYwAgAAAAQ0MDM1BAAAAAEwBwAAAAk3LzMxLzIwMjYIAAAACTUvMjgvMjAxNgkAAAABMEvfjTA7794I4Z3dMjvv3ggzQ0lRLk5BU0RBUTpDQUxNLklRX1RPVEFMX0RFQlRfRUJJVERBLjk5MC4zMS8wNy8yMDI2AQAAACB6BQACAAAACDAuMDQ5NjU5AQgAAAAFAAAAATEBAAAACjE4OTY4MjA1MTcDAAAAAzE2MAIAAAAENDE5MgQAAAABMAcAAAAJNy8zMS8yMDI2CAAAAAk1LzI4LzIwMTYJAAAAATD9TYcwO+/eCCix3zI7794ILENJUS5OQVNEQVE6Q0FMTS5JUV9FQklUREFfSU5ULjk5Mi4zMS8wNy8yMDI2AQAAACB6BQACAAAACjg4OS42NDUyODMBCAAAAAUAAAABMQEAAAAKMjA0NTc0OTMxMAMAAAADMTYwAgAAAAQ0MTkwBAAAAAEwBwAAAAk3LzMxLzIwMjYIAAAACDYvMi8yMDE4CQAAAAEwS9+NMDvv3gjlMaI0O+/eCDVDSVEuTkFTREFROkNBTE0uSVFfRUJJVF8xWVJfQU5OX0dST1dUSC45OTAuMzEvMDcvMjAyNgEAAAAgegUAAgAAAAc5OS44NDg3AQgAAAAFAAAAATEBAAAACjE4OTY4MjA1MTcDAAAAAzE2MAIAAAAENDE5NwQAAAABMAcAAAAJNy8zMS8yMDI2CAAAAAk1LzI4LzIwMTYJAAAAATCyiIcwO+/eCBua4TI7794IKUNJUS5OQVNEQVE6Q0FMTS5JUV9aX1ND</t>
  </si>
  <si>
    <t>T1JFLjk5Mi4zMS8wNy8yMDI2AQAAACB6BQACAAAACDkuODE5MzQ1AQgAAAAFAAAAATEBAAAACjIwNDU3NDkzMTADAAAAAzE2MAIAAAAGMTAwMTIzBAAAAAEwBwAAAAk3LzMxLzIwMjYIAAAACDYvMi8yMDE4CQAAAAEwsoiHMDvv3giE5KA0O+/eCC5DSVEuTkFTREFROkNBTE0uSVFfQ0FMQ19UWVBFX0JTLjk5Mi4zMS8wNy8yMDI2AQAAACB6BQADAAAAA1JVUAAhuI0wO+/eCAUdpTQ7794ILkNJUS5OQVNEQVE6Q0FMTS5JUV9HUk9TU19NQVJHSU4uOTkwLjMxLzA3LzIwMjYBAAAAIHoFAAIAAAAHMzMuOTU0NQEIAAAABQAAAAExAQAAAAoxODk2ODIwNTE3AwAAAAMxNjACAAAABDQwNzQEAAAAATAHAAAACTcvMzEvMjAyNggAAAAJNS8yOC8yMDE2CQAAAAEwIbiNMDvv3ghAmtsyO+/eCDBDSVEuTkFTREFROkNBTE0uSVFfUkVUVVJOX0NBUElUQUwuOTkwLjMxLzA3LzIwMjYBAAAAIHoFAAIAAAAHMzQuNjE1NAEIAAAABQAAAAExAQAAAAoxODk2ODIwNTE3AwAAAAMxNjACAAAABDQzNjMEAAAAATAHAAAACTcvMzEvMjAyNggAAAAJNS8yOC8yMDE2CQAAAAEwIbiNMDvv3gg8ONsyO+/eCC9DSVEuTkFTREFROkNBTE0uSVFfQ1VSUkVOVF9SQVRJTy45OTIuMzEvMDcvMjAyNgEAAAAgegUAAgAAAAg1LjQ0ODE3MgEIAAAABQAAAAExAQAAAAoyMDQ1NzQ5MzEwAwAAAAMxNjACAAAABDQwMzAEAAAAATAHAAAACTcvMzEv</t>
  </si>
  <si>
    <t>MjAyNggAAAAINi8yLzIwMTgJAAAAATAhuI0wO+/eCIhrozQ7794IM0NJUS5OQVNEQVE6Q0FMTS5JUV9GSVhFRF9BU1NFVF9UVVJOUy45OTIuMzEvMDcvMjAyNgEAAAAgegUAAgAAAAgzLjQwMTk2MQEIAAAABQAAAAExAQAAAAoyMDQ1NzQ5MzEwAwAAAAMxNjACAAAABDQwNjYEAAAAATAHAAAACTcvMzEvMjAyNggAAAAINi8yLzIwMTgJAAAAATAhuI0wO+/eCLoHpDQ7794IPENJUS5OQVNEQVE6Q0FMTS5JUV9GSU5fRElWX0RFQlRfVE9UQUwuOTkwLjMxLzA3LzIwMjYuLi5VU0QuSAEAAAAgegUAAwAAAAAA8FWNMDvv3ghhYc8yO+/eCEdDSVEuTkFTREFROkNBTE0uSVFfQ1VSUkVOVF9QT1JUX0RFQlRfREVSSVZBVElWRVMuOTkwLjMxLzA3LzIwMjYuLi5VU0QuSAEAAAAgegUAAwAAAAAAzpCNMDvv3gigJNEyO+/eCDdDSVEuTkFTREFROkNBTE0uSVFfT1JERVJfQkFDS0xPRy45OTIuMzEvMDcvMjAyNi4uLlVTRC5IAQAAACB6BQADAAAAAADwVY0wO+/eCLwTqzQ7794INkNJUS5OQVNEQVE6Q0FMTS5JUV9HV19JTlRBTl9ORVQuOTkwLjMxLzA3LzIwMjYuLi5VU0QuSAEAAAAgegUAAwAAAAAAzpCNMDvv3ghCEtMyO+/eCDJDSVEuTkFTREFROkNBTE0uSVFfR1JPU1NfR1cuOTkyLjMxLzA3LzIwMjYuLi5VU0QuSAEAAAAgegUAAwAAAAAAzpCNMDvv3gge7qk0O+/eCDhDSVEuTkFTREFROkNBTE0uSVFfQVNTRVRT</t>
  </si>
  <si>
    <t>X0xFVkVMXzEuOTkyLjMxLzA3LzIwMjYuLi5VU0QuSAEAAAAgegUAAgAAAAUzLjA3MQD7g5EwO+/eCCtfrjQ7794IPUNJUS5OQVNEQVE6Q0FMTS5JUV9MSUFCSUxJVElFU19MRVZFTF8zLjk5MC4zMS8wNy8yMDI2Li4uVVNELkgBAAAAIHoFAAMAAAAAAPBVjTA7794IkmLOMjvv3gg7Q0lRLk5BU0RBUTpDQUxNLklRX0FTU0VUU19GQUlSX1ZBTFVFLjk5MC4zMS8wNy8yMDI2Li4uVVNELkgBAAAAIHoFAAIAAAAHMzYyLjQzNgD8qpEwO+/eCD++zTI7794INENJUS5OQVNEQVE6Q0FMTS5JUV9BVkdfVEVNUF9FTVBMT1lFRVMuOTkyLjMxLzA3LzIwMjYBAAAAIHoFAAMAAAAAAPBVjTA7794IB5KlNDvv3ggxQ0lRLk5BU0RBUTpDQUxNLklRX1RPVEFMX0VNUExPWUVFUy45OTIuMzEvMDcvMjAyNgEAAAAgegUAAgAAAAQzNDk2APBVjTA7794IquClNDvv3gg8Q0lRLk5BU0RBUTpDQUxNLklRX1RPVEFMX0RFQlRfQ1VSUkVOVC45OTAuMzEvMDcvMjAyNi4uLlVTRC5IAQAAACB6BQACAAAABTE2LjMyAQgAAAAFAAAAATEBAAAACjE4OTY4MjA1MTcDAAAAAzE2MAIAAAAFMjUyMjMEAAAAATAHAAAACTcvMzEvMjAyNggAAAAJNS8yOC8yMDE2CQAAAAEw4FyRMDvv3ghxxscyO+/eCDFDSVEuTkFTREFROkNBTE0uSVFfV0lQX0lOVi45OTAuMzEvMDcvMjAyNi4uLlVTRC5IAQAAACB6BQADAAAAAADgXJEwO+/eCAnCyTI7794I</t>
  </si>
  <si>
    <t>NUNJUS5OQVNEQVE6Q0FMTS5JUV9BUl9VTkJJTExFRC45OTIuMzEvMDcvMjAyNi4uLlVTRC5IAQAAACB6BQADAAAAAADgXJEwO+/eCMu9sDQ7794IQ0NJUS5OQVNEQVE6Q0FMTS5JUV9GSU5fRElWX01JTk9SSVRZX0lOVEVSRVNULjk5MC4zMS8wNy8yMDI2Li4uVVNELkgBAAAAIHoFAAMAAAAAAPuDkTA7794IRbzLMjvv3gg/Q0lRLk5BU0RBUTpDQUxNLklRX0xFQVNFSE9MRF9JTVBST1ZFTUVOVC45OTIuMzEvMDcvMjAyNi4uLlVTRC5IAQAAACB6BQADAAAAAAD7g5EwO+/eCHCYrzQ7794IQkNJUS5OQVNEQVE6Q0FMTS5JUV9GSU5BTkNFX0xFQVNFU19MT05HX1RFUk0uOTkyLjMxLzA3LzIwMjYuLi5VU0QuSAEAAAAgegUAAgAAAAQxLjM0AQgAAAAFAAAAATEBAAAACjIwNDU3NDkzMTADAAAAAzE2MAIAAAAFNDg5OTEEAAAAATAHAAAACTcvMzEvMjAyNggAAAAINi8yLzIwMTgJAAAAATBiNZEwO+/eCDjiszQ7794IVkNJUS5OQVNEQVE6Q0FMTS5JUV9GSU5BTkNJTkdfT0JMSUdfTk9OX0NVUlJFTlRfRVhDTF9PUEVSX0xFQVNFUy45OTAuMzEvMDcvMjAyNi4uLlVTRC5IAQAAACB6BQACAAAABDkuMjUBCAAAAAUAAAABMQEAAAAKMTg5NjgyMDUxNwMAAAADMTYwAgAAAAU0ODk4MQQAAAABMAcAAAAJNy8zMS8yMDI2CAAAAAk1LzI4LzIwMTYJAAAAATBiNZEwO+/eCBCUxTI7794IO0NJUS5OQVNEQVE6Q0FMTS5J</t>
  </si>
  <si>
    <t>UV9UT1RBTF9PUEVSX0xFQVNFUy45OTAuMzEvMDcvMjAyNi4uLlVTRC5IAQAAACB6BQADAAAAAABiNZEwO+/eCN4KxTI7794ILUNJUS5OQVNEQVE6Q0FMTS5JUV9UQlYuOTkyLjMxLzA3LzIwMjYuLi5VU0QuSAEAAAAgegUAAgAAAAc4OTEuNTAxAQgAAAAFAAAAATEBAAAACjIwNDU3NDkzMTADAAAAAzE2MAIAAAAEMTMxMAQAAAABMAcAAAAJNy8zMS8yMDI2CAAAAAg2LzIvMjAxOAkAAAABMGI1kTA7794IjUeyNDvv3gg7Q0lRLk5BU0RBUTpDQUxNLklRX0JWX1NIQVJFX1JFUE9SVEVELjk5Mi4zMS8wNy8yMDI2Li4uVVNELkgBAAAAIHoFAAMAAAAAAGI1kTA7794I2ryyNDvv3gg6Q0lRLk5BU0RBUTpDQUxNLklRX0xPTkdfVEVSTV9MRUFTRVMuOTkwLjMxLzA3LzIwMjYuLi5VU0QuSAEAAAAgegUAAwAAAAAAevz6MDvv3giNyb4yO+/eCDBDSVEuTkFTREFROkNBTE0uSVFfQ09NTU9OLjk5MC4zMS8wNy8yMDI2Li4uVVNELkgBAAAAIHoFAAIAAAAFMC43NTEBCAAAAAUAAAABMQEAAAAKMTg5NjgyMDUxNwMAAAADMTYwAgAAAAQxMTAzBAAAAAEwBwAAAAk3LzMxLzIwMjYIAAAACTUvMjgvMjAxNgkAAAABMFr6kDA7794IHeTAMjvv3gg5Q0lRLk5BU0RBUTpDQUxNLklRX1BSRUZfTk9OX1JFREVFTS45OTIuMzEvMDcvMjAyNi4uLlVTRC5IAQAAACB6BQADAAAAAAB6/PowO+/eCFG2tjQ7794IRUNJUS5OQVNEQVE6</t>
  </si>
  <si>
    <t>Q0FMTS5JUV9SVUFfQ0FQSVRBTF9MRUFTRV9BQ0NVTV9ERVAuOTkwLjMxLzA3LzIwMjYuLi5VU0QuSAEAAAAgegUAAwAAAAAAWvqQMDvv3ggU7sIyO+/eCDNDSVEuTkFTREFROkNBTE0uSVFfUlVBX0dST1NTLjk5Mi4zMS8wNy8yMDI2Li4uVVNELkgBAAAAIHoFAAMAAAAAAFr6kDA7794IsUK1NDvv3gg7Q0lRLk5BU0RBUTpDQUxNLklRX0ZJTl9ESVZfQVNTRVRTX0xULjk5Mi4zMS8wNy8yMDI2Li4uVVNELkgBAAAAIHoFAAMAAAAAAGzV+jA7794IixO6NDvv3ggsQ0lRLk5BU0RBUTpDQUxNLklRX0FQLjk5MC4zMS8wNy8yMDI2Li4uVVNELkgBAAAAIHoFAAIAAAAGMzYuMjYyAQgAAAAFAAAAATEBAAAACjE4OTY4MjA1MTcDAAAAAzE2MAIAAAAEMTAxOAQAAAABMAcAAAAJNy8zMS8yMDI2CAAAAAk1LzI4LzIwMTYJAAAAATBs1fowO+/eCA7JvDI7794IOENJUS5OQVNEQVE6Q0FMTS5JUV9ERUZfQ0hBUkdFU19MVC45OTAuMzEvMDcvMjAyNi4uLlVTRC5IAQAAACB6BQADAAAAAABs1fowO+/eCMpTvDI7794IPkNJUS5OQVNEQVE6Q0FMTS5JUV9ERUZfVEFYX0xJQUJfQ1VSUkVOVC45OTIuMzEvMDcvMjAyNi4uLlVTRC5IAQAAACB6BQADAAAAAAB6/PowO+/eCDZ4uDQ7794IPkNJUS5OQVNEQVE6Q0FMTS5JUV9GSU5fRElWX0xJQUJfQ1VSUkVOVC45OTIuMzEvMDcvMjAyNi4uLlVTRC5IAQAAACB6BQADAAAAAABs</t>
  </si>
  <si>
    <t>1fowO+/eCH7GuDQ7794IO0NJUS5OQVNEQVE6Q0FMTS5JUV9UT1RBTF9SRVZfMVlSX0FOTl9HUk9XVEguMjAwMC4zMS8wNy8yMDI2AQAAACB6BQACAAAACC0zMS42ODIxAQgAAAAFAAAAATEBAAAACy0xODgxMDY4Mjk1AwAAAAMxNjACAAAABDQxOTQEAAAAATAHAAAACTcvMzEvMjAyNggAAAAJNS8zMC8yMDI2CQAAAAEwsoiHMDvv3ggNTOEyO+/eCDJDSVEuTkFTREFROkNBTE0uSVFfR1BfNVlSX0FOTl9DQUdSLjIwMDAuMzEvMDcvMjAyNgEAAAAgegUAAgAAAAczMy4xMzY4AQgAAAAFAAAAATEBAAAACy0xODgxMDY4Mjk1AwAAAAMxNjACAAAABDQyMzQEAAAAATAHAAAACTcvMzEvMjAyNggAAAAJNS8zMC8yMDI2CQAAAAEwsoiHMDvv3gjpIeMyO+/eCDFDSVEuTkFTREFROkNBTE0uSVFfTklfM1lSX0FOTl9DQUdSLjk5MS4zMS8wNy8yMDI2AQAAACB6BQADAAAAAk5NAQgAAAAFAAAAATEBAAAACjE5NzIwMTIxMjEDAAAAAzE2MAIAAAAENDIyNQQAAAABMAcAAAAJNy8zMS8yMDI2CAAAAAg2LzMvMjAxNwkAAAABMLKIhzA7794ImpjiMjvv3ggxQ0lRLk5BU0RBUTpDQUxNLklRX05JXzNZUl9BTk5fQ0FHUi45OTAuMzEvMDcvMjAyNgEAAAAgegUAAgAAAAc4NC4zNzYyAQgAAAAFAAAAATEBAAAACjE4OTY4MjA1MTcDAAAAAzE2MAIAAAAENDIyNQQAAAABMAcAAAAJNy8zMS8yMDI2CAAAAAk1LzI4LzIwMTYJAAAA</t>
  </si>
  <si>
    <t>ATCyiIcwO+/eCJqY4jI7794IMkNJUS5OQVNEQVE6Q0FMTS5JUV9OSV81WVJfQU5OX0NBR1IuMjAwMC4zMS8wNy8yMDI2AQAAACB6BQACAAAACDE3My43NDgyAQgAAAAFAAAAATEBAAAACy0xODgxMDY4Mjk1AwAAAAMxNjACAAAABDQyMzgEAAAAATAHAAAACTcvMzEvMjAyNggAAAAJNS8zMC8yMDI2CQAAAAEwsoiHMDvv3ggyvuMyO+/eCDlDSVEuTkFTREFROkNBTE0uSVFfVE9UQUxfTElBQl9UT1RBTF9BU1NFVFMuOTkxLjMxLzA3LzIwMjYBAAAAIHoFAAIAAAAHMTguMjU1OQEIAAAABQAAAAExAQAAAAoxOTcyMDEyMTIxAwAAAAMxNjACAAAABDQxODgEAAAAATAHAAAACTcvMzEvMjAyNggAAAAINi8zLzIwMTcJAAAAATBL340wO+/eCOkA3zI7794IM0NJUS5OQVNEQVE6Q0FMTS5JUV9UT1RBTF9ERUJUX0VRVUlUWS45OTMuMzEvMDcvMjAyNgEAAAAgegUAAgAAAAUwLjI1OAEIAAAABQAAAAExAQAAAAstMjE0MjQyOTAzOQMAAAADMTYwAgAAAAQ0MDM0BAAAAAEwBwAAAAk3LzMxLzIwMjYIAAAACDYvMS8yMDE5CQAAAAEwS9+NMDvv3gi6zqI0O+/eCEhDSVEuTkFTREFROkNBTE0uSVFfTkVUX0RFQlRfRUJJVERBX0VYQ0xfT1BFUl9MRUFTRVNfQ0FQRVguOTkxLjMxLzA3LzIwMjYBAAAAIHoFAAMAAAACTk0BCAAAAAUAAAABMQEAAAAKMTk3MjAxMjEyMQMAAAADMTYwAgAAAAU0OTE4MgQAAAABMAcAAAAJNy8z</t>
  </si>
  <si>
    <t>MS8yMDI2CAAAAAg2LzMvMjAxNwkAAAABMLKIhzA7794Iz9bgMjvv3ghCQ0lRLk5BU0RBUTpDQUxNLklRX05FVF9ERUJUX0VCSVREQV9FWENMX09QRVJfTEVBU0VTLjk5My4zMS8wNy8yMDI2AQAAACB6BQADAAAAAk5NAQgAAAAFAAAAATEBAAAACy0yMTQyNDI5MDM5AwAAAAMxNjACAAAABTQ5MTc1BAAAAAEwBwAAAAk3LzMxLzIwMjYIAAAACDYvMS8yMDE5CQAAAAEwAnWHMDvv3gimbaE0O+/eCDhDSVEuTkFTREFROkNBTE0uSVFfVE9UQUxfUkVWXzNZUl9BTk5fQ0FHUi45OTMuMzEvMDcvMjAyNgEAAAAgegUAAgAAAAgtMTAuNjU2MwEIAAAABQAAAAExAQAAAAstMjE0MjQyOTAzOQMAAAADMTYwAgAAAAQ0MjIwBAAAAAEwBwAAAAk3LzMxLzIwMjYIAAAACDYvMS8yMDE5CQAAAAEwsoiHMDvv3ggIIaA0O+/eCDFDSVEuTkFTREFROkNBTE0uSVFfUkVUVVJOX0NBUElUQUwuMjAwMC4zMS8wNy8yMDI2AQAAACB6BQACAAAABjguMjQzMgEIAAAABQAAAAExAQAAAAstMTg4MTA2ODI5NQMAAAADMTYwAgAAAAQ0MzYzBAAAAAEwBwAAAAk3LzMxLzIwMjYIAAAACTUvMzAvMjAyNgkAAAABMCG4jTA7794ITl/bMjvv3gg0Q0lRLk5BU0RBUTpDQUxNLklRX0RBWVNfSU5WRU5UT1JZX09VVC45OTMuMzEvMDcvMjAyNgEAAAAgegUAAgAAAAk1NC41MDA5OTIBCAAAAAUAAAABMQEAAAALLTIxNDI0MjkwMzkDAAAAAzE2MAIA</t>
  </si>
  <si>
    <t>AAAENDAzNQQAAAABMAcAAAAJNy8zMS8yMDI2CAAAAAg2LzEvMjAxOQkAAAABMEvfjTA7794IOx2jNDvv3gguQ0lRLk5BU0RBUTpDQUxNLklRX1FVSUNLX1JBVElPLjIwMDAuMzEvMDcvMjAyNgEAAAAgegUAAgAAAAg1Ljc4Mjk0NgEIAAAABQAAAAExAQAAAAstMTg4MTA2ODI5NQMAAAADMTYwAgAAAAQ0MTIxBAAAAAEwBwAAAAk3LzMxLzIwMjYIAAAACTUvMzAvMjAyNgkAAAABMCG4jTA7794IAmPdMjvv3ggqQ0lRLk5BU0RBUTpDQUxNLklRX0FSX1RVUk5TLjk5MS4zMS8wNy8yMDI2AQAAACB6BQACAAAACTE3LjQzMzA2MwEIAAAABQAAAAExAQAAAAoxOTcyMDEyMTIxAwAAAAMxNjACAAAABDQwMDEEAAAAATAHAAAACTcvMzEvMjAyNggAAAAINi8zLzIwMTcJAAAAATAhuI0wO+/eCKi/3DI7794IPkNJUS5OQVNEQVE6Q0FMTS5JUV9FQklUREFfRVhDTF9PUEVSX0xFQVNFU19JTlQuMjAwMC4zMS8wNy8yMDI2AQAAACB6BQACAAAACjg0MS4xNzYyNTgBCAAAAAUAAAABMQEAAAALLTE4ODEwNjgyOTUDAAAAAzE2MAIAAAAFNDkxNzMEAAAAATAHAAAACTcvMzEvMjAyNggAAAAJNS8zMC8yMDI2CQAAAAEwS9+NMDvv3ggRit8yO+/eCDlDSVEuTkFTREFROkNBTE0uSVFfQUNDVU1fQU1PUlRfR1cuMjAwMC4zMS8wNy8yMDI2Li4uVVNELkgBAAAAIHoFAAMAAAAAAM6QjTA7794IBLDSMjvv3ggqQ0lRLk5BU0RBUTpD</t>
  </si>
  <si>
    <t>QUxNLklRX0dBQVBfQlMuMjAwMC4zMS8wNy8yMDI2AQAAACB6BQADAAAAB1VTIEdBQVAAIbiNMDvv3ghREdsyO+/eCC9DSVEuTkFTREFROkNBTE0uSVFfQ0FQRVhfUENUX1JFVi45OTEuMzEvMDcvMjAyNgEAAAAgegUAAgAAAAY2LjIwMzQBCAAAAAUAAAABMQEAAAAKMTk3MjAxMjEyMQMAAAADMTYwAgAAAAUzNTM4MAQAAAABMAcAAAAJNy8zMS8yMDI2CAAAAAg2LzMvMjAxNwkAAAABMCG4jTA7794IMSPcMjvv3gguQ0lRLk5BU0RBUTpDQUxNLklRX0dST1NTX01BUkdJTi45OTMuMzEvMDcvMjAyNgEAAAAgegUAAgAAAAcxNi4zNzIzAQgAAAAFAAAAATEBAAAACy0yMTQyNDI5MDM5AwAAAAMxNjACAAAABDQwNzQEAAAAATAHAAAACTcvMzEvMjAyNggAAAAINi8xLzIwMTkJAAAAATAhuI0wO+/eCL+ApDQ7794IP0NJUS5OQVNEQVE6Q0FMTS5JUV9SRVNUUklDVEVEX0NBU0hfVE9UQUwuOTkxLjMxLzA3LzIwMjYuLi5VU0QuSAEAAAAgegUAAwAAAAAA8FWNMDvv3gg/OtAyO+/eCDxDSVEuTkFTREFROkNBTE0uSVFfREVCVF9FUVVJVl9ORVRfUEJPLjk5My4zMS8wNy8yMDI2Li4uVVNELkgBAAAAIHoFAAIAAAADNC45AQgAAAAFAAAAATEBAAAACy0yMTQyNDI5MDM5AwAAAAMxNjACAAAABTIxNjc5BAAAAAEwBwAAAAk3LzMxLzIwMjYIAAAACDYvMS8yMDE5CQAAAAEw8FWNMDvv3gjxr6s0O+/eCDxDSVEuTkFTREFR</t>
  </si>
  <si>
    <t>OkNBTE0uSVFfR1JPU1NfSU5UQU5fQVNTRVRTLjk5MS4zMS8wNy8yMDI2Li4uVVNELkgBAAAAIHoFAAIAAAAGNTAuMzM5AQgAAAAFAAAAATEBAAAACjE5NzIwMTIxMjEDAAAAAzE2MAIAAAAFMjQyOTMEAAAAATAHAAAACTcvMzEvMjAyNggAAAAINi8zLzIwMTcJAAAAATDOkI0wO+/eCL060jI7794IRUNJUS5OQVNEQVE6Q0FMTS5JUV9ERVJJVkFUSVZFX0xJQUJfTk9OX0NVUlJFTlQuOTkzLjMxLzA3LzIwMjYuLi5VU0QuSAEAAAAgegUAAwAAAAAAzpCNMDvv3gjsdqo0O+/eCDlDSVEuTkFTREFROkNBTE0uSVFfSU5URVJDT01QQU5ZX0NBLjk5My4zMS8wNy8yMDI2Li4uVVNELkgBAAAAIHoFAAMAAAAAAM6QjTA7794I2CqpNDvv3gg8Q0lRLk5BU0RBUTpDQUxNLklRX0FTU0VUU19GQUlSX1ZBTFVFLjIwMDAuMzEvMDcvMjAyNi4uLlVTRC5IAQAAACB6BQACAAAABjgxNi44NADwVY0wO+/eCF8MzjI7794IPENJUS5OQVNEQVE6Q0FMTS5JUV9GSU5fRElWX0RFQlRfVE9UQUwuOTkzLjMxLzA3LzIwMjYuLi5VU0QuSAEAAAAgegUAAwAAAAAA8FWNMDvv3ggg/qs0O+/eCDRDSVEuTkFTREFROkNBTE0uSVFfTlVNQkVSX0FEUkhPTERFUlMuMjAwMC4zMS8wNy8yMDI2AQAAACB6BQADAAAAAADwVY0wO+/eCKlC2jI7794IQUNJUS5OQVNEQVE6Q0FMTS5JUV9FTVBMT1lFRVNfVU5ERVJfVU5JT05fQ09OVFJBQ1RTLjk5</t>
  </si>
  <si>
    <t>MS4zMS8wNy8yMDI2AQAAACB6BQADAAAAAADwVY0wO+/eCGJ/2TI7794IQUNJUS5OQVNEQVE6Q0FMTS5JUV9DT05USU5HRU5UX0xJQUJJTElUSUVTLjIwMDAuMzEvMDcvMjAyNi4uLlVTRC5IAQAAACB6BQACAAAAAzUuOQEIAAAABQAAAAExAQAAAAstMTg4MTA2ODI5NQMAAAADMTYwAgAAAAUyNDY3MQQAAAABMAcAAAAJNy8zMS8yMDI2CAAAAAk1LzMwLzIwMjYJAAAAATDOkI0wO+/eCIDW0DI7794IPkNJUS5OQVNEQVE6Q0FMTS5JUV9NSU5PUklUWV9JTlRfUkVERUVNLjIwMDAuMzEvMDcvMjAyNi4uLlVTRC5IAQAAACB6BQADAAAAAAD7g5EwO+/eCBhJyzI7794IOUNJUS5OQVNEQVE6Q0FMTS5JUV9BU1NFVFNfTEVWRUxfMi4yMDAwLjMxLzA3LzIwMjYuLi5VU0QuSAEAAAAgegUAAgAAAAY4MTYuODQA+4ORMDvv3ggicM0yO+/eCFBDSVEuTkFTREFROkNBTE0uSVFfTElRVUlEQVRJT05fVkFMVUVfUFJFRkVSUkVEX05PTl9SRURFRU0uOTkxLjMxLzA3LzIwMjYuLi5VU0QuSAEAAAAgegUAAwAAAAAA+4ORMDvv3gi/+swyO+/eCCtDSVEuTkFTREFROkNBTE0uSVFfRlVMTF9USU1FLjk5MS4zMS8wNy8yMDI2AQAAACB6BQACAAAABDM0MzgA8FWNMDvv3gjKCdkyO+/eCD1DSVEuTkFTREFROkNBTE0uSVFfTElBQklMSVRJRVNfTEVWRUxfMy45OTMuMzEvMDcvMjAyNi4uLlVTRC5IAQAAACB6BQADAAAAAADwVY0w</t>
  </si>
  <si>
    <t>O+/eCI6wrDQ7794IOkNJUS5OQVNEQVE6Q0FMTS5JUV9BTExPV19ET1VCVF9BQ0NULjk5MS4zMS8wNy8yMDI2Li4uVVNELkgBAAAAIHoFAAIAAAAFMC4zODYBCAAAAAUAAAABMQEAAAAKMTk3MjAxMjEyMQMAAAADMTYwAgAAAAQzMDEyBAAAAAEwBwAAAAk3LzMxLzIwMjYIAAAACDYvMy8yMDE3CQAAAAEw4FyRMDvv3gjyxMgyO+/eCEFDSVEuTkFTREFROkNBTE0uSVFfTUlOT1JJVFlfSU5URVJFU1RfVE9UQUwuOTkzLjMxLzA3LzIwMjYuLi5VU0QuSAEAAAAgegUAAgAAAAUzLjE4MgEIAAAABQAAAAExAQAAAAstMjE0MjQyOTAzOQMAAAADMTYwAgAAAAQxMzEyBAAAAAEwBwAAAAk3LzMxLzIwMjYIAAAACDYvMS8yMDE5CQAAAAEw4FyRMDvv3gjVgbE0O+/eCEBDSVEuTkFTREFROkNBTE0uSVFfTkFUVVJBTF9SRVNPVVJDRVNfQ09TVC45OTEuMzEvMDcvMjAyNi4uLlVTRC5IAQAAACB6BQADAAAAAADgXJEwO+/eCNqsyjI7794ILkNJUS5OQVNEQVE6Q0FMTS5JUV9MQU5ELjk5My4zMS8wNy8yMDI2Li4uVVNELkgBAAAAIHoFAAIAAAAGOTMuMDQ2AQgAAAAFAAAAATEBAAAACy0yMTQyNDI5MDM5AwAAAAMxNjACAAAABDMwOTgEAAAAATAHAAAACTcvMzEvMjAyNggAAAAINi8xLzIwMTkJAAAAATDgXJEwO+/eCLg0sDQ7794IRUNJUS5OQVNEQVE6Q0FMTS5JUV9HRU5FUkFMX1BBUlRORVJfUFJFRl9FUVVJVFkuOTkz</t>
  </si>
  <si>
    <t>LjMxLzA3LzIwMjYuLi5VU0QuSAEAAAAgegUAAwAAAAAA+4ORMDvv3ghA6K40O+/eCDxDSVEuTkFTREFROkNBTE0uSVFfVE9UQUxfT1BFUl9MRUFTRVMuMjAwMC4zMS8wNy8yMDI2Li4uVVNELkgBAAAAIHoFAAMAAAAAAGI1kTA7794In0XFMjvv3gg8Q0lRLk5BU0RBUTpDQUxNLklRX1RPVEFMX0RFQlRfQ1VSUkVOVC45OTMuMzEvMDcvMjAyNi4uLlVTRC5IAQAAACB6BQACAAAABTEuNjk2AQgAAAAFAAAAATEBAAAACy0yMTQyNDI5MDM5AwAAAAMxNjACAAAABTI1MjIzBAAAAAEwBwAAAAk3LzMxLzIwMjYIAAAACDYvMS8yMDE5CQAAAAEw4FyRMDvv3giZvLE0O+/eCDNDSVEuTkFTREFROkNBTE0uSVFfR1dfSU5UQU4uMjAwMC4zMS8wNy8yMDI2Li4uVVNELkgBAAAAIHoFAAIAAAAHMTcwLjE4OQEIAAAABQAAAAExAQAAAAstMTg4MTA2ODI5NQMAAAADMTYwAgAAAAUzNTM4MQQAAAABMAcAAAAJNy8zMS8yMDI2CAAAAAk1LzMwLzIwMjYJAAAAATBiNZEwO+/eCKngxjI7794IM0NJUS5OQVNEQVE6Q0FMTS5JUV9UQlZfU0hBUkUuOTkxLjMxLzA3LzIwMjYuLi5VU0QuSAEAAAAgegUAAgAAAAkxNi4wMTYwNzcBCAAAAAUAAAABMQEAAAAKMTk3MjAxMjEyMQMAAAADMTYwAgAAAAQ0MTU2BAAAAAEwBwAAAAk3LzMxLzIwMjYIAAAACDYvMy8yMDE3CQAAAAEwYjWRMDvv3ghhV8YyO+/eCC1DSVEuTkFTREFROkNBTE0u</t>
  </si>
  <si>
    <t>SVFfSU5WX01FVEhPRC4yMDAwLjMxLzA3LzIwMjYBAAAAIHoFAAMAAAAERklGTwDgXJEwO+/eCMoJ2TI7794IOENJUS5OQVNEQVE6Q0FMTS5JUV9SVUFfQUNDVU1fREVQLjIwMDAuMzEvMDcvMjAyNi4uLlVTRC5IAQAAACB6BQADAAAAAABa+pAwO+/eCBGgwjI7794IP0NJUS5OQVNEQVE6Q0FMTS5JUV9UT1RBTF9GSU5BTkNFX0xFQVNFUy4yMDAwLjMxLzA3LzIwMjYuLi5VU0QuSAEAAAAgegUAAwAAAAAAYjWRMDvv3gg8n8QyO+/eCD9DSVEuTkFTREFROkNBTE0uSVFfTlBQRV9FWENMX09QRVJfTEVBU0VTLjk5MS4zMS8wNy8yMDI2Li4uVVNELkgBAAAAIHoFAAIAAAAHNDU4LjE4NAEIAAAABQAAAAExAQAAAAoxOTcyMDEyMTIxAwAAAAMxNjACAAAABTQ4OTc2BAAAAAEwBwAAAAk3LzMxLzIwMjYIAAAACDYvMy8yMDE3CQAAAAEwWvqQMDvv3ggJA8QyO+/eCDtDSVEuTkFTREFROkNBTE0uSVFfVE9UQUxfT1VUU1RBTkRJTkdfQlNfREFURS45OTEuMzEvMDcvMjAyNgEAAAAgegUAAgAAAAY0OC41NzcBBAAAAAUAAAABNQEAAAAKMTk3MjAxMjEyMQIAAAAFMjQxNTIGAAAAATBiNZEwO+/eCAXP2DI7794IVkNJUS5OQVNEQVE6Q0FMTS5JUV9GSU5BTkNJTkdfT0JMSUdfTk9OX0NVUlJFTlRfRVhDTF9PUEVSX0xFQVNFUy45OTMuMzEvMDcvMjAyNi4uLlVTRC5IAQAAACB6BQACAAAABTAuODU4AQgAAAAFAAAAATEB</t>
  </si>
  <si>
    <t>AAAACy0yMTQyNDI5MDM5AwAAAAMxNjACAAAABTQ4OTgxBAAAAAEwBwAAAAk3LzMxLzIwMjYIAAAACDYvMS8yMDE5CQAAAAEwYjWRMDvv3ggLMrM0O+/eCDRDSVEuTkFTREFROkNBTE0uSVFfVE9UQUxfTElBQi45OTEuMzEvMDcvMjAyNi4uLlVTRC5IAQAAACB6BQACAAAABzE4OC42MDEBCAAAAAUAAAABMQEAAAAKMTk3MjAxMjEyMQMAAAADMTYwAgAAAAQxMjc2BAAAAAEwBwAAAAk3LzMxLzIwMjYIAAAACDYvMy8yMDE3CQAAAAEwevz6MDvv3gjd7r8yO+/eCDdDSVEuTkFTREFROkNBTE0uSVFfVU5FQVJOX1JFVl9MVC45OTMuMzEvMDcvMjAyNi4uLlVTRC5IAQAAACB6BQADAAAAAAB6/PowO+/eCNp5tzQ7794INkNJUS5OQVNEQVE6Q0FMTS5JUV9UT1RBTF9FUVVJVFkuOTkxLjMxLzA3LzIwMjYuLi5VU0QuSAEAAAAgegUAAgAAAAc4NDQuNDkzAQgAAAAFAAAAATEBAAAACjE5NzIwMTIxMjEDAAAAAzE2MAIAAAAEMTI3NQQAAAABMAcAAAAJNy8zMS8yMDI2CAAAAAg2LzMvMjAxNwkAAAABMFr6kDA7794In+/BMjvv3ggyQ0lRLk5BU0RBUTpDQUxNLklRX1RSRUFTVVJZLjk5My4zMS8wNy8yMDI2Li4uVVNELkgBAAAAIHoFAAIAAAAHLTI1Ljg2NgEIAAAABQAAAAExAQAAAAstMjE0MjQyOTAzOQMAAAADMTYwAgAAAAQxMjQ4BAAAAAEwBwAAAAk3LzMxLzIwMjYIAAAACDYvMS8yMDE5CQAAAAEwWvqQMDvv3ghN</t>
  </si>
  <si>
    <t>37U0O+/eCEdDSVEuTkFTREFROkNBTE0uSVFfUlVBX09QRVJBVElOR19MRUFTRV9BQ0NVTV9ERVAuOTkzLjMxLzA3LzIwMjYuLi5VU0QuSAEAAAAgegUAAwAAAAAAWvqQMDvv3giPpbQ0O+/eCDlDSVEuTkFTREFROkNBTE0uSVFfREVGX0NIQVJHRVNfTFQuMjAwMC4zMS8wNy8yMDI2Li4uVVNELkgBAAAAIHoFAAMAAAAAAGzV+jA7794I+nq8Mjvv3gg6Q0lRLk5BU0RBUTpDQUxNLklRX0xPTkdfVEVSTV9MRUFTRVMuOTkzLjMxLzA3LzIwMjYuLi5VU0QuSAEAAAAgegUAAgAAAAUwLjg1OAEIAAAABQAAAAExAQAAAAstMjE0MjQyOTAzOQMAAAADMTYwAgAAAAQxMTgzBAAAAAEwBwAAAAk3LzMxLzIwMjYIAAAACDYvMS8yMDE5CQAAAAEwevz6MDvv3gj37rc0O+/eCDlDSVEuTkFTREFROkNBTE0uSVFfT1RIRVJfQ0xfU1VQUEwuMjAwMC4zMS8wNy8yMDI2Li4uVVNELkgBAAAAIHoFAAMAAAAAAHr8+jA7794IV3u+Mjvv3gg9Q0lRLk5BU0RBUTpDQUxNLklRX0lOQ19UQVhfUEFZX0NVUlJFTlQuOTkxLjMxLzA3LzIwMjYuLi5VU0QuSAEAAAAgegUAAwAAAAAAbNX6MDvv3ggsBr4yO+/eCDdDSVEuTkFTREFROkNBTE0uSVFfUFJFRl9DT05WRVJULjIwMDAuMzEvMDcvMjAyNi4uLlVTRC5IAQAAACB6BQADAAAAAABa+pAwO+/eCPZ0wDI7794IMUNJUS5OQVNEQVE6Q0FMTS5JUV9HUF81WVJfQU5OX0NBR1IuOTkyLjMx</t>
  </si>
  <si>
    <t>LzA3LzIwMjYBAAAAIHoFAAIAAAAHMTAuOTcwNAEIAAAABQAAAAExAQAAAAoyMDQ1NzQ5MzEwAwAAAAMxNjACAAAABDQyMzQEAAAAATAHAAAACTcvMzEvMjAyNggAAAAINi8yLzIwMTgJAAAAATCyiIcwO+/eCO1wnzQ7794IMENJUS5OQVNEQVE6Q0FMTS5JUV9BUl9MVC4yMDAwLjMxLzA3LzIwMjYuLi5VU0QuSAEAAAAgegUAAwAAAAAAbNX6MDvv3gjC8bsyO+/eCDVDSVEuTkFTREFROkNBTE0uSVFfT1RIRVJfSU5UQU4uOTkxLjMxLzA3LzIwMjYuLi5VU0QuSAEAAAAgegUAAgAAAAYyOS4xNDkBCAAAAAUAAAABMQEAAAAKMTk3MjAxMjEyMQMAAAADMTYwAgAAAAQxMDQwBAAAAAEwBwAAAAk3LzMxLzIwMjYIAAAACDYvMy8yMDE3CQAAAAEwbNX6MDvv3gh+fLsyO+/eCD1DSVEuTkFTREFROkNBTE0uSVFfQ1VSUkVOVF9QT1JUX0xFQVNFUy45OTEuMzEvMDcvMjAyNi4uLlVTRC5IAQAAACB6BQADAAAAAABs1fowO+/eCEFSvTI7794ILENJUS5OQVNEQVE6Q0FMTS5JUV9BUC45OTMuMzEvMDcvMjAyNi4uLlVTRC5IAQAAACB6BQACAAAABTM5LjIxAQgAAAAFAAAAATEBAAAACy0yMTQyNDI5MDM5AwAAAAMxNjACAAAABDEwMTgEAAAAATAHAAAACTcvMzEvMjAyNggAAAAINi8xLzIwMTkJAAAAATBs1fowO+/eCKViuTQ7794IMUNJUS5OQVNEQVE6Q0FMTS5JUV9HV19ORVQuMjAwMC4zMS8wNy8yMDI2Li4uVVNELkgB</t>
  </si>
  <si>
    <t>AAAAIHoFAAIAAAAGOTcuMDU5AQgAAAAFAAAAATEBAAAACy0xODgxMDY4Mjk1AwAAAAMxNjACAAAABTQ4OTYwBAAAAAEwBwAAAAk3LzMxLzIwMjYIAAAACTUvMzAvMjAyNgkAAAABMM6QjTA7794IPWHTMjvv3gg9Q0lRLk5BU0RBUTpDQUxNLklRX0xUX01BUktfU0VDVVJJVElFUy4yMDAwLjMxLzA3LzIwMjYuLi5VU0QuSAEAAAAgegUAAwAAAAAAzpCNMDvv3ghCEtMyO+/eCDJDSVEuTkFTREFROkNBTE0uSVFfR1JPU1NfR1cuOTkzLjMxLzA3LzIwMjYuLi5VU0QuSAEAAAAgegUAAwAAAAAAzpCNMDvv3gge7qk0O+/eCDNDSVEuTkFTREFROkNBTE0uSVFfVE9UQUxfREVCVF9FUVVJVFkuOTkxLjMxLzA3LzIwMjYBAAAAIHoFAAIAAAAGMS4yOTUzAQgAAAAFAAAAATEBAAAACjE5NzIwMTIxMjEDAAAAAzE2MAIAAAAENDAzNAQAAAABMAcAAAAJNy8zMS8yMDI2CAAAAAg2LzMvMjAxNwkAAAABMEvfjTA7794Imz3eMjvv3ggyQ0lRLk5BU0RBUTpDQUxNLklRX0VQU181WVJfQU5OX0NBR1IuOTkwLjMxLzA3LzIwMjYBAAAAIHoFAAIAAAAHMzguNzQ2NQEIAAAABQAAAAExAQAAAAoxODk2ODIwNTE3AwAAAAMxNjACAAAABDQyMzkEAAAAATAHAAAACTcvMzEvMjAyNggAAAAJNS8yOC8yMDE2CQAAAAEwsoiHMDvv3ggyvuMyO+/eCDxDSVEuTkFTREFROkNBTE0uSVFfRklOX0RJVl9ERUJUX1RPVEFMLjk5MS4zMS8wNy8y</t>
  </si>
  <si>
    <t>MDI2Li4uVVNELkgBAAAAIHoFAAMAAAAAAPBVjTA7794IYWHPMjvv3ggvQ0lRLk5BU0RBUTpDQUxNLklRX0FWR19FTVBMT1lFRVMuOTkyLjMxLzA3LzIwMjYBAAAAIHoFAAMAAAAAAPBVjTA7794I46WlNDvv3gg4Q0lRLk5BU0RBUTpDQUxNLklRX09SREVSX0JBQ0tMT0cuMjAwMC4zMS8wNy8yMDI2Li4uVVNELkgBAAAAIHoFAAMAAAAAAPBVjTA7794IgNbQMjvv3ggwQ0lRLk5BU0RBUTpDQUxNLklRX0NPU1RfQk9SUk9XSU5HLjk5MC4zMS8wNy8yMDI2AQAAACB6BQACAAAABjUuOTAzNAEIAAAABQAAAAExAQAAAAoxODk2ODIwNTE3AwAAAAMxNjACAAAABTIxNjgxBAAAAAEwBwAAAAk3LzMxLzIwMjYIAAAACTUvMjgvMjAxNgkAAAABMPBVjTA7794IqULaMjvv3gg5Q0lRLk5BU0RBUTpDQUxNLklRX0lOVEVSQ09NUEFOWV9DTC45OTMuMzEvMDcvMjAyNi4uLlVTRC5IAQAAACB6BQADAAAAAAAhuI0wO+/eCKUDqTQ7794IMUNJUS5OQVNEQVE6Q0FMTS5JUV9XSVBfSU5WLjk5MS4zMS8wNy8yMDI2Li4uVVNELkgBAAAAIHoFAAMAAAAAAOBckTA7794Iz5rJMjvv3ghFQ0lRLk5BU0RBUTpDQUxNLklRX0RFRl9UQVhfVkFMVUFUSU9OX0FMTE9XQU5DRS45OTAuMzEvMDcvMjAyNi4uLlVTRC5IAQAAACB6BQADAAAAAAD7g5EwO+/eCOPwyzI7794ISUNJUS5OQVNEQVE6Q0FMTS5JUV9GQUlSX1ZBTFVFX0NIQU5HRV9J</t>
  </si>
  <si>
    <t>TkNMX0VBUk5JTkdTLjk5Mi4zMS8wNy8yMDI2Li4uVVNELkgBAAAAIHoFAAMAAAAAAPBVjTA7794Ibk6sNDvv3gg9Q0lRLk5BU0RBUTpDQUxNLklRX0xJQUJJTElUSUVTX0xFVkVMXzEuOTkyLjMxLzA3LzIwMjYuLi5VU0QuSAEAAAAgegUAAwAAAAAA8FWNMDvv3gi+16w0O+/eCDhDSVEuTkFTREFROkNBTE0uSVFfQVNTRVRTX0xFVkVMXzEuOTkzLjMxLzA3LzIwMjYuLi5VU0QuSAEAAAAgegUAAgAAAAUzLjM1NwD7g5EwO+/eCCtfrjQ7794INkNJUS5OQVNEQVE6Q0FMTS5JUV9XT1JLSU5HX0NBUC4yMDAwLjMxLzA3LzIwMjYuLi5VU0QuSAEAAAAgegUAAgAAAAgxMzc2LjAyNgEIAAAABQAAAAExAQAAAAstMTg4MTA2ODI5NQMAAAADMTYwAgAAAAQ0MTY1BAAAAAEwBwAAAAk3LzMxLzIwMjYIAAAACTUvMzAvMjAyNgkAAAABMOBckTA7794I4Z3IMjvv3ggzQ0lRLk5BU0RBUTpDQUxNLklRX1RPVEFMX0NBUC45OTAuMzEvMDcvMjAyNi4uLlVTRC5IAQAAACB6BQACAAAABzk0Mi45MzEBCAAAAAUAAAABMQEAAAAKMTg5NjgyMDUxNwMAAAADMTYwAgAAAAQ0MTc1BAAAAAEwBwAAAAk3LzMxLzIwMjYIAAAACTUvMjgvMjAxNgkAAAABMOBckTA7794Ijk/IMjvv3ghAQ0lRLk5BU0RBUTpDQUxNLklRX1RPVEFMX0RFQlRfTk9OX0NVUlJFTlQuOTkzLjMxLzA3LzIwMjYuLi5VU0QuSAEAAAAgegUAAgAAAAUwLjg1OAEI</t>
  </si>
  <si>
    <t>AAAABQAAAAExAQAAAAstMjE0MjQyOTAzOQMAAAADMTYwAgAAAAUyNTIyNAQAAAABMAcAAAAJNy8zMS8yMDI2CAAAAAg2LzEvMjAxOQkAAAABMOBckTA7794ImbyxNDvv3ghAQ0lRLk5BU0RBUTpDQUxNLklRX05BVFVSQUxfUkVTT1VSQ0VTX0NPU1QuOTkyLjMxLzA3LzIwMjYuLi5VU0QuSAEAAAAgegUAAwAAAAAA4FyRMDvv3giS5q80O+/eCDdDSVEuTkFTREFROkNBTE0uSVFfRklOSVNIRURfSU5WLjIwMDAuMzEvMDcvMjAyNi4uLlVTRC5IAQAAACB6BQACAAAABjg0Ljc2OQEIAAAABQAAAAExAQAAAAstMTg4MTA2ODI5NQMAAAADMTYwAgAAAAQzMDc1BAAAAAEwBwAAAAk3LzMxLzIwMjYIAAAACTUvMzAvMjAyNgkAAAABMOBckTA7794IlxDKMjvv3gg+Q0lRLk5BU0RBUTpDQUxNLklRX1RPVEFMX0ZJTkFOQ0VfTEVBU0VTLjk5My4zMS8wNy8yMDI2Li4uVVNELkgBAAAAIHoFAAIAAAAFMS4wNTQBCAAAAAUAAAABMQEAAAALLTIxNDI0MjkwMzkDAAAAAzE2MAIAAAAFNDkwMzEEAAAAATAHAAAACTcvMzEvMjAyNggAAAAINi8xLzIwMTkJAAAAATBiNZEwO+/eCC27szQ7794IQENJUS5OQVNEQVE6Q0FMTS5JUV9GSU5BTkNFX0xFQVNFU19DVVJSRU5ULjk5Mi4zMS8wNy8yMDI2Li4uVVNELkgBAAAAIHoFAAMAAAAAAGI1kTA7794ISAm0NDvv3gg9Q0lRLk5BU0RBUTpDQUxNLklRX0FEX0VYQ0xfT1BFUl9MRUFT</t>
  </si>
  <si>
    <t>RVMuOTkxLjMxLzA3LzIwMjYuLi5VU0QuSAEAAAAgegUAAgAAAAgtNDY4Ljk5NQEIAAAABQAAAAExAQAAAAoxOTcyMDEyMTIxAwAAAAMxNjACAAAABTQ4OTc1BAAAAAEwBwAAAAk3LzMxLzIwMjYIAAAACDYvMy8yMDE3CQAAAAEwWvqQMDvv3ggJA8QyO+/eCD9DSVEuTkFTREFROkNBTE0uSVFfVE9UQUxfT1VUU1RBTkRJTkdfRklMSU5HX0RBVEUuOTkwLjMxLzA3LzIwMjYBAAAAIHoFAAIAAAAJNDguNTM0OTU1AQQAAAAFAAAAATUBAAAACjE4OTY4MjA1MTcCAAAABTI0MTUzBgAAAAEwYjWRMDvv3gjxp9gyO+/eCEVDSVEuTkFTREFROkNBTE0uSVFfVE9UQUxfREVCVF9FWENMX09QRVJfTEVBU0VTLjk5MC4zMS8wNy8yMDI2Li4uVVNELkgBAAAAIHoFAAIAAAAFMjUuNTcBCAAAAAUAAAABMQEAAAAKMTg5NjgyMDUxNwMAAAADMTYwAgAAAAU0ODk4MgQAAAABMAcAAAAJNy8zMS8yMDI2CAAAAAk1LzI4LzIwMTYJAAAAATBiNZEwO+/eCCG7xTI7794IQkNJUS5OQVNEQVE6Q0FMTS5JUV9SVUFfQ0FQSVRBTF9MRUFTRV9HUk9TUy4yMDAwLjMxLzA3LzIwMjYuLi5VU0QuSAEAAAAgegUAAwAAAAAAWvqQMDvv3ggU7sIyO+/eCDFDSVEuTkFTREFROkNBTE0uSVFfUlVBX05FVC45OTAuMzEvMDcvMjAyNi4uLlVTRC5IAQAAACB6BQADAAAAAABa+pAwO+/eCBGgwjI7794IPENJUS5OQVNEQVE6Q0FMTS5JUV9UT1RBTF9M</t>
  </si>
  <si>
    <t>SUFCX0VRVUlUWS4yMDAwLjMxLzA3LzIwMjYuLi5VU0QuSAEAAAAgegUAAgAAAAczMTA3LjU3AQgAAAAFAAAAATEBAAAACy0xODgxMDY4Mjk1AwAAAAMxNjACAAAABDEwMTMEAAAAATAHAAAACTcvMzEvMjAyNggAAAAJNS8zMC8yMDI2CQAAAAEwWvqQMDvv3gjAUcIyO+/eCFJDSVEuTkFTREFROkNBTE0uSVFfRklOQU5DSU5HX09CTElHX0NVUlJFTlRfRVhDTF9PUEVSX0xFQVNFUy45OTEuMzEvMDcvMjAyNi4uLlVTRC5IAQAAACB6BQACAAAABTQuODI2AQgAAAAFAAAAATEBAAAACjE5NzIwMTIxMjEDAAAAAzE2MAIAAAAFNDg5ODAEAAAAATAHAAAACTcvMzEvMjAyNggAAAAINi8zLzIwMTcJAAAAATBiNZEwO+/eCJ9FxTI7794IS0NJUS5OQVNEQVE6Q0FMTS5JUV9MVF9QT1JUSU9OX09QRVJfTEVBU0VfTElBQklMSVRJRVMuOTkzLjMxLzA3LzIwMjYuLi5VU0QuSAEAAAAgegUAAwAAAAAAYjWRMDvv3gjmk7M0O+/eCD5DSVEuTkFTREFROkNBTE0uSVFfRklOX0RJVl9ERUJUX0NVUlJFTlQuOTkxLjMxLzA3LzIwMjYuLi5VU0QuSAEAAAAgegUAAwAAAAAAbNX6MDvv3ggJjb0yO+/eCDJDSVEuTkFTREFROkNBTE0uSVFfU1RfREVCVC4yMDAwLjMxLzA3LzIwMjYuLi5VU0QuSAEAAAAgegUAAwAAAAAAbNX6MDvv3ghGK70yO+/eCC9DSVEuTkFTREFROkNBTE0uSVFfQVBJQy4yMDAwLjMxLzA3LzIwMjYuLi5VU0Qu</t>
  </si>
  <si>
    <t>SAEAAAAgegUAAgAAAAY4Ni4xMDYBCAAAAAUAAAABMQEAAAALLTE4ODEwNjgyOTUDAAAAAzE2MAIAAAAEMTA4NAQAAAABMAcAAAAJNy8zMS8yMDI2CAAAAAk1LzMwLzIwMjYJAAAAATBa+pAwO+/eCG4ywTI7794IQUNJUS5OQVNEQVE6Q0FMTS5JUV9SVUFfT1BFUkFUSU5HX0xFQVNFX05FVC45OTAuMzEvMDcvMjAyNi4uLlVTRC5IAQAAACB6BQADAAAAAABa+pAwO+/eCEaKwzI7794IQ0NJUS5OQVNEQVE6Q0FMTS5JUV9SVUFfT1BFUkFUSU5HX0xFQVNFX0dST1NTLjk5MC4zMS8wNy8yMDI2Li4uVVNELkgBAAAAIHoFAAMAAAAAAFr6kDA7794IKjzDMjvv3ggyQ0lRLk5BU0RBUTpDQUxNLklRX1RPVEFMX0NBLjk5MC4zMS8wNy8yMDI2Li4uVVNELkgBAAAAIHoFAAIAAAAHNjI2LjI4MwEIAAAABQAAAAExAQAAAAoxODk2ODIwNTE3AwAAAAMxNjACAAAABDEwMDgEAAAAATAHAAAACTcvMzEvMjAyNggAAAAJNS8yOC8yMDE2CQAAAAEwbNX6MDvv3ghvkboyO+/eCDhDSVEuTkFTREFROkNBTE0uSVFfREVGX0NIQVJHRVNfTFQuOTkzLjMxLzA3LzIwMjYuLi5VU0QuSAEAAAAgegUAAwAAAAAAbNX6MDvv3gjAxLk0O+/eCDlDSVEuTkFTREFROkNBTE0uSVFfTE9BTlNfUkVDRUlWX0xULjk5MS4zMS8wNy8yMDI2Li4uVVNELkgBAAAAIHoFAAMAAAAAAGzV+jA7794I4xi8Mjvv3gg7Q0lRLk5BU0RBUTpDQUxNLklRX0ZJ</t>
  </si>
  <si>
    <t>Tl9ESVZfTE9BTlNfTFQuMjAwMC4zMS8wNy8yMDI2Li4uVVNELkgBAAAAIHoFAAMAAAAAAGzV+jA7794Iscq7Mjvv3gg9Q0lRLk5BU0RBUTpDQUxNLklRX0lOQ19UQVhfUEFZX0NVUlJFTlQuOTkzLjMxLzA3LzIwMjYuLi5VU0QuSAEAAAAgegUAAwAAAAAAbNX6MDvv3ghJn7g0O+/eCDVDSVEuTkFTREFROkNBTE0uSVFfTUFJTlRfQ0FQRVguOTkwLjMxLzA3LzIwMjYuLi5VU0QuSAEAAAAgegUAAwAAAAAAbIf6MDvv3ggOGbQyO+/eCDRDSVEuTkFTREFROkNBTE0uSVFfQ0FTSF9FUVVJVi45OTAuMzEvMDcvMjAyNi4uLlVTRC5IAQAAACB6BQACAAAABjI5LjA0NgEIAAAABQAAAAExAQAAAAoxODk2ODIwNTE3AwAAAAMxNjACAAAABDEwOTYEAAAAATAHAAAACTcvMzEvMjAyNggAAAAJNS8yOC8yMDE2CQAAAAEwWa76MDvv3gjpkLUyO+/eCEBDSVEuTkFTREFROkNBTE0uSVFfREVGX1RBWF9BU1NFVFNfQ1VSUkVOVC45OTAuMzEvMDcvMjAyNi4uLlVTRC5IAQAAACB6BQADAAAAAABZrvowO+/eCCb1uTI7794INUNJUS5OQVNEQVE6Q0FMTS5JUV9QUkVQQUlEX0VYUC45OTIuMzEvMDcvMjAyNi4uLlVTRC5IAQAAACB6BQACAAAABDIuMDIBCAAAAAUAAAABMQEAAAAKMjA0NTc0OTMxMAMAAAADMTYwAgAAAAQxMjEyBAAAAAEwBwAAAAk3LzMxLzIwMjYIAAAACDYvMi8yMDE4CQAAAAEwWa76MDvv3gh/hrs0O+/eCD5D</t>
  </si>
  <si>
    <t>SVEuTkFTREFROkNBTE0uSVFfTkVHQVRJVkVfR1dfQU1PUlRfQ0YuOTkyLjMxLzA3LzIwMjYuLi5VU0QuSAEAAAAgegUAAwAAAAAA9pX2MDvv3giYpr80O+/eCENDSVEuTkFTREFROkNBTE0uSVFfR1dfSU5UQU5fQU1PUlRfUEFSVElBTF9DRi45OTAuMzEvMDcvMjAyNi4uLlVTRC5IAQAAACB6BQADAAAAAAD2lfYwO+/eCHVIsDI7794IPENJUS5OQVNEQVE6Q0FMTS5JUV9DQVNIX0lOVEVSRVNUX09QRVIuOTkwLjMxLzA3LzIwMjYuLi5VU0QuSAEAAAAgegUAAwAAAAAAbIf6MDvv3ghPMLIyO+/eCEVDSVEuTkFTREFROkNBTE0uSVFfU0FMRV9QUk9DRUVEU19SRU5UQUxfQVNTRVRTLjk5Mi4zMS8wNy8yMDI2Li4uVVNELkgBAAAAIHoFAAMAAAAAAPaV9jA7794IhFi/NDvv3gg1Q0lRLk5BU0RBUTpDQUxNLklRX0xFVkVSRURfRkNGLjk5Mi4zMS8wNy8yMDI2Li4uVVNELkgBAAAAIHoFAAIAAAAKMjE5LjM2MzYyNQEIAAAABQAAAAExAQAAAAoyMDQ1NzQ5MzEwAwAAAAMxNjACAAAABDQ0MjIEAAAAATAHAAAACTcvMzEvMjAyNggAAAAINi8yLzIwMTgJAAAAATBsh/owO+/eCLO9vTQ7794IOUNJUS5OQVNEQVE6Q0FMTS5JUV9UT1RBTF9MSUFCX1RPVEFMX0FTU0VUUy45OTAuMzEvMDcvMjAyNgEAAAAgegUAAgAAAAYxNy40ODYBCAAAAAUAAAABMQEAAAAKMTg5NjgyMDUxNwMAAAADMTYwAgAAAAQ0MTg4BAAAAAEw</t>
  </si>
  <si>
    <t>BwAAAAk3LzMxLzIwMjYIAAAACTUvMjgvMjAxNgkAAAABMEvfjTA7794I6QDfMjvv3ggzQ0lRLk5BU0RBUTpDQUxNLklRX0VCSVRfNVlSX0FOTl9DQUdSLjk5My4zMS8wNy8yMDI2AQAAACB6BQACAAAACC0yMS4xNjA1AQgAAAAFAAAAATEBAAAACy0yMTQyNDI5MDM5AwAAAAMxNjACAAAABDQyMzYEAAAAATAHAAAACTcvMzEvMjAyNggAAAAINi8xLzIwMTkJAAAAATCyiIcwO+/eCORJnzQ7794IM0NJUS5OQVNEQVE6Q0FMTS5JUV9HUF8xWVJfQU5OX0dST1dUSC45OTIuMzEvMDcvMjAyNgEAAAAgegUAAgAAAAg2OTIuNjM2NgEIAAAABQAAAAExAQAAAAoyMDQ1NzQ5MzEwAwAAAAMxNjACAAAABDQxOTUEAAAAATAHAAAACTcvMzEvMjAyNggAAAAINi8yLzIwMTgJAAAAATCyiIcwO+/eCDaWoDQ7794INENJUS5OQVNEQVE6Q0FMTS5JUV9ORVRfQ0hBTkdFLjk5MC4zMS8wNy8yMDI2Li4uVVNELkgBAAAAIHoFAAIAAAAGMjAuMzc5AQgAAAAFAAAAATEBAAAACjE4OTY4MjA1MTcDAAAAAzE2MAIAAAAEMjA5MwQAAAABMAcAAAAJNy8zMS8yMDI2CAAAAAk1LzI4LzIwMTYJAAAAATD2lfYwO+/eCO3SrzI7794IQUNJUS5OQVNEQVE6Q0FMTS5JUV9PVEhFUl9GSU5BTkNFX0FDVF9TVVBQTC45OTIuMzEvMDcvMjAyNi4uLlVTRC5IAQAAACB6BQACAAAABTAuMjc5AQgAAAAFAAAAATEBAAAACjIwNDU3NDkzMTADAAAAAzE2</t>
  </si>
  <si>
    <t>MAIAAAAEMjA1MAQAAAABMAcAAAAJNy8zMS8yMDI2CAAAAAg2LzIvMjAxOAkAAAABMOZu9jA7794Ias7ANDvv3gg/Q0lRLk5BU0RBUTpDQUxNLklRX0FEVkFOQ0VTX0ZPUl9TVVBQTElFUy45OTMuMzEvMDcvMjAyNi4uLlVTRC5IAQAAACB6BQADAAAAAADOkI0wO+/eCPqfqTQ7794IRENJUS5OQVNEQVE6Q0FMTS5JUV9ERVJJVkFUSVZFX0FTU0VUU19DVVJSRU5ULjIwMDAuMzEvMDcvMjAyNi4uLlVTRC5IAQAAACB6BQADAAAAAADOkI0wO+/eCMIT0jI7794IRUNJUS5OQVNEQVE6Q0FMTS5JUV9ERVJJVkFUSVZFX0xJQUJfTk9OX0NVUlJFTlQuOTkxLjMxLzA3LzIwMjYuLi5VU0QuSAEAAAAgegUAAwAAAAAAzpCNMDvv3giNntEyO+/eCDBDSVEuTkFTREFROkNBTE0uSVFfRUJJVERBX01BUkdJTi4yMDAwLjMxLzA3LzIwMjYBAAAAIHoFAAIAAAAHMTYuMDYyOQEIAAAABQAAAAExAQAAAAstMTg4MTA2ODI5NQMAAAADMTYwAgAAAAQ0MDQ3BAAAAAEwBwAAAAk3LzMxLzIwMjYIAAAACTUvMzAvMjAyNgkAAAABMCG4jTA7794IbejbMjvv3ggwQ0lRLk5BU0RBUTpDQUxNLklRX1JFU1RBVEVNRU5UX0JTLjk5MS4zMS8wNy8yMDI2AQAAACB6BQADAAAAAk5DACG4jTA7794Iw5vaMjvv3ghJQ0lRLk5BU0RBUTpDQUxNLklRX0ZBSVJfVkFMVUVfQ0hBTkdFX0lOQ0xfRUFSTklOR1MuOTkzLjMxLzA3LzIwMjYuLi5VU0Qu</t>
  </si>
  <si>
    <t>SAEAAAAgegUAAwAAAAAA8FWNMDvv3ghuTqw0O+/eCD5DSVEuTkFTREFROkNBTE0uSVFfU1RfREVCVF9ERVJJVkFUSVZFUy4yMDAwLjMxLzA3LzIwMjYuLi5VU0QuSAEAAAAgegUAAwAAAAAAzpCNMDvv3gigJNEyO+/eCEBDSVEuTkFTREFROkNBTE0uSVFfQ09OVElOR0VOVF9MSUFCSUxJVElFUy45OTAuMzEvMDcvMjAyNi4uLlVTRC5IAQAAACB6BQADAAAAAADwVY0wO+/eCHWv0DI7794IMENJUS5OQVNEQVE6Q0FMTS5JUV9DT1NUX0JPUlJPV0lORy45OTEuMzEvMDcvMjAyNgEAAAAgegUAAgAAAAY3Ljc2NzkBCAAAAAUAAAABMQEAAAAKMTk3MjAxMjEyMQMAAAADMTYwAgAAAAUyMTY4MQQAAAABMAcAAAAJNy8zMS8yMDI2CAAAAAg2LzMvMjAxNwkAAAABMPBVjTA7794IqULaMjvv3ggzQ0lRLk5BU0RBUTpDQUxNLklRX0lOVEFOX05FVC45OTAuMzEvMDcvMjAyNi4uLlVTRC5IAQAAACB6BQADAAAAAADOkI0wO+/eCD1h0zI7794IPUNJUS5OQVNEQVE6Q0FMTS5JUV9MSUFCSUxJVElFU19MRVZFTF8xLjk5My4zMS8wNy8yMDI2Li4uVVNELkgBAAAAIHoFAAMAAAAAAPBVjTA7794IvtesNDvv3gg4Q0lRLk5BU0RBUTpDQUxNLklRX0FTU0VUU19MRVZFTF8zLjk5MS4zMS8wNy8yMDI2Li4uVVNELkgBAAAAIHoFAAMAAAAAAPuDkTA7794IL5fNMjvv3ghNQ0lRLk5BU0RBUTpDQUxNLklRX0xJUVVJREFUSU9OX1ZB</t>
  </si>
  <si>
    <t>TFVFX1BSRUZFUlJFRF9DT05WRVJULjk5MS4zMS8wNy8yMDI2Li4uVVNELkgBAAAAIHoFAAMAAAAAAPuDkTA7794IdtPMMjvv3gg8Q0lRLk5BU0RBUTpDQUxNLklRX0ZJTl9ESVZfREVCVF9UT1RBTC45OTIuMzEvMDcvMjAyNi4uLlVTRC5IAQAAACB6BQADAAAAAADwVY0wO+/eCCD+qzQ7794IL0NJUS5OQVNEQVE6Q0FMTS5JUV9BVkdfRU1QTE9ZRUVTLjk5My4zMS8wNy8yMDI2AQAAACB6BQADAAAAAADwVY0wO+/eCOOlpTQ7794IMUNJUS5OQVNEQVE6Q0FMTS5JUV9XSVBfSU5WLjk5Mi4zMS8wNy8yMDI2Li4uVVNELkgBAAAAIHoFAAMAAAAAAOBckTA7794IiZawNDvv3gg7Q0lRLk5BU0RBUTpDQUxNLklRX0FMTE9XX0RPVUJUX0FDQ1QuMjAwMC4zMS8wNy8yMDI2Li4uVVNELkgBAAAAIHoFAAIAAAAFMC43MTkBCAAAAAUAAAABMQEAAAALLTE4ODEwNjgyOTUDAAAAAzE2MAIAAAAEMzAxMgQAAAABMAcAAAAJNy8zMS8yMDI2CAAAAAk1LzMwLzIwMjYJAAAAATDgXJEwO+/eCBPsyDI7794IRUNJUS5OQVNEQVE6Q0FMTS5JUV9ERUZfVEFYX1ZBTFVBVElPTl9BTExPV0FOQ0UuOTkxLjMxLzA3LzIwMjYuLi5VU0QuSAEAAAAgegUAAwAAAAAA+4ORMDvv3gjj8MsyO+/eCD9DSVEuTkFTREFROkNBTE0uSVFfTEVBU0VIT0xEX0lNUFJPVkVNRU5ULjk5MC4zMS8wNy8yMDI2Li4uVVNELkgBAAAAIHoFAAMAAAAAAPuD</t>
  </si>
  <si>
    <t>kTA7794ICSLLMjvv3ghAQ0lRLk5BU0RBUTpDQUxNLklRX05BVFVSQUxfUkVTT1VSQ0VTX0NPU1QuOTkzLjMxLzA3LzIwMjYuLi5VU0QuSAEAAAAgegUAAwAAAAAA4FyRMDvv3giS5q80O+/eCDJDSVEuTkFTREFROkNBTE0uSVFfQlZfU0hBUkUuOTkwLjMxLzA3LzIwMjYuLi5VU0QuSAEAAAAgegUAAgAAAAkxOC44NTcyNjMBCAAAAAUAAAABMQEAAAAKMTg5NjgyMDUxNwMAAAADMTYwAgAAAAQ0MDIwBAAAAAEwBwAAAAk3LzMxLzIwMjYIAAAACTUvMjgvMjAxNgkAAAABMGI1kTA7794ISQnGMjvv3gg/Q0lRLk5BU0RBUTpDQUxNLklRX1RPVEFMX09VVFNUQU5ESU5HX0ZJTElOR19EQVRFLjk5MS4zMS8wNy8yMDI2AQAAACB6BQACAAAACTQ4LjU3NDA1MgEEAAAABQAAAAE1AQAAAAoxOTcyMDEyMTIxAgAAAAUyNDE1MwYAAAABMGI1kTA7794I8afYMjvv3ghFQ0lRLk5BU0RBUTpDQUxNLklRX1RPVEFMX0RFQlRfRVhDTF9PUEVSX0xFQVNFUy45OTEuMzEvMDcvMjAyNi4uLlVTRC5IAQAAACB6BQACAAAABjEwLjkzOQEIAAAABQAAAAExAQAAAAoxOTcyMDEyMTIxAwAAAAMxNjACAAAABTQ4OTgyBAAAAAEwBwAAAAk3LzMxLzIwMjYIAAAACDYvMy8yMDE3CQAAAAEwYjWRMDvv3gghu8UyO+/eCDlDSVEuTkFTREFROkNBTE0uSVFfTkVUX1dPUktJTkdfQ0FQLjk5MC4zMS8wNy8yMDI2Li4uVVNELkgBAAAAIHoFAAIA</t>
  </si>
  <si>
    <t>AAAHMTY5LjYwNwEIAAAABQAAAAExAQAAAAoxODk2ODIwNTE3AwAAAAMxNjACAAAABDEzMTEEAAAAATAHAAAACTcvMzEvMjAyNggAAAAJNS8yOC8yMDE2CQAAAAEw4FyRMDvv3gjhncgyO+/eCDNDSVEuTkFTREFROkNBTE0uSVFfT1RIRVJfSU5WLjk5MC4zMS8wNy8yMDI2Li4uVVNELkgBAAAAIHoFAAMAAAAAAOBckTA7794IlxDKMjvv3gg7Q0lRLk5BU0RBUTpDQUxNLklRX1RPVEFMX0xJQUJfRVFVSVRZLjk5Mi4zMS8wNy8yMDI2Li4uVVNELkgBAAAAIHoFAAIAAAAIMTE1MC40NDcBCAAAAAUAAAABMQEAAAAKMjA0NTc0OTMxMAMAAAADMTYwAgAAAAQxMDEzBAAAAAEwBwAAAAk3LzMxLzIwMjYIAAAACDYvMi8yMDE4CQAAAAEwWvqQMDvv3gjwabU0O+/eCDtDSVEuTkFTREFROkNBTE0uSVFfTUlOT1JJVFlfSU5URVJFU1QuOTkxLjMxLzA3LzIwMjYuLi5VU0QuSAEAAAAgegUAAgAAAAUxLjgwNgEIAAAABQAAAAExAQAAAAoxOTcyMDEyMTIxAwAAAAMxNjACAAAABDEwNTIEAAAAATAHAAAACTcvMzEvMjAyNggAAAAINi8zLzIwMTcJAAAAATBa+pAwO+/eCJ/vwTI7794IQENJUS5OQVNEQVE6Q0FMTS5JUV9GSU5BTkNFX0xFQVNFU19DVVJSRU5ULjk5My4zMS8wNy8yMDI2Li4uVVNELkgBAAAAIHoFAAIAAAAFMC4xOTYBCAAAAAUAAAABMQEAAAALLTIxNDI0MjkwMzkDAAAAAzE2MAIAAAAFNDg5OTAEAAAAATAH</t>
  </si>
  <si>
    <t>AAAACTcvMzEvMjAyNggAAAAINi8xLzIwMTkJAAAAATBiNZEwO+/eCEgJtDQ7794IPUNJUS5OQVNEQVE6Q0FMTS5JUV9BRF9FWENMX09QRVJfTEVBU0VTLjk5Mi4zMS8wNy8yMDI2Li4uVVNELkgBAAAAIHoFAAIAAAAILTUxMy43MDcBCAAAAAUAAAABMQEAAAAKMjA0NTc0OTMxMAMAAAADMTYwAgAAAAU0ODk3NQQAAAABMAcAAAAJNy8zMS8yMDI2CAAAAAg2LzIvMjAxOAkAAAABMFr6kDA7794IWDC0NDvv3ghBQ0lRLk5BU0RBUTpDQUxNLklRX1JVQV9PUEVSQVRJTkdfTEVBU0VfTkVULjk5MS4zMS8wNy8yMDI2Li4uVVNELkgBAAAAIHoFAAMAAAAAAFr6kDA7794IRorDMjvv3gg0Q0lRLk5BU0RBUTpDQUxNLklRX1BSRUZfT1RIRVIuOTkwLjMxLzA3LzIwMjYuLi5VU0QuSAEAAAAgegUAAwAAAAAAWvqQMDvv3gj2dMAyO+/eCDZDSVEuTkFTREFROkNBTE0uSVFfUFJFRl9SRURFRU0uMjAwMC4zMS8wNy8yMDI2Li4uVVNELkgBAAAAIHoFAAMAAAAAAHr8+jA7794IoibAMjvv3ghDQ0lRLk5BU0RBUTpDQUxNLklRX1JVQV9PUEVSQVRJTkdfTEVBU0VfR1JPU1MuOTkxLjMxLzA3LzIwMjYuLi5VU0QuSAEAAAAgegUAAwAAAAAAWvqQMDvv3ggqPMMyO+/eCEVDSVEuTkFTREFROkNBTE0uSVFfUlVBX0NBUElUQUxfTEVBU0VfQUNDVU1fREVQLjk5MS4zMS8wNy8yMDI2Li4uVVNELkgBAAAAIHoFAAMAAAAAAFr6kDA7</t>
  </si>
  <si>
    <t>794IFO7CMjvv3gg3Q0lRLk5BU0RBUTpDQUxNLklRX1JVQV9BQ0NVTV9ERVAuOTkzLjMxLzA3LzIwMjYuLi5VU0QuSAEAAAAgegUAAwAAAAAAWvqQMDvv3ghxG7U0O+/eCD5DSVEuTkFTREFROkNBTE0uSVFfRklOX0RJVl9ERUJUX0NVUlJFTlQuOTkyLjMxLzA3LzIwMjYuLi5VU0QuSAEAAAAgegUAAwAAAAAAbNX6MDvv3gh+xrg0O+/eCDtDSVEuTkFTREFROkNBTE0uSVFfQ1VSUkVOVF9QT1JUX0RFQlQuOTkwLjMxLzA3LzIwMjYuLi5VU0QuSAEAAAAgegUAAgAAAAUxNi4zMgEIAAAABQAAAAExAQAAAAoxODk2ODIwNTE3AwAAAAMxNjACAAAABDEyOTcEAAAAATAHAAAACTcvMzEvMjAyNggAAAAJNS8yOC8yMDE2CQAAAAEwbNX6MDvv3ghGK70yO+/eCDZDSVEuTkFTREFROkNBTE0uSVFfT1RIRVJfRVFVSVRZLjk5MC4zMS8wNy8yMDI2Li4uVVNELkgBAAAAIHoFAAIAAAAGLTAuMDQ4AQgAAAAFAAAAATEBAAAACjE4OTY4MjA1MTcDAAAAAzE2MAIAAAAEMTAyOAQAAAABMAcAAAAJNy8zMS8yMDI2CAAAAAk1LzI4LzIwMTYJAAAAATBa+pAwO+/eCAqhwTI7794ILENJUS5OQVNEQVE6Q0FMTS5JUV9SRS45OTAuMzEvMDcvMjAyNi4uLlVTRC5IAQAAACB6BQACAAAABjg5MC40NAEIAAAABQAAAAExAQAAAAoxODk2ODIwNTE3AwAAAAMxNjACAAAABDEyMjIEAAAAATAHAAAACTcvMzEvMjAyNggAAAAJNS8yOC8yMDE2</t>
  </si>
  <si>
    <t>CQAAAAEwWvqQMDvv3ghuMsEyO+/eCDZDSVEuTkFTREFROkNBTE0uSVFfUFJFRl9FUVVJVFkuMjAwMC4zMS8wNy8yMDI2Li4uVVNELkgBAAAAIHoFAAMAAAAAAFr6kDA7794IHeTAMjvv3ggyQ0lRLk5BU0RBUTpDQUxNLklRX1RPVEFMX0NBLjk5MS4zMS8wNy8yMDI2Li4uVVNELkgBAAAAIHoFAAIAAAAHNDM2LjIwNgEIAAAABQAAAAExAQAAAAoxOTcyMDEyMTIxAwAAAAMxNjACAAAABDEwMDgEAAAAATAHAAAACTcvMzEvMjAyNggAAAAINi8zLzIwMTcJAAAAATBs1fowO+/eCG+RujI7794IOENJUS5OQVNEQVE6Q0FMTS5JUV9MT0FOU19GT1JfU0FMRS45OTMuMzEvMDcvMjAyNi4uLlVTRC5IAQAAACB6BQADAAAAAABZrvowO+/eCCE4uzQ7794IOUNJUS5OQVNEQVE6Q0FMTS5JUV9MT0FOU19SRUNFSVZfTFQuOTkyLjMxLzA3LzIwMjYuLi5VU0QuSAEAAAAgegUAAwAAAAAAbNX6MDvv3gjAxLk0O+/eCDtDSVEuTkFTREFROkNBTE0uSVFfRklOX0RJVl9BU1NFVFNfTFQuOTkwLjMxLzA3LzIwMjYuLi5VU0QuSAEAAAAgegUAAwAAAAAAbNX6MDvv3gixyrsyO+/eCC1DSVEuTkFTREFROkNBTE0uSVFfR1cuMjAwMC4zMS8wNy8yMDI2Li4uVVNELkgBAAAAIHoFAAIAAAAGOTcuMDU5AQgAAAAFAAAAATEBAAAACy0xODgxMDY4Mjk1AwAAAAMxNjACAAAABDExNzEEAAAAATAHAAAACTcvMzEvMjAyNggAAAAJNS8zMC8y</t>
  </si>
  <si>
    <t>MDI2CQAAAAEwbNX6MDvv3gh+fLsyO+/eCExDSVEuTkFTREFROkNBTE0uSVFfTE9OR19URVJNX0RFQlRfUkVQQUlEX0VYQ0xfTEVBU0VTLjIwMDAuMzEvMDcvMjAyNi4uLlVTRC5IAQAAACB6BQADAAAAAABZrvowO+/eCNNCtTI7794INUNJUS5OQVNEQVE6Q0FMTS5JUV9QUkVQQUlEX0VYUC45OTMuMzEvMDcvMjAyNi4uLlVTRC5IAQAAACB6BQACAAAABTQuMzI4AQgAAAAFAAAAATEBAAAACy0yMTQyNDI5MDM5AwAAAAMxNjACAAAABDEyMTIEAAAAATAHAAAACTcvMzEvMjAyNggAAAAINi8xLzIwMTkJAAAAATBZrvowO+/eCH+GuzQ7794IOUNJUS5OQVNEQVE6Q0FMTS5JUV9TVF9OT1RFX1JFQ0VJVi4yMDAwLjMxLzA3LzIwMjYuLi5VU0QuSAEAAAAgegUAAwAAAAAAWa76MDvv3ggzR7kyO+/eCDhDSVEuTkFTREFROkNBTE0uSVFfQ0FTSF9TVF9JTlZFU1QuOTkxLjMxLzA3LzIwMjYuLi5VU0QuSAEAAAAgegUAAgAAAAcxNTYuMDI2AQgAAAAFAAAAATEBAAAACjE5NzIwMTIxMjEDAAAAAzE2MAIAAAAEMTAwMgQAAAABMAcAAAAJNy8zMS8yMDI2CAAAAAg2LzMvMjAxNwkAAAABMFmu+jA7794IpZa4Mjvv3gg1Q0lRLk5BU0RBUTpDQUxNLklRX0xFVkVSRURfRkNGLjk5My4zMS8wNy8yMDI2Li4uVVNELkgBAAAAIHoFAAIAAAAILTQuNDAxNzUBCAAAAAUAAAABMQEAAAALLTIxNDI0MjkwMzkDAAAAAzE2MAIAAAAE</t>
  </si>
  <si>
    <t>NDQyMgQAAAABMAcAAAAJNy8zMS8yMDI2CAAAAAg2LzEvMjAxOQkAAAABMGyH+jA7794Inwu+NDvv3gg1Q0lRLk5BU0RBUTpDQUxNLklRX0NBU0hfVEFYRVMuMjAwMC4zMS8wNy8yMDI2Li4uVVNELkgBAAAAIHoFAAIAAAAHMTE5LjkyNwEIAAAABQAAAAExAQAAAAstMTg4MTA2ODI5NQMAAAADMTYwAgAAAAQzMDUzBAAAAAEwBwAAAAk3LzMxLzIwMjYIAAAACTUvMzAvMjAyNgkAAAABMGyH+jA7794IdaWyMjvv3ghDQ0lRLk5BU0RBUTpDQUxNLklRX09QRVJBVElOR19MRUFTRV9QQVlNRU5UUy4yMDAwLjMxLzA3LzIwMjYuLi5VU0QuSAEAAAAgegUAAwAAAAAAbIf6MDvv3giLubQyO+/eCDVDSVEuTkFTREFROkNBTE0uSVFfTUFJTlRfQ0FQRVguOTkxLjMxLzA3LzIwMjYuLi5VU0QuSAEAAAAgegUAAwAAAAAAbIf6MDvv3ggOGbQyO+/eCDRDSVEuTkFTREFROkNBTE0uSVFfQ0FTSF9FUVVJVi45OTEuMzEvMDcvMjAyNi4uLlVTRC5IAQAAACB6BQACAAAABjE3LjU2NAEIAAAABQAAAAExAQAAAAoxOTcyMDEyMTIxAwAAAAMxNjACAAAABDEwOTYEAAAAATAHAAAACTcvMzEvMjAyNggAAAAINi8zLzIwMTcJAAAAATBZrvowO+/eCOmQtTI7794IMkNJUS5OQVNEQVE6Q0FMTS5JUV9ERVBfUlVBLjIwMDAuMzEvMDcvMjAyNi4uLlVTRC5IAQAAACB6BQADAAAAAAD2lfYwO+/eCJi9sDI7794IQ0NJUS5OQVNEQVE6Q0FM</t>
  </si>
  <si>
    <t>TS5JUV9HV19JTlRBTl9BTU9SVF9QQVJUSUFMX0NGLjk5MS4zMS8wNy8yMDI2Li4uVVNELkgBAAAAIHoFAAMAAAAAAPaV9jA7794IdUiwMjvv3gg4Q0lRLk5BU0RBUTpDQUxNLklRX01JU0NfQURKVVNUX0NGLjk5My4zMS8wNy8yMDI2Li4uVVNELkgBAAAAIHoFAAMAAAAAAPaV9jA7794IY2vANDvv3gg8Q0lRLk5BU0RBUTpDQUxNLklRX0NBU0hfSU5URVJFU1RfT1BFUi45OTEuMzEvMDcvMjAyNi4uLlVTRC5IAQAAACB6BQADAAAAAABsh/owO+/eCE8wsjI7794IRUNJUS5OQVNEQVE6Q0FMTS5JUV9TQUxFX1BST0NFRURTX1JFTlRBTF9BU1NFVFMuOTkzLjMxLzA3LzIwMjYuLi5VU0QuSAEAAAAgegUAAwAAAAAA9pX2MDvv3giEWL80O+/eCDdDSVEuTkFTREFROkNBTE0uSVFfQ09NTU9OX0lTU1VFRC45OTEuMzEvMDcvMjAyNi4uLlVTRC5IAQAAACB6BQADAAAAAADmbvYwO+/eCNHPrTI7794IM0NJUS5OQVNEQVE6Q0FMTS5JUV9HUF8xWVJfQU5OX0dST1dUSC45OTMuMzEvMDcvMjAyNgEAAAAgegUAAgAAAAgtMzguMjc0MQEIAAAABQAAAAExAQAAAAstMjE0MjQyOTAzOQMAAAADMTYwAgAAAAQ0MTk1BAAAAAEwBwAAAAk3LzMxLzIwMjYIAAAACDYvMS8yMDE5CQAAAAEwsoiHMDvv3gg2lqA0O+/eCEFDSVEuTkFTREFROkNBTE0uSVFfT1RIRVJfRklOQU5DRV9BQ1RfU1VQUEwuOTkzLjMxLzA3LzIwMjYuLi5V</t>
  </si>
  <si>
    <t>U0QuSAEAAAAgegUAAwAAAAAA5m72MDvv3ghqzsA0O+/eCD1DSVEuTkFTREFROkNBTE0uSVFfQ09NTU9OX1BSRUZfRElWX0NGLjIwMDAuMzEvMDcvMjAyNi4uLlVTRC5IAQAAACB6BQADAAAAAADmbvYwO+/eCO71rjI7794IMkNJUS5OQVNEQVE6Q0FMTS5JUV9QUkVGX1JFUC45OTEuMzEvMDcvMjAyNi4uLlVTRC5IAQAAACB6BQADAAAAAADmbvYwO+/eCEhZrjI7794IMUNJUS5OQVNEQVE6Q0FMTS5JUV9DQVNIX0NPTlZFUlNJT04uOTkwLjMxLzA3LzIwMjYBAAAAIHoFAAIAAAAINDcuMjA4OTgBCAAAAAUAAAABMQEAAAAKMTg5NjgyMDUxNwMAAAADMTYwAgAAAAQ0MTg0BAAAAAEwBwAAAAk3LzMxLzIwMjYIAAAACTUvMjgvMjAxNgkAAAABMEvfjTA7794IgxbeMjvv3ggwQ0lRLk5BU0RBUTpDQUxNLklRX0RBWVNfU0FMRVNfT1VULjk5MC4zMS8wNy8yMDI2AQAAACB6BQACAAAACTE1LjM1NDI0OAEIAAAABQAAAAExAQAAAAoxODk2ODIwNTE3AwAAAAMxNjACAAAABDQwNDIEAAAAATAHAAAACTcvMzEvMjAyNggAAAAJNS8yOC8yMDE2CQAAAAEwIbiNMDvv3ggCY90yO+/eCDFDSVEuTkFTREFROkNBTE0uSVFfSU5WRU5UT1JZX1RVUk5TLjk5Mi4zMS8wNy8yMDI2AQAAACB6BQACAAAACDYuOTM0NDc0AQgAAAAFAAAAATEBAAAACjIwNDU3NDkzMTADAAAAAzE2MAIAAAAENDA4MgQAAAABMAcAAAAJNy8zMS8yMDI2</t>
  </si>
  <si>
    <t>CAAAAAg2LzIvMjAxOAkAAAABMCG4jTA7794IlZKjNDvv3ggzQ0lRLk5BU0RBUTpDQUxNLklRX0VCSVREQV9DQVBFWF9JTlQuMjAwMC4zMS8wNy8yMDI2AQAAACB6BQACAAAACjU2OS4xOTc4NDEBCAAAAAUAAAABMQEAAAALLTE4ODEwNjgyOTUDAAAAAzE2MAIAAAAENDE5MQQAAAABMAcAAAAJNy8zMS8yMDI2CAAAAAk1LzMwLzIwMjYJAAAAATBL340wO+/eCBGK3zI7794IOENJUS5OQVNEQVE6Q0FMTS5JUV9UT1RBTF9SRVZfNVlSX0FOTl9DQUdSLjk5My4zMS8wNy8yMDI2AQAAACB6BQACAAAABy0xLjEzMTkBCAAAAAUAAAABMQEAAAALLTIxNDI0MjkwMzkDAAAAAzE2MAIAAAAENDIzMwQAAAABMAcAAAAJNy8zMS8yMDI2CAAAAAg2LzEvMjAxOQkAAAABMLKIhzA7794I/ZefNDvv3gg7Q0lRLk5BU0RBUTpDQUxNLklRX0ZJTl9ESVZfU1RfSU5WRVNULjk5MS4zMS8wNy8yMDI2Li4uVVNELkgBAAAAIHoFAAMAAAAAAPBVjTA7794INZzPMjvv3ggzQ0lRLk5BU0RBUTpDQUxNLklRX0lOVEFOX05FVC45OTIuMzEvMDcvMjAyNi4uLlVTRC5IAQAAACB6BQADAAAAAADOkI0wO+/eCDdSqTQ7794IQ0NJUS5OQVNEQVE6Q0FMTS5JUV9ERVJJVkFUSVZFX0FTU0VUU19DVVJSRU5ULjk5My4zMS8wNy8yMDI2Li4uVVNELkgBAAAAIHoFAAMAAAAAAM6QjTA7794IIDyqNDvv3ggyQ0lRLk5BU0RBUTpDQUxNLklRX0VCSVRE</t>
  </si>
  <si>
    <t>QV9DQVBFWF9JTlQuOTkyLjMxLzA3LzIwMjYBAAAAIHoFAAIAAAAKODE1LjQxNTA5NAEIAAAABQAAAAExAQAAAAoyMDQ1NzQ5MzEwAwAAAAMxNjACAAAABDQxOTEEAAAAATAHAAAACTcvMzEvMjAyNggAAAAINi8yLzIwMTgJAAAAATBL340wO+/eCNrPoTQ7794IMUNJUS5OQVNEQVE6Q0FMTS5JUV9MVF9ERUJUX0NBUElUQUwuOTkzLjMxLzA3LzIwMjYBAAAAIHoFAAIAAAAGMC4wODY0AQgAAAAFAAAAATEBAAAACy0yMTQyNDI5MDM5AwAAAAMxNjACAAAABDQxODcEAAAAATAHAAAACTcvMzEvMjAyNggAAAAINi8xLzIwMTkJAAAAATBL340wO+/eCLJsojQ7794IM0NJUS5OQVNEQVE6Q0FMTS5JUV9OVU1CRVJfQURSSE9MREVSUy45OTEuMzEvMDcvMjAyNgEAAAAgegUAAwAAAAAA8FWNMDvv3giY9NkyO+/eCCtDSVEuTkFTREFROkNBTE0uSVFfUEFSVF9USU1FLjk5MS4zMS8wNy8yMDI2AQAAACB6BQACAAAAAzE0MADwVY0wO+/eCA4x2TI7794IR0NJUS5OQVNEQVE6Q0FMTS5JUV9DVVJSRU5UX1BPUlRfREVCVF9ERVJJVkFUSVZFUy45OTIuMzEvMDcvMjAyNi4uLlVTRC5IAQAAACB6BQADAAAAAADOkI0wO+/eCJ7FqjQ7794IQENJUS5OQVNEQVE6Q0FMTS5JUV9DT05USU5HRU5UX0xJQUJJTElUSUVTLjk5Mi4zMS8wNy8yMDI2Li4uVVNELkgBAAAAIHoFAAMAAAAAAPBVjTA7794IvBOrNDvv3gg/Q0lRLk5BU0RB</t>
  </si>
  <si>
    <t>UTpDQUxNLklRX1JFU1RSSUNURURfQ0FTSF9UT1RBTC45OTAuMzEvMDcvMjAyNi4uLlVTRC5IAQAAACB6BQADAAAAAADwVY0wO+/eCD860DI7794IRUNJUS5OQVNEQVE6Q0FMTS5JUV9GSU5fRElWX01JTk9SSVRZX0lOVF9SRURFRU0uOTkxLjMxLzA3LzIwMjYuLi5VU0QuSAEAAAAgegUAAwAAAAAA+4ORMDvv3gjKXMsyO+/eCD9DSVEuTkFTREFROkNBTE0uSVFfTEVBU0VIT0xEX0lNUFJPVkVNRU5ULjk5My4zMS8wNy8yMDI2Li4uVVNELkgBAAAAIHoFAAMAAAAAAPuDkTA7794IcJivNDvv3gg9Q0lRLk5BU0RBUTpDQUxNLklRX0xJQUJJTElUSUVTX0xFVkVMXzMuOTkyLjMxLzA3LzIwMjYuLi5VU0QuSAEAAAAgegUAAwAAAAAA8FWNMDvv3giOsKw0O+/eCDhDSVEuTkFTREFROkNBTE0uSVFfQVNTRVRTX0xFVkVMXzMuOTkzLjMxLzA3LzIwMjYuLi5VU0QuSAEAAAAgegUAAwAAAAAA+4ORMDvv3gjUEK40O+/eCE1DSVEuTkFTREFROkNBTE0uSVFfTElRVUlEQVRJT05fVkFMVUVfUFJFRkVSUkVEX0NPTlZFUlQuOTkzLjMxLzA3LzIwMjYuLi5VU0QuSAEAAAAgegUAAwAAAAAA+4ORMDvv3gg7hq40O+/eCDNDSVEuTkFTREFROkNBTE0uSVFfQlVJTERJTkdTLjk5MC4zMS8wNy8yMDI2Li4uVVNELkgBAAAAIHoFAAIAAAAHMjkxLjg4OAEIAAAABQAAAAExAQAAAAoxODk2ODIwNTE3AwAAAAMxNjACAAAABDMwMjME</t>
  </si>
  <si>
    <t>AAAAATAHAAAACTcvMzEvMjAyNggAAAAJNS8yOC8yMDE2CQAAAAEw4FyRMDvv3gi+XsoyO+/eCDNDSVEuTkFTREFROkNBTE0uSVFfT1RIRVJfSU5WLjk5Mi4zMS8wNy8yMDI2Li4uVVNELkgBAAAAIHoFAAMAAAAAAOBckTA7794Iw1uwNDvv3ggsQ0lRLk5BU0RBUTpDQUxNLklRX0lOVl9NRVRIT0QuOTkwLjMxLzA3LzIwMjYBAAAAIHoFAAMAAAAERklGTwDgXJEwO+/eCAXP2DI7794IN0NJUS5OQVNEQVE6Q0FMTS5JUV9FUVVJVFlfTUVUSE9ELjk5Mi4zMS8wNy8yMDI2Li4uVVNELkgBAAAAIHoFAAIAAAAGNjYuODA2AQgAAAAFAAAAATEBAAAACjIwNDU3NDkzMTADAAAAAzE2MAIAAAAEMzA2MwQAAAABMAcAAAAJNy8zMS8yMDI2CAAAAAg2LzIvMjAxOAkAAAABMOBckTA7794Ij/iwNDvv3ghFQ0lRLk5BU0RBUTpDQUxNLklRX0RFRl9UQVhfVkFMVUFUSU9OX0FMTE9XQU5DRS45OTMuMzEvMDcvMjAyNi4uLlVTRC5IAQAAACB6BQADAAAAAAD7g5EwO+/eCBMjrzQ7794IMkNJUS5OQVNEQVE6Q0FMTS5JUV9DRk9fQ1VSUkVOVF9MSUFCLjk5My4zMS8wNy8yMDI2AQAAACB6BQACAAAACDEuNTM2MzcxAQgAAAAFAAAAATEBAAAACy0yMTQyNDI5MDM5AwAAAAMxNjACAAAABDQxODUEAAAAATAHAAAACTcvMzEvMjAyNggAAAAINi8xLzIwMTkJAAAAATAhuI0wO+/eCE1EozQ7794IMUNJUS5OQVNEQVE6Q0FMTS5JUV9J</t>
  </si>
  <si>
    <t>TlZFTlRPUllfVFVSTlMuOTkzLjMxLzA3LzIwMjYBAAAAIHoFAAIAAAAINi42Nzg3NDcBCAAAAAUAAAABMQEAAAALLTIxNDI0MjkwMzkDAAAAAzE2MAIAAAAENDA4MgQAAAABMAcAAAAJNy8zMS8yMDI2CAAAAAg2LzEvMjAxOQkAAAABMCG4jTA7794IlZKjNDvv3ggzQ0lRLk5BU0RBUTpDQUxNLklRX1RCVl9TSEFSRS45OTIuMzEvMDcvMjAyNi4uLlVTRC5IAQAAACB6BQACAAAACTE4LjMzMTk0OAEIAAAABQAAAAExAQAAAAoyMDQ1NzQ5MzEwAwAAAAMxNjACAAAABDQxNTYEAAAAATAHAAAACTcvMzEvMjAyNggAAAAINi8yLzIwMTgJAAAAATBiNZEwO+/eCJ2VsjQ7794IMkNJUS5OQVNEQVE6Q0FMTS5JUV9CVl9TSEFSRS45OTIuMzEvMDcvMjAyNi4uLlVTRC5IAQAAACB6BQACAAAACTE5LjYwMzQwMQEIAAAABQAAAAExAQAAAAoyMDQ1NzQ5MzEwAwAAAAMxNjACAAAABDQwMjAEAAAAATAHAAAACTcvMzEvMjAyNggAAAAINi8yLzIwMTgJAAAAATBiNZEwO+/eCOzjsjQ7794IP0NJUS5OQVNEQVE6Q0FMTS5JUV9UT1RBTF9PVVRTVEFORElOR19GSUxJTkdfREFURS45OTMuMzEvMDcvMjAyNgEAAAAgegUAAgAAAAk0OC42OTQ0NzgBBAAAAAUAAAABNQEAAAALLTIxNDI0MjkwMzkCAAAABTI0MTUzBgAAAAEwYjWRMDvv3ghqfaY0O+/eCENDSVEuTkFTREFROkNBTE0uSVFfQUNDVU1fQU1PUlRfSU5UQU5fQVNTRVRT</t>
  </si>
  <si>
    <t>LjIwMDAuMzEvMDcvMjAyNi4uLlVTRC5IAQAAACB6BQACAAAABy0yNS45OTgBCAAAAAUAAAABMQEAAAALLTE4ODEwNjgyOTUDAAAAAzE2MAIAAAAFMjQzMzEEAAAAATAHAAAACTcvMzEvMjAyNggAAAAJNS8zMC8yMDI2CQAAAAEwzpCNMDvv3gjwiNIyO+/eCC9DSVEuTkFTREFROkNBTE0uSVFfUkVUVVJOX0VRVUlUWS45OTAuMzEvMDcvMjAyNgEAAAAgegUAAgAAAAczOS4yMTg1AQgAAAAFAAAAATEBAAAACjE4OTY4MjA1MTcDAAAAAzE2MAIAAAAENDEyOAQAAAABMAcAAAAJNy8zMS8yMDI2CAAAAAk1LzI4LzIwMTYJAAAAATAhuI0wO+/eCE5f2zI7794IPkNJUS5OQVNEQVE6Q0FMTS5JUV9JTlRFUkNPTVBBTllfTk9OX0NBLjIwMDAuMzEvMDcvMjAyNi4uLlVTRC5IAQAAACB6BQADAAAAAAAhuI0wO+/eCIr90zI7794IMkNJUS5OQVNEQVE6Q0FMTS5JUV9FQklUREFfQ0FQRVhfSU5ULjk5My4zMS8wNy8yMDI2AQAAACB6BQACAAAACTUwLjQyNzAxOAEIAAAABQAAAAExAQAAAAstMjE0MjQyOTAzOQMAAAADMTYwAgAAAAQ0MTkxBAAAAAEwBwAAAAk3LzMxLzIwMjYIAAAACDYvMS8yMDE5CQAAAAEwS9+NMDvv3gijCqI0O+/eCDFDSVEuTkFTREFROkNBTE0uSVFfQ0FTSF9DT05WRVJTSU9OLjk5MS4zMS8wNy8yMDI2AQAAACB6BQACAAAACTY2LjE2NzQ3OQEIAAAABQAAAAExAQAAAAoxOTcyMDEyMTIxAwAAAAMx</t>
  </si>
  <si>
    <t>NjACAAAABDQxODQEAAAAATAHAAAACTcvMzEvMjAyNggAAAAINi8zLzIwMTcJAAAAATBL340wO+/eCIMW3jI7794IM0NJUS5OQVNEQVE6Q0FMTS5JUV9OVU1CRVJfQURSSE9MREVSUy45OTIuMzEvMDcvMjAyNgEAAAAgegUAAwAAAAAA8FWNMDvv3ggHkqU0O+/eCCtDSVEuTkFTREFROkNBTE0uSVFfUEFSVF9USU1FLjk5Mi4zMS8wNy8yMDI2AQAAACB6BQACAAAAAzE1NADwVY0wO+/eCBMIpjQ7794IP0NJUS5OQVNEQVE6Q0FMTS5JUV9SRVNUUklDVEVEX0NBU0hfVE9UQUwuOTkyLjMxLzA3LzIwMjYuLi5VU0QuSAEAAAAgegUAAwAAAAAA8FWNMDvv3gjXYas0O+/eCDtDSVEuTkFTREFROkNBTE0uSVFfRklOX0RJVl9TVF9JTlZFU1QuOTkyLjMxLzA3LzIwMjYuLi5VU0QuSAEAAAAgegUAAwAAAAAA8FWNMDvv3gj81qs0O+/eCDxDSVEuTkFTREFROkNBTE0uSVFfTFRfTUFSS19TRUNVUklUSUVTLjk5MS4zMS8wNy8yMDI2Li4uVVNELkgBAAAAIHoFAAMAAAAAAM6QjTA7794I1erSMjvv3ggvQ0lRLk5BU0RBUTpDQUxNLklRX0dST1NTX01BUkdJTi4yMDAwLjMxLzA3LzIwMjYBAAAAIHoFAAIAAAAHMjMuMDgxNQEIAAAABQAAAAExAQAAAAstMTg4MTA2ODI5NQMAAAADMTYwAgAAAAQ0MDc0BAAAAAEwBwAAAAk3LzMxLzIwMjYIAAAACTUvMzAvMjAyNgkAAAABMCG4jTA7794IXcHbMjvv3ggvQ0lRLk5BU0RBUTpD</t>
  </si>
  <si>
    <t>QUxNLklRX1JFVFVSTl9FUVVJVFkuOTkxLjMxLzA3LzIwMjYBAAAAIHoFAAIAAAAHLTguNDQ4NwEIAAAABQAAAAExAQAAAAoxOTcyMDEyMTIxAwAAAAMxNjACAAAABDQxMjgEAAAAATAHAAAACTcvMzEvMjAyNggAAAAINi8zLzIwMTcJAAAAATAhuI0wO+/eCE5f2zI7794IMUNJUS5OQVNEQVE6Q0FMTS5JUV9DQVNIX0NPTlZFUlNJT04uOTkyLjMxLzA3LzIwMjYBAAAAIHoFAAIAAAAJNTguODQ4NjA4AQgAAAAFAAAAATEBAAAACjIwNDU3NDkzMTADAAAAAzE2MAIAAAAENDE4NAQAAAABMAcAAAAJNy8zMS8yMDI2CAAAAAg2LzIvMjAxOAkAAAABMEvfjTA7794Ius6iNDvv3gg0Q0lRLk5BU0RBUTpDQUxNLklRX0VCSVRfM1lSX0FOTl9DQUdSLjIwMDAuMzEvMDcvMjAyNgEAAAAgegUAAgAAAAgtMjkuMTIxMgEIAAAABQAAAAExAQAAAAstMTg4MTA2ODI5NQMAAAADMTYwAgAAAAQ0MjIzBAAAAAEwBwAAAAk3LzMxLzIwMjYIAAAACTUvMzAvMjAyNgkAAAABMLKIhzA7794ImpjiMjvv3ggzQ0lRLk5BU0RBUTpDQUxNLklRX0dQXzFZUl9BTk5fR1JPV1RILjk5MC4zMS8wNy8yMDI2AQAAACB6BQACAAAABzYzLjc3MDQBCAAAAAUAAAABMQEAAAAKMTg5NjgyMDUxNwMAAAADMTYwAgAAAAQ0MTk1BAAAAAEwBwAAAAk3LzMxLzIwMjYIAAAACTUvMjgvMjAxNgkAAAABMLKIhzA7794IDUzhMjvv3ggxQ0lRLk5BU0RBUTpD</t>
  </si>
  <si>
    <t>QUxNLklRX0xUX0RFQlRfRVFVSVRZLjIwMDAuMzEvMDcvMjAyNgEAAAAgegUAAwAAAAAAS9+NMDvv3gjGst4yO+/eCDlDSVEuTkFTREFROkNBTE0uSVFfSU5URVJDT01QQU5ZX0NMLjk5MS4zMS8wNy8yMDI2Li4uVVNELkgBAAAAIHoFAAMAAAAAACG4jTA7794Iiv3TMjvv3gg8Q0lRLk5BU0RBUTpDQUxNLklRX0xUX01BUktfU0VDVVJJVElFUy45OTIuMzEvMDcvMjAyNi4uLlVTRC5IAQAAACB6BQADAAAAAADOkI0wO+/eCPqfqTQ7794IMUNJUS5OQVNEQVE6Q0FMTS5JUV9OSV8zWVJfQU5OX0NBR1IuOTkyLjMxLzA3LzIwMjYBAAAAIHoFAAIAAAAHLTcuOTEwOAEIAAAABQAAAAExAQAAAAoyMDQ1NzQ5MzEwAwAAAAMxNjACAAAABDQyMjUEAAAAATAHAAAACTcvMzEvMjAyNggAAAAINi8yLzIwMTgJAAAAATCyiIcwO+/eCLnSnzQ7794IQUNJUS5OQVNEQVE6Q0FMTS5JUV9ERVJJVkFUSVZFX0xJQUJfQ1VSUkVOVC45OTAuMzEvMDcvMjAyNi4uLlVTRC5IAQAAACB6BQADAAAAAADOkI0wO+/eCI2e0TI7794IPENJUS5OQVNEQVE6Q0FMTS5JUV9MVF9NQVJLX1NFQ1VSSVRJRVMuOTkzLjMxLzA3LzIwMjYuLi5VU0QuSAEAAAAgegUAAwAAAAAAzpCNMDvv3ggJx6k0O+/eCC9DSVEuTkFTREFROkNBTE0uSVFfUkVUVVJOX0VRVUlUWS45OTMuMzEvMDcvMjAyNgEAAAAgegUAAgAAAAY1LjY2MDQBCAAAAAUAAAABMQEA</t>
  </si>
  <si>
    <t>AAALLTIxNDI0MjkwMzkDAAAAAzE2MAIAAAAENDEyOAQAAAABMAcAAAAJNy8zMS8yMDI2CAAAAAg2LzEvMjAxOQkAAAABMCG4jTA7794Ius6kNDvv3gg6Q0lRLk5BU0RBUTpDQUxNLklRX1RPVEFMX1JFVl8xWVJfQU5OX0dST1dUSC45OTEuMzEvMDcvMjAyNgEAAAAgegUAAgAAAActNDMuNzAzAQgAAAAFAAAAATEBAAAACjE5NzIwMTIxMjEDAAAAAzE2MAIAAAAENDE5NAQAAAABMAcAAAAJNy8zMS8yMDI2CAAAAAg2LzMvMjAxNwkAAAABMLKIhzA7794IJP7gMjvv3ghDQ0lRLk5BU0RBUTpDQUxNLklRX05FVF9ERUJUX0VCSVREQV9FWENMX09QRVJfTEVBU0VTLjIwMDAuMzEvMDcvMjAyNgEAAAAgegUAAwAAAAJOTQEIAAAABQAAAAExAQAAAAstMTg4MTA2ODI5NQMAAAADMTYwAgAAAAU0OTE3NQQAAAABMAcAAAAJNy8zMS8yMDI2CAAAAAk1LzMwLzIwMjYJAAAAATACdYcwO+/eCG1N4DI7794IMkNJUS5OQVNEQVE6Q0FMTS5JUV9TT0ZUV0FSRS45OTIuMzEvMDcvMjAyNi4uLlVTRC5IAQAAACB6BQADAAAAAADgXJEwO+/eCJLmrzQ7794ITENJUS5OQVNEQVE6Q0FMTS5JUV9MSVFVSURBVElPTl9WQUxVRV9QUkVGRVJSRURfUkVERUVNLjk5Mi4zMS8wNy8yMDI2Li4uVVNELkgBAAAAIHoFAAMAAAAAAPuDkTA7794IK1+uNDvv3ghBQ0lRLk5BU0RBUTpDQUxNLklRX0VNUExPWUVFU19VTkRFUl9VTklPTl9DT05U</t>
  </si>
  <si>
    <t>UkFDVFMuOTkyLjMxLzA3LzIwMjYBAAAAIHoFAAMAAAAAAPBVjTA7794I46WlNDvv3ghAQ0lRLk5BU0RBUTpDQUxNLklRX0xJQUJJTElUSUVTX0ZBSVJfVkFMVUUuOTkyLjMxLzA3LzIwMjYuLi5VU0QuSAEAAAAgegUAAgAAAAU1LjkwMwDwVY0wO+/eCJV1rDQ7794IO0NJUS5OQVNEQVE6Q0FMTS5JUV9BU1NFVFNfRkFJUl9WQUxVRS45OTIuMzEvMDcvMjAyNi4uLlVTRC5IAQAAACB6BQACAAAABzI4NS42NTcA8FWNMDvv3gi+16w0O+/eCDRDSVEuTkFTREFROkNBTE0uSVFfQ0FTSF9TSEFSRS45OTMuMzEvMDcvMjAyNi4uLlVTRC5IAQAAACB6BQACAAAACDEuNDIyMDg0AQgAAAAFAAAAATEBAAAACy0yMTQyNDI5MDM5AwAAAAMxNjACAAAABDQzODEEAAAAATAHAAAACTcvMzEvMjAyNggAAAAINi8xLzIwMTkJAAAAATDgXJEwO+/eCJ8esjQ7794IMUNJUS5OQVNEQVE6Q0FMTS5JUV9SQVdfSU5WLjk5MC4zMS8wNy8yMDI2Li4uVVNELkgBAAAAIHoFAAIAAAAGOTQuMzEyAQgAAAAFAAAAATEBAAAACjE4OTY4MjA1MTcDAAAAAzE2MAIAAAAEMzE3MQQAAAABMAcAAAAJNy8zMS8yMDI2CAAAAAk1LzI4LzIwMTYJAAAAATDgXJEwO+/eCM+ayTI7794ILENJUS5OQVNEQVE6Q0FMTS5JUV9JTlZfTUVUSE9ELjk5My4zMS8wNy8yMDI2AQAAACB6BQADAAAABEZJRk8A4FyRMDvv3ghbVqY0O+/eCDRDSVEuTkFTREFROkNB</t>
  </si>
  <si>
    <t>TE0uSVFfVE9UQUxfQ0FQLjIwMDAuMzEvMDcvMjAyNi4uLlVTRC5IAQAAACB6BQACAAAACDI2NDAuNTMyAQgAAAAFAAAAATEBAAAACy0xODgxMDY4Mjk1AwAAAAMxNjACAAAABDQxNzUEAAAAATAHAAAACTcvMzEvMjAyNggAAAAJNS8zMC8yMDI2CQAAAAEw4FyRMDvv3gjWdsgyO+/eCEFDSVEuTkFTREFROkNBTE0uSVFfTUlOT1JJVFlfSU5URVJFU1RfVE9UQUwuOTkwLjMxLzA3LzIwMjYuLi5VU0QuSAEAAAAgegUAAgAAAAUyLjA4NgEIAAAABQAAAAExAQAAAAoxODk2ODIwNTE3AwAAAAMxNjACAAAABDEzMTIEAAAAATAHAAAACTcvMzEvMjAyNggAAAAJNS8yOC8yMDE2CQAAAAEw4FyRMDvv3gjSFMgyO+/eCDFDSVEuTkFTREFROkNBTE0uSVFfTFRfREVCVF9DQVBJVEFMLjk5MC4zMS8wNy8yMDI2AQAAACB6BQACAAAABjAuOTgwOQEIAAAABQAAAAExAQAAAAoxODk2ODIwNTE3AwAAAAMxNjACAAAABDQxODcEAAAAATAHAAAACTcvMzEvMjAyNggAAAAJNS8yOC8yMDE2CQAAAAEwS9+NMDvv3gjGst4yO+/eCDZDSVEuTkFTREFROkNBTE0uSVFfVE9UQUxfTEVBU0VTLjk5MS4zMS8wNy8yMDI2Li4uVVNELkgBAAAAIHoFAAMAAAAAAGI1kTA7794In0XFMjvv3ghLQ0lRLk5BU0RBUTpDQUxNLklRX0xUX1BPUlRJT05fT1BFUl9MRUFTRV9MSUFCSUxJVElFUy45OTAuMzEvMDcvMjAyNi4uLlVTRC5IAQAAACB6BQAD</t>
  </si>
  <si>
    <t>AAAAAABiNZEwO+/eCJXjxDI7794IQ0NJUS5OQVNEQVE6Q0FMTS5JUV9GSU5BTkNFX0xFQVNFU19MT05HX1RFUk0uMjAwMC4zMS8wNy8yMDI2Li4uVVNELkgBAAAAIHoFAAMAAAAAAGI1kTA7794IH3jEMjvv3ghAQ0lRLk5BU0RBUTpDQUxNLklRX1RPVEFMX0RFQlRfTk9OX0NVUlJFTlQuOTkwLjMxLzA3LzIwMjYuLi5VU0QuSAEAAAAgegUAAgAAAAQ5LjI1AQgAAAAFAAAAATEBAAAACjE4OTY4MjA1MTcDAAAAAzE2MAIAAAAFMjUyMjQEAAAAATAHAAAACTcvMzEvMjAyNggAAAAJNS8yOC8yMDE2CQAAAAEw4FyRMDvv3ghxxscyO+/eCEFDSVEuTkFTREFROkNBTE0uSVFfREVSSVZBVElWRV9MSUFCX0NVUlJFTlQuOTkxLjMxLzA3LzIwMjYuLi5VU0QuSAEAAAAgegUAAwAAAAAAzpCNMDvv3gi/ctEyO+/eCD1DSVEuTkFTREFROkNBTE0uSVFfU1RfREVCVF9ERVJJVkFUSVZFUy45OTMuMzEvMDcvMjAyNi4uLlVTRC5IAQAAACB6BQADAAAAAADOkI0wO+/eCMPsqjQ7794IMENJUS5OQVNEQVE6Q0FMTS5JUV9HV19ORVQuOTkwLjMxLzA3LzIwMjYuLi5VU0QuSAEAAAAgegUAAwAAAAAAzpCNMDvv3gg9YdMyO+/eCCxDSVEuTkFTREFROkNBTE0uSVFfTklfTUFSR0lOLjIwMDAuMzEvMDcvMjAyNgEAAAAgegUAAgAAAAcxMC44NzY0AQgAAAAFAAAAATEBAAAACy0xODgxMDY4Mjk1AwAAAAMxNjACAAAABDQwOTQEAAAA</t>
  </si>
  <si>
    <t>ATAHAAAACTcvMzEvMjAyNggAAAAJNS8zMC8yMDI2CQAAAAEwIbiNMDvv3ggxI9wyO+/eCEJDSVEuTkFTREFROkNBTE0uSVFfTkVUX0RFQlRfRUJJVERBX0VYQ0xfT1BFUl9MRUFTRVMuOTkyLjMxLzA3LzIwMjYBAAAAIHoFAAMAAAACTk0BCAAAAAUAAAABMQEAAAAKMjA0NTc0OTMxMAMAAAADMTYwAgAAAAU0OTE3NQQAAAABMAcAAAAJNy8zMS8yMDI2CAAAAAg2LzIvMjAxOAkAAAABMAJ1hzA7794IUUahNDvv3ghAQ0lRLk5BU0RBUTpDQUxNLklRX0xJQUJJTElUSUVTX0ZBSVJfVkFMVUUuOTkzLjMxLzA3LzIwMjYuLi5VU0QuSAEAAAAgegUAAwAAAAAA8FWNMDvv3giVdaw0O+/eCD9DSVEuTkFTREFROkNBTE0uSVFfREVCVF9FUVVJVl9PUEVSX0xFQVNFLjk5My4zMS8wNy8yMDI2Li4uVVNELkgBAAAAIHoFAAMAAAAAAPBVjTA7794I8a+rNDvv3gg/Q0lRLk5BU0RBUTpDQUxNLklRX0ZJTl9ESVZfU1RfREVCVF9UT1RBTC45OTMuMzEvMDcvMjAyNi4uLlVTRC5IAQAAACB6BQADAAAAAADwVY0wO+/eCHcnrDQ7794IQUNJUS5OQVNEQVE6Q0FMTS5JUV9FTVBMT1lFRVNfVU5ERVJfVU5JT05fQ09OVFJBQ1RTLjk5My4zMS8wNy8yMDI2AQAAACB6BQADAAAAAADwVY0wO+/eCOOlpTQ7794IRENJUS5OQVNEQVE6Q0FMTS5JUV9ERVJJVkFUSVZFX1RSQURJTkdfQVNTRVRTLjIwMDAuMzEvMDcvMjAyNi4uLlVTRC5I</t>
  </si>
  <si>
    <t>AQAAACB6BQADAAAAAADOkI0wO+/eCLLs0TI7794IOkNJUS5OQVNEQVE6Q0FMTS5JUV9JTlRFUkNPTVBBTllfQ0EuMjAwMC4zMS8wNy8yMDI2Li4uVVNELkgBAAAAIHoFAAMAAAAAACG4jTA7794IwNbTMjvv3ggyQ0lRLk5BU0RBUTpDQUxNLklRX0NGT19DVVJSRU5UX0xJQUIuOTkwLjMxLzA3LzIwMjYBAAAAIHoFAAIAAAAINC42NTQ2NzEBCAAAAAUAAAABMQEAAAAKMTg5NjgyMDUxNwMAAAADMTYwAgAAAAQ0MTg1BAAAAAEwBwAAAAk3LzMxLzIwMjYIAAAACTUvMjgvMjAxNgkAAAABMCG4jTA7794IAmPdMjvv3ggqQ0lRLk5BU0RBUTpDQUxNLklRX0FSX1RVUk5TLjk5Mi4zMS8wNy8yMDI2AQAAACB6BQACAAAACTIxLjE2OTI0OAEIAAAABQAAAAExAQAAAAoyMDQ1NzQ5MzEwAwAAAAMxNjACAAAABDQwMDEEAAAAATAHAAAACTcvMzEvMjAyNggAAAAINi8yLzIwMTgJAAAAATAhuI0wO+/eCJWSozQ7794IL0NJUS5OQVNEQVE6Q0FMTS5JUV9DQVBFWF9QQ1RfUkVWLjk5MC4zMS8wNy8yMDI2AQAAACB6BQACAAAABjMuOTg4NAEIAAAABQAAAAExAQAAAAoxODk2ODIwNTE3AwAAAAMxNjACAAAABTM1MzgwBAAAAAEwBwAAAAk3LzMxLzIwMjYIAAAACTUvMjgvMjAxNgkAAAABMCG4jTA7794IMSPcMjvv3ggyQ0lRLk5BU0RBUTpDQUxNLklRX0VCSVREQV9DQVBFWF9JTlQuOTkwLjMxLzA3LzIwMjYBAAAAIHoFAAIA</t>
  </si>
  <si>
    <t>AAAKMzc5LjU2ODMzOQEIAAAABQAAAAExAQAAAAoxODk2ODIwNTE3AwAAAAMxNjACAAAABDQxOTEEAAAAATAHAAAACTcvMzEvMjAyNggAAAAJNS8yOC8yMDE2CQAAAAEwS9+NMDvv3ggEY98yO+/eCDBDSVEuTkFTREFROkNBTE0uSVFfR1dfTkVULjk5MS4zMS8wNy8yMDI2Li4uVVNELkgBAAAAIHoFAAMAAAAAAM6QjTA7794IPWHTMjvv3ghCQ0lRLk5BU0RBUTpDQUxNLklRX0FDQ1VNX0FNT1JUX0lOVEFOX0FTU0VUUy45OTEuMzEvMDcvMjAyNi4uLlVTRC5IAQAAACB6BQACAAAABi0yMS4xOQEIAAAABQAAAAExAQAAAAoxOTcyMDEyMTIxAwAAAAMxNjACAAAABTI0MzMxBAAAAAEwBwAAAAk3LzMxLzIwMjYIAAAACDYvMy8yMDE3CQAAAAEwzpCNMDvv3gjgYdIyO+/eCENDSVEuTkFTREFROkNBTE0uSVFfREVSSVZBVElWRV9BU1NFVFNfQ1VSUkVOVC45OTEuMzEvMDcvMjAyNi4uLlVTRC5IAQAAACB6BQADAAAAAADOkI0wO+/eCLLs0TI7794IQUNJUS5OQVNEQVE6Q0FMTS5JUV9ERVJJVkFUSVZFX0xJQUJfQ1VSUkVOVC45OTIuMzEvMDcvMjAyNi4uLlVTRC5IAQAAACB6BQADAAAAAADOkI0wO+/eCEmeqjQ7794IKUNJUS5OQVNEQVE6Q0FMTS5JUV9HQUFQX0JTLjk5Mi4zMS8wNy8yMDI2AQAAACB6BQADAAAAB1VTIEdBQVAAIbiNMDvv3ggFHaU0O+/eCENDSVEuTkFTREFROkNBTE0uSVFfRklOX0RJVl9NSU5P</t>
  </si>
  <si>
    <t>UklUWV9JTlRFUkVTVC45OTIuMzEvMDcvMjAyNi4uLlVTRC5IAQAAACB6BQADAAAAAAD7g5EwO+/eCBMjrzQ7794ILkNJUS5OQVNEQVE6Q0FMTS5JUV9DSVAuMjAwMC4zMS8wNy8yMDI2Li4uVVNELkgBAAAAIHoFAAIAAAAHMjA3LjAwNgEIAAAABQAAAAExAQAAAAstMTg4MTA2ODI5NQMAAAADMTYwAgAAAAQzMDMzBAAAAAEwBwAAAAk3LzMxLzIwMjYIAAAACTUvMzAvMjAyNgkAAAABMPuDkTA7794I+/rKMjvv3gg4Q0lRLk5BU0RBUTpDQUxNLklRX0FTU0VUU19MRVZFTF8yLjk5Mi4zMS8wNy8yMDI2Li4uVVNELkgBAAAAIHoFAAIAAAAHMjgyLjU4NgD7g5EwO+/eCNQQrjQ7794ISENJUS5OQVNEQVE6Q0FMTS5JUV9UT1RBTF9HRU5FUkFMX1BBUlRORVJfSU5URVJFU1QuOTkyLjMxLzA3LzIwMjYuLi5VU0QuSAEAAAAgegUAAwAAAAAA+4ORMDvv3gg7hq40O+/eCDdDSVEuTkFTREFROkNBTE0uSVFfT1JERVJfQkFDS0xPRy45OTEuMzEvMDcvMjAyNi4uLlVTRC5IAQAAACB6BQADAAAAAADwVY0wO+/eCHWv0DI7794INkNJUS5OQVNEQVE6Q0FMTS5JUV9UT1RBTF9MRUFTRVMuOTkzLjMxLzA3LzIwMjYuLi5VU0QuSAEAAAAgegUAAgAAAAUxLjA1NAEIAAAABQAAAAExAQAAAAstMjE0MjQyOTAzOQMAAAADMTYwAgAAAAU0ODk3OQQAAAABMAcAAAAJNy8zMS8yMDI2CAAAAAg2LzEvMjAxOQkAAAABMGI1kTA7794I</t>
  </si>
  <si>
    <t>IlmzNDvv3gg1Q0lRLk5BU0RBUTpDQUxNLklRX1dPUktJTkdfQ0FQLjk5MS4zMS8wNy8yMDI2Li4uVVNELkgBAAAAIHoFAAIAAAAHMzcxLjUyNwEIAAAABQAAAAExAQAAAAoxOTcyMDEyMTIxAwAAAAMxNjACAAAABDQxNjUEAAAAATAHAAAACTcvMzEvMjAyNggAAAAINi8zLzIwMTcJAAAAATDgXJEwO+/eCNZ2yDI7794IQUNJUS5OQVNEQVE6Q0FMTS5JUV9NSU5PUklUWV9JTlRFUkVTVF9UT1RBTC45OTIuMzEvMDcvMjAyNi4uLlVTRC5IAQAAACB6BQACAAAABTIuMzQ5AQgAAAAFAAAAATEBAAAACjIwNDU3NDkzMTADAAAAAzE2MAIAAAAEMTMxMgQAAAABMAcAAAAJNy8zMS8yMDI2CAAAAAg2LzIvMjAxOAkAAAABMOBckTA7794I1YGxNDvv3gg2Q0lRLk5BU0RBUTpDQUxNLklRX0ZJTklTSEVEX0lOVi45OTEuMzEvMDcvMjAyNi4uLlVTRC5IAQAAACB6BQACAAAABjYyLjYzMwEIAAAABQAAAAExAQAAAAoxOTcyMDEyMTIxAwAAAAMxNjACAAAABDMwNzUEAAAAATAHAAAACTcvMzEvMjAyNggAAAAINi8zLzIwMTcJAAAAATDgXJEwO+/eCFzpyTI7794IOkNJUS5OQVNEQVE6Q0FMTS5JUV9BTExPV19ET1VCVF9BQ0NULjk5MC4zMS8wNy8yMDI2Li4uVVNELkgBAAAAIHoFAAIAAAAFMC43MjcBCAAAAAUAAAABMQEAAAAKMTg5NjgyMDUxNwMAAAADMTYwAgAAAAQzMDEyBAAAAAEwBwAAAAk3LzMxLzIwMjYIAAAACTUv</t>
  </si>
  <si>
    <t>MjgvMjAxNgkAAAABMOBckTA7794I8sTIMjvv3gg/Q0lRLk5BU0RBUTpDQUxNLklRX05QUEVfRVhDTF9PUEVSX0xFQVNFUy45OTMuMzEvMDcvMjAyNi4uLlVTRC5IAQAAACB6BQACAAAABzQ1Ni4yOTQBCAAAAAUAAAABMQEAAAALLTIxNDI0MjkwMzkDAAAAAzE2MAIAAAAFNDg5NzYEAAAAATAHAAAACTcvMzEvMjAyNggAAAAINi8xLzIwMTkJAAAAATBa+pAwO+/eCEgJtDQ7794IP0NJUS5OQVNEQVE6Q0FMTS5JUV9HUFBFX0VYQ0xfT1BFUl9MRUFTRVMuOTkyLjMxLzA3LzIwMjYuLi5VU0QuSAEAAAAgegUAAgAAAAc5MzkuMDkxAQgAAAAFAAAAATEBAAAACjIwNDU3NDkzMTADAAAAAzE2MAIAAAAFNDg5NzQEAAAAATAHAAAACTcvMzEvMjAyNggAAAAINi8yLzIwMTgJAAAAATBa+pAwO+/eCGVXtDQ7794IR0NJUS5OQVNEQVE6Q0FMTS5JUV9SVUFfT1BFUkFUSU5HX0xFQVNFX0FDQ1VNX0RFUC45OTIuMzEvMDcvMjAyNi4uLlVTRC5IAQAAACB6BQADAAAAAABa+pAwO+/eCI+ltDQ7794IQENJUS5OQVNEQVE6Q0FMTS5JUV9UT1RBTF9ERUJUX0VYQ0xfTEVBU0VTLjk5MS4zMS8wNy8yMDI2Li4uVVNELkgBAAAAIHoFAAIAAAAGMTAuOTM5AQgAAAAFAAAAATEBAAAACjE5NzIwMTIxMjEDAAAAAzE2MAIAAAAFNDg5OTIEAAAAATAHAAAACTcvMzEvMjAyNggAAAAINi8zLzIwMTcJAAAAATBiNZEwO+/eCDbixTI7794I</t>
  </si>
  <si>
    <t>VkNJUS5OQVNEQVE6Q0FMTS5JUV9GSU5BTkNJTkdfT0JMSUdfTk9OX0NVUlJFTlRfRVhDTF9PUEVSX0xFQVNFUy45OTIuMzEvMDcvMjAyNi4uLlVTRC5IAQAAACB6BQACAAAABTIuNTU0AQgAAAAFAAAAATEBAAAACjIwNDU3NDkzMTADAAAAAzE2MAIAAAAFNDg5ODEEAAAAATAHAAAACTcvMzEvMjAyNggAAAAINi8yLzIwMTgJAAAAATBiNZEwO+/eCAsyszQ7794IN0NJUS5OQVNEQVE6Q0FMTS5JUV9SVUFfQUNDVU1fREVQLjk5MC4zMS8wNy8yMDI2Li4uVVNELkgBAAAAIHoFAAMAAAAAAFr6kDA7794IEaDCMjvv3gg3Q0lRLk5BU0RBUTpDQUxNLklRX1RPVEFMX0VRVUlUWS4yMDAwLjMxLzA3LzIwMjYuLi5VU0QuSAEAAAAgegUAAgAAAAgyNjQwLjUzMgEIAAAABQAAAAExAQAAAAstMTg4MTA2ODI5NQMAAAADMTYwAgAAAAQxMjc1BAAAAAEwBwAAAAk3LzMxLzIwMjYIAAAACTUvMzAvMjAyNgkAAAABMFr6kDA7794IdyrCMjvv3gg+Q0lRLk5BU0RBUTpDQUxNLklRX1RPVEFMX0NPTU1PTl9FUVVJVFkuMjAwMC4zMS8wNy8yMDI2Li4uVVNELkgBAAAAIHoFAAIAAAAIMjYzMi43MzIBCAAAAAUAAAABMQEAAAALLTE4ODEwNjgyOTUDAAAAAzE2MAIAAAAEMTAwNgQAAAABMAcAAAAJNy8zMS8yMDI2CAAAAAk1LzMwLzIwMjYJAAAAATBa+pAwO+/eCJ/vwTI7794IS0NJUS5OQVNEQVE6Q0FMTS5JUV9MVF9QT1JUSU9O</t>
  </si>
  <si>
    <t>X09QRVJfTEVBU0VfTElBQklMSVRJRVMuOTkyLjMxLzA3LzIwMjYuLi5VU0QuSAEAAAAgegUAAwAAAAAAYjWRMDvv3gjmk7M0O+/eCD5DSVEuTkFTREFROkNBTE0uSVFfVE9UQUxfRklOQU5DRV9MRUFTRVMuOTkxLjMxLzA3LzIwMjYuLi5VU0QuSAEAAAAgegUAAwAAAAAAYjWRMDvv3ggfeMQyO+/eCC5DSVEuTkFTREFROkNBTE0uSVFfQVBJQy45OTEuMzEvMDcvMjAyNi4uLlVTRC5IAQAAACB6BQACAAAABjQ5LjkzMgEIAAAABQAAAAExAQAAAAoxOTcyMDEyMTIxAwAAAAMxNjACAAAABDEwODQEAAAAATAHAAAACTcvMzEvMjAyNggAAAAINi8zLzIwMTcJAAAAATBa+pAwO+/eCGQLwTI7794INUNJUS5OQVNEQVE6Q0FMTS5JUV9QUkVGX0VRVUlUWS45OTAuMzEvMDcvMjAyNi4uLlVTRC5IAQAAACB6BQADAAAAAABa+pAwO+/eCKmvwDI7794IOkNJUS5OQVNEQVE6Q0FMTS5JUV9QUkVGX05PTl9SRURFRU0uMjAwMC4zMS8wNy8yMDI2Li4uVVNELkgBAAAAIHoFAAMAAAAAAHr8+jA7794I9nTAMjvv3gg/Q0lRLk5BU0RBUTpDQUxNLklRX1JVQV9DQVBJVEFMX0xFQVNFX05FVC45OTIuMzEvMDcvMjAyNi4uLlVTRC5IAQAAACB6BQADAAAAAABa+pAwO+/eCI+ltDQ7794IQUNJUS5OQVNEQVE6Q0FMTS5JUV9SVUFfQ0FQSVRBTF9MRUFTRV9HUk9TUy45OTEuMzEvMDcvMjAyNi4uLlVTRC5IAQAAACB6BQADAAAAAABa</t>
  </si>
  <si>
    <t>+pAwO+/eCBTuwjI7794IL0NJUS5OQVNEQVE6Q0FMTS5JUV9BUl9MVC45OTMuMzEvMDcvMjAyNi4uLlVTRC5IAQAAACB6BQADAAAAAABs1fowO+/eCAbsuTQ7794IOkNJUS5OQVNEQVE6Q0FMTS5JUV9GSU5fRElWX0xPQU5TX0xULjk5MS4zMS8wNy8yMDI2Li4uVVNELkgBAAAAIHoFAAMAAAAAAGzV+jA7794IoqO7Mjvv3gg+Q0lRLk5BU0RBUTpDQUxNLklRX0ZJTl9ESVZfTElBQl9DVVJSRU5ULjk5My4zMS8wNy8yMDI2Li4uVVNELkgBAAAAIHoFAAMAAAAAAGzV+jA7794Ifsa4NDvv3gg+Q0lRLk5BU0RBUTpDQUxNLklRX0NVUlJFTlRfUE9SVF9MRUFTRVMuMjAwMC4zMS8wNy8yMDI2Li4uVVNELkgBAAAAIHoFAAMAAAAAAGzV+jA7794IQVK9Mjvv3ggzQ0lRLk5BU0RBUTpDQUxNLklRX1RSRUFTVVJZLjIwMDAuMzEvMDcvMjAyNi4uLlVTRC5IAQAAACB6BQACAAAACC0yMTcuNzY3AQgAAAAFAAAAATEBAAAACy0xODgxMDY4Mjk1AwAAAAMxNjACAAAABDEyNDgEAAAAATAHAAAACTcvMzEvMjAyNggAAAAJNS8zMC8yMDI2CQAAAAEwWvqQMDvv3ggKocEyO+/eCDlDSVEuTkFTREFROkNBTE0uSVFfTkVUX0RFQlRfSVNTVUVELjk5MC4zMS8wNy8yMDI2Li4uVVNELkgBAAAAIHoFAAIAAAAGLTI1LjI5AQgAAAAFAAAAATEBAAAACjE4OTY4MjA1MTcDAAAAAzE2MAIAAAAEMjAwMwQAAAABMAcAAAAJNy8zMS8yMDI2</t>
  </si>
  <si>
    <t>CAAAAAk1LzI4LzIwMTYJAAAAATBsh/owO+/eCA4ZtDI7794IKUNJUS5OQVNEQVE6Q0FMTS5JUV9HQUFQX0NGLjk5MC4zMS8wNy8yMDI2AQAAACB6BQADAAAAB1VTIEdBQVAAWa76MDvv3gjsgNgyO+/eCD1DSVEuTkFTREFROkNBTE0uSVFfR0FJTl9CQVJHQUlOX0FDUV9DRi45OTIuMzEvMDcvMjAyNi4uLlVTRC5IAQAAACB6BQADAAAAAABZrvowO+/eCOeXvDQ7794IM0NJUS5OQVNEQVE6Q0FMTS5JUV9JTlZFTlRPUlkuOTkyLjMxLzA3LzIwMjYuLi5VU0QuSAEAAAAgegUAAgAAAAcxNjguNjQ0AQgAAAAFAAAAATEBAAAACjIwNDU3NDkzMTADAAAAAzE2MAIAAAAEMTA0MwQAAAABMAcAAAAJNy8zMS8yMDI2CAAAAAg2LzIvMjAxOAkAAAABMFmu+jA7794Im9S7NDvv3gg4Q0lRLk5BU0RBUTpDQUxNLklRX0xPQU5TX0ZPUl9TQUxFLjk5MC4zMS8wNy8yMDI2Li4uVVNELkgBAAAAIHoFAAMAAAAAAFmu+jA7794IJvW5Mjvv3ghFQ0lRLk5BU0RBUTpDQUxNLklRX1NBTEVfUFJPQ0VFRFNfUkVOVEFMX0FTU0VUUy45OTAuMzEvMDcvMjAyNi4uLlVTRC5IAQAAACB6BQADAAAAAAD2lfYwO+/eCAaUsTI7794IQENJUS5OQVNEQVE6Q0FMTS5JUV9EQV9DRl9FWENMX09QRVJfTEVBU0VTLjk5Mi4zMS8wNy8yMDI2Li4uVVNELkgBAAAAIHoFAAIAAAAGNTQuMDI2AQgAAAAFAAAAATEBAAAACjIwNDU3NDkzMTADAAAAAzE2</t>
  </si>
  <si>
    <t>MAIAAAAFNDg5ODUEAAAAATAHAAAACTcvMzEvMjAyNggAAAAINi8yLzIwMTgJAAAAATD2lfYwO+/eCNbNvzQ7794INUNJUS5OQVNEQVE6Q0FMTS5JUV9MRVZFUkVEX0ZDRi45OTAuMzEvMDcvMjAyNi4uLlVTRC5IAQAAACB6BQACAAAACTI1NC4wMDk3NQEIAAAABQAAAAExAQAAAAoxODk2ODIwNTE3AwAAAAMxNjACAAAABDQ0MjIEAAAAATAHAAAACTcvMzEvMjAyNggAAAAJNS8yOC8yMDE2CQAAAAEwbIf6MDvv3gi/fLMyO+/eCDtDSVEuTkFTREFROkNBTE0uSVFfQ0FTSF9UQVhFU19JTlZFU1QuOTkyLjMxLzA3LzIwMjYuLi5VU0QuSAEAAAAgegUAAwAAAAAAbIf6MDvv3ghJbr40O+/eCE1DSVEuTkFTREFROkNBTE0uSVFfT1BFUkFUSU5HX0xFQVNFX0xJQUJJTElUSUVTX05PTkNBU0guOTkyLjMxLzA3LzIwMjYuLi5VU0QuSAEAAAAgegUAAwAAAAAAbIf6MDvv3ghF+rw0O+/eCClDSVEuTkFTREFROkNBTE0uSVFfR0FBUF9CUy45OTMuMzEvMDcvMjAyNgEAAAAgegUAAwAAAAdVUyBHQUFQACG4jTA7794IBR2lNDvv3ggyQ0lRLk5BU0RBUTpDQUxNLklRX0RBWVNfUEFZQUJMRV9PVVQuOTkzLjMxLzA3LzIwMjYBAAAAIHoFAAIAAAAJMTIuMjc5OTA0AQgAAAAFAAAAATEBAAAACy0yMTQyNDI5MDM5AwAAAAMxNjACAAAABDQxODMEAAAAATAHAAAACTcvMzEvMjAyNggAAAAINi8xLzIwMTkJAAAAATBL340wO+/e</t>
  </si>
  <si>
    <t>CPz1ojQ7794IKUNJUS5OQVNEQVE6Q0FMTS5JUV9aX1NDT1JFLjk5My4zMS8wNy8yMDI2AQAAACB6BQACAAAACTEwLjk0NjkwMgEIAAAABQAAAAExAQAAAAstMjE0MjQyOTAzOQMAAAADMTYwAgAAAAYxMDAxMjMEAAAAATAHAAAACTcvMzEvMjAyNggAAAAINi8xLzIwMTkJAAAAATCyiIcwO+/eCITkoDQ7794IPUNJUS5OQVNEQVE6Q0FMTS5JUV9FQklUREFfRVhDTF9PUEVSX0xFQVNFU19JTlQuOTkxLjMxLzA3LzIwMjYBAAAAIHoFAAMAAAACTk0BCAAAAAUAAAABMQEAAAAKMTk3MjAxMjEyMQMAAAADMTYwAgAAAAU0OTE3MwQAAAABMAcAAAAJNy8zMS8yMDI2CAAAAAg2LzMvMjAxNwkAAAABMEvfjTA7794IBGPfMjvv3gg4Q0lRLk5BU0RBUTpDQUxNLklRX01JU0NfQURKVVNUX0NGLjk5MC4zMS8wNy8yMDI2Li4uVVNELkgBAAAAIHoFAAMAAAAAAPaV9jA7794IAZivMjvv3ghFQ0lRLk5BU0RBUTpDQUxNLklRX1JFU1RSSUNURURfQ0FTSF9OT05fQ1VSUkVOVC45OTIuMzEvMDcvMjAyNi4uLlVTRC5IAQAAACB6BQADAAAAAADwVY0wO+/eCM6IqzQ7794IPkNJUS5OQVNEQVE6Q0FMTS5JUV9JTlRFUkNPTVBBTllfTk9OX0NMLjIwMDAuMzEvMDcvMjAyNi4uLlVTRC5IAQAAACB6BQADAAAAAAAhuI0wO+/eCHpL1DI7794INENJUS5OQVNEQVE6Q0FMTS5JUV9GSVhFRF9BU1NFVF9UVVJOUy4yMDAwLjMxLzA3LzIw</t>
  </si>
  <si>
    <t>MjYBAAAAIHoFAAIAAAAIMi40ODMyNDgBCAAAAAUAAAABMQEAAAALLTE4ODEwNjgyOTUDAAAAAzE2MAIAAAAENDA2NgQAAAABMAcAAAAJNy8zMS8yMDI2CAAAAAk1LzMwLzIwMjYJAAAAATAhuI0wO+/eCJ2Y3DI7794IMUNJUS5OQVNEQVE6Q0FMTS5JUV9ORVRfREVCVF9FQklUREEuOTkwLjMxLzA3LzIwMjYBAAAAIHoFAAMAAAACTk0BCAAAAAUAAAABMQEAAAAKMTg5NjgyMDUxNwMAAAADMTYwAgAAAAQ0MTkzBAAAAAEwBwAAAAk3LzMxLzIwMjYIAAAACTUvMjgvMjAxNgkAAAABMAJ1hzA7794ITP/fMjvv3ggwQ0lRLk5BU0RBUTpDQUxNLklRX1JFVFVSTl9DQVBJVEFMLjk5MS4zMS8wNy8yMDI2AQAAACB6BQACAAAABy05LjA2OTQBCAAAAAUAAAABMQEAAAAKMTk3MjAxMjEyMQMAAAADMTYwAgAAAAQ0MzYzBAAAAAEwBwAAAAk3LzMxLzIwMjYIAAAACDYvMy8yMDE3CQAAAAEwIbiNMDvv3gg8ONsyO+/eCC9DSVEuTkFTREFROkNBTE0uSVFfTEFORC4yMDAwLjMxLzA3LzIwMjYuLi5VU0QuSAEAAAAgegUAAgAAAAcxNzYuMjQzAQgAAAAFAAAAATEBAAAACy0xODgxMDY4Mjk1AwAAAAMxNjACAAAABDMwOTgEAAAAATAHAAAACTcvMzEvMjAyNggAAAAJNS8zMC8yMDI2CQAAAAEw4FyRMDvv3gitN8oyO+/eCDZDSVEuTkFTREFROkNBTE0uSVFfRklOSVNIRURfSU5WLjk5My4zMS8wNy8yMDI2Li4uVVNELkgBAAAA</t>
  </si>
  <si>
    <t>IHoFAAIAAAAGNjYuNzAxAQgAAAAFAAAAATEBAAAACy0yMTQyNDI5MDM5AwAAAAMxNjACAAAABDMwNzUEAAAAATAHAAAACTcvMzEvMjAyNggAAAAINi8xLzIwMTkJAAAAATDgXJEwO+/eCMNbsDQ7794IRUNJUS5OQVNEQVE6Q0FMTS5JUV9GSU5fRElWX01JTk9SSVRZX0lOVF9SRURFRU0uOTkwLjMxLzA3LzIwMjYuLi5VU0QuSAEAAAAgegUAAwAAAAAA+4ORMDvv3ggYScsyO+/eCDxDSVEuTkFTREFROkNBTE0uSVFfRklOX0RJVl9DQVNIX0VRVUlWLjk5Mi4zMS8wNy8yMDI2Li4uVVNELkgBAAAAIHoFAAMAAAAAAPBVjTA7794I/NarNDvv3gg0Q0lRLk5BU0RBUTpDQUxNLklRX0FWR19URU1QX0VNUExPWUVFUy45OTMuMzEvMDcvMjAyNgEAAAAgegUAAwAAAAAA8FWNMDvv3gjjpaU0O+/eCD1DSVEuTkFTREFROkNBTE0uSVFfVEJWX1NIQVJFX1JFUE9SVEVELjIwMDAuMzEvMDcvMjAyNi4uLlVTRC5IAQAAACB6BQADAAAAAABiNZEwO+/eCGh+xjI7794IM0NJUS5OQVNEQVE6Q0FMTS5JUV9UQlZfU0hBUkUuOTkwLjMxLzA3LzIwMjYuLi5VU0QuSAEAAAAgegUAAgAAAAkxOC4xNTM1OTQBCAAAAAUAAAABMQEAAAAKMTg5NjgyMDUxNwMAAAADMTYwAgAAAAQ0MTU2BAAAAAEwBwAAAAk3LzMxLzIwMjYIAAAACTUvMjgvMjAxNgkAAAABMGI1kTA7794IVjDGMjvv3gg7Q0lRLk5BU0RBUTpDQUxNLklRX1RPVEFMX09V</t>
  </si>
  <si>
    <t>VFNUQU5ESU5HX0JTX0RBVEUuOTkzLjMxLzA3LzIwMjYBAAAAIHoFAAIAAAAGNDguNjk0AQQAAAAFAAAAATUBAAAACy0yMTQyNDI5MDM5AgAAAAUyNDE1MgYAAAABMGI1kTA7794IW1amNDvv3ghAQ0lRLk5BU0RBUTpDQUxNLklRX1RPVEFMX0RFQlRfRVhDTF9MRUFTRVMuOTkzLjMxLzA3LzIwMjYuLi5VU0QuSAEAAAAgegUAAgAAAAMxLjUBCAAAAAUAAAABMQEAAAALLTIxNDI0MjkwMzkDAAAAAzE2MAIAAAAFNDg5OTIEAAAAATAHAAAACTcvMzEvMjAyNggAAAAINi8xLzIwMTkJAAAAATBiNZEwO+/eCPgKszQ7794IOkNJUS5OQVNEQVE6Q0FMTS5JUV9BTExPV19ET1VCVF9BQ0NULjk5My4zMS8wNy8yMDI2Li4uVVNELkgBAAAAIHoFAAIAAAAFMC4yMDYBCAAAAAUAAAABMQEAAAALLTIxNDI0MjkwMzkDAAAAAzE2MAIAAAAEMzAxMgQAAAABMAcAAAAJNy8zMS8yMDI2CAAAAAg2LzEvMjAxOQkAAAABMOBckTA7794Ij/iwNDvv3gg9Q0lRLk5BU0RBUTpDQUxNLklRX1RPVEFMX0NPTU1PTl9FUVVJVFkuOTkzLjMxLzA3LzIwMjYuLi5VU0QuSAEAAAAgegUAAgAAAAc5ODYuNjI0AQgAAAAFAAAAATEBAAAACy0yMTQyNDI5MDM5AwAAAAMxNjACAAAABDEwMDYEAAAAATAHAAAACTcvMzEvMjAyNggAAAAINi8xLzIwMTkJAAAAATBa+pAwO+/eCES4tTQ7794ILkNJUS5OQVNEQVE6Q0FMTS5JUV9BUElDLjk5My4zMS8w</t>
  </si>
  <si>
    <t>Ny8yMDI2Li4uVVNELkgBAAAAIHoFAAIAAAAGNTYuODU3AQgAAAAFAAAAATEBAAAACy0yMTQyNDI5MDM5AwAAAAMxNjACAAAABDEwODQEAAAAATAHAAAACTcvMzEvMjAyNggAAAAINi8xLzIwMTkJAAAAATBa+pAwO+/eCHMttjQ7794INUNJUS5OQVNEQVE6Q0FMTS5JUV9QUkVGX0VRVUlUWS45OTIuMzEvMDcvMjAyNi4uLlVTRC5IAQAAACB6BQADAAAAAABa+pAwO+/eCH9UtjQ7794IQUNJUS5OQVNEQVE6Q0FMTS5JUV9SVUFfQ0FQSVRBTF9MRUFTRV9HUk9TUy45OTMuMzEvMDcvMjAyNi4uLlVTRC5IAQAAACB6BQACAAAABTAuOTQ3AQgAAAAFAAAAATEBAAAACy0yMTQyNDI5MDM5AwAAAAMxNjACAAAABTQ4MzcxBAAAAAEwBwAAAAk3LzMxLzIwMjYIAAAACDYvMS8yMDE5CQAAAAEwWvqQMDvv3ghT4LQ0O+/eCDdDSVEuTkFTREFROkNBTE0uSVFfUlVBX0FDQ1VNX0RFUC45OTIuMzEvMDcvMjAyNi4uLlVTRC5IAQAAACB6BQADAAAAAABa+pAwO+/eCHEbtTQ7794INkNJUS5OQVNEQVE6Q0FMTS5JUV9QUkVGX0NPTlZFUlQuOTkxLjMxLzA3LzIwMjYuLi5VU0QuSAEAAAAgegUAAwAAAAAAevz6MDvv3gj2dMAyO+/eCDVDSVEuTkFTREFROkNBTE0uSVFfUFJFRl9SRURFRU0uOTkxLjMxLzA3LzIwMjYuLi5VU0QuSAEAAAAgegUAAwAAAAAAevz6MDvv3giiJsAyO+/eCDdDSVEuTkFTREFROkNBTE0uSVFfT1RIRVJf</t>
  </si>
  <si>
    <t>TElBQl9MVC45OTAuMzEvMDcvMjAyNi4uLlVTRC5IAQAAACB6BQACAAAABTYuMzIxAQgAAAAFAAAAATEBAAAACjE4OTY4MjA1MTcDAAAAAzE2MAIAAAAEMTA2MgQAAAABMAcAAAAJNy8zMS8yMDI2CAAAAAk1LzI4LzIwMTYJAAAAATB6/PowO+/eCMOgvzI7794IMUNJUS5OQVNEQVE6Q0FMTS5JUV9QRU5TSU9OLjk5MC4zMS8wNy8yMDI2Li4uVVNELkgBAAAAIHoFAAMAAAAAAHr8+jA7794Ii1K/Mjvv3gg5Q0lRLk5BU0RBUTpDQUxNLklRX0ZJTl9ESVZfREVCVF9MVC45OTIuMzEvMDcvMjAyNi4uLlVTRC5IAQAAACB6BQADAAAAAAB6/PowO+/eCPfutzQ7794IMENJUS5OQVNEQVE6Q0FMTS5JUV9MVF9ERUJUX0VRVUlUWS45OTEuMzEvMDcvMjAyNgEAAAAgegUAAgAAAAYwLjcyMzgBCAAAAAUAAAABMQEAAAAKMTk3MjAxMjEyMQMAAAADMTYwAgAAAAQ0MDg1BAAAAAEwBwAAAAk3LzMxLzIwMjYIAAAACDYvMy8yMDE3CQAAAAEwS9+NMDvv3gi8i94yO+/eCC1DSVEuTkFTREFROkNBTE0uSVFfUVVJQ0tfUkFUSU8uOTkwLjMxLzA3LzIwMjYBAAAAIHoFAAIAAAAINS42MTc5NDMBCAAAAAUAAAABMQEAAAAKMTg5NjgyMDUxNwMAAAADMTYwAgAAAAQ0MTIxBAAAAAEwBwAAAAk3LzMxLzIwMjYIAAAACTUvMjgvMjAxNgkAAAABMCG4jTA7794I5TvdMjvv3ggqQ0lRLk5BU0RBUTpDQUxNLklRX0FSX1RVUk5TLjk5MC4z</t>
  </si>
  <si>
    <t>MS8wNy8yMDI2AQAAACB6BQACAAAACTIzLjcwNjI1NgEIAAAABQAAAAExAQAAAAoxODk2ODIwNTE3AwAAAAMxNjACAAAABDQwMDEEAAAAATAHAAAACTcvMzEvMjAyNggAAAAJNS8yOC8yMDE2CQAAAAEwIbiNMDvv3gidmNwyO+/eCDFDSVEuTkFTREFROkNBTE0uSVFfTFRfREVCVC45OTEuMzEvMDcvMjAyNi4uLlVTRC5IAQAAACB6BQACAAAABTYuMTEzAQgAAAAFAAAAATEBAAAACjE5NzIwMTIxMjEDAAAAAzE2MAIAAAAEMTA0OQQAAAABMAcAAAAJNy8zMS8yMDI2CAAAAAg2LzMvMjAxNwkAAAABMHr8+jA7794If6K+Mjvv3ggxQ0lRLk5BU0RBUTpDQUxNLklRX05FVF9ERUJUX0VCSVREQS45OTEuMzEvMDcvMjAyNgEAAAAgegUAAwAAAAJOTQEIAAAABQAAAAExAQAAAAoxOTcyMDEyMTIxAwAAAAMxNjACAAAABDQxOTMEAAAAATAHAAAACTcvMzEvMjAyNggAAAAINi8zLzIwMTcJAAAAATACdYcwO+/eCEz/3zI7794IRUNJUS5OQVNEQVE6Q0FMTS5JUV9SRVNUUklDVEVEX0NBU0hfTk9OX0NVUlJFTlQuOTkzLjMxLzA3LzIwMjYuLi5VU0QuSAEAAAAgegUAAwAAAAAA8FWNMDvv3gjOiKs0O+/eCDxDSVEuTkFTREFROkNBTE0uSVFfTFRfTUFSS19TRUNVUklUSUVTLjk5MC4zMS8wNy8yMDI2Li4uVVNELkgBAAAAIHoFAAMAAAAAAM6QjTA7794IBLDSMjvv3gguQ0lRLk5BU0RBUTpDQUxNLklRX0dST1NTX01BUkdJ</t>
  </si>
  <si>
    <t>Ti45OTEuMzEvMDcvMjAyNgEAAAAgegUAAgAAAAY0LjIzOTEBCAAAAAUAAAABMQEAAAAKMTk3MjAxMjEyMQMAAAADMTYwAgAAAAQ0MDc0BAAAAAEwBwAAAAk3LzMxLzIwMjYIAAAACDYvMy8yMDE3CQAAAAEwIbiNMDvv3ghAmtsyO+/eCC9DSVEuTkFTREFROkNBTE0uSVFfQ0FMQ19UWVBFX0JTLjIwMDAuMzEvMDcvMjAyNgEAAAAgegUAAwAAAANSRVAAIbiNMDvv3gg16toyO+/eCFBDSVEuTkFTREFROkNBTE0uSVFfTElRVUlEQVRJT05fVkFMVUVfUFJFRkVSUkVEX05PTl9SRURFRU0uOTkzLjMxLzA3LzIwMjYuLi5VU0QuSAEAAAAgegUAAwAAAAAA+4ORMDvv3ggrX640O+/eCDxDSVEuTkFTREFROkNBTE0uSVFfRklOX0RJVl9DQVNIX0VRVUlWLjk5My4zMS8wNy8yMDI2Li4uVVNELkgBAAAAIHoFAAMAAAAAAPBVjTA7794I/NarNDvv3ghAQ0lRLk5BU0RBUTpDQUxNLklRX0ZJTl9ESVZfTFRfREVCVF9UT1RBTC4yMDAwLjMxLzA3LzIwMjYuLi5VU0QuSAEAAAAgegUAAwAAAAAA8FWNMDvv3ggRE88yO+/eCDJDSVEuTkFTREFROkNBTE0uSVFfVE9UQUxfRU1QTE9ZRUVTLjIwMDAuMzEvMDcvMjAyNgEAAAAgegUAAgAAAAQ0ODM2APBVjTA7794IYn/ZMjvv3gg/Q0lRLk5BU0RBUTpDQUxNLklRX1dBUlJBTlRZX0xJQUJJTElUSUVTLjIwMDAuMzEvMDcvMjAyNi4uLlVTRC5IAQAAACB6BQADAAAAAADOkI0wO+/e</t>
  </si>
  <si>
    <t>CJH90DI7794INUNJUS5OQVNEQVE6Q0FMTS5JUV9BUl9VTkJJTExFRC45OTEuMzEvMDcvMjAyNi4uLlVTRC5IAQAAACB6BQADAAAAAADgXJEwO+/eCCs6yTI7794IR0NJUS5OQVNEQVE6Q0FMTS5JUV9HRU5FUkFMX1BBUlRORVJfQ09NTU9OX0VRVUlUWS45OTMuMzEvMDcvMjAyNi4uLlVTRC5IAQAAACB6BQADAAAAAAD7g5EwO+/eCEDorjQ7794IPUNJUS5OQVNEQVE6Q0FMTS5JUV9NSU5PUklUWV9JTlRfUkVERUVNLjk5My4zMS8wNy8yMDI2Li4uVVNELkgBAAAAIHoFAAMAAAAAAPuDkTA7794IYHGvNDvv3ghQQ0lRLk5BU0RBUTpDQUxNLklRX0xJQUJJTElUSUVTX05FVFRJTkdfT1RIRVJfQURKVVNUTUVOVFMuMjAwMC4zMS8wNy8yMDI2Li4uVVNELkgBAAAAIHoFAAMAAAAAAPBVjTA7794I3J3OMjvv3ghLQ0lRLk5BU0RBUTpDQUxNLklRX0FTU0VUU19ORVRUSU5HX09USEVSX0FESlVTVE1FTlRTLjIwMDAuMzEvMDcvMjAyNi4uLlVTRC5IAQAAACB6BQADAAAAAAD8qpEwO+/eCD++zTI7794ILUNJUS5OQVNEQVE6Q0FMTS5JUV9UQlYuOTkwLjMxLzA3LzIwMjYuLi5VU0QuSAEAAAAgegUAAgAAAAc4ODEuMTIxAQgAAAAFAAAAATEBAAAACjE4OTY4MjA1MTcDAAAAAzE2MAIAAAAEMTMxMAQAAAABMAcAAAAJNy8zMS8yMDI2CAAAAAk1LzI4LzIwMTYJAAAAATBiNZEwO+/eCGh+xjI7794IO0NJUS5OQVNEQVE6</t>
  </si>
  <si>
    <t>Q0FMTS5JUV9CVl9TSEFSRV9SRVBPUlRFRC45OTMuMzEvMDcvMjAyNi4uLlVTRC5IAQAAACB6BQADAAAAAABiNZEwO+/eCNq8sjQ7794IOENJUS5OQVNEQVE6Q0FMTS5JUV9UT1RBTF9SRVZfM1lSX0FOTl9DQUdSLjk5MS4zMS8wNy8yMDI2AQAAACB6BQACAAAABy05LjMxNzIBCAAAAAUAAAABMQEAAAAKMTk3MjAxMjEyMQMAAAADMTYwAgAAAAQ0MjIwBAAAAAEwBwAAAAk3LzMxLzIwMjYIAAAACDYvMy8yMDE3CQAAAAEwsoiHMDvv3ghcD+IyO+/eCDRDSVEuTkFTREFROkNBTE0uSVFfQ0FTSF9TSEFSRS45OTAuMzEvMDcvMjAyNi4uLlVTRC5IAQAAACB6BQACAAAABzAuNTk4NDMBCAAAAAUAAAABMQEAAAAKMTg5NjgyMDUxNwMAAAADMTYwAgAAAAQ0MzgxBAAAAAEwBwAAAAk3LzMxLzIwMjYIAAAACTUvMjgvMjAxNgkAAAABMOBckTA7794IqeDGMjvv3gguQ0lRLk5BU0RBUTpDQUxNLklRX0xBTkQuOTkyLjMxLzA3LzIwMjYuLi5VU0QuSAEAAAAgegUAAgAAAAY5MC43NTcBCAAAAAUAAAABMQEAAAAKMjA0NTc0OTMxMAMAAAADMTYwAgAAAAQzMDk4BAAAAAEwBwAAAAk3LzMxLzIwMjYIAAAACDYvMi8yMDE4CQAAAAEw4FyRMDvv3gi4NLA0O+/eCC5DSVEuTkFTREFROkNBTE0uSVFfR1JPU1NfTUFSR0lOLjk5Mi4zMS8wNy8yMDI2AQAAACB6BQACAAAABzI0LjAyMjcBCAAAAAUAAAABMQEAAAAKMjA0NTc0OTMx</t>
  </si>
  <si>
    <t>MAMAAAADMTYwAgAAAAQ0MDc0BAAAAAEwBwAAAAk3LzMxLzIwMjYIAAAACDYvMi8yMDE4CQAAAAEwIbiNMDvv3gi/gKQ0O+/eCClDSVEuTkFTREFROkNBTE0uSVFfR0FBUF9CUy45OTAuMzEvMDcvMjAyNgEAAAAgegUAAwAAAAdVUyBHQUFQACG4jTA7794INeraMjvv3ggxQ0lRLk5BU0RBUTpDQUxNLklRX05FVF9ERUJUX0VCSVREQS45OTIuMzEvMDcvMjAyNgEAAAAgegUAAwAAAAJOTQEIAAAABQAAAAExAQAAAAoyMDQ1NzQ5MzEwAwAAAAMxNjACAAAABDQxOTMEAAAAATAHAAAACTcvMzEvMjAyNggAAAAINi8yLzIwMTgJAAAAATACdYcwO+/eCKZtoTQ7794INUNJUS5OQVNEQVE6Q0FMTS5JUV9EQVlTX0lOVkVOVE9SWV9PVVQuMjAwMC4zMS8wNy8yMDI2AQAAACB6BQACAAAACDU0LjUyMzU2AQgAAAAFAAAAATEBAAAACy0xODgxMDY4Mjk1AwAAAAMxNjACAAAABDQwMzUEAAAAATAHAAAACTcvMzEvMjAyNggAAAAJNS8zMC8yMDI2CQAAAAEwS9+NMDvv3gg0xd0yO+/eCC1DSVEuTkFTREFROkNBTE0uSVFfUVVJQ0tfUkFUSU8uOTkxLjMxLzA3LzIwMjYBAAAAIHoFAAIAAAAINC4yMjQzMzgBCAAAAAUAAAABMQEAAAAKMTk3MjAxMjEyMQMAAAADMTYwAgAAAAQ0MTIxBAAAAAEwBwAAAAk3LzMxLzIwMjYIAAAACDYvMy8yMDE3CQAAAAEwIbiNMDvv3gjlO90yO+/eCDdDSVEuTkFTREFROkNBTE0uSVFfR1dfSU5U</t>
  </si>
  <si>
    <t>QU5fTkVULjIwMDAuMzEvMDcvMjAyNi4uLlVTRC5IAQAAACB6BQADAAAAAADOkI0wO+/eCMI50zI7794IOENJUS5OQVNEQVE6Q0FMTS5JUV9BQ0NVTV9BTU9SVF9HVy45OTMuMzEvMDcvMjAyNi4uLlVTRC5IAQAAACB6BQADAAAAAADOkI0wO+/eCAnHqTQ7794IM0NJUS5OQVNEQVE6Q0FMTS5JUV9GSVhFRF9BU1NFVF9UVVJOUy45OTMuMzEvMDcvMjAyNgEAAAAgegUAAgAAAAgzLjA4NzcyMQEIAAAABQAAAAExAQAAAAstMjE0MjQyOTAzOQMAAAADMTYwAgAAAAQ0MDY2BAAAAAEwBwAAAAk3LzMxLzIwMjYIAAAACDYvMS8yMDE5CQAAAAEwIbiNMDvv3gi6B6Q0O+/eCCtDSVEuTkFTREFROkNBTE0uSVFfTklfTUFSR0lOLjk5MS4zMS8wNy8yMDI2AQAAACB6BQACAAAABy02LjkxMjcBCAAAAAUAAAABMQEAAAAKMTk3MjAxMjEyMQMAAAADMTYwAgAAAAQ0MDk0BAAAAAEwBwAAAAk3LzMxLzIwMjYIAAAACDYvMy8yMDE3CQAAAAEwIbiNMDvv3ght6NsyO+/eCD1DSVEuTkFTREFROkNBTE0uSVFfREVCVF9FUVVJVl9ORVRfUEJPLjIwMDAuMzEvMDcvMjAyNi4uLlVTRC5IAQAAACB6BQADAAAAAADwVY0wO+/eCJTqzzI7794IP0NJUS5OQVNEQVE6Q0FMTS5JUV9GSU5fRElWX1NUX0RFQlRfVE9UQUwuOTkwLjMxLzA3LzIwMjYuLi5VU0QuSAEAAAAgegUAAwAAAAAA8FWNMDvv3ggRE88yO+/eCEFDSVEuTkFTREFROkNB</t>
  </si>
  <si>
    <t>TE0uSVFfRU1QTE9ZRUVTX1VOREVSX1VOSU9OX0NPTlRSQUNUUy45OTAuMzEvMDcvMjAyNgEAAAAgegUAAwAAAAAA8FWNMDvv3ghif9kyO+/eCENDSVEuTkFTREFROkNBTE0uSVFfREVSSVZBVElWRV9UUkFESU5HX0FTU0VUUy45OTAuMzEvMDcvMjAyNi4uLlVTRC5IAQAAACB6BQADAAAAAADOkI0wO+/eCLLs0TI7794IPkNJUS5OQVNEQVE6Q0FMTS5JUV9XQVJSQU5UWV9MSUFCSUxJVElFUy45OTIuMzEvMDcvMjAyNi4uLlVTRC5IAQAAACB6BQADAAAAAADOkI0wO+/eCLwTqzQ7794IOENJUS5OQVNEQVE6Q0FMTS5JUV9UT1RBTF9SRVZfM1lSX0FOTl9DQUdSLjk5Mi4zMS8wNy8yMDI2AQAAACB6BQACAAAABy0xLjU3MjYBCAAAAAUAAAABMQEAAAAKMjA0NTc0OTMxMAMAAAADMTYwAgAAAAQ0MjIwBAAAAAEwBwAAAAk3LzMxLzIwMjYIAAAACDYvMi8yMDE4CQAAAAEwsoiHMDvv3ggIIaA0O+/eCDRDSVEuTkFTREFROkNBTE0uSVFfTUFDSElORVJZLjIwMDAuMzEvMDcvMjAyNi4uLlVTRC5IAQAAACB6BQACAAAACDEwODUuNzg5AQgAAAAFAAAAATEBAAAACy0xODgxMDY4Mjk1AwAAAAMxNjACAAAABDMxMTQEAAAAATAHAAAACTcvMzEvMjAyNggAAAAJNS8zMC8yMDI2CQAAAAEw4FyRMDvv3gjLhcoyO+/eCDBDSVEuTkFTREFROkNBTE0uSVFfTElGT1IuMjAwMC4zMS8wNy8yMDI2Li4uVVNELkgBAAAAIHoFAAMA</t>
  </si>
  <si>
    <t>AAAAAOBckTA7794ILWHJMjvv3ghAQ0lRLk5BU0RBUTpDQUxNLklRX0xJQUJJTElUSUVTX0ZBSVJfVkFMVUUuOTkwLjMxLzA3LzIwMjYuLi5VU0QuSAEAAAAgegUAAgAAAAYyNS44MjQA8FWNMDvv3gjcnc4yO+/eCEpDSVEuTkFTREFROkNBTE0uSVFfQVNTRVRTX05FVFRJTkdfT1RIRVJfQURKVVNUTUVOVFMuOTkzLjMxLzA3LzIwMjYuLi5VU0QuSAEAAAAgegUAAwAAAAAA/KqRMDvv3gi9/qw0O+/eCC5DSVEuTkFTREFROkNBTE0uSVFfQVNTRVRfVFVSTlMuMjAwMC4zMS8wNy8yMDI2AQAAACB6BQACAAAABzAuOTQwNDIBCAAAAAUAAAABMQEAAAALLTE4ODEwNjgyOTUDAAAAAzE2MAIAAAAENDE3NwQAAAABMAcAAAAJNy8zMS8yMDI2CAAAAAk1LzMwLzIwMjYJAAAAATAhuI0wO+/eCJ2Y3DI7794IL0NJUS5OQVNEQVE6Q0FMTS5JUV9SRVRVUk5fQVNTRVRTLjk5My4zMS8wNy8yMDI2AQAAACB6BQACAAAABjIuNDgyNgEIAAAABQAAAAExAQAAAAstMjE0MjQyOTAzOQMAAAADMTYwAgAAAAQ0MTc4BAAAAAEwBwAAAAk3LzMxLzIwMjYIAAAACDYvMS8yMDE5CQAAAAEwIbiNMDvv3gju9aQ0O+/eCDRDSVEuTkFTREFROkNBTE0uSVFfRVBTXzFZUl9BTk5fR1JPV1RILjk5MC4zMS8wNy8yMDI2AQAAACB6BQACAAAABjk2LjA5NgEIAAAABQAAAAExAQAAAAoxODk2ODIwNTE3AwAAAAMxNjACAAAABDQyMDAEAAAAATAH</t>
  </si>
  <si>
    <t>AAAACTcvMzEvMjAyNggAAAAJNS8yOC8yMDE2CQAAAAEwsoiHMDvv3ggx6OEyO+/eCDhDSVEuTkFTREFROkNBTE0uSVFfTkVUX0RFQlRfRUJJVERBX0NBUEVYLjIwMDAuMzEvMDcvMjAyNgEAAAAgegUAAwAAAAJOTQEIAAAABQAAAAExAQAAAAstMTg4MTA2ODI5NQMAAAADMTYwAgAAAAUyMzMxNAQAAAABMAcAAAAJNy8zMS8yMDI2CAAAAAk1LzMwLzIwMjYJAAAAATCyiIcwO+/eCM/W4DI7794INUNJUS5OQVNEQVE6Q0FMTS5JUV9BUl9VTkJJTExFRC45OTMuMzEvMDcvMjAyNi4uLlVTRC5IAQAAACB6BQADAAAAAADgXJEwO+/eCMu9sDQ7794IMUNJUS5OQVNEQVE6Q0FMTS5JUV9DT1NUX0JPUlJPV0lORy4yMDAwLjMxLzA3LzIwMjYBAAAAIHoFAAMAAAAAAPBVjTA7794IZnTaMjvv3gg9Q0lRLk5BU0RBUTpDQUxNLklRX0lOVEVSQ09NUEFOWV9OT05fQ0wuOTkxLjMxLzA3LzIwMjYuLi5VU0QuSAEAAAAgegUAAwAAAAAAIbiNMDvv3gheJNQyO+/eCDlDSVEuTkFTREFROkNBTE0uSVFfSU5URVJDT01QQU5ZX0NBLjk5Mi4zMS8wNy8yMDI2Li4uVVNELkgBAAAAIHoFAAMAAAAAAM6QjTA7794I2CqpNDvv3gg4Q0lRLk5BU0RBUTpDQUxNLklRX0FDQ1VNX0FNT1JUX0dXLjk5MC4zMS8wNy8yMDI2Li4uVVNELkgBAAAAIHoFAAMAAAAAAM6QjTA7794IBLDSMjvv3gg8Q0lRLk5BU0RBUTpDQUxNLklRX0dST1NTX0lO</t>
  </si>
  <si>
    <t>VEFOX0FTU0VUUy45OTIuMzEvMDcvMjAyNi4uLlVTRC5IAQAAACB6BQACAAAABjUwLjMzOQEIAAAABQAAAAExAQAAAAoyMDQ1NzQ5MzEwAwAAAAMxNjACAAAABTI0MjkzBAAAAAEwBwAAAAk3LzMxLzIwMjYIAAAACDYvMi8yMDE4CQAAAAEwzpCNMDvv3ggTFao0O+/eCCtDSVEuTkFTREFROkNBTE0uSVFfRlVMTF9USU1FLjk5MC4zMS8wNy8yMDI2AQAAACB6BQACAAAABDMxNDMA8FWNMDvv3gjKCdkyO+/eCD1DSVEuTkFTREFROkNBTE0uSVFfTElBQklMSVRJRVNfTEVWRUxfMi45OTEuMzEvMDcvMjAyNi4uLlVTRC5IAQAAACB6BQACAAAABjEwLjgxNQDwVY0wO+/eCF8MzjI7794IOENJUS5OQVNEQVE6Q0FMTS5JUV9BU1NFVFNfTEVWRUxfMi45OTEuMzEvMDcvMjAyNi4uLlVTRC5IAQAAACB6BQACAAAABzEzOC40NjIA+4ORMDvv3ggQSc0yO+/eCD1DSVEuTkFTREFROkNBTE0uSVFfRklOX0RJVl9ERUJUX1RPVEFMLjIwMDAuMzEvMDcvMjAyNi4uLlVTRC5IAQAAACB6BQADAAAAAADwVY0wO+/eCGFhzzI7794IMENJUS5OQVNEQVE6Q0FMTS5JUV9BVkdfRU1QTE9ZRUVTLjIwMDAuMzEvMDcvMjAyNgEAAAAgegUAAwAAAAAA8FWNMDvv3gh+zdkyO+/eCEhDSVEuTkFTREFROkNBTE0uSVFfTkVUX0RFQlRfRUJJVERBX0VYQ0xfT1BFUl9MRUFTRVNfQ0FQRVguOTkwLjMxLzA3LzIwMjYBAAAAIHoFAAMAAAACTk0B</t>
  </si>
  <si>
    <t>CAAAAAUAAAABMQEAAAAKMTg5NjgyMDUxNwMAAAADMTYwAgAAAAU0OTE4MgQAAAABMAcAAAAJNy8zMS8yMDI2CAAAAAk1LzI4LzIwMTYJAAAAATCyiIcwO+/eCM/W4DI7794INENJUS5OQVNEQVE6Q0FMTS5JUV9UT1RBTF9ERUJUX0VCSVREQS4yMDAwLjMxLzA3LzIwMjYBAAAAIHoFAAMAAAAAAAJ1hzA7794IQtjfMjvv3ghIQ0lRLk5BU0RBUTpDQUxNLklRX1RPVEFMX0dFTkVSQUxfUEFSVE5FUl9JTlRFUkVTVC45OTEuMzEvMDcvMjAyNi4uLlVTRC5IAQAAACB6BQADAAAAAAD7g5EwO+/eCLqYzDI7794IRkNJUS5OQVNEQVE6Q0FMTS5JUV9ERUZfVEFYX1ZBTFVBVElPTl9BTExPV0FOQ0UuMjAwMC4zMS8wNy8yMDI2Li4uVVNELkgBAAAAIHoFAAMAAAAAAPuDkTA7794IGyPMMjvv3ghAQ0lRLk5BU0RBUTpDQUxNLklRX0xFQVNFSE9MRF9JTVBST1ZFTUVOVC4yMDAwLjMxLzA3LzIwMjYuLi5VU0QuSAEAAAAgegUAAwAAAAAA+4ORMDvv3ggJIssyO+/eCDxDSVEuTkFTREFROkNBTE0uSVFfR1JPU1NfSU5UQU5fQVNTRVRTLjk5My4zMS8wNy8yMDI2Li4uVVNELkgBAAAAIHoFAAIAAAAGNTAuNTg5AQgAAAAFAAAAATEBAAAACy0yMTQyNDI5MDM5AwAAAAMxNjACAAAABTI0MjkzBAAAAAEwBwAAAAk3LzMxLzIwMjYIAAAACDYvMS8yMDE5CQAAAAEwzpCNMDvv3ggTFao0O+/eCDFDSVEuTkFTREFROkNBTE0uSVFf</t>
  </si>
  <si>
    <t>UkVTVEFURU1FTlRfQlMuMjAwMC4zMS8wNy8yMDI2AQAAACB6BQADAAAAAU8AIbiNMDvv3ggYw9oyO+/eCD1DSVEuTkFTREFROkNBTE0uSVFfSU5URVJDT01QQU5ZX05PTl9DTC45OTIuMzEvMDcvMjAyNi4uLlVTRC5IAQAAACB6BQADAAAAAAAhuI0wO+/eCIrvqDQ7794IM0NJUS5OQVNEQVE6Q0FMTS5JUV9GSVhFRF9BU1NFVF9UVVJOUy45OTAuMzEvMDcvMjAyNgEAAAAgegUAAgAAAAg1LjA4MjUyMgEIAAAABQAAAAExAQAAAAoxODk2ODIwNTE3AwAAAAMxNjACAAAABDQwNjYEAAAAATAHAAAACTcvMzEvMjAyNggAAAAJNS8yOC8yMDE2CQAAAAEwIbiNMDvv3gidmNwyO+/eCDZDSVEuTkFTREFROkNBTE0uSVFfUkVUVVJOX0NPTU1PTl9FUVVJVFkuOTkzLjMxLzA3LzIwMjYBAAAAIHoFAAIAAAAGNS41OTA3AQgAAAAFAAAAATEBAAAACy0yMTQyNDI5MDM5AwAAAAMxNjACAAAABTMzMzIwBAAAAAEwBwAAAAk3LzMxLzIwMjYIAAAACDYvMS8yMDE5CQAAAAEwIbiNMDvv3giwp6Q0O+/eCEdDSVEuTkFTREFROkNBTE0uSVFfR0VORVJBTF9QQVJUTkVSX0NPTU1PTl9FUVVJVFkuOTkwLjMxLzA3LzIwMjYuLi5VU0QuSAEAAAAgegUAAwAAAAAA+4ORMDvv3ggbI8wyO+/eCDRDSVEuTkFTREFROkNBTE0uSVFfQVZHX1RFTVBfRU1QTE9ZRUVTLjk5MC4zMS8wNy8yMDI2AQAAACB6BQADAAAAAADwVY0wO+/eCH7N2TI7</t>
  </si>
  <si>
    <t>794IRUNJUS5OQVNEQVE6Q0FMTS5JUV9SRVNUUklDVEVEX0NBU0hfTk9OX0NVUlJFTlQuOTkwLjMxLzA3LzIwMjYuLi5VU0QuSAEAAAAgegUAAwAAAAAA8FWNMDvv3ggrE9AyO+/eCDxDSVEuTkFTREFROkNBTE0uSVFfRklOX0RJVl9DQVNIX0VRVUlWLjk5MC4zMS8wNy8yMDI2Li4uVVNELkgBAAAAIHoFAAMAAAAAAPBVjTA7794IYWHPMjvv3gg4Q0lRLk5BU0RBUTpDQUxNLklRX0FDQ1VNX0FNT1JUX0dXLjk5MS4zMS8wNy8yMDI2Li4uVVNELkgBAAAAIHoFAAMAAAAAAM6QjTA7794IBLDSMjvv3ggxQ0lRLk5BU0RBUTpDQUxNLklRX1dJUF9JTlYuOTkzLjMxLzA3LzIwMjYuLi5VU0QuSAEAAAAgegUAAwAAAAAA4FyRMDvv3gjDW7A0O+/eCDlDSVEuTkFTREFROkNBTE0uSVFfTkVUX1dPUktJTkdfQ0FQLjk5Mi4zMS8wNy8yMDI2Li4uVVNELkgBAAAAIHoFAAIAAAAHMTUyLjIwMQEIAAAABQAAAAExAQAAAAoyMDQ1NzQ5MzEwAwAAAAMxNjACAAAABDEzMTEEAAAAATAHAAAACTcvMzEvMjAyNggAAAAINi8yLzIwMTgJAAAAATDgXJEwO+/eCNEfsTQ7794IM0NJUS5OQVNEQVE6Q0FMTS5JUV9UT1RBTF9DQVAuOTkzLjMxLzA3LzIwMjYuLi5VU0QuSAEAAAAgegUAAgAAAAY5OTIuMzYBCAAAAAUAAAABMQEAAAALLTIxNDI0MjkwMzkDAAAAAzE2MAIAAAAENDE3NQQAAAABMAcAAAAJNy8zMS8yMDI2CAAAAAg2LzEv</t>
  </si>
  <si>
    <t>MjAxOQkAAAABMOBckTA7794IlFqxNDvv3gg9Q0lRLk5BU0RBUTpDQUxNLklRX01JTk9SSVRZX0lOVF9SRURFRU0uOTkwLjMxLzA3LzIwMjYuLi5VU0QuSAEAAAAgegUAAwAAAAAA+4ORMDvv3ggJIssyO+/eCE5DSVEuTkFTREFROkNBTE0uSVFfTElRVUlEQVRJT05fVkFMVUVfUFJFRkVSUkVEX0NPTlZFUlQuMjAwMC4zMS8wNy8yMDI2Li4uVVNELkgBAAAAIHoFAAMAAAAAAPuDkTA7794Iv/rMMjvv3ghFQ0lRLk5BU0RBUTpDQUxNLklRX1RPVEFMX0RFQlRfRVhDTF9PUEVSX0xFQVNFUy45OTMuMzEvMDcvMjAyNi4uLlVTRC5IAQAAACB6BQACAAAABTIuNTU0AQgAAAAFAAAAATEBAAAACy0yMTQyNDI5MDM5AwAAAAMxNjACAAAABTQ4OTgyBAAAAAEwBwAAAAk3LzMxLzIwMjYIAAAACDYvMS8yMDE5CQAAAAEwYjWRMDvv3gj4CrM0O+/eCDtDSVEuTkFTREFROkNBTE0uSVFfVE9UQUxfT1BFUl9MRUFTRVMuOTkzLjMxLzA3LzIwMjYuLi5VU0QuSAEAAAAgegUAAwAAAAAAYjWRMDvv3ggiWbM0O+/eCFBDSVEuTkFTREFROkNBTE0uSVFfQ1VSUkVOVF9QT1JUSU9OX09QRVJfTEVBU0VfTElBQklMSVRJRVMuOTkzLjMxLzA3LzIwMjYuLi5VU0QuSAEAAAAgegUAAwAAAAAAYjWRMDvv3ggtu7M0O+/eCDJDSVEuTkFTREFROkNBTE0uSVFfTkVUX0RFQlQuOTkzLjMxLzA3LzIwMjYuLi5VU0QuSAEAAAAgegUAAgAAAAgt</t>
  </si>
  <si>
    <t>MzE2Ljg3NAEIAAAABQAAAAExAQAAAAstMjE0MjQyOTAzOQMAAAADMTYwAgAAAAQ0MzY0BAAAAAEwBwAAAAk3LzMxLzIwMjYIAAAACDYvMS8yMDE5CQAAAAEw4FyRMDvv3gjVgbE0O+/eCDNDSVEuTkFTREFROkNBTE0uSVFfQlZfU0hBUkUuMjAwMC4zMS8wNy8yMDI2Li4uVVNELkgBAAAAIHoFAAIAAAAJNTYuMDM4MjI4AQgAAAAFAAAAATEBAAAACy0xODgxMDY4Mjk1AwAAAAMxNjACAAAABDQwMjAEAAAAATAHAAAACTcvMzEvMjAyNggAAAAJNS8zMC8yMDI2CQAAAAEwYjWRMDvv3ghWMMYyO+/eCEhDSVEuTkFTREFROkNBTE0uSVFfTkVUX0RFQlRfRUJJVERBX0VYQ0xfT1BFUl9MRUFTRVNfQ0FQRVguOTkyLjMxLzA3LzIwMjYBAAAAIHoFAAMAAAACTk0BCAAAAAUAAAABMQEAAAAKMjA0NTc0OTMxMAMAAAADMTYwAgAAAAU0OTE4MgQAAAABMAcAAAAJNy8zMS8yMDI2CAAAAAg2LzIvMjAxOAkAAAABMLKIhzA7794IhOSgNDvv3ghCQ0lRLk5BU0RBUTpDQUxNLklRX0ZJTkFOQ0VfTEVBU0VTX0xPTkdfVEVSTS45OTMuMzEvMDcvMjAyNi4uLlVTRC5IAQAAACB6BQACAAAABTAuODU4AQgAAAAFAAAAATEBAAAACy0yMTQyNDI5MDM5AwAAAAMxNjACAAAABTQ4OTkxBAAAAAEwBwAAAAk3LzMxLzIwMjYIAAAACDYvMS8yMDE5CQAAAAEwYjWRMDvv3gg44rM0O+/eCENDSVEuTkFTREFROkNBTE0uSVFfUlVBX09QRVJB</t>
  </si>
  <si>
    <t>VElOR19MRUFTRV9HUk9TUy45OTMuMzEvMDcvMjAyNi4uLlVTRC5IAQAAACB6BQADAAAAAABa+pAwO+/eCI+ltDQ7794IRUNJUS5OQVNEQVE6Q0FMTS5JUV9SVUFfQ0FQSVRBTF9MRUFTRV9BQ0NVTV9ERVAuOTkyLjMxLzA3LzIwMjYuLi5VU0QuSAEAAAAgegUAAwAAAAAAWvqQMDvv3ghT4LQ0O+/eCDtDSVEuTkFTREFROkNBTE0uSVFfVE9UQUxfT1VUU1RBTkRJTkdfQlNfREFURS45OTAuMzEvMDcvMjAyNgEAAAAgegUAAgAAAAY0OC41MzcBBAAAAAUAAAABNQEAAAAKMTg5NjgyMDUxNwIAAAAFMjQxNTIGAAAAATBiNZEwO+/eCAXP2DI7794IPUNJUS5OQVNEQVE6Q0FMTS5JUV9JTlRFUkNPTVBBTllfTk9OX0NMLjk5My4zMS8wNy8yMDI2Li4uVVNELkgBAAAAIHoFAAMAAAAAACG4jTA7794ISsioNDvv3gg0Q0lRLk5BU0RBUTpDQUxNLklRX0RBWVNfSU5WRU5UT1JZX09VVC45OTEuMzEvMDcvMjAyNgEAAAAgegUAAgAAAAk1Ni44NzYxNTUBCAAAAAUAAAABMQEAAAAKMTk3MjAxMjEyMQMAAAADMTYwAgAAAAQ0MDM1BAAAAAEwBwAAAAk3LzMxLzIwMjYIAAAACDYvMy8yMDE3CQAAAAEwS9+NMDvv3gjhnd0yO+/eCC9DSVEuTkFTREFROkNBTE0uSVFfQ1VSUkVOVF9SQVRJTy45OTMuMzEvMDcvMjAyNgEAAAAgegUAAgAAAAg3LjU3OTQzOAEIAAAABQAAAAExAQAAAAstMjE0MjQyOTAzOQMAAAADMTYwAgAAAAQ0</t>
  </si>
  <si>
    <t>MDMwBAAAAAEwBwAAAAk3LzMxLzIwMjYIAAAACDYvMS8yMDE5CQAAAAEwIbiNMDvv3giIa6M0O+/eCC1DSVEuTkFTREFROkNBTE0uSVFfRUJJVF9NQVJHSU4uOTkxLjMxLzA3LzIwMjYBAAAAIHoFAAIAAAAILTEyLjE0MzMBCAAAAAUAAAABMQEAAAAKMTk3MjAxMjEyMQMAAAADMTYwAgAAAAQ0MDUzBAAAAAEwBwAAAAk3LzMxLzIwMjYIAAAACDYvMy8yMDE3CQAAAAEwIbiNMDvv3ght6NsyO+/eCDFDSVEuTkFTREFROkNBTE0uSVFfUlVBX05FVC45OTIuMzEvMDcvMjAyNi4uLlVTRC5IAQAAACB6BQADAAAAAABa+pAwO+/eCHEbtTQ7794IPkNJUS5OQVNEQVE6Q0FMTS5JUV9MSUFCSUxJVElFU19MRVZFTF8zLjIwMDAuMzEvMDcvMjAyNi4uLlVTRC5IAQAAACB6BQACAAAABDIxLjUA8FWNMDvv3giYds4yO+/eCEVDSVEuTkFTREFROkNBTE0uSVFfUkVTVFJJQ1RFRF9DQVNIX05PTl9DVVJSRU5ULjk5MS4zMS8wNy8yMDI2Li4uVVNELkgBAAAAIHoFAAMAAAAAAPBVjTA7794IKxPQMjvv3ghAQ0lRLk5BU0RBUTpDQUxNLklRX0FEVkFOQ0VTX0ZPUl9TVVBQTElFUy4yMDAwLjMxLzA3LzIwMjYuLi5VU0QuSAEAAAAgegUAAwAAAAAAzpCNMDvv3ghCEtMyO+/eCEhDSVEuTkFTREFROkNBTE0uSVFfQ1VSUkVOVF9QT1JUX0RFQlRfREVSSVZBVElWRVMuMjAwMC4zMS8wNy8yMDI2Li4uVVNELkgBAAAAIHoFAAMAAAAA</t>
  </si>
  <si>
    <t>AM6QjTA7794IskvRMjvv3gguQ0lRLk5BU0RBUTpDQUxNLklRX0NBTENfVFlQRV9CUy45OTAuMzEvMDcvMjAyNgEAAAAgegUAAwAAAANSVVAAIbiNMDvv3ggYw9oyO+/eCEdDSVEuTkFTREFROkNBTE0uSVFfR0VORVJBTF9QQVJUTkVSX0NPTU1PTl9FUVVJVFkuOTkxLjMxLzA3LzIwMjYuLi5VU0QuSAEAAAAgegUAAwAAAAAA+4ORMDvv3ggbI8wyO+/eCD1DSVEuTkFTREFROkNBTE0uSVFfTUlOT1JJVFlfSU5UX1JFREVFTS45OTEuMzEvMDcvMjAyNi4uLlVTRC5IAQAAACB6BQADAAAAAAD7g5EwO+/eCAkiyzI7794IOUNJUS5OQVNEQVE6Q0FMTS5JUV9BU1NFVFNfTEVWRUxfMy4yMDAwLjMxLzA3LzIwMjYuLi5VU0QuSAEAAAAgegUAAwAAAAAA+4ORMDvv3ggvl80yO+/eCFBDSVEuTkFTREFROkNBTE0uSVFfTElRVUlEQVRJT05fVkFMVUVfUFJFRkVSUkVEX05PTl9SRURFRU0uOTkwLjMxLzA3LzIwMjYuLi5VU0QuSAEAAAAgegUAAwAAAAAA+4ORMDvv3gi/+swyO+/eCCxDSVEuTkFTREFROkNBTE0uSVFfUEFSVF9USU1FLjIwMDAuMzEvMDcvMjAyNgEAAAAgegUAAgAAAAMxNDcA8FWNMDvv3ghuWNkyO+/eCDtDSVEuTkFTREFROkNBTE0uSVFfQlZfU0hBUkVfUkVQT1JURUQuOTkwLjMxLzA3LzIwMjYuLi5VU0QuSAEAAAAgegUAAwAAAAAAYjWRMDvv3ghWMMYyO+/eCDRDSVEuTkFTREFROkNBTE0uSVFfVEJW</t>
  </si>
  <si>
    <t>X1NIQVJFLjIwMDAuMzEvMDcvMjAyNi4uLlVTRC5IAQAAACB6BQACAAAACTUyLjQxNTcyMQEIAAAABQAAAAExAQAAAAstMTg4MTA2ODI5NQMAAAADMTYwAgAAAAQ0MTU2BAAAAAEwBwAAAAk3LzMxLzIwMjYIAAAACTUvMzAvMjAyNgkAAAABMGI1kTA7794IaH7GMjvv3gguQ0lRLk5BU0RBUTpDQUxNLklRX0xBTkQuOTkxLjMxLzA3LzIwMjYuLi5VU0QuSAEAAAAgegUAAgAAAAY4Ny4yNzYBCAAAAAUAAAABMQEAAAAKMTk3MjAxMjEyMQMAAAADMTYwAgAAAAQzMDk4BAAAAAEwBwAAAAk3LzMxLzIwMjYIAAAACDYvMy8yMDE3CQAAAAEw4FyRMDvv3giXEMoyO+/eCDhDSVEuTkFTREFROkNBTE0uSVFfRVFVSVRZX01FVEhPRC4yMDAwLjMxLzA3LzIwMjYuLi5VU0QuSAEAAAAgegUAAwAAAAAA4FyRMDvv3ggSE8kyO+/eCDlDSVEuTkFTREFROkNBTE0uSVFfTkVUX1dPUktJTkdfQ0FQLjk5My4zMS8wNy8yMDI2Li4uVVNELkgBAAAAIHoFAAIAAAAHMTc1LjExNAEIAAAABQAAAAExAQAAAAstMjE0MjQyOTAzOQMAAAADMTYwAgAAAAQxMzExBAAAAAEwBwAAAAk3LzMxLzIwMjYIAAAACDYvMS8yMDE5CQAAAAEw4FyRMDvv3gjRH7E0O+/eCEVDSVEuTkFTREFROkNBTE0uSVFfUlVBX0NBUElUQUxfTEVBU0VfQUNDVU1fREVQLjk5My4zMS8wNy8yMDI2Li4uVVNELkgBAAAAIHoFAAMAAAAAAFr6kDA7794IU+C0NDvv3ggx</t>
  </si>
  <si>
    <t>Q0lRLk5BU0RBUTpDQUxNLklRX1JVQV9ORVQuOTkzLjMxLzA3LzIwMjYuLi5VU0QuSAEAAAAgegUAAwAAAAAAWvqQMDvv3ghxG7U0O+/eCDNDSVEuTkFTREFROkNBTE0uSVFfUlVBX0dST1NTLjk5My4zMS8wNy8yMDI2Li4uVVNELkgBAAAAIHoFAAMAAAAAAFr6kDA7794IsUK1NDvv3gg2Q0lRLk5BU0RBUTpDQUxNLklRX1RPVEFMX0VRVUlUWS45OTMuMzEvMDcvMjAyNi4uLlVTRC5IAQAAACB6BQACAAAABzk4OS44MDYBCAAAAAUAAAABMQEAAAALLTIxNDI0MjkwMzkDAAAAAzE2MAIAAAAEMTI3NQQAAAABMAcAAAAJNy8zMS8yMDI2CAAAAAg2LzEvMjAxOQkAAAABMFr6kDA7794I8Gm1NDvv3gg9Q0lRLk5BU0RBUTpDQUxNLklRX1RPVEFMX0NPTU1PTl9FUVVJVFkuOTkyLjMxLzA3LzIwMjYuLi5VU0QuSAEAAAAgegUAAgAAAAc5NTMuMzMzAQgAAAAFAAAAATEBAAAACjIwNDU3NDkzMTADAAAAAzE2MAIAAAAEMTAwNgQAAAABMAcAAAAJNy8zMS8yMDI2CAAAAAg2LzIvMjAxOAkAAAABMFr6kDA7794IRLi1NDvv3ggyQ0lRLk5BU0RBUTpDQUxNLklRX1RSRUFTVVJZLjk5MS4zMS8wNy8yMDI2Li4uVVNELkgBAAAAIHoFAAIAAAAHLTIzLjkxNAEIAAAABQAAAAExAQAAAAoxOTcyMDEyMTIxAwAAAAMxNjACAAAABDEyNDgEAAAAATAHAAAACTcvMzEvMjAyNggAAAAINi8zLzIwMTcJAAAAATBa+pAwO+/eCCJmwTI7</t>
  </si>
  <si>
    <t>794ILkNJUS5OQVNEQVE6Q0FMTS5JUV9BUElDLjk5MC4zMS8wNy8yMDI2Li4uVVNELkgBAAAAIHoFAAIAAAAGNDYuNDA0AQgAAAAFAAAAATEBAAAACjE4OTY4MjA1MTcDAAAAAzE2MAIAAAAEMTA4NAQAAAABMAcAAAAJNy8zMS8yMDI2CAAAAAk1LzI4LzIwMTYJAAAAATBa+pAwO+/eCGQLwTI7794INENJUS5OQVNEQVE6Q0FMTS5JUV9QUkVGX09USEVSLjk5Mi4zMS8wNy8yMDI2Li4uVVNELkgBAAAAIHoFAAMAAAAAAFr6kDA7794IjHu2NDvv3gg5Q0lRLk5BU0RBUTpDQUxNLklRX1BSRUZfTk9OX1JFREVFTS45OTEuMzEvMDcvMjAyNi4uLlVTRC5IAQAAACB6BQADAAAAAAB6/PowO+/eCBVOwDI7794INENJUS5OQVNEQVE6Q0FMTS5JUV9UT1RBTF9MSUFCLjk5Mi4zMS8wNy8yMDI2Li4uVVNELkgBAAAAIHoFAAIAAAAHMTk0Ljc2NQEIAAAABQAAAAExAQAAAAoyMDQ1NzQ5MzEwAwAAAAMxNjACAAAABDEyNzYEAAAAATAHAAAACTcvMzEvMjAyNggAAAAINi8yLzIwMTgJAAAAATB6/PowO+/eCJPdtjQ7794IOkNJUS5OQVNEQVE6Q0FMTS5JUV9GSU5fRElWX0xPQU5TX0xULjk5MC4zMS8wNy8yMDI2Li4uVVNELkgBAAAAIHoFAAMAAAAAAGzV+jA7794Ifny7Mjvv3ggxQ0lRLk5BU0RBUTpDQUxNLklRX1NUX0RFQlQuOTkwLjMxLzA3LzIwMjYuLi5VU0QuSAEAAAAgegUAAwAAAAAAbNX6MDvv3gjTA70yO+/eCDlD</t>
  </si>
  <si>
    <t>SVEuTkFTREFROkNBTE0uSVFfREVGX1RBWF9MSUFCX0xULjk5MS4zMS8wNy8yMDI2Li4uVVNELkgBAAAAIHoFAAIAAAAHMTEwLjI4MgEIAAAABQAAAAExAQAAAAoxOTcyMDEyMTIxAwAAAAMxNjACAAAABDEwMjcEAAAAATAHAAAACTcvMzEvMjAyNggAAAAINi8zLzIwMTcJAAAAATB6/PowO+/eCMOgvzI7794IN0NJUS5OQVNEQVE6Q0FMTS5JUV9VTkVBUk5fUkVWX0xULjk5MC4zMS8wNy8yMDI2Li4uVVNELkgBAAAAIHoFAAMAAAAAAHr8+jA7794Ii1K/Mjvv3gg7Q0lRLk5BU0RBUTpDQUxNLklRX0xPTkdfVEVSTV9MRUFTRVMuMjAwMC4zMS8wNy8yMDI2Li4uVVNELkgBAAAAIHoFAAMAAAAAAHr8+jA7794ImvC+Mjvv3gg2Q0lRLk5BU0RBUTpDQUxNLklRX1RPVEFMX1JFQ0VJVi45OTMuMzEvMDcvMjAyNi4uLlVTRC5IAQAAACB6BQACAAAABTcxLjc2AQgAAAAFAAAAATEBAAAACy0yMTQyNDI5MDM5AwAAAAMxNjACAAAABDEwMDEEAAAAATAHAAAACTcvMzEvMjAyNggAAAAINi8xLzIwMTkJAAAAATBZrvowO+/eCJvUuzQ7794ILENJUS5OQVNEQVE6Q0FMTS5JUV9BUi45OTMuMzEvMDcvMjAyNi4uLlVTRC5IAQAAACB6BQACAAAABjU3LjA1OQEIAAAABQAAAAExAQAAAAstMjE0MjQyOTAzOQMAAAADMTYwAgAAAAQxMDIxBAAAAAEwBwAAAAk3LzMxLzIwMjYIAAAACDYvMS8yMDE5CQAAAAEwWa76MDvv3gj0Irw0</t>
  </si>
  <si>
    <t>O+/eCDRDSVEuTkFTREFROkNBTE0uSVFfU1RfSU5WRVNULjIwMDAuMzEvMDcvMjAyNi4uLlVTRC5IAQAAACB6BQACAAAABjgxNi44NAEIAAAABQAAAAExAQAAAAstMTg4MTA2ODI5NQMAAAADMTYwAgAAAAQxMDY5BAAAAAEwBwAAAAk3LzMxLzIwMjYIAAAACTUvMzAvMjAyNgkAAAABMFmu+jA7794I+re1Mjvv3gg6Q0lRLk5BU0RBUTpDQUxNLklRX1JFU1RSSUNURURfQ0FTSC4yMDAwLjMxLzA3LzIwMjYuLi5VU0QuSAEAAAAgegUAAgAAAAM2LjMBCAAAAAUAAAABMQEAAAALLTE4ODEwNjgyOTUDAAAAAzE2MAIAAAAEMTEwNAQAAAABMAcAAAAJNy8zMS8yMDI2CAAAAAk1LzMwLzIwMjYJAAAAATBZrvowO+/eCFtqujI7794IQENJUS5OQVNEQVE6Q0FMTS5JUV9GSU5fRElWX0FTU0VUU19DVVJSRU5ULjk5MS4zMS8wNy8yMDI2Li4uVVNELkgBAAAAIHoFAAMAAAAAAFmu+jA7794IFs65Mjvv3ghFQ0lRLk5BU0RBUTpDQUxNLklRX09QRVJBVElOR19MRUFTRV9MSUFCSUxJVElFUy45OTMuMzEvMDcvMjAyNi4uLlVTRC5IAQAAACB6BQADAAAAAABsh/owO+/eCEX6vDQ7794IN0NJUS5OQVNEQVE6Q0FMTS5JUV9ET19JTlZFU1RfQ0YuMjAwMC4zMS8wNy8yMDI2Li4uVVNELkgBAAAAIHoFAAMAAAAAAGyH+jA7794IJWe0Mjvv3ggzQ0lRLk5BU0RBUTpDQUxNLklRX0NGX1NIQVJFLjIwMDAuMzEvMDcvMjAyNi4uLlVT</t>
  </si>
  <si>
    <t>RC5IAQAAACB6BQACAAAACDYuODk0NzExAQgAAAAFAAAAATEBAAAACy0xODgxMDY4Mjk1AwAAAAMxNjACAAAABTQzOTIzBAAAAAEwBwAAAAk3LzMxLzIwMjYIAAAACTUvMzAvMjAyNgkAAAABMGyH+jA7794IBPKzMjvv3gguQ0lRLk5BU0RBUTpDQUxNLklRX0NBTENfVFlQRV9DRi45OTEuMzEvMDcvMjAyNgEAAAAgegUAAwAAAANSRVAAWa76MDvv3gjcWdgyO+/eCD1DSVEuTkFTREFROkNBTE0uSVFfR0FJTl9CQVJHQUlOX0FDUV9DRi45OTEuMzEvMDcvMjAyNi4uLlVTRC5IAQAAACB6BQADAAAAAABZrvowO+/eCNNCtTI7794IQkNJUS5OQVNEQVE6Q0FMTS5JUV9BTU9SVF9TT0ZUV0FSRV9BU1NFVFNfQ0YuOTkxLjMxLzA3LzIwMjYuLi5VU0QuSAEAAAAgegUAAwAAAAAA9pX2MDvv3gjRWbEyO+/eCDNDSVEuTkFTREFROkNBTE0uSVFfTklfMVlSX0FOTl9HUk9XVEguOTkwLjMxLzA3LzIwMjYBAAAAIHoFAAIAAAAHOTUuOTg5NQEIAAAABQAAAAExAQAAAAoxODk2ODIwNTE3AwAAAAMxNjACAAAABDQxOTkEAAAAATAHAAAACTcvMzEvMjAyNggAAAAJNS8yOC8yMDE2CQAAAAEwsoiHMDvv3ghKweEyO+/eCDdDSVEuTkFTREFROkNBTE0uSVFfTkVUX0RFQlRfRUJJVERBX0NBUEVYLjk5My4zMS8wNy8yMDI2AQAAACB6BQADAAAAAk5NAQgAAAAFAAAAATEBAAAACy0yMTQyNDI5MDM5AwAAAAMxNjACAAAABTIzMzE0</t>
  </si>
  <si>
    <t>BAAAAAEwBwAAAAk3LzMxLzIwMjYIAAAACDYvMS8yMDE5CQAAAAEwsoiHMDvv3giE5KA0O+/eCERDSVEuTkFTREFROkNBTE0uSVFfQ0hBTkdFX05FVF9XT1JLSU5HX0NBUElUQUwuOTkxLjMxLzA3LzIwMjYuLi5VU0QuSAEAAAAgegUAAgAAAAU1MC43MgEIAAAABQAAAAExAQAAAAoxOTcyMDEyMTIxAwAAAAMxNjACAAAABDQ0MjEEAAAAATAHAAAACTcvMzEvMjAyNggAAAAINi8zLzIwMTcJAAAAATBsh/owO+/eCLFVszI7794IOUNJUS5OQVNEQVE6Q0FMTS5JUV9DQVNIX1RBWEVTX09QRVIuOTkzLjMxLzA3LzIwMjYuLi5VU0QuSAEAAAAgegUAAwAAAAAAbIf6MDvv3ghElb40O+/eCC5DSVEuTkFTREFROkNBTE0uSVFfQ0FMQ19UWVBFX0JTLjk5MS4zMS8wNy8yMDI2AQAAACB6BQADAAAAA1JVUAAhuI0wO+/eCBjD2jI7794IKkNJUS5OQVNEQVE6Q0FMTS5JUV9FQklUX0lOVC45OTEuMzEvMDcvMjAyNgEAAAAgegUAAwAAAAJOTQEIAAAABQAAAAExAQAAAAoxOTcyMDEyMTIxAwAAAAMxNjACAAAABDQxODkEAAAAATAHAAAACTcvMzEvMjAyNggAAAAINi8zLzIwMTcJAAAAATBL340wO+/eCOkA3zI7794INENJUS5OQVNEQVE6Q0FMTS5JUV9UT1RBTF9ERUJUX0VRVUlUWS4yMDAwLjMxLzA3LzIwMjYBAAAAIHoFAAMAAAAAAEvfjTA7794IpGTeMjvv3gg0Q0lRLk5BU0RBUTpDQUxNLklRX0RBWVNfSU5WRU5UT1JZ</t>
  </si>
  <si>
    <t>X09VVC45OTIuMzEvMDcvMjAyNgEAAAAgegUAAgAAAAk1Mi40OTEzNDgBCAAAAAUAAAABMQEAAAAKMjA0NTc0OTMxMAMAAAADMTYwAgAAAAQ0MDM1BAAAAAEwBwAAAAk3LzMxLzIwMjYIAAAACDYvMi8yMDE4CQAAAAEwS9+NMDvv3gg7HaM0O+/eCDxDSVEuTkFTREFROkNBTE0uSVFfQ0FTSF9JTlRFUkVTVF9ORVQuMjAwMC4zMS8wNy8yMDI2Li4uVVNELkgBAAAAIHoFAAMAAAAAAGyH+jA7794IIgmyMjvv3gg9Q0lRLk5BU0RBUTpDQUxNLklRX0xUX0RFQlRfREVSSVZBVElWRVMuOTkwLjMxLzA3LzIwMjYuLi5VU0QuSAEAAAAgegUAAwAAAAAAzpCNMDvv3giyS9EyO+/eCD5DSVEuTkFTREFROkNBTE0uSVFfV0FSUkFOVFlfTElBQklMSVRJRVMuOTkwLjMxLzA3LzIwMjYuLi5VU0QuSAEAAAAgegUAAwAAAAAAzpCNMDvv3giA1tAyO+/eCDZDSVEuTkFTREFROkNBTE0uSVFfR1dfSU5UQU5fTkVULjk5MS4zMS8wNy8yMDI2Li4uVVNELkgBAAAAIHoFAAMAAAAAAM6QjTA7794IQhLTMjvv3gg+Q0lRLk5BU0RBUTpDQUxNLklRX0RFUklWQVRJVkVfQVNTRVRTX0xULjk5MS4zMS8wNy8yMDI2Li4uVVNELkgBAAAAIHoFAAMAAAAAAM6QjTA7794IvTrSMjvv3ggtQ0lRLk5BU0RBUTpDQUxNLklRX0VCSVRfTUFSR0lOLjk5Mi4zMS8wNy8yMDI2AQAAACB6BQACAAAABzEyLjA5MTYBCAAAAAUAAAABMQEAAAAKMjA0NTc0</t>
  </si>
  <si>
    <t>OTMxMAMAAAADMTYwAgAAAAQ0MDUzBAAAAAEwBwAAAAk3LzMxLzIwMjYIAAAACDYvMi8yMDE4CQAAAAEwIbiNMDvv3gjrVaQ0O+/eCE9DSVEuTkFTREFROkNBTE0uSVFfTElBQklMSVRJRVNfTkVUVElOR19PVEhFUl9BREpVU1RNRU5UUy45OTAuMzEvMDcvMjAyNi4uLlVTRC5IAQAAACB6BQADAAAAAADwVY0wO+/eCJh2zjI7794ISkNJUS5OQVNEQVE6Q0FMTS5JUV9BU1NFVFNfTkVUVElOR19PVEhFUl9BREpVU1RNRU5UUy45OTAuMzEvMDcvMjAyNi4uLlVTRC5IAQAAACB6BQADAAAAAAD7g5EwO+/eCC+XzTI7794IP0NJUS5OQVNEQVE6Q0FMTS5JUV9GSU5fRElWX0xUX0RFQlRfVE9UQUwuOTkwLjMxLzA3LzIwMjYuLi5VU0QuSAEAAAAgegUAAwAAAAAA8FWNMDvv3ggD7M4yO+/eCDFDSVEuTkFTREFROkNBTE0uSVFfVE9UQUxfRU1QTE9ZRUVTLjk5MC4zMS8wNy8yMDI2AQAAACB6BQACAAAABDMyMTAA8FWNMDvv3ghuWNkyO+/eCEZDSVEuTkFTREFROkNBTE0uSVFfREVSSVZBVElWRV9MSUFCX05PTl9DVVJSRU5ULjIwMDAuMzEvMDcvMjAyNi4uLlVTRC5IAQAAACB6BQADAAAAAADOkI0wO+/eCKHF0TI7794INUNJUS5OQVNEQVE6Q0FMTS5JUV9BUl9VTkJJTExFRC45OTAuMzEvMDcvMjAyNi4uLlVTRC5IAQAAACB6BQADAAAAAADgXJEwO+/eCBPsyDI7794INENJUS5OQVNEQVE6Q0FMTS5JUV9CVUlMRElO</t>
  </si>
  <si>
    <t>R1MuMjAwMC4zMS8wNy8yMDI2Li4uVVNELkgBAAAAIHoFAAIAAAAGODM1LjY3AQgAAAAFAAAAATEBAAAACy0xODgxMDY4Mjk1AwAAAAMxNjACAAAABDMwMjMEAAAAATAHAAAACTcvMzEvMjAyNggAAAAJNS8zMC8yMDI2CQAAAAEw4FyRMDvv3gi+XsoyO+/eCFBDSVEuTkFTREFROkNBTE0uSVFfTElRVUlEQVRJT05fVkFMVUVfUFJFRkVSUkVEX05PTl9SRURFRU0uOTkyLjMxLzA3LzIwMjYuLi5VU0QuSAEAAAAgegUAAwAAAAAA+4ORMDvv3gg7hq40O+/eCEdDSVEuTkFTREFROkNBTE0uSVFfR0VORVJBTF9QQVJUTkVSX0NPTU1PTl9FUVVJVFkuOTkyLjMxLzA3LzIwMjYuLi5VU0QuSAEAAAAgegUAAwAAAAAA+4ORMDvv3ggTI680O+/eCD1DSVEuTkFTREFROkNBTE0uSVFfTUlOT1JJVFlfSU5UX1JFREVFTS45OTIuMzEvMDcvMjAyNi4uLlVTRC5IAQAAACB6BQADAAAAAAD7g5EwO+/eCHCYrzQ7794IMENJUS5OQVNEQVE6Q0FMTS5JUV9DT01NT04uOTkzLjMxLzA3LzIwMjYuLi5VU0QuSAEAAAAgegUAAgAAAAUwLjc1MQEIAAAABQAAAAExAQAAAAstMjE0MjQyOTAzOQMAAAADMTYwAgAAAAQxMTAzBAAAAAEwBwAAAAk3LzMxLzIwMjYIAAAACDYvMS8yMDE5CQAAAAEwWvqQMDvv3ghzLbY0O+/eCDRDSVEuTkFTREFROkNBTE0uSVFfUFJFRl9PVEhFUi45OTMuMzEvMDcvMjAyNi4uLlVTRC5IAQAAACB6BQADAAAA</t>
  </si>
  <si>
    <t>AABa+pAwO+/eCIx7tjQ7794IMkNJUS5OQVNEQVE6Q0FMTS5JUV9HV19JTlRBTi45OTAuMzEvMDcvMjAyNi4uLlVTRC5IAQAAACB6BQACAAAABjM0LjE1NAEIAAAABQAAAAExAQAAAAoxODk2ODIwNTE3AwAAAAMxNjACAAAABTM1MzgxBAAAAAEwBwAAAAk3LzMxLzIwMjYIAAAACTUvMjgvMjAxNgkAAAABMGI1kTA7794IR7nGMjvv3gg8Q0lRLk5BU0RBUTpDQUxNLklRX1RCVl9TSEFSRV9SRVBPUlRFRC45OTEuMzEvMDcvMjAyNi4uLlVTRC5IAQAAACB6BQADAAAAAABiNZEwO+/eCGh+xjI7794IO0NJUS5OQVNEQVE6Q0FMTS5JUV9CVl9TSEFSRV9SRVBPUlRFRC45OTEuMzEvMDcvMjAyNi4uLlVTRC5IAQAAACB6BQADAAAAAABiNZEwO+/eCFYwxjI7794IOUNJUS5OQVNEQVE6Q0FMTS5JUV9QUkVGX05PTl9SRURFRU0uOTkzLjMxLzA3LzIwMjYuLi5VU0QuSAEAAAAgegUAAwAAAAAAevz6MDvv3ghRtrY0O+/eCDRDSVEuTkFTREFROkNBTE0uSVFfVE9UQUxfTElBQi45OTMuMzEvMDcvMjAyNi4uLlVTRC5IAQAAACB6BQACAAAABzE2Ni40NzIBCAAAAAUAAAABMQEAAAALLTIxNDI0MjkwMzkDAAAAAzE2MAIAAAAEMTI3NgQAAAABMAcAAAAJNy8zMS8yMDI2CAAAAAg2LzEvMjAxOQkAAAABMHr8+jA7794IsAS3NDvv3gg5Q0lRLk5BU0RBUTpDQUxNLklRX0RFRl9UQVhfTElBQl9MVC45OTIuMzEvMDcvMjAyNi4u</t>
  </si>
  <si>
    <t>LlVTRC5IAQAAACB6BQACAAAABjc2LjA1NQEIAAAABQAAAAExAQAAAAoyMDQ1NzQ5MzEwAwAAAAMxNjACAAAABDEwMjcEAAAAATAHAAAACTcvMzEvMjAyNggAAAAINi8yLzIwMTgJAAAAATB6/PowO+/eCLpStzQ7794IN0NJUS5OQVNEQVE6Q0FMTS5JUV9VTkVBUk5fUkVWX0xULjk5MS4zMS8wNy8yMDI2Li4uVVNELkgBAAAAIHoFAAMAAAAAAHr8+jA7794Ii1K/Mjvv3gg5Q0lRLk5BU0RBUTpDQUxNLklRX0ZJTl9ESVZfREVCVF9MVC45OTAuMzEvMDcvMjAyNi4uLlVTRC5IAQAAACB6BQADAAAAAAB6/PowO+/eCJrwvjI7794INENJUS5OQVNEQVE6Q0FMTS5JUV9MVF9JTlZFU1QuMjAwMC4zMS8wNy8yMDI2Li4uVVNELkgBAAAAIHoFAAMAAAAAAGzV+jA7794IhC67Mjvv3gg4Q0lRLk5BU0RBUTpDQUxNLklRX09USEVSX0NBX1NVUFBMLjk5MC4zMS8wNy8yMDI2Li4uVVNELkgBAAAAIHoFAAMAAAAAAFmu+jA7794IQEO6Mjvv3ggsQ0lRLk5BU0RBUTpDQUxNLklRX0FFLjk5My4zMS8wNy8yMDI2Li4uVVNELkgBAAAAIHoFAAIAAAAGMzQuMDAxAQgAAAAFAAAAATEBAAAACy0yMTQyNDI5MDM5AwAAAAMxNjACAAAABDEwMTYEAAAAATAHAAAACTcvMzEvMjAyNggAAAAINi8xLzIwMTkJAAAAATBs1fowO+/eCJU7uTQ7794IN0NJUS5OQVNEQVE6Q0FMTS5JUV9UT1RBTF9BU1NFVFMuMjAwMC4zMS8wNy8yMDI2Li4u</t>
  </si>
  <si>
    <t>VVNELkgBAAAAIHoFAAIAAAAHMzEwNy41NwEIAAAABQAAAAExAQAAAAstMTg4MTA2ODI5NQMAAAADMTYwAgAAAAQxMDA3BAAAAAEwBwAAAAk3LzMxLzIwMjYIAAAACTUvMzAvMjAyNgkAAAABMGzV+jA7794I/qG8Mjvv3ggzQ0lRLk5BU0RBUTpDQUxNLklRX1RPVEFMX0NMLjIwMDAuMzEvMDcvMjAyNi4uLlVTRC5IAQAAACB6BQACAAAABzIwNS41MTYBCAAAAAUAAAABMQEAAAALLTE4ODEwNjgyOTUDAAAAAzE2MAIAAAAEMTAwOQQAAAABMAcAAAAJNy8zMS8yMDI2CAAAAAk1LzMwLzIwMjYJAAAAATB6/PowO+/eCH+ivjI7794IN0NJUS5OQVNEQVE6Q0FMTS5JUV9ET19GSU5BTkNFX0NGLjk5MC4zMS8wNy8yMDI2Li4uVVNELkgBAAAAIHoFAAMAAAAAAGyH+jA7794IJWe0Mjvv3gg4Q0lRLk5BU0RBUTpDQUxNLklRX1RSQURJTkdfQVNTRVRTLjk5MC4zMS8wNy8yMDI2Li4uVVNELkgBAAAAIHoFAAMAAAAAAFmu+jA7794I+re1Mjvv3gguQ0lRLk5BU0RBUTpDQUxNLklRX0NBTENfVFlQRV9DRi45OTIuMzEvMDcvMjAyNgEAAAAgegUAAwAAAANSRVAAWa76MDvv3gi2pKY0O+/eCEBDSVEuTkFTREFROkNBTE0uSVFfRklOX0RJVl9BU1NFVFNfQ1VSUkVOVC45OTIuMzEvMDcvMjAyNi4uLlVTRC5IAQAAACB6BQADAAAAAABZrvowO+/eCHtfuzQ7794INUNJUS5OQVNEQVE6Q0FMTS5JUV9PVEhFUl9JTlRBTi45OTMu</t>
  </si>
  <si>
    <t>MzEvMDcvMjAyNi4uLlVTRC5IAQAAACB6BQACAAAABjIzLjc2MgEIAAAABQAAAAExAQAAAAstMjE0MjQyOTAzOQMAAAADMTYwAgAAAAQxMDQwBAAAAAEwBwAAAAk3LzMxLzIwMjYIAAAACDYvMS8yMDE5CQAAAAEwbNX6MDvv3ghVOro0O+/eCD1DSVEuTkFTREFROkNBTE0uSVFfQ0FTSF9JTlRFUkVTVF9GSU5BTi45OTAuMzEvMDcvMjAyNi4uLlVTRC5IAQAAACB6BQADAAAAAABsh/owO+/eCGJ+sjI7794IQENJUS5OQVNEQVE6Q0FMTS5JUV9DQVNIX0lOVEVSRVNUX1JFQ0VJVkVELjk5MC4zMS8wNy8yMDI2Li4uVVNELkgBAAAAIHoFAAMAAAAAAGyH+jA7794IIgmyMjvv3ghCQ0lRLk5BU0RBUTpDQUxNLklRX0FNT1JUX1NPRlRXQVJFX0FTU0VUU19DRi45OTIuMzEvMDcvMjAyNi4uLlVTRC5IAQAAACB6BQADAAAAAAD2lfYwO+/eCKV/vzQ7794IMkNJUS5OQVNEQVE6Q0FMTS5JUV9DRl9TSEFSRS45OTIuMzEvMDcvMjAyNi4uLlVTRC5IAQAAACB6BQACAAAABzMuNzM4MDEBCAAAAAUAAAABMQEAAAAKMjA0NTc0OTMxMAMAAAADMTYwAgAAAAU0MzkyMwQAAAABMAcAAAAJNy8zMS8yMDI2CAAAAAg2LzIvMjAxOAkAAAABMGyH+jA7794IZ5a9NDvv3ghEQ0lRLk5BU0RBUTpDQUxNLklRX0NIQU5HRV9ORVRfV09SS0lOR19DQVBJVEFMLjk5Mi4zMS8wNy8yMDI2Li4uVVNELkgBAAAAIHoFAAIAAAAHLTY4LjEyNgEI</t>
  </si>
  <si>
    <t>AAAABQAAAAExAQAAAAoyMDQ1NzQ5MzEwAwAAAAMxNjACAAAABDQ0MjEEAAAAATAHAAAACTcvMzEvMjAyNggAAAAINi8yLzIwMTgJAAAAATBsh/owO+/eCJ8LvjQ7794INENJUS5OQVNEQVE6Q0FMTS5JUV9UT1RBTF9ERUJUX0NBUElUQUwuOTkwLjMxLzA3LzIwMjYBAAAAIHoFAAIAAAAGMi43MTE3AQgAAAAFAAAAATEBAAAACjE4OTY4MjA1MTcDAAAAAzE2MAIAAAAENDE4NgQAAAABMAcAAAAJNy8zMS8yMDI2CAAAAAk1LzI4LzIwMTYJAAAAATBL340wO+/eCKRk3jI7794ILUNJUS5OQVNEQVE6Q0FMTS5JUV9FQklUX01BUkdJTi45OTMuMzEvMDcvMjAyNgEAAAAgegUAAgAAAAYzLjM2NTcBCAAAAAUAAAABMQEAAAALLTIxNDI0MjkwMzkDAAAAAzE2MAIAAAAENDA1MwQAAAABMAcAAAAJNy8zMS8yMDI2CAAAAAg2LzEvMjAxOQkAAAABMCG4jTA7794I61WkNDvv3ggqQ0lRLk5BU0RBUTpDQUxNLklRX0VCSVRfSU5ULjk5Mi4zMS8wNy8yMDI2AQAAACB6BQACAAAACjY4NS43NzM1ODQBCAAAAAUAAAABMQEAAAAKMjA0NTc0OTMxMAMAAAADMTYwAgAAAAQ0MTg5BAAAAAEwBwAAAAk3LzMxLzIwMjYIAAAACDYvMi8yMDE4CQAAAAEwS9+NMDvv3gjlMaI0O+/eCCxDSVEuTkFTREFROkNBTE0uSVFfRlguOTkyLjMxLzA3LzIwMjYuLi5VU0QuSAEAAAAgegUAAwAAAAAA9pX2MDvv3ginpsA0O+/eCD1DSVEuTkFTREFR</t>
  </si>
  <si>
    <t>OkNBTE0uSVFfREFfU1VQUExfUEFSVElBTF9DRi45OTAuMzEvMDcvMjAyNi4uLlVTRC5IAQAAACB6BQADAAAAAAD2lfYwO+/eCGchsDI7794IRUNJUS5OQVNEQVE6Q0FMTS5JUV9ERVJJVkFUSVZFX0xJQUJfTk9OX0NVUlJFTlQuOTkyLjMxLzA3LzIwMjYuLi5VU0QuSAEAAAAgegUAAwAAAAAAzpCNMDvv3gjsdqo0O+/eCDBDSVEuTkFTREFROkNBTE0uSVFfUkVUVVJOX0VRVUlUWS4yMDAwLjMxLzA3LzIwMjYBAAAAIHoFAAIAAAAHMTIuMjE5NgEIAAAABQAAAAExAQAAAAstMTg4MTA2ODI5NQMAAAADMTYwAgAAAAQ0MTI4BAAAAAEwBwAAAAk3LzMxLzIwMjYIAAAACTUvMzAvMjAyNgkAAAABMCG4jTA7794IY4bbMjvv3ggtQ0lRLk5BU0RBUTpDQUxNLklRX1BFUklPRERBVEUuMTk5OS4zMS8wNy8yMDI2AQAAACB6BQAFAAAACjI4LzAyLzIwMjYAIbiNMDvv3ghREdsyO+/eCC5DSVEuTkFTREFROkNBTE0uSVFfQ0FMQ19UWVBFX0JTLjk5My4zMS8wNy8yMDI2AQAAACB6BQADAAAAA1JVUAAhuI0wO+/eCAUdpTQ7794IM0NJUS5OQVNEQVE6Q0FMTS5JUV9JTlRBTl9ORVQuOTkzLjMxLzA3LzIwMjYuLi5VU0QuSAEAAAAgegUAAgAAAAYyMy43NjIBCAAAAAUAAAABMQEAAAALLTIxNDI0MjkwMzkDAAAAAzE2MAIAAAAFNDg5NjIEAAAAATAHAAAACTcvMzEvMjAyNggAAAAINi8xLzIwMTkJAAAAATDOkI0wO+/eCDdS</t>
  </si>
  <si>
    <t>qTQ7794IMUNJUS5OQVNEQVE6Q0FMTS5JUV9UT1RBTF9FTVBMT1lFRVMuOTkxLjMxLzA3LzIwMjYBAAAAIHoFAAIAAAAEMzUwOADwVY0wO+/eCG5Y2TI7794IPkNJUS5OQVNEQVE6Q0FMTS5JUV9XQVJSQU5UWV9MSUFCSUxJVElFUy45OTEuMzEvMDcvMjAyNi4uLlVTRC5IAQAAACB6BQADAAAAAADOkI0wO+/eCIDW0DI7794IPUNJUS5OQVNEQVE6Q0FMTS5JUV9UT1RBTF9ERUJUX0VYQ0xfRklOLjk5MS4zMS8wNy8yMDI2Li4uVVNELkgBAAAAIHoFAAIAAAAGMTAuOTM5AQgAAAAFAAAAATEBAAAACjE5NzIwMTIxMjEDAAAAAzE2MAIAAAAFMjE4NjAEAAAAATAHAAAACTcvMzEvMjAyNggAAAAINi8zLzIwMTcJAAAAATDwVY0wO+/eCIph0DI7794IPENJUS5OQVNEQVE6Q0FMTS5JUV9ERUJUX0VRVUlWX05FVF9QQk8uOTkxLjMxLzA3LzIwMjYuLi5VU0QuSAEAAAAgegUAAgAAAAM0LjEBCAAAAAUAAAABMQEAAAAKMTk3MjAxMjEyMQMAAAADMTYwAgAAAAUyMTY3OQQAAAABMAcAAAAJNy8zMS8yMDI2CAAAAAg2LzMvMjAxNwkAAAABMPBVjTA7794IicPPMjvv3gg+Q0lRLk5BU0RBUTpDQUxNLklRX0RFUklWQVRJVkVfQVNTRVRTX0xULjk5Mi4zMS8wNy8yMDI2Li4uVVNELkgBAAAAIHoFAAMAAAAAAM6QjTA7794IExWqNDvv3ghGQ0lRLk5BU0RBUTpDQUxNLklRX0ZJTl9ESVZfTUlOT1JJVFlfSU5UX1JFREVFTS4y</t>
  </si>
  <si>
    <t>MDAwLjMxLzA3LzIwMjYuLi5VU0QuSAEAAAAgegUAAwAAAAAA+4ORMDvv3ggRhMsyO+/eCDNDSVEuTkFTREFROkNBTE0uSVFfTUFDSElORVJZLjk5MC4zMS8wNy8yMDI2Li4uVVNELkgBAAAAIHoFAAIAAAAHMzk5LjgwNAEIAAAABQAAAAExAQAAAAoxODk2ODIwNTE3AwAAAAMxNjACAAAABDMxMTQEAAAAATAHAAAACTcvMzEvMjAyNggAAAAJNS8yOC8yMDE2CQAAAAEw4FyRMDvv3gi+XsoyO+/eCE1DSVEuTkFTREFROkNBTE0uSVFfTElRVUlEQVRJT05fVkFMVUVfUFJFRkVSUkVEX1JFREVFTS4yMDAwLjMxLzA3LzIwMjYuLi5VU0QuSAEAAAAgegUAAwAAAAAA+4ORMDvv3ggQSc0yO+/eCEZDSVEuTkFTREFROkNBTE0uSVFfR0VORVJBTF9QQVJUTkVSX1BSRUZfRVFVSVRZLjIwMDAuMzEvMDcvMjAyNi4uLlVTRC5IAQAAACB6BQADAAAAAAD7g5EwO+/eCKFxzDI7794IP0NJUS5OQVNEQVE6Q0FMTS5JUV9GSU5fRElWX0xUX0RFQlRfVE9UQUwuOTkxLjMxLzA3LzIwMjYuLi5VU0QuSAEAAAAgegUAAwAAAAAA8FWNMDvv3ggD7M4yO+/eCDlDSVEuTkFTREFROkNBTE0uSVFfRklOX0RJVl9ERUJUX0xULjk5MS4zMS8wNy8yMDI2Li4uVVNELkgBAAAAIHoFAAMAAAAAAHr8+jA7794ImvC+Mjvv3ggxQ0lRLk5BU0RBUTpDQUxNLklRX0xUX0RFQlQuOTkwLjMxLzA3LzIwMjYuLi5VU0QuSAEAAAAgegUAAgAAAAQ5LjI1</t>
  </si>
  <si>
    <t>AQgAAAAFAAAAATEBAAAACjE4OTY4MjA1MTcDAAAAAzE2MAIAAAAEMTA0OQQAAAABMAcAAAAJNy8zMS8yMDI2CAAAAAk1LzI4LzIwMTYJAAAAATB6/PowO+/eCH+ivjI7794IMkNJUS5OQVNEQVE6Q0FMTS5JUV9HV19JTlRBTi45OTEuMzEvMDcvMjAyNi4uLlVTRC5IAQAAACB6BQACAAAABjY0LjY3NAEIAAAABQAAAAExAQAAAAoxOTcyMDEyMTIxAwAAAAMxNjACAAAABTM1MzgxBAAAAAEwBwAAAAk3LzMxLzIwMjYIAAAACDYvMy8yMDE3CQAAAAEwYjWRMDvv3ghHucYyO+/eCDxDSVEuTkFTREFROkNBTE0uSVFfVEJWX1NIQVJFX1JFUE9SVEVELjk5Mi4zMS8wNy8yMDI2Li4uVVNELkgBAAAAIHoFAAMAAAAAAGI1kTA7794InZWyNDvv3ggvQ0lRLk5BU0RBUTpDQUxNLklRX0xJRk9SLjk5MC4zMS8wNy8yMDI2Li4uVVNELkgBAAAAIHoFAAMAAAAAAOBckTA7794IKzrJMjvv3ggzQ0lRLk5BU0RBUTpDQUxNLklRX1RPVEFMX0RFQlRfRUJJVERBLjk5MS4zMS8wNy8yMDI2AQAAACB6BQADAAAAAk5NAQgAAAAFAAAAATEBAAAACjE5NzIwMTIxMjEDAAAAAzE2MAIAAAAENDE5MgQAAAABMAcAAAAJNy8zMS8yMDI2CAAAAAg2LzMvMjAxNwkAAAABMP1NhzA7794IKLHfMjvv3ggzQ0lRLk5BU0RBUTpDQUxNLklRX0xUX0lOVkVTVC45OTIuMzEvMDcvMjAyNi4uLlVTRC5IAQAAACB6BQACAAAABjcyLjUwNgEIAAAABQAA</t>
  </si>
  <si>
    <t>AAExAQAAAAoyMDQ1NzQ5MzEwAwAAAAMxNjACAAAABDEwNTQEAAAAATAHAAAACTcvMzEvMjAyNggAAAAINi8yLzIwMTgJAAAAATBs1fowO+/eCDeIujQ7794INkNJUS5OQVNEQVE6Q0FMTS5JUV9UT1RBTF9BU1NFVFMuOTkyLjMxLzA3LzIwMjYuLi5VU0QuSAEAAAAgegUAAgAAAAgxMTUwLjQ0NwEIAAAABQAAAAExAQAAAAoyMDQ1NzQ5MzEwAwAAAAMxNjACAAAABDEwMDcEAAAAATAHAAAACTcvMzEvMjAyNggAAAAINi8yLzIwMTgJAAAAATBs1fowO+/eCJaJuTQ7794IOUNJUS5OQVNEQVE6Q0FMTS5JUV9ERUZfVEFYX0xJQUJfTFQuOTkzLjMxLzA3LzIwMjYuLi5VU0QuSAEAAAAgegUAAgAAAAY4Mi41OTcBCAAAAAUAAAABMQEAAAALLTIxNDI0MjkwMzkDAAAAAzE2MAIAAAAEMTAyNwQAAAABMAcAAAAJNy8zMS8yMDI2CAAAAAg2LzEvMjAxOQkAAAABMHr8+jA7794Ityu3NDvv3gg3Q0lRLk5BU0RBUTpDQUxNLklRX1VORUFSTl9SRVZfTFQuOTkyLjMxLzA3LzIwMjYuLi5VU0QuSAEAAAAgegUAAwAAAAAAevz6MDvv3gjaoLc0O+/eCDJDSVEuTkFTREFROkNBTE0uSVFfSU5WRU5UT1JZX1RVUk5TLjIwMDAuMzEvMDcvMjAyNgEAAAAgegUAAgAAAAg2LjY3NjAwNQEIAAAABQAAAAExAQAAAAstMTg4MTA2ODI5NQMAAAADMTYwAgAAAAQ0MDgyBAAAAAEwBwAAAAk3LzMxLzIwMjYIAAAACTUvMzAvMjAyNgkAAAAB</t>
  </si>
  <si>
    <t>MCG4jTA7794IkBTdMjvv3ggtQ0lRLk5BU0RBUTpDQUxNLklRX0FTU0VUX1RVUk5TLjk5MS4zMS8wNy8yMDI2AQAAACB6BQACAAAACDEuMDAxOTQyAQgAAAAFAAAAATEBAAAACjE5NzIwMTIxMjEDAAAAAzE2MAIAAAAENDE3NwQAAAABMAcAAAAJNy8zMS8yMDI2CAAAAAg2LzMvMjAxNwkAAAABMCG4jTA7794IjkrcMjvv3gg2Q0lRLk5BU0RBUTpDQUxNLklRX1JFVFVSTl9DT01NT05fRVFVSVRZLjk5MC4zMS8wNy8yMDI2AQAAACB6BQACAAAABzM5LjA0NTMBCAAAAAUAAAABMQEAAAAKMTg5NjgyMDUxNwMAAAADMTYwAgAAAAUzMzMyMAQAAAABMAcAAAAJNy8zMS8yMDI2CAAAAAk1LzI4LzIwMTYJAAAAATAhuI0wO+/eCGOG2zI7794INUNJUS5OQVNEQVE6Q0FMTS5JUV9FQklUXzFZUl9BTk5fR1JPV1RILjk5MS4zMS8wNy8yMDI2AQAAACB6BQADAAAAAk5NAQgAAAAFAAAAATEBAAAACjE5NzIwMTIxMjEDAAAAAzE2MAIAAAAENDE5NwQAAAABMAcAAAAJNy8zMS8yMDI2CAAAAAg2LzMvMjAxNwkAAAABMLKIhzA7794IG5rhMjvv3ghLQ0lRLk5BU0RBUTpDQUxNLklRX1RPVEFMX0RFQlRfRUJJVERBX0VYQ0xfT1BFUl9MRUFTRVNfQ0FQRVguMjAwMC4zMS8wNy8yMDI2AQAAACB6BQADAAAAAACyiIcwO+/eCIOv4DI7794IP0NJUS5OQVNEQVE6Q0FMTS5JUV9GSU5fRElWX0xUX0RFQlRfVE9UQUwuOTkyLjMxLzA3</t>
  </si>
  <si>
    <t>LzIwMjYuLi5VU0QuSAEAAAAgegUAAwAAAAAA8FWNMDvv3ghuTqw0O+/eCD5DSVEuTkFTREFROkNBTE0uSVFfREVSSVZBVElWRV9BU1NFVFNfTFQuOTkzLjMxLzA3LzIwMjYuLi5VU0QuSAEAAAAgegUAAwAAAAAAzpCNMDvv3gggPKo0O+/eCD1DSVEuTkFTREFROkNBTE0uSVFfVE9UQUxfREVCVF9FWENMX0ZJTi45OTIuMzEvMDcvMjAyNi4uLlVTRC5IAQAAACB6BQACAAAABDYuMDkBCAAAAAUAAAABMQEAAAAKMjA0NTc0OTMxMAMAAAADMTYwAgAAAAUyMTg2MAQAAAABMAcAAAAJNy8zMS8yMDI2CAAAAAg2LzIvMjAxOAkAAAABMPBVjTA7794I12GrNDvv3gg6Q0lRLk5BU0RBUTpDQUxNLklRX0lOVEVSQ09NUEFOWV9DTC4yMDAwLjMxLzA3LzIwMjYuLi5VU0QuSAEAAAAgegUAAwAAAAAAIbiNMDvv3giK/dMyO+/eCDJDSVEuTkFTREFROkNBTE0uSVFfR1JPU1NfR1cuOTkwLjMxLzA3LzIwMjYuLi5VU0QuSAEAAAAgegUAAwAAAAAAzpCNMDvv3gjwiNIyO+/eCDhDSVEuTkFTREFROkNBTE0uSVFfQVNTRVRTX0xFVkVMXzEuOTkwLjMxLzA3LzIwMjYuLi5VU0QuSAEAAAAgegUAAgAAAAU1LjUwMwD7g5EwO+/eCBBJzTI7794IS0NJUS5OQVNEQVE6Q0FMTS5JUV9HRU5FUkFMX1BBUlRORVJfTUlOT1JJVFlfSU5URVJFU1QuOTkwLjMxLzA3LzIwMjYuLi5VU0QuSAEAAAAgegUAAwAAAAAA+4ORMDvv3gihccwyO+/e</t>
  </si>
  <si>
    <t>CEFDSVEuTkFTREFROkNBTE0uSVFfTUlOT1JJVFlfSU5UX1JFREVFTV9UT1QuOTkwLjMxLzA3LzIwMjYuLi5VU0QuSAEAAAAgegUAAwAAAAAA+4ORMDvv3ggRhMsyO+/eCD1DSVEuTkFTREFROkNBTE0uSVFfTElBQklMSVRJRVNfTEVWRUxfMS45OTAuMzEvMDcvMjAyNi4uLlVTRC5IAQAAACB6BQADAAAAAADwVY0wO+/eCE7lzTI7794IPENJUS5OQVNEQVE6Q0FMTS5JUV9ERUJUX0VRVUlWX05FVF9QQk8uOTkyLjMxLzA3LzIwMjYuLi5VU0QuSAEAAAAgegUAAgAAAAM0LjYBCAAAAAUAAAABMQEAAAAKMjA0NTc0OTMxMAMAAAADMTYwAgAAAAUyMTY3OQQAAAABMAcAAAAJNy8zMS8yMDI2CAAAAAg2LzIvMjAxOAkAAAABMPBVjTA7794I8a+rNDvv3gg8Q0lRLk5BU0RBUTpDQUxNLklRX1RCVl9TSEFSRV9SRVBPUlRFRC45OTMuMzEvMDcvMjAyNi4uLlVTRC5IAQAAACB6BQADAAAAAABiNZEwO+/eCJ2VsjQ7794IL0NJUS5OQVNEQVE6Q0FMTS5JUV9MSUZPUi45OTEuMzEvMDcvMjAyNi4uLlVTRC5IAQAAACB6BQADAAAAAADgXJEwO+/eCCs6yTI7794IQUNJUS5OQVNEQVE6Q0FMTS5JUV9UT1RBTF9ERUJUX05PTl9DVVJSRU5ULjIwMDAuMzEvMDcvMjAyNi4uLlVTRC5IAQAAACB6BQADAAAAAADgXJEwO+/eCLftxzI7794IM0NJUS5OQVNEQVE6Q0FMTS5JUV9TT0ZUV0FSRS4yMDAwLjMxLzA3LzIwMjYuLi5VU0Qu</t>
  </si>
  <si>
    <t>SAEAAAAgegUAAwAAAAAA4FyRMDvv3gj008oyO+/eCDNDSVEuTkFTREFROkNBTE0uSVFfTUFDSElORVJZLjk5MS4zMS8wNy8yMDI2Li4uVVNELkgBAAAAIHoFAAIAAAAHNDYwLjIxOAEIAAAABQAAAAExAQAAAAoxOTcyMDEyMTIxAwAAAAMxNjACAAAABDMxMTQEAAAAATAHAAAACTcvMzEvMjAyNggAAAAINi8zLzIwMTcJAAAAATDgXJEwO+/eCL5eyjI7794IMkNJUS5OQVNEQVE6Q0FMTS5JUV9UT1RBTF9DTC45OTMuMzEvMDcvMjAyNi4uLlVTRC5IAQAAACB6BQACAAAABjc0LjkwNwEIAAAABQAAAAExAQAAAAstMjE0MjQyOTAzOQMAAAADMTYwAgAAAAQxMDA5BAAAAAEwBwAAAAk3LzMxLzIwMjYIAAAACDYvMS8yMDE5CQAAAAEwevz6MDvv3gjYKbg0O+/eCD9DSVEuTkFTREFROkNBTE0uSVFfREVGX1RBWF9MSUFCX0NVUlJFTlQuMjAwMC4zMS8wNy8yMDI2Li4uVVNELkgBAAAAIHoFAAMAAAAAAHr8+jA7794ISVS+Mjvv3gg3Q0lRLk5BU0RBUTpDQUxNLklRX1RPVEFMX0xFQVNFUy4yMDAwLjMxLzA3LzIwMjYuLi5VU0QuSAEAAAAgegUAAwAAAAAAYjWRMDvv3ggGbcUyO+/eCDRDSVEuTkFTREFROkNBTE0uSVFfVE9UQUxfREVCVC45OTIuMzEvMDcvMjAyNi4uLlVTRC5IAQAAACB6BQACAAAABDYuMDkBCAAAAAUAAAABMQEAAAAKMjA0NTc0OTMxMAMAAAADMTYwAgAAAAQ0MTczBAAAAAEwBwAAAAk3LzMxLzIw</t>
  </si>
  <si>
    <t>MjYIAAAACDYvMi8yMDE4CQAAAAEw4FyRMDvv3gjY47E0O+/eCDJDSVEuTkFTREFROkNBTE0uSVFfR1dfSU5UQU4uOTkyLjMxLzA3LzIwMjYuLi5VU0QuSAEAAAAgegUAAgAAAAY2MS44MzIBCAAAAAUAAAABMQEAAAAKMjA0NTc0OTMxMAMAAAADMTYwAgAAAAUzNTM4MQQAAAABMAcAAAAJNy8zMS8yMDI2CAAAAAg2LzIvMjAxOAkAAAABMGI1kTA7794IjUeyNDvv3gg1Q0lRLk5BU0RBUTpDQUxNLklRX1BSRVBBSURfRVhQLjk5MC4zMS8wNy8yMDI2Li4uVVNELkgBAAAAIHoFAAIAAAAFMi42NjEBCAAAAAUAAAABMQEAAAAKMTg5NjgyMDUxNwMAAAADMTYwAgAAAAQxMjEyBAAAAAEwBwAAAAk3LzMxLzIwMjYIAAAACTUvMjgvMjAxNgkAAAABMFmu+jA7794IyX+5Mjvv3ggzQ0lRLk5BU0RBUTpDQUxNLklRX0xUX0lOVkVTVC45OTMuMzEvMDcvMjAyNi4uLlVTRC5IAQAAACB6BQACAAAABjcwLjkxMQEIAAAABQAAAAExAQAAAAstMjE0MjQyOTAzOQMAAAADMTYwAgAAAAQxMDU0BAAAAAEwBwAAAAk3LzMxLzIwMjYIAAAACDYvMS8yMDE5CQAAAAEwbNX6MDvv3gg3iLo0O+/eCCxDSVEuTkFTREFROkNBTE0uSVFfQUQuOTkyLjMxLzA3LzIwMjYuLi5VU0QuSAEAAAAgegUAAgAAAAgtNTEzLjcwNwEIAAAABQAAAAExAQAAAAoyMDQ1NzQ5MzEwAwAAAAMxNjACAAAABDEwNzUEAAAAATAHAAAACTcvMzEvMjAyNggAAAAI</t>
  </si>
  <si>
    <t>Ni8yLzIwMTgJAAAAATBs1fowO+/eCDavujQ7794INkNJUS5OQVNEQVE6Q0FMTS5JUV9UT1RBTF9BU1NFVFMuOTkzLjMxLzA3LzIwMjYuLi5VU0QuSAEAAAAgegUAAgAAAAgxMTU2LjI3OAEIAAAABQAAAAExAQAAAAstMjE0MjQyOTAzOQMAAAADMTYwAgAAAAQxMDA3BAAAAAEwBwAAAAk3LzMxLzIwMjYIAAAACDYvMS8yMDE5CQAAAAEwbNX6MDvv3giWibk0O+/eCDhDSVEuTkFTREFROkNBTE0uSVFfREVGX0NIQVJHRVNfTFQuOTkxLjMxLzA3LzIwMjYuLi5VU0QuSAEAAAAgegUAAwAAAAAAbNX6MDvv3gjKU7wyO+/eCEtDSVEuTkFTREFROkNBTE0uSVFfTE9OR19URVJNX0RFQlRfUkVQQUlEX0VYQ0xfTEVBU0VTLjk5MC4zMS8wNy8yMDI2Li4uVVNELkgBAAAAIHoFAAIAAAAGLTI1LjI5AQgAAAAFAAAAATEBAAAACjE4OTY4MjA1MTcDAAAAAzE2MAIAAAAFNDg5ODQEAAAAATAHAAAACTcvMzEvMjAyNggAAAAJNS8yOC8yMDE2CQAAAAEwWa76MDvv3gic4LQyO+/eCDdDSVEuTkFTREFROkNBTE0uSVFfRE9fRklOQU5DRV9DRi45OTIuMzEvMDcvMjAyNi4uLlVTRC5IAQAAACB6BQADAAAAAABsh/owO+/eCHNIvTQ7794INkNJUS5OQVNEQVE6Q0FMTS5JUV9PVEhFUl9SRUNFSVYuOTkyLjMxLzA3LzIwMjYuLi5VU0QuSAEAAAAgegUAAgAAAAU1LjEwOAEIAAAABQAAAAExAQAAAAoyMDQ1NzQ5MzEwAwAAAAMxNjAC</t>
  </si>
  <si>
    <t>AAAABDEyMDYEAAAAATAHAAAACTcvMzEvMjAyNggAAAAINi8yLzIwMTgJAAAAATBZrvowO+/eCM77uzQ7794IOENJUS5OQVNEQVE6Q0FMTS5JUV9UUkFESU5HX0FTU0VUUy45OTIuMzEvMDcvMjAyNi4uLlVTRC5IAQAAACB6BQADAAAAAABZrvowO+/eCNlJvDQ7794IMkNJUS5OQVNEQVE6Q0FMTS5JUV9HUk9TU19HVy45OTEuMzEvMDcvMjAyNi4uLlVTRC5IAQAAACB6BQADAAAAAADOkI0wO+/eCPCI0jI7794INkNJUS5OQVNEQVE6Q0FMTS5JUV9SRVRVUk5fQ09NTU9OX0VRVUlUWS45OTEuMzEvMDcvMjAyNgEAAAAgegUAAgAAAActOC40NTA0AQgAAAAFAAAAATEBAAAACjE5NzIwMTIxMjEDAAAAAzE2MAIAAAAFMzMzMjAEAAAAATAHAAAACTcvMzEvMjAyNggAAAAINi8zLzIwMTcJAAAAATAhuI0wO+/eCGOG2zI7794IOUNJUS5OQVNEQVE6Q0FMTS5JUV9JTlRFUkNPTVBBTllfQ0wuOTkyLjMxLzA3LzIwMjYuLi5VU0QuSAEAAAAgegUAAwAAAAAAIbiNMDvv3gilA6k0O+/eCDBDSVEuTkFTREFROkNBTE0uSVFfREFZU19TQUxFU19PVVQuOTkzLjMxLzA3LzIwMjYBAAAAIHoFAAIAAAAJMTguNDIzMTMyAQgAAAAFAAAAATEBAAAACy0yMTQyNDI5MDM5AwAAAAMxNjACAAAABDQwNDIEAAAAATAHAAAACTcvMzEvMjAyNggAAAAINi8xLzIwMTkJAAAAATBL340wO+/eCDsdozQ7794IM0NJUS5OQVNEQVE6Q0FMTS5J</t>
  </si>
  <si>
    <t>UV9UT1RBTF9ERUJUX0VCSVREQS45OTIuMzEvMDcvMjAyNgEAAAAgegUAAgAAAAgwLjAyNTgzMQEIAAAABQAAAAExAQAAAAoyMDQ1NzQ5MzEwAwAAAAMxNjACAAAABDQxOTIEAAAAATAHAAAACTcvMzEvMjAyNggAAAAINi8yLzIwMTgJAAAAATACdYcwO+/eCNrPoTQ7794IS0NJUS5OQVNEQVE6Q0FMTS5JUV9HRU5FUkFMX1BBUlRORVJfTUlOT1JJVFlfSU5URVJFU1QuOTkzLjMxLzA3LzIwMjYuLi5VU0QuSAEAAAAgegUAAwAAAAAA+4ORMDvv3gj9wK40O+/eCC9DSVEuTkFTREFROkNBTE0uSVFfQVZHX0VNUExPWUVFUy45OTEuMzEvMDcvMjAyNgEAAAAgegUAAwAAAAAA8FWNMDvv3ghtptkyO+/eCElDSVEuTkFTREFROkNBTE0uSVFfRkFJUl9WQUxVRV9DSEFOR0VfSU5DTF9FQVJOSU5HUy45OTEuMzEvMDcvMjAyNi4uLlVTRC5IAQAAACB6BQADAAAAAADwVY0wO+/eCO3EzjI7794IQENJUS5OQVNEQVE6Q0FMTS5JUV9ERUJUX0VRVUlWX09QRVJfTEVBU0UuMjAwMC4zMS8wNy8yMDI2Li4uVVNELkgBAAAAIHoFAAMAAAAAAPBVjTA7794IKxPQMjvv3ghAQ0lRLk5BU0RBUTpDQUxNLklRX0ZJTl9ESVZfU1RfREVCVF9UT1RBTC4yMDAwLjMxLzA3LzIwMjYuLi5VU0QuSAEAAAAgegUAAwAAAAAA8FWNMDvv3ghhYc8yO+/eCEFDSVEuTkFTREFROkNBTE0uSVFfTUlOT1JJVFlfSU5UX1JFREVFTV9UT1QuOTkzLjMx</t>
  </si>
  <si>
    <t>LzA3LzIwMjYuLi5VU0QuSAEAAAAgegUAAwAAAAAA+4ORMDvv3ghXSq80O+/eCEBDSVEuTkFTREFROkNBTE0uSVFfTkFUVVJBTF9SRVNPVVJDRVNfQ09TVC45OTAuMzEvMDcvMjAyNi4uLlVTRC5IAQAAACB6BQADAAAAAADgXJEwO+/eCPTTyjI7794IM0NJUS5OQVNEQVE6Q0FMTS5JUV9NQUNISU5FUlkuOTkyLjMxLzA3LzIwMjYuLi5VU0QuSAEAAAAgegUAAgAAAAc0NzguOTk3AQgAAAAFAAAAATEBAAAACjIwNDU3NDkzMTADAAAAAzE2MAIAAAAEMzExNAQAAAABMAcAAAAJNy8zMS8yMDI2CAAAAAg2LzIvMjAxOAkAAAABMOBckTA7794IpQ2wNDvv3gg9Q0lRLk5BU0RBUTpDQUxNLklRX0xJQUJJTElUSUVTX0xFVkVMXzEuOTkxLjMxLzA3LzIwMjYuLi5VU0QuSAEAAAAgegUAAwAAAAAA8FWNMDvv3ghO5c0yO+/eCDhDSVEuTkFTREFROkNBTE0uSVFfQVNTRVRTX0xFVkVMXzEuOTkxLjMxLzA3LzIwMjYuLi5VU0QuSAEAAAAgegUAAgAAAAUyLjQ1OQD7g5EwO+/eCBBJzTI7794IQkNJUS5OQVNEQVE6Q0FMTS5JUV9NSU5PUklUWV9JTlRFUkVTVF9UT1RBTC4yMDAwLjMxLzA3LzIwMjYuLi5VU0QuSAEAAAAgegUAAgAAAAM3LjgBCAAAAAUAAAABMQEAAAALLTE4ODEwNjgyOTUDAAAAAzE2MAIAAAAEMTMxMgQAAAABMAcAAAAJNy8zMS8yMDI2CAAAAAk1LzMwLzIwMjYJAAAAATDgXJEwO+/eCI5PyDI7794IQENJ</t>
  </si>
  <si>
    <t>US5OQVNEQVE6Q0FMTS5JUV9UT1RBTF9ERUJUX05PTl9DVVJSRU5ULjk5Mi4zMS8wNy8yMDI2Li4uVVNELkgBAAAAIHoFAAIAAAAFMi41NTQBCAAAAAUAAAABMQEAAAAKMjA0NTc0OTMxMAMAAAADMTYwAgAAAAUyNTIyNAQAAAABMAcAAAAJNy8zMS8yMDI2CAAAAAg2LzIvMjAxOAkAAAABMOBckTA7794I1YGxNDvv3gg0Q0lRLk5BU0RBUTpDQUxNLklRX1RPVEFMX0RFQlQuOTkzLjMxLzA3LzIwMjYuLi5VU0QuSAEAAAAgegUAAgAAAAUyLjU1NAEIAAAABQAAAAExAQAAAAstMjE0MjQyOTAzOQMAAAADMTYwAgAAAAQ0MTczBAAAAAEwBwAAAAk3LzMxLzIwMjYIAAAACDYvMS8yMDE5CQAAAAEw4FyRMDvv3gjY47E0O+/eCDJDSVEuTkFTREFROkNBTE0uSVFfR1dfSU5UQU4uOTkzLjMxLzA3LzIwMjYuLi5VU0QuSAEAAAAgegUAAgAAAAY1OS4yODcBCAAAAAUAAAABMQEAAAALLTIxNDI0MjkwMzkDAAAAAzE2MAIAAAAFMzUzODEEAAAAATAHAAAACTcvMzEvMjAyNggAAAAINi8xLzIwMTkJAAAAATBiNZEwO+/eCI1HsjQ7794IMkNJUS5OQVNEQVE6Q0FMTS5JUV9SQVdfSU5WLjIwMDAuMzEvMDcvMjAyNi4uLlVTRC5IAQAAACB6BQACAAAABzI5MC40OTYBCAAAAAUAAAABMQEAAAALLTE4ODEwNjgyOTUDAAAAAzE2MAIAAAAEMzE3MQQAAAABMAcAAAAJNy8zMS8yMDI2CAAAAAk1LzMwLzIwMjYJAAAAATDgXJEwO+/e</t>
  </si>
  <si>
    <t>CAnCyTI7794ISENJUS5OQVNEQVE6Q0FMTS5JUV9SVUFfT1BFUkFUSU5HX0xFQVNFX0FDQ1VNX0RFUC4yMDAwLjMxLzA3LzIwMjYuLi5VU0QuSAEAAAAgegUAAwAAAAAAWvqQMDvv3ghGisMyO+/eCEBDSVEuTkFTREFROkNBTE0uSVFfUlVBX0NBUElUQUxfTEVBU0VfTkVULjIwMDAuMzEvMDcvMjAyNi4uLlVTRC5IAQAAACB6BQADAAAAAABa+pAwO+/eCCo8wzI7794IV0NJUS5OQVNEQVE6Q0FMTS5JUV9GSU5BTkNJTkdfT0JMSUdfTk9OX0NVUlJFTlRfRVhDTF9PUEVSX0xFQVNFUy4yMDAwLjMxLzA3LzIwMjYuLi5VU0QuSAEAAAAgegUAAwAAAAAAYjWRMDvv3gghu8UyO+/eCFJDSVEuTkFTREFROkNBTE0uSVFfRklOQU5DSU5HX09CTElHX0NVUlJFTlRfRVhDTF9PUEVSX0xFQVNFUy45OTAuMzEvMDcvMjAyNi4uLlVTRC5IAQAAACB6BQACAAAABTE2LjMyAQgAAAAFAAAAATEBAAAACjE4OTY4MjA1MTcDAAAAAzE2MAIAAAAFNDg5ODAEAAAAATAHAAAACTcvMzEvMjAyNggAAAAJNS8yOC8yMDE2CQAAAAEwYjWRMDvv3ggGbcUyO+/eCExDSVEuTkFTREFROkNBTE0uSVFfTFRfUE9SVElPTl9PUEVSX0xFQVNFX0xJQUJJTElUSUVTLjIwMDAuMzEvMDcvMjAyNi4uLlVTRC5IAQAAACB6BQADAAAAAABiNZEwO+/eCN4KxTI7794IPkNJUS5OQVNEQVE6Q0FMTS5JUV9GSU5fRElWX0RFQlRfQ1VSUkVOVC45OTAuMzEv</t>
  </si>
  <si>
    <t>MDcvMjAyNi4uLlVTRC5IAQAAACB6BQADAAAAAABs1fowO+/eCAmNvTI7794IPkNJUS5OQVNEQVE6Q0FMTS5JUV9ERUZfVEFYX0xJQUJfQ1VSUkVOVC45OTMuMzEvMDcvMjAyNi4uLlVTRC5IAQAAACB6BQADAAAAAAB6/PowO+/eCDZ4uDQ7794IPkNJUS5OQVNEQVE6Q0FMTS5JUV9UT1RBTF9GSU5BTkNFX0xFQVNFUy45OTIuMzEvMDcvMjAyNi4uLlVTRC5IAQAAACB6BQACAAAABDEuMzQBCAAAAAUAAAABMQEAAAAKMjA0NTc0OTMxMAMAAAADMTYwAgAAAAU0OTAzMQQAAAABMAcAAAAJNy8zMS8yMDI2CAAAAAg2LzIvMjAxOAkAAAABMGI1kTA7794ILbuzNDvv3ghAQ0lRLk5BU0RBUTpDQUxNLklRX0ZJTkFOQ0VfTEVBU0VTX0NVUlJFTlQuOTkxLjMxLzA3LzIwMjYuLi5VU0QuSAEAAAAgegUAAwAAAAAAYjWRMDvv3gggUcQyO+/eCD1DSVEuTkFTREFROkNBTE0uSVFfQURfRVhDTF9PUEVSX0xFQVNFUy45OTAuMzEvMDcvMjAyNi4uLlVTRC5IAQAAACB6BQACAAAACC00MzAuMzcxAQgAAAAFAAAAATEBAAAACjE4OTY4MjA1MTcDAAAAAzE2MAIAAAAFNDg5NzUEAAAAATAHAAAACTcvMzEvMjAyNggAAAAJNS8yOC8yMDE2CQAAAAEwWvqQMDvv3ggJA8QyO+/eCCxDSVEuTkFTREFROkNBTE0uSVFfQUQuOTkzLjMxLzA3LzIwMjYuLi5VU0QuSAEAAAAgegUAAgAAAAgtNTU1LjYzOAEIAAAABQAAAAExAQAAAAstMjE0</t>
  </si>
  <si>
    <t>MjQyOTAzOQMAAAADMTYwAgAAAAQxMDc1BAAAAAEwBwAAAAk3LzMxLzIwMjYIAAAACDYvMS8yMDE5CQAAAAEwbNX6MDvv3gg2r7o0O+/eCDlDSVEuTkFTREFROkNBTE0uSVFfTE9BTlNfRk9SX1NBTEUuMjAwMC4zMS8wNy8yMDI2Li4uVVNELkgBAAAAIHoFAAMAAAAAAFmu+jA7794IMxy6Mjvv3gg4Q0lRLk5BU0RBUTpDQUxNLklRX0RFRl9DSEFSR0VTX0xULjk5Mi4zMS8wNy8yMDI2Li4uVVNELkgBAAAAIHoFAAMAAAAAAGzV+jA7794IwMS5NDvv3gg5Q0lRLk5BU0RBUTpDQUxNLklRX0xPQU5TX1JFQ0VJVl9MVC45OTAuMzEvMDcvMjAyNi4uLlVTRC5IAQAAACB6BQADAAAAAABs1fowO+/eCOMYvDI7794IPUNJUS5OQVNEQVE6Q0FMTS5JUV9JTkNfVEFYX1BBWV9DVVJSRU5ULjk5Mi4zMS8wNy8yMDI2Li4uVVNELkgBAAAAIHoFAAIAAAAGMTcuNDQ2AQgAAAAFAAAAATEBAAAACjIwNDU3NDkzMTADAAAAAzE2MAIAAAAEMTA5NAQAAAABMAcAAAAJNy8zMS8yMDI2CAAAAAg2LzIvMjAxOAkAAAABMGzV+jA7794ISZ+4NDvv3ggqQ0lRLk5BU0RBUTpDQUxNLklRX0dBQVBfQ0YuMjAwMC4zMS8wNy8yMDI2AQAAACB6BQADAAAAB1VTIEdBQVAAWa76MDvv3gjxp9gyO+/eCE1DSVEuTkFTREFROkNBTE0uSVFfT1BFUkFUSU5HX0xFQVNFX0xJQUJJTElUSUVTX05PTkNBU0guOTkzLjMxLzA3LzIwMjYuLi5VU0QuSAEA</t>
  </si>
  <si>
    <t>AAAgegUAAwAAAAAAbIf6MDvv3ghF+rw0O+/eCDVDSVEuTkFTREFROkNBTE0uSVFfUFJFUEFJRF9FWFAuOTkxLjMxLzA3LzIwMjYuLi5VU0QuSAEAAAAgegUAAgAAAAUyLjI4OAEIAAAABQAAAAExAQAAAAoxOTcyMDEyMTIxAwAAAAMxNjACAAAABDEyMTIEAAAAATAHAAAACTcvMzEvMjAyNggAAAAINi8zLzIwMTcJAAAAATBZrvowO+/eCMl/uTI7794INkNJUS5OQVNEQVE6Q0FMTS5JUV9PVEhFUl9SRUNFSVYuOTkzLjMxLzA3LzIwMjYuLi5VU0QuSAEAAAAgegUAAgAAAAYxNC43MDEBCAAAAAUAAAABMQEAAAALLTIxNDI0MjkwMzkDAAAAAzE2MAIAAAAEMTIwNgQAAAABMAcAAAAJNy8zMS8yMDI2CAAAAAg2LzEvMjAxOQkAAAABMFmu+jA7794Izvu7NDvv3gg9Q0lRLk5BU0RBUTpDQUxNLklRX0NBU0hfSU5URVJFU1RfRklOQU4uOTkzLjMxLzA3LzIwMjYuLi5VU0QuSAEAAAAgegUAAwAAAAAAbIf6MDvv3ghBvL40O+/eCEFDSVEuTkFTREFROkNBTE0uSVFfQ0FTSF9JTlRFUkVTVF9SRUNFSVZFRC4yMDAwLjMxLzA3LzIwMjYuLi5VU0QuSAEAAAAgegUAAwAAAAAAbIf6MDvv3ghPMLIyO+/eCDdDSVEuTkFTREFROkNBTE0uSVFfRE9fRklOQU5DRV9DRi45OTMuMzEvMDcvMjAyNi4uLlVTRC5IAQAAACB6BQADAAAAAABsh/owO+/eCHNIvTQ7794IOkNJUS5OQVNEQVE6Q0FMTS5JUV9ORVRfREVCVF9JU1NVRUQu</t>
  </si>
  <si>
    <t>MjAwMC4zMS8wNy8yMDI2Li4uVVNELkgBAAAAIHoFAAMAAAAAAGyH+jA7794IGUC0Mjvv3gg1Q0lRLk5BU0RBUTpDQUxNLklRX0xFVkVSRURfRkNGLjk5MS4zMS8wNy8yMDI2Li4uVVNELkgBAAAAIHoFAAIAAAAILTE0Ni41ODcBCAAAAAUAAAABMQEAAAAKMTk3MjAxMjEyMQMAAAADMTYwAgAAAAQ0NDIyBAAAAAEwBwAAAAk3LzMxLzIwMjYIAAAACDYvMy8yMDE3CQAAAAEwbIf6MDvv3gjOo7MyO+/eCDNDSVEuTkFTREFROkNBTE0uSVFfTlVNQkVSX0FEUkhPTERFUlMuOTkwLjMxLzA3LzIwMjYBAAAAIHoFAAMAAAAAAPBVjTA7794ImPTZMjvv3gg9Q0lRLk5BU0RBUTpDQUxNLklRX0xJQUJJTElUSUVTX0xFVkVMXzIuOTkzLjMxLzA3LzIwMjYuLi5VU0QuSAEAAAAgegUAAwAAAAAA8FWNMDvv3giOsKw0O+/eCEZDSVEuTkFTREFROkNBTE0uSVFfU0FMRV9QUk9DRUVEU19SRU5UQUxfQVNTRVRTLjIwMDAuMzEvMDcvMjAyNi4uLlVTRC5IAQAAACB6BQADAAAAAAD2lfYwO+/eCB67sTI7794IPkNJUS5OQVNEQVE6Q0FMTS5JUV9ORUdBVElWRV9HV19BTU9SVF9DRi45OTEuMzEvMDcvMjAyNi4uLlVTRC5IAQAAACB6BQADAAAAAAD2lfYwO+/eCLkLsTI7794IOkNJUS5OQVNEQVE6Q0FMTS5JUV9DQVNIX1RBWEVTX0ZJTkFOLjk5MS4zMS8wNy8yMDI2Li4uVVNELkgBAAAAIHoFAAMAAAAAAGyH+jA7794IhgezMjvv</t>
  </si>
  <si>
    <t>3gg9Q0lRLk5BU0RBUTpDQUxNLklRX1RPVEFMX0NPTU1PTl9FUVVJVFkuOTkwLjMxLzA3LzIwMjYuLi5VU0QuSAEAAAAgegUAAgAAAAc5MTUuMjc1AQgAAAAFAAAAATEBAAAACjE4OTY4MjA1MTcDAAAAAzE2MAIAAAAEMTAwNgQAAAABMAcAAAAJNy8zMS8yMDI2CAAAAAk1LzI4LzIwMTYJAAAAATBa+pAwO+/eCIfIwTI7794ISUNJUS5OQVNEQVE6Q0FMTS5JUV9UT1RBTF9HRU5FUkFMX1BBUlRORVJfSU5URVJFU1QuMjAwMC4zMS8wNy8yMDI2Li4uVVNELkgBAAAAIHoFAAMAAAAAAPuDkTA7794IupjMMjvv3ggsQ0lRLk5BU0RBUTpDQUxNLklRX0lOVl9NRVRIT0QuOTkxLjMxLzA3LzIwMjYBAAAAIHoFAAMAAAAERklGTwDgXJEwO+/eCAXP2DI7794IM0NJUS5OQVNEQVE6Q0FMTS5JUV9UT1RBTF9DQVAuOTkxLjMxLzA3LzIwMjYuLi5VU0QuSAEAAAAgegUAAgAAAAc4NTUuNDMyAQgAAAAFAAAAATEBAAAACjE5NzIwMTIxMjEDAAAAAzE2MAIAAAAENDE3NQQAAAABMAcAAAAJNy8zMS8yMDI2CAAAAAg2LzMvMjAxNwkAAAABMOBckTA7794Ijk/IMjvv3gg+Q0lRLk5BU0RBUTpDQUxNLklRX1RPVEFMX0RFQlRfRVhDTF9GSU4uMjAwMC4zMS8wNy8yMDI2Li4uVVNELkgBAAAAIHoFAAMAAAAAAPBVjTA7794IaYjQMjvv3gg7Q0lRLk5BU0RBUTpDQUxNLklRX0NVUlJFTlRfUE9SVF9ERUJULjk5My4zMS8wNy8yMDI2</t>
  </si>
  <si>
    <t>Li4uVVNELkgBAAAAIHoFAAIAAAADMS41AQgAAAAFAAAAATEBAAAACy0yMTQyNDI5MDM5AwAAAAMxNjACAAAABDEyOTcEAAAAATAHAAAACTcvMzEvMjAyNggAAAAINi8xLzIwMTkJAAAAATBs1fowO+/eCKUUuTQ7794IPENJUS5OQVNEQVE6Q0FMTS5JUV9ERUZfVEFYX0FTU0VUU19MVC4yMDAwLjMxLzA3LzIwMjYuLi5VU0QuSAEAAAAgegUAAwAAAAAAbNX6MDvv3gjKU7wyO+/eCC9DSVEuTkFTREFROkNBTE0uSVFfQVJfTFQuOTkwLjMxLzA3LzIwMjYuLi5VU0QuSAEAAAAgegUAAwAAAAAAbNX6MDvv3gixyrsyO+/eCDRDSVEuTkFTREFROkNBTE0uSVFfVE9UQUxfTElBQi45OTAuMzEvMDcvMjAyNi4uLlVTRC5IAQAAACB6BQACAAAABzE5NC40MDQBCAAAAAUAAAABMQEAAAAKMTg5NjgyMDUxNwMAAAADMTYwAgAAAAQxMjc2BAAAAAEwBwAAAAk3LzMxLzIwMjYIAAAACTUvMjgvMjAxNgkAAAABMHr8+jA7794I3e6/Mjvv3ghBQ0lRLk5BU0RBUTpDQUxNLklRX1JVQV9DQVBJVEFMX0xFQVNFX0dST1NTLjk5MC4zMS8wNy8yMDI2Li4uVVNELkgBAAAAIHoFAAMAAAAAAFr6kDA7794IFO7CMjvv3gg2Q0lRLk5BU0RBUTpDQUxNLklRX09USEVSX1JFQ0VJVi45OTAuMzEvMDcvMjAyNi4uLlVTRC5IAQAAACB6BQACAAAABjE3LjI2NgEIAAAABQAAAAExAQAAAAoxODk2ODIwNTE3AwAAAAMxNjACAAAABDEyMDYEAAAA</t>
  </si>
  <si>
    <t>ATAHAAAACTcvMzEvMjAyNggAAAAJNS8yOC8yMDE2CQAAAAEwWa76MDvv3gjP5LgyO+/eCDBDSVEuTkFTREFROkNBTE0uSVFfUkVTVEFURU1FTlRfQ0YuOTkxLjMxLzA3LzIwMjYBAAAAIHoFAAMAAAACUlMAWa76MDvv3gjGMtgyO+/eCCxDSVEuTkFTREFROkNBTE0uSVFfR1cuOTkwLjMxLzA3LzIwMjYuLi5VU0QuSAEAAAAgegUAAgAAAAYyOS4xOTYBCAAAAAUAAAABMQEAAAAKMTg5NjgyMDUxNwMAAAADMTYwAgAAAAQxMTcxBAAAAAEwBwAAAAk3LzMxLzIwMjYIAAAACTUvMjgvMjAxNgkAAAABMGzV+jA7794IolW7Mjvv3ggsQ0lRLk5BU0RBUTpDQUxNLklRX0FELjk5MS4zMS8wNy8yMDI2Li4uVVNELkgBAAAAIHoFAAIAAAAILTQ2OC45OTUBCAAAAAUAAAABMQEAAAAKMTk3MjAxMjEyMQMAAAADMTYwAgAAAAQxMDc1BAAAAAEwBwAAAAk3LzMxLzIwMjYIAAAACDYvMy8yMDE3CQAAAAEwbNX6MDvv3gha4LoyO+/eCDlDSVEuTkFTREFROkNBTE0uSVFfT1RIRVJfQ0FfU1VQUEwuMjAwMC4zMS8wNy8yMDI2Li4uVVNELkgBAAAAIHoFAAMAAAAAAGzV+jA7794IW2q6Mjvv3ggxQ0lRLk5BU0RBUTpDQUxNLklRX1BFUklPRExFTkdUSF9DRi45OTAuMzEvMDcvMjAyNgEAAAAgegUAAQAAAAIxMgD2lfYwO+/eCLUL2DI7794IQENJUS5OQVNEQVE6Q0FMTS5JUV9DQVNIX0lOVEVSRVNUX1JFQ0VJVkVELjk5Mi4zMS8w</t>
  </si>
  <si>
    <t>Ny8yMDI2Li4uVVNELkgBAAAAIHoFAAMAAAAAAGyH+jA7794IUQq/NDvv3ghHQ0lRLk5BU0RBUTpDQUxNLklRX1RPVEFMX0RFQlRfUkVQQUlEX0VYQ0xfTEVBU0VTLjk5Mi4zMS8wNy8yMDI2Li4uVVNELkgBAAAAIHoFAAIAAAAGLTQuODQ5AQgAAAAFAAAAATEBAAAACjIwNDU3NDkzMTADAAAAAzE2MAIAAAAFNDg5ODYEAAAAATAHAAAACTcvMzEvMjAyNggAAAAINi8yLzIwMTgJAAAAATBZrvowO+/eCPa+vDQ7794IOUNJUS5OQVNEQVE6Q0FMTS5JUV9ORVRfREVCVF9JU1NVRUQuOTkzLjMxLzA3LzIwMjYuLi5VU0QuSAEAAAAgegUAAgAAAAYtMy43NTQBCAAAAAUAAAABMQEAAAALLTIxNDI0MjkwMzkDAAAAAzE2MAIAAAAEMjAwMwQAAAABMAcAAAAJNy8zMS8yMDI2CAAAAAg2LzEvMjAxOQkAAAABMGyH+jA7794IVG+9NDvv3gg3Q0lRLk5BU0RBUTpDQUxNLklRX1RPVEFMX1JFQ0VJVi4yMDAwLjMxLzA3LzIwMjYuLi5VU0QuSAEAAAAgegUAAgAAAAcyNjQuNDMxAQgAAAAFAAAAATEBAAAACy0xODgxMDY4Mjk1AwAAAAMxNjACAAAABDEwMDEEAAAAATAHAAAACTcvMzEvMjAyNggAAAAJNS8zMC8yMDI2CQAAAAEwWa76MDvv3ggzR7kyO+/eCDRDSVEuTkFTREFROkNBTE0uSVFfQ0FTSF9GSU5BTi45OTAuMzEvMDcvMjAyNi4uLlVTRC5IAQAAACB6BQACAAAABy0xNDguOTEBCAAAAAUAAAABMQEAAAAKMTg5Njgy</t>
  </si>
  <si>
    <t>MDUxNwMAAAADMTYwAgAAAAQyMDA0BAAAAAEwBwAAAAk3LzMxLzIwMjYIAAAACTUvMjgvMjAxNgkAAAABMPaV9jA7794InXCvMjvv3gg8Q0lRLk5BU0RBUTpDQUxNLklRX1RPVEFMX0RJVl9QQUlEX0NGLjIwMDAuMzEvMDcvMjAyNi4uLlVTRC5IAQAAACB6BQACAAAACC0yMzEuNjIyAQgAAAAFAAAAATEBAAAACy0xODgxMDY4Mjk1AwAAAAMxNjACAAAABDIwMjIEAAAAATAHAAAACTcvMzEvMjAyNggAAAAJNS8zMC8yMDI2CQAAAAEw5m72MDvv3gju9a4yO+/eCDZDSVEuTkFTREFROkNBTE0uSVFfUFJFRl9ESVZfQ0YuMjAwMC4zMS8wNy8yMDI2Li4uVVNELkgBAAAAIHoFAAMAAAAAAOZu9jA7794IDaiuMjvv3ggyQ0lRLk5BU0RBUTpDQUxNLklRX1BSRUZfUkVQLjk5Mi4zMS8wNy8yMDI2Li4uVVNELkgBAAAAIHoFAAMAAAAAAOZu9jA7794IuWvBNDvv3gg2Q0lRLk5BU0RBUTpDQUxNLklRX0FNT1JUX0RJQ19DRi45OTMuMzEvMDcvMjAyNi4uLlVTRC5IAQAAACB6BQADAAAAAAD2lfYwO+/eCJimvzQ7794ISENJUS5OQVNEQVE6Q0FMTS5JUV9UT1RBTF9HRU5FUkFMX1BBUlRORVJfSU5URVJFU1QuOTkzLjMxLzA3LzIwMjYuLi5VU0QuSAEAAAAgegUAAwAAAAAA+4ORMDvv3gg7hq40O+/eCEBDSVEuTkFTREFROkNBTE0uSVFfT1RIRVJfSU5WRVNUX0FDVF9TVVBQTC45OTAuMzEvMDcvMjAyNi4uLlVTRC5IAQAA</t>
  </si>
  <si>
    <t>ACB6BQACAAAABTUuNDI3AQgAAAAFAAAAATEBAAAACjE4OTY4MjA1MTcDAAAAAzE2MAIAAAAEMjA1MQQAAAABMAcAAAAJNy8zMS8yMDI2CAAAAAk1LzI4LzIwMTYJAAAAATDmbvYwO+/eCJ2GrDI7794IN0NJUS5OQVNEQVE6Q0FMTS5JUV9PUkRFUl9CQUNLTE9HLjk5MC4zMS8wNy8yMDI2Li4uVVNELkgBAAAAIHoFAAMAAAAAAPBVjTA7794IaYjQMjvv3gg0Q0lRLk5BU0RBUTpDQUxNLklRX0NPTU1PTl9SRVAuOTkwLjMxLzA3LzIwMjYuLi5VU0QuSAEAAAAgegUAAgAAAAYtMS44NDcBCAAAAAUAAAABMQEAAAAKMTg5NjgyMDUxNwMAAAADMTYwAgAAAAQyMTY0BAAAAAEwBwAAAAk3LzMxLzIwMjYIAAAACTUvMjgvMjAxNgkAAAABMOZu9jA7794ISx6uMjvv3gg4Q0lRLk5BU0RBUTpDQUxNLklRX01JU0NfQURKVVNUX0NGLjk5MS4zMS8wNy8yMDI2Li4uVVNELkgBAAAAIHoFAAMAAAAAAPaV9jA7794IAZivMjvv3ggsQ0lRLk5BU0RBUTpDQUxNLklRX0lOVl9NRVRIT0QuOTkyLjMxLzA3LzIwMjYBAAAAIHoFAAMAAAAERklGTwDgXJEwO+/eCFtWpjQ7794INENJUS5OQVNEQVE6Q0FMTS5JUV9DQVNIX1NIQVJFLjk5MS4zMS8wNy8yMDI2Li4uVVNELkgBAAAAIHoFAAIAAAAHMC4zNjE1NwEIAAAABQAAAAExAQAAAAoxOTcyMDEyMTIxAwAAAAMxNjACAAAABDQzODEEAAAAATAHAAAACTcvMzEvMjAyNggAAAAINi8z</t>
  </si>
  <si>
    <t>LzIwMTcJAAAAATDgXJEwO+/eCKngxjI7794IMkNJUS5OQVNEQVE6Q0FMTS5JUV9CVl9TSEFSRS45OTEuMzEvMDcvMjAyNi4uLlVTRC5IAQAAACB6BQACAAAACTE3LjM0NzQ0OAEIAAAABQAAAAExAQAAAAoxOTcyMDEyMTIxAwAAAAMxNjACAAAABDQwMjAEAAAAATAHAAAACTcvMzEvMjAyNggAAAAINi8zLzIwMTcJAAAAATBiNZEwO+/eCEkJxjI7794IVkNJUS5OQVNEQVE6Q0FMTS5JUV9GSU5BTkNJTkdfT0JMSUdfTk9OX0NVUlJFTlRfRVhDTF9PUEVSX0xFQVNFUy45OTEuMzEvMDcvMjAyNi4uLlVTRC5IAQAAACB6BQACAAAABTYuMTEzAQgAAAAFAAAAATEBAAAACjE5NzIwMTIxMjEDAAAAAzE2MAIAAAAFNDg5ODEEAAAAATAHAAAACTcvMzEvMjAyNggAAAAINi8zLzIwMTcJAAAAATBiNZEwO+/eCBCUxTI7794IPkNJUS5OQVNEQVE6Q0FMTS5JUV9MSUFCSUxJVElFU19MRVZFTF8xLjIwMDAuMzEvMDcvMjAyNi4uLlVTRC5IAQAAACB6BQADAAAAAADwVY0wO+/eCFc7zjI7794ILENJUS5OQVNEQVE6Q0FMTS5JUV9HVy45OTEuMzEvMDcvMjAyNi4uLlVTRC5IAQAAACB6BQACAAAABjM1LjUyNQEIAAAABQAAAAExAQAAAAoxOTcyMDEyMTIxAwAAAAMxNjACAAAABDExNzEEAAAAATAHAAAACTcvMzEvMjAyNggAAAAINi8zLzIwMTcJAAAAATBs1fowO+/eCKJVuzI7794IOENJUS5OQVNEQVE6Q0FMTS5JUV9PVEhF</t>
  </si>
  <si>
    <t>Ul9DQV9TVVBQTC45OTIuMzEvMDcvMjAyNi4uLlVTRC5IAQAAACB6BQADAAAAAABZrvowO+/eCGD9ujQ7794IPUNJUS5OQVNEQVE6Q0FMTS5JUV9UT1RBTF9DT01NT05fRVFVSVRZLjk5MS4zMS8wNy8yMDI2Li4uVVNELkgBAAAAIHoFAAIAAAAHODQyLjY4NwEIAAAABQAAAAExAQAAAAoxOTcyMDEyMTIxAwAAAAMxNjACAAAABDEwMDYEAAAAATAHAAAACTcvMzEvMjAyNggAAAAINi8zLzIwMTcJAAAAATBa+pAwO+/eCIfIwTI7794IOENJUS5OQVNEQVE6Q0FMTS5JUV9PVEhFUl9MSUFCX0xULjIwMDAuMzEvMDcvMjAyNi4uLlVTRC5IAQAAACB6BQACAAAABTM5LjY1AQgAAAAFAAAAATEBAAAACy0xODgxMDY4Mjk1AwAAAAMxNjACAAAABDEwNjIEAAAAATAHAAAACTcvMzEvMjAyNggAAAAJNS8zMC8yMDI2CQAAAAEwevz6MDvv3gjKx78yO+/eCEFDSVEuTkFTREFROkNBTE0uSVFfUlVBX0NBUElUQUxfTEVBU0VfR1JPU1MuOTkyLjMxLzA3LzIwMjYuLi5VU0QuSAEAAAAgegUAAwAAAAAAWvqQMDvv3ghT4LQ0O+/eCEdDSVEuTkFTREFROkNBTE0uSVFfVE9UQUxfREVCVF9SRVBBSURfRVhDTF9MRUFTRVMuOTkzLjMxLzA3LzIwMjYuLi5VU0QuSAEAAAAgegUAAgAAAAYtMy43NTQBCAAAAAUAAAABMQEAAAALLTIxNDI0MjkwMzkDAAAAAzE2MAIAAAAFNDg5ODYEAAAAATAHAAAACTcvMzEvMjAyNggAAAAINi8xLzIw</t>
  </si>
  <si>
    <t>MTkJAAAAATBZrvowO+/eCPa+vDQ7794IM0NJUS5OQVNEQVE6Q0FMTS5JUV9JTlZFTlRPUlkuOTkwLjMxLzA3LzIwMjYuLi5VU0QuSAEAAAAgegUAAgAAAAcxNTQuNzk5AQgAAAAFAAAAATEBAAAACjE4OTY4MjA1MTcDAAAAAzE2MAIAAAAEMTA0MwQAAAABMAcAAAAJNy8zMS8yMDI2CAAAAAk1LzI4LzIwMTYJAAAAATBZrvowO+/eCDNHuTI7794INkNJUS5OQVNEQVE6Q0FMTS5JUV9PVEhFUl9SRUNFSVYuOTkxLjMxLzA3LzIwMjYuLi5VU0QuSAEAAAAgegUAAgAAAAY1NS45MzkBCAAAAAUAAAABMQEAAAAKMTk3MjAxMjEyMQMAAAADMTYwAgAAAAQxMjA2BAAAAAEwBwAAAAk3LzMxLzIwMjYIAAAACDYvMy8yMDE3CQAAAAEwWa76MDvv3gjP5LgyO+/eCDtDSVEuTkFTREFROkNBTE0uSVFfREVGX1RBWF9BU1NFVFNfTFQuOTkzLjMxLzA3LzIwMjYuLi5VU0QuSAEAAAAgegUAAwAAAAAAbNX6MDvv3gjAxLk0O+/eCC9DSVEuTkFTREFROkNBTE0uSVFfQVJfTFQuOTkxLjMxLzA3LzIwMjYuLi5VU0QuSAEAAAAgegUAAwAAAAAAbNX6MDvv3gixyrsyO+/eCDRDSVEuTkFTREFROkNBTE0uSVFfQ0FTSF9GSU5BTi45OTEuMzEvMDcvMjAyNi4uLlVTRC5IAQAAACB6BQACAAAABy0xOC4yOTgBCAAAAAUAAAABMQEAAAAKMTk3MjAxMjEyMQMAAAADMTYwAgAAAAQyMDA0BAAAAAEwBwAAAAk3LzMxLzIwMjYIAAAACDYvMy8y</t>
  </si>
  <si>
    <t>MDE3CQAAAAEw9pX2MDvv3gidcK8yO+/eCDhDSVEuTkFTREFROkNBTE0uSVFfU1BFQ0lBTF9ESVZfQ0YuOTkwLjMxLzA3LzIwMjYuLi5VU0QuSAEAAAAgegUAAwAAAAAA5m72MDvv3gju9a4yO+/eCEBDSVEuTkFTREFROkNBTE0uSVFfQ0FTSF9JTlRFUkVTVF9SRUNFSVZFRC45OTMuMzEvMDcvMjAyNi4uLlVTRC5IAQAAACB6BQADAAAAAABsh/owO+/eCFEKvzQ7794IPENJUS5OQVNEQVE6Q0FMTS5JUV9OUFBFX0VYQ0xfT1BFUl9MRUFTRVMuLjMxLzA3LzIwMjYuLi5VU0QuSAEAAAAgegUAAgAAAAgxMzE4LjMzNQEIAAAABQAAAAExAQAAAAstMTg4MTA2ODI5NQMAAAADMTYwAgAAAAU0ODk3NgQAAAABMAcAAAAJNy8zMS8yMDI2CAAAAAk1LzMwLzIwMjYJAAAAATALa6wzO+/eCAtrrDM7794IPUNJUS5OQVNEQVE6Q0FMTS5JUV9GSU5BTkNFX0xFQVNFU19DVVJSRU5ULi4zMS8wNy8yMDI2Li4uVVNELkgBAAAAIHoFAAMAAAAAAOL1qTM7794I4vWpMzvv3gg/Q0lRLk5BU0RBUTpDQUxNLklRX0ZJTkFOQ0VfTEVBU0VTX0xPTkdfVEVSTS4uMzEvMDcvMjAyNi4uLlVTRC5IAQAAACB6BQADAAAAAADi9akzO+/eCOL1qTM7794IO0NJUS5OQVNEQVE6Q0FMTS5JUV9UT1RBTF9GSU5BTkNFX0xFQVNFUy4uMzEvMDcvMjAyNi4uLlVTRC5IAQAAACB6BQADAAAAAADi9akzO+/eCOL1qTM7794ITUNJUS5OQVNEQVE6Q0FM</t>
  </si>
  <si>
    <t>TS5JUV9DVVJSRU5UX1BPUlRJT05fT1BFUl9MRUFTRV9MSUFCSUxJVElFUy4uMzEvMDcvMjAyNi4uLlVTRC5IAQAAACB6BQADAAAAAADi9akzO+/eCOL1qTM7794ISENJUS5OQVNEQVE6Q0FMTS5JUV9MVF9QT1JUSU9OX09QRVJfTEVBU0VfTElBQklMSVRJRVMuLjMxLzA3LzIwMjYuLi5VU0QuSAEAAAAgegUAAwAAAAAA4vWpMzvv3gji9akzO+/eCDhDSVEuTkFTREFROkNBTE0uSVFfVE9UQUxfT1BFUl9MRUFTRVMuLjMxLzA3LzIwMjYuLi5VU0QuSAEAAAAgegUAAwAAAAAA4vWpMzvv3gji9akzO+/eCDNDSVEuTkFTREFROkNBTE0uSVFfVE9UQUxfTEVBU0VTLi4zMS8wNy8yMDI2Li4uVVNELkgBAAAAIHoFAAMAAAAAAOL1qTM7794I4vWpMzvv3ghPQ0lRLk5BU0RBUTpDQUxNLklRX0ZJTkFOQ0lOR19PQkxJR19DVVJSRU5UX0VYQ0xfT1BFUl9MRUFTRVMuLjMxLzA3LzIwMjYuLi5VU0QuSAEAAAAgegUAAwAAAAAA4vWpMzvv3gji9akzO+/eCFNDSVEuTkFTREFROkNBTE0uSVFfRklOQU5DSU5HX09CTElHX05PTl9DVVJSRU5UX0VYQ0xfT1BFUl9MRUFTRVMuLjMxLzA3LzIwMjYuLi5VU0QuSAEAAAAgegUAAwAAAAAA4vWpMzvv3gji9akzO+/eCEJDSVEuTkFTREFROkNBTE0uSVFfVE9UQUxfREVCVF9FWENMX09QRVJfTEVBU0VTLi4zMS8wNy8yMDI2Li4uVVNELkgBAAAAIHoFAAMAAAAAAOL1qTM7794I4vWp</t>
  </si>
  <si>
    <t>Mzvv3gg9Q0lRLk5BU0RBUTpDQUxNLklRX1RPVEFMX0RFQlRfRVhDTF9MRUFTRVMuLjMxLzA3LzIwMjYuLi5VU0QuSAEAAAAgegUAAwAAAAAA4vWpMzvv3gji9akzO+/eCC9DSVEuTkFTREFROkNBTE0uSVFfQlZfU0hBUkUuLjMxLzA3LzIwMjYuLi5VU0QuSAEAAAAgegUAAgAAAAk1Ni4wMzgyMjgBCAAAAAUAAAABMQEAAAALLTE4ODEwNjgyOTUDAAAAAzE2MAIAAAAENDAyMAQAAAABMAcAAAAJNy8zMS8yMDI2CAAAAAk1LzMwLzIwMjYJAAAAATDi9akzO+/eCOL1qTM7794IOENJUS5OQVNEQVE6Q0FMTS5JUV9CVl9TSEFSRV9SRVBPUlRFRC4uMzEvMDcvMjAyNi4uLlVTRC5IAQAAACB6BQADAAAAAADi9akzO+/eCOL1qTM7794IMENJUS5OQVNEQVE6Q0FMTS5JUV9UQlZfU0hBUkUuLjMxLzA3LzIwMjYuLi5VU0QuSAEAAAAgegUAAgAAAAk1Mi40MTU3MjEBCAAAAAUAAAABMQEAAAALLTE4ODEwNjgyOTUDAAAAAzE2MAIAAAAENDE1NgQAAAABMAcAAAAJNy8zMS8yMDI2CAAAAAk1LzMwLzIwMjYJAAAAATDi9akzO+/eCOL1qTM7794IOUNJUS5OQVNEQVE6Q0FMTS5JUV9UQlZfU0hBUkVfUkVQT1JURUQuLjMxLzA3LzIwMjYuLi5VU0QuSAEAAAAgegUAAwAAAAAA4vWpMzvv3gji9akzO+/eCCpDSVEuTkFTREFROkNBTE0uSVFfVEJWLi4zMS8wNy8yMDI2Li4uVVNELkgBAAAAIHoFAAIAAAAIMjQ2Mi41NDMBCAAA</t>
  </si>
  <si>
    <t>AAUAAAABMQEAAAALLTE4ODEwNjgyOTUDAAAAAzE2MAIAAAAEMTMxMAQAAAABMAcAAAAJNy8zMS8yMDI2CAAAAAk1LzMwLzIwMjYJAAAAATDi9akzO+/eCOL1qTM7794IL0NJUS5OQVNEQVE6Q0FMTS5JUV9HV19JTlRBTi4uMzEvMDcvMjAyNi4uLlVTRC5IAQAAACB6BQACAAAABzE3MC4xODkBCAAAAAUAAAABMQEAAAALLTE4ODEwNjgyOTUDAAAAAzE2MAIAAAAFMzUzODEEAAAAATAHAAAACTcvMzEvMjAyNggAAAAJNS8zMC8yMDI2CQAAAAEw4vWpMzvv3gji9akzO+/eCDFDSVEuTkFTREFROkNBTE0uSVFfQ0FTSF9TSEFSRS4uMzEvMDcvMjAyNi4uLlVTRC5IAQAAACB6BQACAAAACDIuMjgyMTM1AQgAAAAFAAAAATEBAAAACy0xODgxMDY4Mjk1AwAAAAMxNjACAAAABDQzODEEAAAAATAHAAAACTcvMzEvMjAyNggAAAAJNS8zMC8yMDI2CQAAAAEw4vWpMzvv3gji9akzO+/eCDFDSVEuTkFTREFROkNBTE0uSVFfVE9UQUxfREVCVC4uMzEvMDcvMjAyNi4uLlVTRC5IAQAAACB6BQACAAAAATABCAAAAAUAAAABMQEAAAALLTE4ODEwNjgyOTUDAAAAAzE2MAIAAAAENDE3MwQAAAABMAcAAAAJNy8zMS8yMDI2CAAAAAk1LzMwLzIwMjYJAAAAATDi9akzO+/eCOL1qTM7794IOUNJUS5OQVNEQVE6Q0FMTS5JUV9UT1RBTF9ERUJUX0NVUlJFTlQuLjMxLzA3LzIwMjYuLi5VU0QuSAEAAAAgegUAAwAAAAAA4vWpMzvv3gji</t>
  </si>
  <si>
    <t>9akzO+/eCD1DSVEuTkFTREFROkNBTE0uSVFfVE9UQUxfREVCVF9OT05fQ1VSUkVOVC4uMzEvMDcvMjAyNi4uLlVTRC5IAQAAACB6BQADAAAAAADi9akzO+/eCOL1qTM7794IL0NJUS5OQVNEQVE6Q0FMTS5JUV9ORVRfREVCVC4uMzEvMDcvMjAyNi4uLlVTRC5IAQAAACB6BQACAAAACC05MjQuMDU3AQgAAAAFAAAAATEBAAAACy0xODgxMDY4Mjk1AwAAAAMxNjACAAAABDQzNjQEAAAAATAHAAAACTcvMzEvMjAyNggAAAAJNS8zMC8yMDI2CQAAAAEw4vWpMzvv3gji9akzO+/eCD5DSVEuTkFTREFROkNBTE0uSVFfTUlOT1JJVFlfSU5URVJFU1RfVE9UQUwuLjMxLzA3LzIwMjYuLi5VU0QuSAEAAAAgegUAAgAAAAM3LjgBCAAAAAUAAAABMQEAAAALLTE4ODEwNjgyOTUDAAAAAzE2MAIAAAAEMTMxMgQAAAABMAcAAAAJNy8zMS8yMDI2CAAAAAk1LzMwLzIwMjYJAAAAATDi9akzO+/eCOL1qTM7794IMENJUS5OQVNEQVE6Q0FMTS5JUV9UT1RBTF9DQVAuLjMxLzA3LzIwMjYuLi5VU0QuSAEAAAAgegUAAgAAAAgyNjQwLjUzMgEIAAAABQAAAAExAQAAAAstMTg4MTA2ODI5NQMAAAADMTYwAgAAAAQ0MTc1BAAAAAEwBwAAAAk3LzMxLzIwMjYIAAAACTUvMzAvMjAyNgkAAAABMOL1qTM7794I4vWpMzvv3ggyQ0lRLk5BU0RBUTpDQUxNLklRX1dPUktJTkdfQ0FQLi4zMS8wNy8yMDI2Li4uVVNELkgBAAAAIHoFAAIAAAAI</t>
  </si>
  <si>
    <t>MTM3Ni4wMjYBCAAAAAUAAAABMQEAAAALLTE4ODEwNjgyOTUDAAAAAzE2MAIAAAAENDE2NQQAAAABMAcAAAAJNy8zMS8yMDI2CAAAAAk1LzMwLzIwMjYJAAAAATDi9akzO+/eCOL1qTM7794INkNJUS5OQVNEQVE6Q0FMTS5JUV9ORVRfV09SS0lOR19DQVAuLjMxLzA3LzIwMjYuLi5VU0QuSAEAAAAgegUAAgAAAAc0NTEuOTY5AQgAAAAFAAAAATEBAAAACy0xODgxMDY4Mjk1AwAAAAMxNjACAAAABDEzMTEEAAAAATAHAAAACTcvMzEvMjAyNggAAAAJNS8zMC8yMDI2CQAAAAEw4vWpMzvv3gji9akzO+/eCDdDSVEuTkFTREFROkNBTE0uSVFfQUxMT1dfRE9VQlRfQUNDVC4uMzEvMDcvMjAyNi4uLlVTRC5IAQAAACB6BQACAAAABTAuNzE5AQgAAAAFAAAAATEBAAAACy0xODgxMDY4Mjk1AwAAAAMxNjACAAAABDMwMTIEAAAAATAHAAAACTcvMzEvMjAyNggAAAAJNS8zMC8yMDI2CQAAAAEwRB2qMzvv3ghEHaozO+/eCDRDSVEuTkFTREFROkNBTE0uSVFfRVFVSVRZX01FVEhPRC4uMzEvMDcvMjAyNi4uLlVTRC5IAQAAACB6BQADAAAAAABEHaozO+/eCEQdqjM7794IMkNJUS5OQVNEQVE6Q0FMTS5JUV9BUl9VTkJJTExFRC4uMzEvMDcvMjAyNi4uLlVTRC5IAQAAACB6BQADAAAAAABEHaozO+/eCEQdqjM7794ILENJUS5OQVNEQVE6Q0FMTS5JUV9MSUZPUi4uMzEvMDcvMjAyNi4uLlVTRC5IAQAAACB6BQADAAAAAABE</t>
  </si>
  <si>
    <t>HaozO+/eCEQdqjM7794ILkNJUS5OQVNEQVE6Q0FMTS5JUV9SQVdfSU5WLi4zMS8wNy8yMDI2Li4uVVNELkgBAAAAIHoFAAIAAAAHMjkwLjQ5NgEIAAAABQAAAAExAQAAAAstMTg4MTA2ODI5NQMAAAADMTYwAgAAAAQzMTcxBAAAAAEwBwAAAAk3LzMxLzIwMjYIAAAACTUvMzAvMjAyNgkAAAABMEQdqjM7794IRB2qMzvv3gguQ0lRLk5BU0RBUTpDQUxNLklRX1dJUF9JTlYuLjMxLzA3LzIwMjYuLi5VU0QuSAEAAAAgegUAAwAAAAAARB2qMzvv3ghEHaozO+/eCDNDSVEuTkFTREFROkNBTE0uSVFfRklOSVNIRURfSU5WLi4zMS8wNy8yMDI2Li4uVVNELkgBAAAAIHoFAAIAAAAGODQuNzY5AQgAAAAFAAAAATEBAAAACy0xODgxMDY4Mjk1AwAAAAMxNjACAAAABDMwNzUEAAAAATAHAAAACTcvMzEvMjAyNggAAAAJNS8zMC8yMDI2CQAAAAEwRB2qMzvv3ghEHaozO+/eCDBDSVEuTkFTREFROkNBTE0uSVFfT1RIRVJfSU5WLi4zMS8wNy8yMDI2Li4uVVNELkgBAAAAIHoFAAMAAAAAAEQdqjM7794IRB2qMzvv3ggrQ0lRLk5BU0RBUTpDQUxNLklRX0xBTkQuLjMxLzA3LzIwMjYuLi5VU0QuSAEAAAAgegUAAgAAAAcxNzYuMjQzAQgAAAAFAAAAATEBAAAACy0xODgxMDY4Mjk1AwAAAAMxNjACAAAABDMwOTgEAAAAATAHAAAACTcvMzEvMjAyNggAAAAJNS8zMC8yMDI2CQAAAAEwRB2qMzvv3ghEHaozO+/eCDBDSVEuTkFT</t>
  </si>
  <si>
    <t>REFROkNBTE0uSVFfQlVJTERJTkdTLi4zMS8wNy8yMDI2Li4uVVNELkgBAAAAIHoFAAIAAAAGODM1LjY3AQgAAAAFAAAAATEBAAAACy0xODgxMDY4Mjk1AwAAAAMxNjACAAAABDMwMjMEAAAAATAHAAAACTcvMzEvMjAyNggAAAAJNS8zMC8yMDI2CQAAAAEwRB2qMzvv3ghEHaozO+/eCDBDSVEuTkFTREFROkNBTE0uSVFfTUFDSElORVJZLi4zMS8wNy8yMDI2Li4uVVNELkgBAAAAIHoFAAIAAAAIMTA4NS43ODkBCAAAAAUAAAABMQEAAAALLTE4ODEwNjgyOTUDAAAAAzE2MAIAAAAEMzExNAQAAAABMAcAAAAJNy8zMS8yMDI2CAAAAAk1LzMwLzIwMjYJAAAAATBEHaozO+/eCEQdqjM7794IL0NJUS5OQVNEQVE6Q0FMTS5JUV9TT0ZUV0FSRS4uMzEvMDcvMjAyNi4uLlVTRC5IAQAAACB6BQADAAAAAABEHaozO+/eCEQdqjM7794IPUNJUS5OQVNEQVE6Q0FMTS5JUV9OQVRVUkFMX1JFU09VUkNFU19DT1NULi4zMS8wNy8yMDI2Li4uVVNELkgBAAAAIHoFAAMAAAAAAEQdqjM7794IRB2qMzvv3ggqQ0lRLk5BU0RBUTpDQUxNLklRX0NJUC4uMzEvMDcvMjAyNi4uLlVTRC5IAQAAACB6BQACAAAABzIwNy4wMDYBCAAAAAUAAAABMQEAAAALLTE4ODEwNjgyOTUDAAAAAzE2MAIAAAAEMzAzMwQAAAABMAcAAAAJNy8zMS8yMDI2CAAAAAk1LzMwLzIwMjYJAAAAATBEHaozO+/eCEQdqjM7794IPENJUS5OQVNEQVE6Q0FMTS5J</t>
  </si>
  <si>
    <t>UV9MRUFTRUhPTERfSU1QUk9WRU1FTlQuLjMxLzA3LzIwMjYuLi5VU0QuSAEAAAAgegUAAwAAAAAARB2qMzvv3ghEHaozO+/eCDpDSVEuTkFTREFROkNBTE0uSVFfTUlOT1JJVFlfSU5UX1JFREVFTS4uMzEvMDcvMjAyNi4uLlVTRC5IAQAAACB6BQADAAAAAABEHaozO+/eCEQdqjM7794IQkNJUS5OQVNEQVE6Q0FMTS5JUV9GSU5fRElWX01JTk9SSVRZX0lOVF9SRURFRU0uLjMxLzA3LzIwMjYuLi5VU0QuSAEAAAAgegUAAwAAAAAARB2qMzvv3ghEHaozO+/eCD5DSVEuTkFTREFROkNBTE0uSVFfTUlOT1JJVFlfSU5UX1JFREVFTV9UT1QuLjMxLzA3LzIwMjYuLi5VU0QuSAEAAAAgegUAAwAAAAAARB2qMzvv3ghEHaozO+/eCEBDSVEuTkFTREFROkNBTE0uSVFfRklOX0RJVl9NSU5PUklUWV9JTlRFUkVTVC4uMzEvMDcvMjAyNi4uLlVTRC5IAQAAACB6BQADAAAAAABEHaozO+/eCEQdqjM7794IQkNJUS5OQVNEQVE6Q0FMTS5JUV9ERUZfVEFYX1ZBTFVBVElPTl9BTExPV0FOQ0UuLjMxLzA3LzIwMjYuLi5VU0QuSAEAAAAgegUAAwAAAAAARB2qMzvv3ghEHaozO+/eCERDSVEuTkFTREFROkNBTE0uSVFfR0VORVJBTF9QQVJUTkVSX0NPTU1PTl9FUVVJVFkuLjMxLzA3LzIwMjYuLi5VU0QuSAEAAAAgegUAAwAAAAAARB2qMzvv3ghEHaozO+/eCEJDSVEuTkFTREFROkNBTE0uSVFfR0VORVJBTF9QQVJUTkVSX1BS</t>
  </si>
  <si>
    <t>RUZfRVFVSVRZLi4zMS8wNy8yMDI2Li4uVVNELkgBAAAAIHoFAAMAAAAAAEQdqjM7794IRB2qMzvv3ghIQ0lRLk5BU0RBUTpDQUxNLklRX0dFTkVSQUxfUEFSVE5FUl9NSU5PUklUWV9JTlRFUkVTVC4uMzEvMDcvMjAyNi4uLlVTRC5IAQAAACB6BQADAAAAAABEHaozO+/eCEQdqjM7794IRUNJUS5OQVNEQVE6Q0FMTS5JUV9UT1RBTF9HRU5FUkFMX1BBUlRORVJfSU5URVJFU1QuLjMxLzA3LzIwMjYuLi5VU0QuSAEAAAAgegUAAwAAAAAARB2qMzvv3ghEHaozO+/eCEpDSVEuTkFTREFROkNBTE0uSVFfTElRVUlEQVRJT05fVkFMVUVfUFJFRkVSUkVEX0NPTlZFUlQuLjMxLzA3LzIwMjYuLi5VU0QuSAEAAAAgegUAAwAAAAAARB2qMzvv3ghEHaozO+/eCE1DSVEuTkFTREFROkNBTE0uSVFfTElRVUlEQVRJT05fVkFMVUVfUFJFRkVSUkVEX05PTl9SRURFRU0uLjMxLzA3LzIwMjYuLi5VU0QuSAEAAAAgegUAAwAAAAAARB2qMzvv3ghEHaozO+/eCElDSVEuTkFTREFROkNBTE0uSVFfTElRVUlEQVRJT05fVkFMVUVfUFJFRkVSUkVEX1JFREVFTS4uMzEvMDcvMjAyNi4uLlVTRC5IAQAAACB6BQADAAAAAABEHaozO+/eCEQdqjM7794INUNJUS5OQVNEQVE6Q0FMTS5JUV9BU1NFVFNfTEVWRUxfMS4uMzEvMDcvMjAyNi4uLlVTRC5IAQAAACB6BQADAAAAAABEHaozO+/eCEQdqjM7794INUNJUS5OQVNEQVE6Q0FMTS5J</t>
  </si>
  <si>
    <t>UV9BU1NFVFNfTEVWRUxfMi4uMzEvMDcvMjAyNi4uLlVTRC5IAQAAACB6BQACAAAABjgxNi44NABEHaozO+/eCEQdqjM7794INUNJUS5OQVNEQVE6Q0FMTS5JUV9BU1NFVFNfTEVWRUxfMy4uMzEvMDcvMjAyNi4uLlVTRC5IAQAAACB6BQADAAAAAABEHaozO+/eCEQdqjM7794IR0NJUS5OQVNEQVE6Q0FMTS5JUV9BU1NFVFNfTkVUVElOR19PVEhFUl9BREpVU1RNRU5UUy4uMzEvMDcvMjAyNi4uLlVTRC5IAQAAACB6BQADAAAAAABEHaozO+/eCEQdqjM7794IOENJUS5OQVNEQVE6Q0FMTS5JUV9BU1NFVFNfRkFJUl9WQUxVRS4uMzEvMDcvMjAyNi4uLlVTRC5IAQAAACB6BQACAAAABjgxNi44NABEHaozO+/eCEQdqjM7794IOkNJUS5OQVNEQVE6Q0FMTS5JUV9MSUFCSUxJVElFU19MRVZFTF8xLi4zMS8wNy8yMDI2Li4uVVNELkgBAAAAIHoFAAMAAAAAAEQdqjM7794IRB2qMzvv3gg6Q0lRLk5BU0RBUTpDQUxNLklRX0xJQUJJTElUSUVTX0xFVkVMXzIuLjMxLzA3LzIwMjYuLi5VU0QuSAEAAAAgegUAAwAAAAAARB2qMzvv3ghEHaozO+/eCDpDSVEuTkFTREFROkNBTE0uSVFfTElBQklMSVRJRVNfTEVWRUxfMy4uMzEvMDcvMjAyNi4uLlVTRC5IAQAAACB6BQACAAAABDIxLjUARB2qMzvv3ghEHaozO+/eCExDSVEuTkFTREFROkNBTE0uSVFfTElBQklMSVRJRVNfTkVUVElOR19PVEhFUl9BREpVU1RNRU5UUy4u</t>
  </si>
  <si>
    <t>MzEvMDcvMjAyNi4uLlVTRC5IAQAAACB6BQADAAAAAABEHaozO+/eCEQdqjM7794IPUNJUS5OQVNEQVE6Q0FMTS5JUV9MSUFCSUxJVElFU19GQUlSX1ZBTFVFLi4zMS8wNy8yMDI2Li4uVVNELkgBAAAAIHoFAAIAAAAEMjEuNQDsSaozO+/eCOxJqjM7794IRkNJUS5OQVNEQVE6Q0FMTS5JUV9GQUlSX1ZBTFVFX0NIQU5HRV9JTkNMX0VBUk5JTkdTLi4zMS8wNy8yMDI2Li4uVVNELkgBAAAAIHoFAAMAAAAAAOxJqjM7794I7EmqMzvv3gg8Q0lRLk5BU0RBUTpDQUxNLklRX0ZJTl9ESVZfTFRfREVCVF9UT1RBTC4uMzEvMDcvMjAyNi4uLlVTRC5IAQAAACB6BQADAAAAAADsSaozO+/eCOxJqjM7794IPENJUS5OQVNEQVE6Q0FMTS5JUV9GSU5fRElWX1NUX0RFQlRfVE9UQUwuLjMxLzA3LzIwMjYuLi5VU0QuSAEAAAAgegUAAwAAAAAA7EmqMzvv3gjsSaozO+/eCDlDSVEuTkFTREFROkNBTE0uSVFfRklOX0RJVl9ERUJUX1RPVEFMLi4zMS8wNy8yMDI2Li4uVVNELkgBAAAAIHoFAAMAAAAAAOxJqjM7794I7EmqMzvv3gg5Q0lRLk5BU0RBUTpDQUxNLklRX0ZJTl9ESVZfQ0FTSF9FUVVJVi4uMzEvMDcvMjAyNi4uLlVTRC5IAQAAACB6BQADAAAAAADsSaozO+/eCOxJqjM7794IOENJUS5OQVNEQVE6Q0FMTS5JUV9GSU5fRElWX1NUX0lOVkVTVC4uMzEvMDcvMjAyNi4uLlVTRC5IAQAAACB6BQADAAAAAADsSaozO+/e</t>
  </si>
  <si>
    <t>COxJqjM7794IOUNJUS5OQVNEQVE6Q0FMTS5JUV9ERUJUX0VRVUlWX05FVF9QQk8uLjMxLzA3LzIwMjYuLi5VU0QuSAEAAAAgegUAAwAAAAAA7EmqMzvv3gjsSaozO+/eCDxDSVEuTkFTREFROkNBTE0uSVFfREVCVF9FUVVJVl9PUEVSX0xFQVNFLi4zMS8wNy8yMDI2Li4uVVNELkgBAAAAIHoFAAMAAAAAAOxJqjM7794I7EmqMzvv3ghCQ0lRLk5BU0RBUTpDQUxNLklRX1JFU1RSSUNURURfQ0FTSF9OT05fQ1VSUkVOVC4uMzEvMDcvMjAyNi4uLlVTRC5IAQAAACB6BQADAAAAAADsSaozO+/eCOxJqjM7794IPENJUS5OQVNEQVE6Q0FMTS5JUV9SRVNUUklDVEVEX0NBU0hfVE9UQUwuLjMxLzA3LzIwMjYuLi5VU0QuSAEAAAAgegUAAgAAAAM2LjMBCAAAAAUAAAABMQEAAAALLTE4ODEwNjgyOTUDAAAAAzE2MAIAAAAFMjQxOTIEAAAAATAHAAAACTcvMzEvMjAyNggAAAAJNS8zMC8yMDI2CQAAAAEw7EmqMzvv3gjsSaozO+/eCDpDSVEuTkFTREFROkNBTE0uSVFfVE9UQUxfREVCVF9FWENMX0ZJTi4uMzEvMDcvMjAyNi4uLlVTRC5IAQAAACB6BQADAAAAAADsSaozO+/eCOxJqjM7794INENJUS5OQVNEQVE6Q0FMTS5JUV9PUkRFUl9CQUNLTE9HLi4zMS8wNy8yMDI2Li4uVVNELkgBAAAAIHoFAAMAAAAAAOxJqjM7794I7EmqMzvv3gg9Q0lRLk5BU0RBUTpDQUxNLklRX0NPTlRJTkdFTlRfTElBQklMSVRJRVMuLjMx</t>
  </si>
  <si>
    <t>LzA3LzIwMjYuLi5VU0QuSAEAAAAgegUAAgAAAAM1LjkBCAAAAAUAAAABMQEAAAALLTE4ODEwNjgyOTUDAAAAAzE2MAIAAAAFMjQ2NzEEAAAAATAHAAAACTcvMzEvMjAyNggAAAAJNS8zMC8yMDI2CQAAAAEw7EmqMzvv3gjsSaozO+/eCDtDSVEuTkFTREFROkNBTE0uSVFfV0FSUkFOVFlfTElBQklMSVRJRVMuLjMxLzA3LzIwMjYuLi5VU0QuSAEAAAAgegUAAwAAAAAA7EmqMzvv3gjsSaozO+/eCDpDSVEuTkFTREFROkNBTE0uSVFfU1RfREVCVF9ERVJJVkFUSVZFUy4uMzEvMDcvMjAyNi4uLlVTRC5IAQAAACB6BQADAAAAAADsSaozO+/eCOxJqjM7794IRENJUS5OQVNEQVE6Q0FMTS5JUV9DVVJSRU5UX1BPUlRfREVCVF9ERVJJVkFUSVZFUy4uMzEvMDcvMjAyNi4uLlVTRC5IAQAAACB6BQADAAAAAADsSaozO+/eCOxJqjM7794IOkNJUS5OQVNEQVE6Q0FMTS5JUV9MVF9ERUJUX0RFUklWQVRJVkVTLi4zMS8wNy8yMDI2Li4uVVNELkgBAAAAIHoFAAMAAAAAAOxJqjM7794I7EmqMzvv3gg+Q0lRLk5BU0RBUTpDQUxNLklRX0RFUklWQVRJVkVfTElBQl9DVVJSRU5ULi4zMS8wNy8yMDI2Li4uVVNELkgBAAAAIHoFAAMAAAAAAOxJqjM7794I7EmqMzvv3ghCQ0lRLk5BU0RBUTpDQUxNLklRX0RFUklWQVRJVkVfTElBQl9OT05fQ1VSUkVOVC4uMzEvMDcvMjAyNi4uLlVTRC5IAQAAACB6BQADAAAAAADsSaozO+/e</t>
  </si>
  <si>
    <t>COxJqjM7794IQENJUS5OQVNEQVE6Q0FMTS5JUV9ERVJJVkFUSVZFX1RSQURJTkdfQVNTRVRTLi4zMS8wNy8yMDI2Li4uVVNELkgBAAAAIHoFAAMAAAAAAOxJqjM7794I7EmqMzvv3ghAQ0lRLk5BU0RBUTpDQUxNLklRX0RFUklWQVRJVkVfQVNTRVRTX0NVUlJFTlQuLjMxLzA3LzIwMjYuLi5VU0QuSAEAAAAgegUAAwAAAAAA7EmqMzvv3gjsSaozO+/eCDtDSVEuTkFTREFROkNBTE0uSVFfREVSSVZBVElWRV9BU1NFVFNfTFQuLjMxLzA3LzIwMjYuLi5VU0QuSAEAAAAgegUAAwAAAAAA7EmqMzvv3gjsSaozO+/eCDlDSVEuTkFTREFROkNBTE0uSVFfR1JPU1NfSU5UQU5fQVNTRVRTLi4zMS8wNy8yMDI2Li4uVVNELkgBAAAAIHoFAAIAAAAGOTkuMTI4AQgAAAAFAAAAATEBAAAACy0xODgxMDY4Mjk1AwAAAAMxNjACAAAABTI0MjkzBAAAAAEwBwAAAAk3LzMxLzIwMjYIAAAACTUvMzAvMjAyNgkAAAABMOxJqjM7794I7EmqMzvv3gg/Q0lRLk5BU0RBUTpDQUxNLklRX0FDQ1VNX0FNT1JUX0lOVEFOX0FTU0VUUy4uMzEvMDcvMjAyNi4uLlVTRC5IAQAAACB6BQACAAAABy0yNS45OTgBCAAAAAUAAAABMQEAAAALLTE4ODEwNjgyOTUDAAAAAzE2MAIAAAAFMjQzMzEEAAAAATAHAAAACTcvMzEvMjAyNggAAAAJNS8zMC8yMDI2CQAAAAEw7EmqMzvv3gjsSaozO+/eCC9DSVEuTkFTREFROkNBTE0uSVFfR1JPU1NfR1cu</t>
  </si>
  <si>
    <t>LjMxLzA3LzIwMjYuLi5VU0QuSAEAAAAgegUAAwAAAAAA7EmqMzvv3gjsSaozO+/eCDVDSVEuTkFTREFROkNBTE0uSVFfQUNDVU1fQU1PUlRfR1cuLjMxLzA3LzIwMjYuLi5VU0QuSAEAAAAgegUAAwAAAAAA7EmqMzvv3gjsSaozO+/eCDlDSVEuTkFTREFROkNBTE0uSVFfTFRfTUFSS19TRUNVUklUSUVTLi4zMS8wNy8yMDI2Li4uVVNELkgBAAAAIHoFAAMAAAAAAOxJqjM7794I7EmqMzvv3gg8Q0lRLk5BU0RBUTpDQUxNLklRX0FEVkFOQ0VTX0ZPUl9TVVBQTElFUy4uMzEvMDcvMjAyNi4uLlVTRC5IAQAAACB6BQADAAAAAADsSaozO+/eCOxJqjM7794IM0NJUS5OQVNEQVE6Q0FMTS5JUV9HV19JTlRBTl9ORVQuLjMxLzA3LzIwMjYuLi5VU0QuSAEAAAAgegUAAwAAAAAA7EmqMzvv3gjsSaozO+/eCC1DSVEuTkFTREFROkNBTE0uSVFfR1dfTkVULi4zMS8wNy8yMDI2Li4uVVNELkgBAAAAIHoFAAIAAAAGOTcuMDU5AQgAAAAFAAAAATEBAAAACy0xODgxMDY4Mjk1AwAAAAMxNjACAAAABTQ4OTYwBAAAAAEwBwAAAAk3LzMxLzIwMjYIAAAACTUvMzAvMjAyNgkAAAABMM1wqjM7794IzXCqMzvv3ggwQ0lRLk5BU0RBUTpDQUxNLklRX0lOVEFOX05FVC4uMzEvMDcvMjAyNi4uLlVTRC5IAQAAACB6BQACAAAABTczLjEzAQgAAAAFAAAAATEBAAAACy0xODgxMDY4Mjk1AwAAAAMxNjACAAAABTQ4OTYyBAAAAAEwBwAA</t>
  </si>
  <si>
    <t>AAk3LzMxLzIwMjYIAAAACTUvMzAvMjAyNgkAAAABMM1wqjM7794IzXCqMzvv3gg2Q0lRLk5BU0RBUTpDQUxNLklRX0lOVEVSQ09NUEFOWV9DQS4uMzEvMDcvMjAyNi4uLlVTRC5IAQAAACB6BQADAAAAAADNcKozO+/eCM1wqjM7794IOkNJUS5OQVNEQVE6Q0FMTS5JUV9JTlRFUkNPTVBBTllfTk9OX0NBLi4zMS8wNy8yMDI2Li4uVVNELkgBAAAAIHoFAAMAAAAAAM1wqjM7794IzXCqMzvv3gg2Q0lRLk5BU0RBUTpDQUxNLklRX0lOVEVSQ09NUEFOWV9DTC4uMzEvMDcvMjAyNi4uLlVTRC5IAQAAACB6BQADAAAAAADNcKozO+/eCM1wqjM7794IOkNJUS5OQVNEQVE6Q0FMTS5JUV9JTlRFUkNPTVBBTllfTk9OX0NMLi4zMS8wNy8yMDI2Li4uVVNELkgBAAAAIHoFAAMAAAAAAM1wqjM7794IzXCqMzvv3gg5Q0lRLk5BU0RBUTpDQUxNLklRX1RPVEFMX1JFVl9FTVBMT1lFRS4uMzEvMDcvMjAyNi4uLlVTRC5IAQAAACB6BQACAAAABzYwMi4wNzQBCAAAAAUAAAABMQEAAAALLTE4ODEwNjgyOTUDAAAAAzE2MAIAAAAENDEyMwQAAAABMAcAAAAJNy8zMS8yMDI2CAAAAAk1LzMwLzIwMjYJAAAAATDNcKozO+/eCM1wqjM7794IKUNJUS5OQVNEQVE6Q0FMTS5JUV9QRVJJT0REQVRFLi4zMS8wNy8yMDI2AQAAACB6BQAFAAAACjMwLzA1LzIwMjYAzXCqMzvv3gjNcKozO+/eCCtDSVEuTkFTREFROkNBTE0uSVFfQkFTSUNf</t>
  </si>
  <si>
    <t>V0VJR0hULi4zMS8wNy8yMDI2AQAAACB6BQACAAAABTQ3LjY1AM1wqjM7794IzXCqMzvv3ggrQ0lRLk5BU0RBUTpDQUxNLklRX0RJTFVUX1dFSUdIVC4uMzEvMDcvMjAyNgEAAAAgegUAAgAAAAY0Ny43ODEAzXCqMzvv3gjNcKozO+/eCD5DSVEuTkFTREFROkNBTE0uSVFfRElTVFJJQlVUQUJMRV9DQVNIX1NIQVJFU19CQVNJQy4uMzEvMDcvMjAyNgEAAAAgegUAAwAAAAAAzXCqMzvv3gjNcKozO+/eCEBDSVEuTkFTREFROkNBTE0uSVFfRElTVFJJQlVUQUJMRV9DQVNIX1NIQVJFU19ESUxVVEVELi4zMS8wNy8yMDI2AQAAACB6BQADAAAAAADNcKozO+/eCM1wqjM7794IL0NJUS5OQVNEQVE6Q0FMTS5JUV9EUl9SQVRJT19QUklNQVJZLi4zMS8wNy8yMDI2AQAAACB6BQADAAAAAADNcKozO+/eCM1wqjM7794ILENJUS5OQVNEQVE6Q0FMTS5JUV9GSUxJTkdEQVRFX0lTLi4zMS8wNy8yMDI2AQAAACB6BQAFAAAACjIyLzA3LzIwMjYAzXCqMzvv3gjNcKozO+/eCC5DSVEuTkFTREFROkNBTE0uSVFfUEVSSU9ETEVOR1RIX0lTLi4zMS8wNy8yMDI2AQAAACB6BQABAAAAAjEyAM1wqjM7794IzXCqMzvv3ggpQ0lRLk5BU0RBUTpDQUxNLklRX1NBTUVfU1RPUkUuLjMxLzA3LzIwMjYBAAAAIHoFAAMAAAAAAM1wqjM7794IzXCqMzvv3gg4Q0lRLk5BU0RBUTpDQUxNLklRX0RJU1RSSUJVVEFCTEVfQ0FTSF9QQVlPVVQu</t>
  </si>
  <si>
    <t>LjMxLzA3LzIwMjYBAAAAIHoFAAMAAAAAAIoFuDM7794IigW4Mzvv3ggxQ0lRLk5BU0RBUTpDQUxNLklRX0RFUFJFX1NVUFAuLjMxLzA3LzIwMjYuLi5VU0QuSAEAAAAgegUAAgAAAAUxMTYuNgEIAAAABQAAAAExAQAAAAstMTg4MTA2ODI5NQMAAAADMTYwAgAAAAQyMTQzBAAAAAEwBwAAAAk3LzMxLzIwMjYIAAAACTUvMzAvMjAyNgkAAAABMPE+EzQ7794I8T4TNDvv3ghEQ0lRLk5BU0RBUTpDQUxNLklRX0RFUFJFQ0lBVElPTl9SRU5UQUxfQVNTRVRTX0NGLi4zMS8wNy8yMDI2Li4uVVNELkgBAAAAIHoFAAMAAAAAANH1qzM7794I0fWrMzvv3gguQ0lRLk5BU0RBUTpDQUxNLklRX0RFUF9SVUEuLjMxLzA3LzIwMjYuLi5VU0QuSAEAAAAgegUAAwAAAAAA0fWrMzvv3gjR9aszO+/eCENDSVEuTkFTREFROkNBTE0uSVFfREFfU1VQUExfQ0ZfRVhDTF9PUEVSX0xFQVNFUy4uMzEvMDcvMjAyNi4uLlVTRC5IAQAAACB6BQACAAAABzExNy41NzcBCAAAAAUAAAABMQEAAAALLTE4ODEwNjgyOTUDAAAAAzE2MAIAAAAFNDg5ODMEAAAAATAHAAAACTcvMzEvMjAyNggAAAAJNS8zMC8yMDI2CQAAAAEw0fWrMzvv3gjR9aszO+/eCD1DSVEuTkFTREFROkNBTE0uSVFfREFfQ0ZfRVhDTF9PUEVSX0xFQVNFUy4uMzEvMDcvMjAyNi4uLlVTRC5IAQAAACB6BQACAAAABzEyNC4zNDIBCAAAAAUAAAABMQEAAAALLTE4ODEwNjgy</t>
  </si>
  <si>
    <t>OTUDAAAAAzE2MAIAAAAFNDg5ODUEAAAAATAHAAAACTcvMzEvMjAyNggAAAAJNS8zMC8yMDI2CQAAAAEw0fWrMzvv3gjR9aszO+/eCDtDSVEuTkFTREFROkNBTE0uSVFfTkVHQVRJVkVfR1dfQU1PUlRfQ0YuLjMxLzA3LzIwMjYuLi5VU0QuSAEAAAAgegUAAwAAAAAA0fWrMzvv3gjR9aszO+/eCDNDSVEuTkFTREFROkNBTE0uSVFfQU1PUlRfRElDX0NGLi4zMS8wNy8yMDI2Li4uVVNELkgBAAAAIHoFAAMAAAAAANH1qzM7794I0fWrMzvv3gg/Q0lRLk5BU0RBUTpDQUxNLklRX0FNT1JUX1NPRlRXQVJFX0FTU0VUU19DRi4uMzEvMDcvMjAyNi4uLlVTRC5IAQAAACB6BQADAAAAAADR9aszO+/eCNH1qzM7794IQkNJUS5OQVNEQVE6Q0FMTS5JUV9TQUxFX1BST0NFRURTX1JFTlRBTF9BU1NFVFMuLjMxLzA3LzIwMjYuLi5VU0QuSAEAAAAgegUAAwAAAAAA0fWrMzvv3gjR9aszO+/eCDRDSVEuTkFTREFROkNBTE0uSVFfQ0FTSF9JTlRFUkVTVC4uMzEvMDcvMjAyNi4uLlVTRC5IAQAAACB6BQADAAAAAADR9aszO+/eCNH1qzM7794IOENJUS5OQVNEQVE6Q0FMTS5JUV9DQVNIX0lOVEVSRVNUX05FVC4uMzEvMDcvMjAyNi4uLlVTRC5IAQAAACB6BQADAAAAAADR9aszO+/eCNH1qzM7794IPUNJUS5OQVNEQVE6Q0FMTS5JUV9DQVNIX0lOVEVSRVNUX1JFQ0VJVkVELi4zMS8wNy8yMDI2Li4uVVNELkgBAAAAIHoFAAMA</t>
  </si>
  <si>
    <t>AAAAANH1qzM7794I0fWrMzvv3gg5Q0lRLk5BU0RBUTpDQUxNLklRX0NBU0hfSU5URVJFU1RfT1BFUi4uMzEvMDcvMjAyNi4uLlVTRC5IAQAAACB6BQADAAAAAADR9aszO+/eCNH1qzM7794IO0NJUS5OQVNEQVE6Q0FMTS5JUV9DQVNIX0lOVEVSRVNUX0lOVkVTVC4uMzEvMDcvMjAyNi4uLlVTRC5IAQAAACB6BQADAAAAAADR9aszO+/eCNH1qzM7794IOkNJUS5OQVNEQVE6Q0FMTS5JUV9DQVNIX0lOVEVSRVNUX0ZJTkFOLi4zMS8wNy8yMDI2Li4uVVNELkgBAAAAIHoFAAMAAAAAANH1qzM7794I0fWrMzvv3ggxQ0lRLk5BU0RBUTpDQUxNLklRX0NBU0hfVEFYRVMuLjMxLzA3LzIwMjYuLi5VU0QuSAEAAAAgegUAAgAAAAcxMTkuOTI3AQgAAAAFAAAAATEBAAAACy0xODgxMDY4Mjk1AwAAAAMxNjACAAAABDMwNTMEAAAAATAHAAAACTcvMzEvMjAyNggAAAAJNS8zMC8yMDI2CQAAAAEw0fWrMzvv3gjR9aszO+/eCDZDSVEuTkFTREFROkNBTE0uSVFfQ0FTSF9UQVhFU19PUEVSLi4zMS8wNy8yMDI2Li4uVVNELkgBAAAAIHoFAAMAAAAAANH1qzM7794I0fWrMzvv3gg4Q0lRLk5BU0RBUTpDQUxNLklRX0NBU0hfVEFYRVNfSU5WRVNULi4zMS8wNy8yMDI2Li4uVVNELkgBAAAAIHoFAAMAAAAAANH1qzM7794I0fWrMzvv3gg3Q0lRLk5BU0RBUTpDQUxNLklRX0NBU0hfVEFYRVNfRklOQU4uLjMxLzA3LzIwMjYuLi5V</t>
  </si>
  <si>
    <t>U0QuSAEAAAAgegUAAwAAAAAA0fWrMzvv3gjR9aszO+/eCDtDSVEuTkFTREFROkNBTE0uSVFfQ0hBTkdFX0RFRl9UQVhfVE9UQUwuLjMxLzA3LzIwMjYuLi5VU0QuSAEAAAAgegUAAgAAAAY2Ny4zNjMBCAAAAAUAAAABMQEAAAALLTE4ODEwNjgyOTUDAAAAAzE2MAIAAAAFMzA5MjQEAAAAATAHAAAACTcvMzEvMjAyNggAAAAJNS8zMC8yMDI2CQAAAAEw0fWrMzvv3gjR9aszO+/eCEFDSVEuTkFTREFROkNBTE0uSVFfQ0hBTkdFX05FVF9XT1JLSU5HX0NBUElUQUwuLjMxLzA3LzIwMjYuLi5VU0QuSAEAAAAgegUAAgAAAAYxODQuMzMBCAAAAAUAAAABMQEAAAALLTE4ODEwNjgyOTUDAAAAAzE2MAIAAAAENDQyMQQAAAABMAcAAAAJNy8zMS8yMDI2CAAAAAk1LzMwLzIwMjYJAAAAATDR9aszO+/eCNH1qzM7794IMkNJUS5OQVNEQVE6Q0FMTS5JUV9MRVZFUkVEX0ZDRi4uMzEvMDcvMjAyNi4uLlVTRC5IAQAAACB6BQACAAAABjguNzk2NQEIAAAABQAAAAExAQAAAAstMTg4MTA2ODI5NQMAAAADMTYwAgAAAAQ0NDIyBAAAAAEwBwAAAAk3LzMxLzIwMjYIAAAACTUvMzAvMjAyNgkAAAABMNH1qzM7794I0fWrMzvv3gg0Q0lRLk5BU0RBUTpDQUxNLklRX1VOTEVWRVJFRF9GQ0YuLjMxLzA3LzIwMjYuLi5VU0QuSAEAAAAgegUAAgAAAAU5LjE0NAEIAAAABQAAAAExAQAAAAstMTg4MTA2ODI5NQMAAAADMTYwAgAAAAQ0</t>
  </si>
  <si>
    <t>NDIzBAAAAAEwBwAAAAk3LzMxLzIwMjYIAAAACTUvMzAvMjAyNgkAAAABMNH1qzM7794I0fWrMzvv3ggvQ0lRLk5BU0RBUTpDQUxNLklRX0NGX1NIQVJFLi4zMS8wNy8yMDI2Li4uVVNELkgBAAAAIHoFAAIAAAAINi44OTQ3MTEBCAAAAAUAAAABMQEAAAALLTE4ODEwNjgyOTUDAAAAAzE2MAIAAAAFNDM5MjMEAAAAATAHAAAACTcvMzEvMjAyNggAAAAJNS8zMC8yMDI2CQAAAAEw0fWrMzvv3gjR9aszO+/eCDZDSVEuTkFTREFROkNBTE0uSVFfTkVUX0RFQlRfSVNTVUVELi4zMS8wNy8yMDI2Li4uVVNELkgBAAAAIHoFAAMAAAAAANH1qzM7794I0fWrMzvv3ggyQ0lRLk5BU0RBUTpDQUxNLklRX01BSU5UX0NBUEVYLi4zMS8wNy8yMDI2Li4uVVNELkgBAAAAIHoFAAMAAAAAANH1qzM7794I0fWrMzvv3ggzQ0lRLk5BU0RBUTpDQUxNLklRX0RPX0lOVkVTVF9DRi4uMzEvMDcvMjAyNi4uLlVTRC5IAQAAACB6BQADAAAAAADR9aszO+/eCNH1qzM7794INENJUS5OQVNEQVE6Q0FMTS5JUV9ET19GSU5BTkNFX0NGLi4zMS8wNy8yMDI2Li4uVVNELkgBAAAAIHoFAAMAAAAAANH1qzM7794I0fWrMzvv3gg/Q0lRLk5BU0RBUTpDQUxNLklRX09QRVJBVElOR19MRUFTRV9QQVlNRU5UUy4uMzEvMDcvMjAyNi4uLlVTRC5IAQAAACB6BQADAAAAAADR9aszO+/eCNH1qzM7794IQkNJUS5OQVNEQVE6Q0FMTS5JUV9PUEVSQVRJ</t>
  </si>
  <si>
    <t>TkdfTEVBU0VfTElBQklMSVRJRVMuLjMxLzA3LzIwMjYuLi5VU0QuSAEAAAAgegUAAwAAAAAA0fWrMzvv3gjR9aszO+/eCEpDSVEuTkFTREFROkNBTE0uSVFfT1BFUkFUSU5HX0xFQVNFX0xJQUJJTElUSUVTX05PTkNBU0guLjMxLzA3LzIwMjYuLi5VU0QuSAEAAAAgegUAAwAAAAAA0fWrMzvv3gjR9aszO+/eCEhDSVEuTkFTREFROkNBTE0uSVFfTE9OR19URVJNX0RFQlRfUkVQQUlEX0VYQ0xfTEVBU0VTLi4zMS8wNy8yMDI2Li4uVVNELkgBAAAAIHoFAAMAAAAAAOkcrDM7794I6RysMzvv3ghEQ0lRLk5BU0RBUTpDQUxNLklRX1RPVEFMX0RFQlRfUkVQQUlEX0VYQ0xfTEVBU0VTLi4zMS8wNy8yMDI2Li4uVVNELkgBAAAAIHoFAAMAAAAAAOkcrDM7794I6RysMzvv3gg6Q0lRLk5BU0RBUTpDQUxNLklRX0dBSU5fQkFSR0FJTl9BQ1FfQ0YuLjMxLzA3LzIwMjYuLi5VU0QuSAEAAAAgegUAAwAAAAAA6RysMzvv3gjpHKwzO+/eCDFDSVEuTkFTREFROkNBTE0uSVFfQ0FTSF9FUVVJVi4uMzEvMDcvMjAyNi4uLlVTRC5IAQAAACB6BQACAAAABzEwNy4yMTcBCAAAAAUAAAABMQEAAAALLTE4ODEwNjgyOTUDAAAAAzE2MAIAAAAEMTA5NgQAAAABMAcAAAAJNy8zMS8yMDI2CAAAAAk1LzMwLzIwMjYJAAAAATDpHKwzO+/eCOkcrDM7794IMENJUS5OQVNEQVE6Q0FMTS5JUV9TVF9JTlZFU1QuLjMxLzA3LzIwMjYuLi5V</t>
  </si>
  <si>
    <t>U0QuSAEAAAAgegUAAgAAAAY4MTYuODQBCAAAAAUAAAABMQEAAAALLTE4ODEwNjgyOTUDAAAAAzE2MAIAAAAEMTA2OQQAAAABMAcAAAAJNy8zMS8yMDI2CAAAAAk1LzMwLzIwMjYJAAAAATDpHKwzO+/eCOkcrDM7794INUNJUS5OQVNEQVE6Q0FMTS5JUV9UUkFESU5HX0FTU0VUUy4uMzEvMDcvMjAyNi4uLlVTRC5IAQAAACB6BQADAAAAAADpHKwzO+/eCOkcrDM7794INUNJUS5OQVNEQVE6Q0FMTS5JUV9DQVNIX1NUX0lOVkVTVC4uMzEvMDcvMjAyNi4uLlVTRC5IAQAAACB6BQACAAAABzkyNC4wNTcBCAAAAAUAAAABMQEAAAALLTE4ODEwNjgyOTUDAAAAAzE2MAIAAAAEMTAwMgQAAAABMAcAAAAJNy8zMS8yMDI2CAAAAAk1LzMwLzIwMjYJAAAAATDpHKwzO+/eCOkcrDM7794IKUNJUS5OQVNEQVE6Q0FMTS5JUV9BUi4uMzEvMDcvMjAyNi4uLlVTRC5IAQAAACB6BQACAAAABzEzNi4yNDkBCAAAAAUAAAABMQEAAAALLTE4ODEwNjgyOTUDAAAAAzE2MAIAAAAEMTAyMQQAAAABMAcAAAAJNy8zMS8yMDI2CAAAAAk1LzMwLzIwMjYJAAAAATDpHKwzO+/eCOkcrDM7794IM0NJUS5OQVNEQVE6Q0FMTS5JUV9PVEhFUl9SRUNFSVYuLjMxLzA3LzIwMjYuLi5VU0QuSAEAAAAgegUAAgAAAAcxMjguMTgyAQgAAAAFAAAAATEBAAAACy0xODgxMDY4Mjk1AwAAAAMxNjACAAAABDEyMDYEAAAAATAHAAAACTcvMzEvMjAyNggA</t>
  </si>
  <si>
    <t>AAAJNS8zMC8yMDI2CQAAAAEw6RysMzvv3gjpHKwzO+/eCDVDSVEuTkFTREFROkNBTE0uSVFfU1RfTk9URV9SRUNFSVYuLjMxLzA3LzIwMjYuLi5VU0QuSAEAAAAgegUAAwAAAAAA6RysMzvv3gjpHKwzO+/eCDNDSVEuTkFTREFROkNBTE0uSVFfVE9UQUxfUkVDRUlWLi4zMS8wNy8yMDI2Li4uVVNELkgBAAAAIHoFAAIAAAAHMjY0LjQzMQEIAAAABQAAAAExAQAAAAstMTg4MTA2ODI5NQMAAAADMTYwAgAAAAQxMDAxBAAAAAEwBwAAAAk3LzMxLzIwMjYIAAAACTUvMzAvMjAyNgkAAAABMOkcrDM7794I6RysMzvv3ggwQ0lRLk5BU0RBUTpDQUxNLklRX0lOVkVOVE9SWS4uMzEvMDcvMjAyNi4uLlVTRC5IAQAAACB6BQACAAAABzM3NS4yNjUBCAAAAAUAAAABMQEAAAALLTE4ODEwNjgyOTUDAAAAAzE2MAIAAAAEMTA0MwQAAAABMAcAAAAJNy8zMS8yMDI2CAAAAAk1LzMwLzIwMjYJAAAAATDpHKwzO+/eCOkcrDM7794IMkNJUS5OQVNEQVE6Q0FMTS5JUV9QUkVQQUlEX0VYUC4uMzEvMDcvMjAyNi4uLlVTRC5IAQAAACB6BQACAAAABjExLjQ4OQEIAAAABQAAAAExAQAAAAstMTg4MTA2ODI5NQMAAAADMTYwAgAAAAQxMjEyBAAAAAEwBwAAAAk3LzMxLzIwMjYIAAAACTUvMzAvMjAyNgkAAAABMOkcrDM7794I6RysMzvv3gg8Q0lRLk5BU0RBUTpDQUxNLklRX0ZJTl9ESVZfTE9BTlNfQ1VSUkVOVC4uMzEvMDcvMjAy</t>
  </si>
  <si>
    <t>Ni4uLlVTRC5IAQAAACB6BQADAAAAAADpHKwzO+/eCOkcrDM7794IPUNJUS5OQVNEQVE6Q0FMTS5JUV9GSU5fRElWX0FTU0VUU19DVVJSRU5ULi4zMS8wNy8yMDI2Li4uVVNELkgBAAAAIHoFAAMAAAAAAOkcrDM7794I6RysMzvv3gg1Q0lRLk5BU0RBUTpDQUxNLklRX0xPQU5TX0ZPUl9TQUxFLi4zMS8wNy8yMDI2Li4uVVNELkgBAAAAIHoFAAMAAAAAAOkcrDM7794I6RysMzvv3gg9Q0lRLk5BU0RBUTpDQUxNLklRX0RFRl9UQVhfQVNTRVRTX0NVUlJFTlQuLjMxLzA3LzIwMjYuLi5VU0QuSAEAAAAgegUAAwAAAAAA6RysMzvv3gjpHKwzO+/eCDZDSVEuTkFTREFROkNBTE0uSVFfUkVTVFJJQ1RFRF9DQVNILi4zMS8wNy8yMDI2Li4uVVNELkgBAAAAIHoFAAIAAAADNi4zAQgAAAAFAAAAATEBAAAACy0xODgxMDY4Mjk1AwAAAAMxNjACAAAABDExMDQEAAAAATAHAAAACTcvMzEvMjAyNggAAAAJNS8zMC8yMDI2CQAAAAEw6RysMzvv3gjpHKwzO+/eCDVDSVEuTkFTREFROkNBTE0uSVFfT1RIRVJfQ0FfU1VQUEwuLjMxLzA3LzIwMjYuLi5VU0QuSAEAAAAgegUAAwAAAAAA6RysMzvv3gjpHKwzO+/eCC9DSVEuTkFTREFROkNBTE0uSVFfVE9UQUxfQ0EuLjMxLzA3LzIwMjYuLi5VU0QuSAEAAAAgegUAAgAAAAgxNTgxLjU0MgEIAAAABQAAAAExAQAAAAstMTg4MTA2ODI5NQMAAAADMTYwAgAAAAQxMDA4BAAAAAEw</t>
  </si>
  <si>
    <t>BwAAAAk3LzMxLzIwMjYIAAAACTUvMzAvMjAyNgkAAAABMOkcrDM7794I6RysMzvv3ggrQ0lRLk5BU0RBUTpDQUxNLklRX0dQUEUuLjMxLzA3LzIwMjYuLi5VU0QuSAEAAAAgegUAAgAAAAgyMzA0LjcwOAEIAAAABQAAAAExAQAAAAstMTg4MTA2ODI5NQMAAAADMTYwAgAAAAQxMTY5BAAAAAEwBwAAAAk3LzMxLzIwMjYIAAAACTUvMzAvMjAyNgkAAAABMOkcrDM7794I6RysMzvv3ggpQ0lRLk5BU0RBUTpDQUxNLklRX0FELi4zMS8wNy8yMDI2Li4uVVNELkgBAAAAIHoFAAIAAAAILTk4Ni4zNzMBCAAAAAUAAAABMQEAAAALLTE4ODEwNjgyOTUDAAAAAzE2MAIAAAAEMTA3NQQAAAABMAcAAAAJNy8zMS8yMDI2CAAAAAk1LzMwLzIwMjYJAAAAATDpHKwzO+/eCOkcrDM7794IK0NJUS5OQVNEQVE6Q0FMTS5JUV9OUFBFLi4zMS8wNy8yMDI2Li4uVVNELkgBAAAAIHoFAAIAAAAIMTMxOC4zMzUBCAAAAAUAAAABMQEAAAALLTE4ODEwNjgyOTUDAAAAAzE2MAIAAAAEMTAwNAQAAAABMAcAAAAJNy8zMS8yMDI2CAAAAAk1LzMwLzIwMjYJAAAAATDpHKwzO+/eCOkcrDM7794IMENJUS5OQVNEQVE6Q0FMTS5JUV9MVF9JTlZFU1QuLjMxLzA3LzIwMjYuLi5VU0QuSAEAAAAgegUAAwAAAAAA6RysMzvv3gjpHKwzO+/eCClDSVEuTkFTREFROkNBTE0uSVFfR1cuLjMxLzA3LzIwMjYuLi5VU0QuSAEAAAAgegUAAgAAAAY5Ny4w</t>
  </si>
  <si>
    <t>NTkBCAAAAAUAAAABMQEAAAALLTE4ODEwNjgyOTUDAAAAAzE2MAIAAAAEMTE3MQQAAAABMAcAAAAJNy8zMS8yMDI2CAAAAAk1LzMwLzIwMjYJAAAAATDpHKwzO+/eCOkcrDM7794IMkNJUS5OQVNEQVE6Q0FMTS5JUV9PVEhFUl9JTlRBTi4uMzEvMDcvMjAyNi4uLlVTRC5IAQAAACB6BQACAAAABTczLjEzAQgAAAAFAAAAATEBAAAACy0xODgxMDY4Mjk1AwAAAAMxNjACAAAABDEwNDAEAAAAATAHAAAACTcvMzEvMjAyNggAAAAJNS8zMC8yMDI2CQAAAAEw6RysMzvv3gjpHKwzO+/eCDdDSVEuTkFTREFROkNBTE0uSVFfRklOX0RJVl9MT0FOU19MVC4uMzEvMDcvMjAyNi4uLlVTRC5IAQAAACB6BQADAAAAAADpHKwzO+/eCOkcrDM7794IOENJUS5OQVNEQVE6Q0FMTS5JUV9GSU5fRElWX0FTU0VUU19MVC4uMzEvMDcvMjAyNi4uLlVTRC5IAQAAACB6BQADAAAAAADpHKwzO+/eCOkcrDM7794ILENJUS5OQVNEQVE6Q0FMTS5JUV9BUl9MVC4uMzEvMDcvMjAyNi4uLlVTRC5IAQAAACB6BQADAAAAAADpHKwzO+/eCOkcrDM7794INkNJUS5OQVNEQVE6Q0FMTS5JUV9MT0FOU19SRUNFSVZfTFQuLjMxLzA3LzIwMjYuLi5VU0QuSAEAAAAgegUAAwAAAAAA6RysMzvv3gjpHKwzO+/eCDhDSVEuTkFTREFROkNBTE0uSVFfREVGX1RBWF9BU1NFVFNfTFQuLjMxLzA3LzIwMjYuLi5VU0QuSAEAAAAgegUAAwAAAAAA6RysMzvv</t>
  </si>
  <si>
    <t>3gjpHKwzO+/eCDVDSVEuTkFTREFROkNBTE0uSVFfREVGX0NIQVJHRVNfTFQuLjMxLzA3LzIwMjYuLi5VU0QuSAEAAAAgegUAAwAAAAAA6RysMzvv3gjpHKwzO+/eCDZDSVEuTkFTREFROkNBTE0uSVFfT1RIRVJfTFRfQVNTRVRTLi4zMS8wNy8yMDI2Li4uVVNELkgBAAAAIHoFAAIAAAAGMzcuNTA0AQgAAAAFAAAAATEBAAAACy0xODgxMDY4Mjk1AwAAAAMxNjACAAAABDEwNjAEAAAAATAHAAAACTcvMzEvMjAyNggAAAAJNS8zMC8yMDI2CQAAAAEw90OsMzvv3gj3Q6wzO+/eCDNDSVEuTkFTREFROkNBTE0uSVFfVE9UQUxfQVNTRVRTLi4zMS8wNy8yMDI2Li4uVVNELkgBAAAAIHoFAAIAAAAHMzEwNy41NwEIAAAABQAAAAExAQAAAAstMTg4MTA2ODI5NQMAAAADMTYwAgAAAAQxMDA3BAAAAAEwBwAAAAk3LzMxLzIwMjYIAAAACTUvMzAvMjAyNgkAAAABMPdDrDM7794I90OsMzvv3ggpQ0lRLk5BU0RBUTpDQUxNLklRX0FQLi4zMS8wNy8yMDI2Li4uVVNELkgBAAAAIHoFAAIAAAAGOTYuMTA2AQgAAAAFAAAAATEBAAAACy0xODgxMDY4Mjk1AwAAAAMxNjACAAAABDEwMTgEAAAAATAHAAAACTcvMzEvMjAyNggAAAAJNS8zMC8yMDI2CQAAAAEw90OsMzvv3gj3Q6wzO+/eCClDSVEuTkFTREFROkNBTE0uSVFfQUUuLjMxLzA3LzIwMjYuLi5VU0QuSAEAAAAgegUAAgAAAAYxMDkuNDEBCAAAAAUAAAABMQEAAAALLTE4</t>
  </si>
  <si>
    <t>ODEwNjgyOTUDAAAAAzE2MAIAAAAEMTAxNgQAAAABMAcAAAAJNy8zMS8yMDI2CAAAAAk1LzMwLzIwMjYJAAAAATD3Q6wzO+/eCPdDrDM7794ILkNJUS5OQVNEQVE6Q0FMTS5JUV9TVF9ERUJULi4zMS8wNy8yMDI2Li4uVVNELkgBAAAAIHoFAAMAAAAAAPdDrDM7794I90OsMzvv3gg4Q0lRLk5BU0RBUTpDQUxNLklRX0NVUlJFTlRfUE9SVF9ERUJULi4zMS8wNy8yMDI2Li4uVVNELkgBAAAAIHoFAAMAAAAAAPdDrDM7794I90OsMzvv3gg6Q0lRLk5BU0RBUTpDQUxNLklRX0NVUlJFTlRfUE9SVF9MRUFTRVMuLjMxLzA3LzIwMjYuLi5VU0QuSAEAAAAgegUAAwAAAAAA90OsMzvv3gj3Q6wzO+/eCDtDSVEuTkFTREFROkNBTE0uSVFfRklOX0RJVl9ERUJUX0NVUlJFTlQuLjMxLzA3LzIwMjYuLi5VU0QuSAEAAAAgegUAAwAAAAAA90OsMzvv3gj3Q6wzO+/eCDtDSVEuTkFTREFROkNBTE0uSVFfRklOX0RJVl9MSUFCX0NVUlJFTlQuLjMxLzA3LzIwMjYuLi5VU0QuSAEAAAAgegUAAwAAAAAA90OsMzvv3gj3Q6wzO+/eCDpDSVEuTkFTREFROkNBTE0uSVFfSU5DX1RBWF9QQVlfQ1VSUkVOVC4uMzEvMDcvMjAyNi4uLlVTRC5IAQAAACB6BQADAAAAAAD3Q6wzO+/eCPdDrDM7794IOUNJUS5OQVNEQVE6Q0FMTS5JUV9VTkVBUk5fUkVWX0NVUlJFTlQuLjMxLzA3LzIwMjYuLi5VU0QuSAEAAAAgegUAAwAAAAAA90OsMzvv</t>
  </si>
  <si>
    <t>3gj3Q6wzO+/eCDtDSVEuTkFTREFROkNBTE0uSVFfREVGX1RBWF9MSUFCX0NVUlJFTlQuLjMxLzA3LzIwMjYuLi5VU0QuSAEAAAAgegUAAwAAAAAA90OsMzvv3gj3Q6wzO+/eCDVDSVEuTkFTREFROkNBTE0uSVFfT1RIRVJfQ0xfU1VQUEwuLjMxLzA3LzIwMjYuLi5VU0QuSAEAAAAgegUAAwAAAAAA90OsMzvv3gj3Q6wzO+/eCC9DSVEuTkFTREFROkNBTE0uSVFfVE9UQUxfQ0wuLjMxLzA3LzIwMjYuLi5VU0QuSAEAAAAgegUAAgAAAAcyMDUuNTE2AQgAAAAFAAAAATEBAAAACy0xODgxMDY4Mjk1AwAAAAMxNjACAAAABDEwMDkEAAAAATAHAAAACTcvMzEvMjAyNggAAAAJNS8zMC8yMDI2CQAAAAEw90OsMzvv3gj3Q6wzO+/eCC5DSVEuTkFTREFROkNBTE0uSVFfTFRfREVCVC4uMzEvMDcvMjAyNi4uLlVTRC5IAQAAACB6BQADAAAAAAD3Q6wzO+/eCPdDrDM7794IN0NJUS5OQVNEQVE6Q0FMTS5JUV9MT05HX1RFUk1fTEVBU0VTLi4zMS8wNy8yMDI2Li4uVVNELkgBAAAAIHoFAAMAAAAAAPdDrDM7794I90OsMzvv3gg2Q0lRLk5BU0RBUTpDQUxNLklRX0ZJTl9ESVZfREVCVF9MVC4uMzEvMDcvMjAyNi4uLlVTRC5IAQAAACB6BQADAAAAAAD3Q6wzO+/eCPdDrDM7794INkNJUS5OQVNEQVE6Q0FMTS5JUV9GSU5fRElWX0xJQUJfTFQuLjMxLzA3LzIwMjYuLi5VU0QuSAEAAAAgegUAAwAAAAAA90OsMzvv3gj3Q6wz</t>
  </si>
  <si>
    <t>O+/eCDRDSVEuTkFTREFROkNBTE0uSVFfVU5FQVJOX1JFVl9MVC4uMzEvMDcvMjAyNi4uLlVTRC5IAQAAACB6BQADAAAAAAD3Q6wzO+/eCPdDrDM7794ILkNJUS5OQVNEQVE6Q0FMTS5JUV9QRU5TSU9OLi4zMS8wNy8yMDI2Li4uVVNELkgBAAAAIHoFAAMAAAAAAPdDrDM7794I90OsMzvv3gg2Q0lRLk5BU0RBUTpDQUxNLklRX0RFRl9UQVhfTElBQl9MVC4uMzEvMDcvMjAyNi4uLlVTRC5IAQAAACB6BQACAAAABzIyMS44NzIBCAAAAAUAAAABMQEAAAALLTE4ODEwNjgyOTUDAAAAAzE2MAIAAAAEMTAyNwQAAAABMAcAAAAJNy8zMS8yMDI2CAAAAAk1LzMwLzIwMjYJAAAAATD3Q6wzO+/eCPdDrDM7794INENJUS5OQVNEQVE6Q0FMTS5JUV9PVEhFUl9MSUFCX0xULi4zMS8wNy8yMDI2Li4uVVNELkgBAAAAIHoFAAIAAAAFMzkuNjUBCAAAAAUAAAABMQEAAAALLTE4ODEwNjgyOTUDAAAAAzE2MAIAAAAEMTA2MgQAAAABMAcAAAAJNy8zMS8yMDI2CAAAAAk1LzMwLzIwMjYJAAAAATD3Q6wzO+/eCPdDrDM7794IMUNJUS5OQVNEQVE6Q0FMTS5JUV9UT1RBTF9MSUFCLi4zMS8wNy8yMDI2Li4uVVNELkgBAAAAIHoFAAIAAAAHNDY3LjAzOAEIAAAABQAAAAExAQAAAAstMTg4MTA2ODI5NQMAAAADMTYwAgAAAAQxMjc2BAAAAAEwBwAAAAk3LzMxLzIwMjYIAAAACTUvMzAvMjAyNgkAAAABMPdDrDM7794I90OsMzvv3ggy</t>
  </si>
  <si>
    <t>Q0lRLk5BU0RBUTpDQUxNLklRX1BSRUZfUkVERUVNLi4zMS8wNy8yMDI2Li4uVVNELkgBAAAAIHoFAAMAAAAAAPdDrDM7794I90OsMzvv3gg2Q0lRLk5BU0RBUTpDQUxNLklRX1BSRUZfTk9OX1JFREVFTS4uMzEvMDcvMjAyNi4uLlVTRC5IAQAAACB6BQADAAAAAAD3Q6wzO+/eCPdDrDM7794IM0NJUS5OQVNEQVE6Q0FMTS5JUV9QUkVGX0NPTlZFUlQuLjMxLzA3LzIwMjYuLi5VU0QuSAEAAAAgegUAAwAAAAAA90OsMzvv3gj3Q6wzO+/eCDFDSVEuTkFTREFROkNBTE0uSVFfUFJFRl9PVEhFUi4uMzEvMDcvMjAyNi4uLlVTRC5IAQAAACB6BQADAAAAAAD3Q6wzO+/eCPdDrDM7794IMkNJUS5OQVNEQVE6Q0FMTS5JUV9QUkVGX0VRVUlUWS4uMzEvMDcvMjAyNi4uLlVTRC5IAQAAACB6BQADAAAAAAD3Q6wzO+/eCPdDrDM7794ILUNJUS5OQVNEQVE6Q0FMTS5JUV9DT01NT04uLjMxLzA3LzIwMjYuLi5VU0QuSAEAAAAgegUAAgAAAAUwLjc1MQEIAAAABQAAAAExAQAAAAstMTg4MTA2ODI5NQMAAAADMTYwAgAAAAQxMTAzBAAAAAEwBwAAAAk3LzMxLzIwMjYIAAAACTUvMzAvMjAyNgkAAAABMPdDrDM7794I90OsMzvv3ggrQ0lRLk5BU0RBUTpDQUxNLklRX0FQSUMuLjMxLzA3LzIwMjYuLi5VU0QuSAEAAAAgegUAAgAAAAY4Ni4xMDYBCAAAAAUAAAABMQEAAAALLTE4ODEwNjgyOTUDAAAAAzE2MAIAAAAEMTA4NAQA</t>
  </si>
  <si>
    <t>AAABMAcAAAAJNy8zMS8yMDI2CAAAAAk1LzMwLzIwMjYJAAAAATD3Q6wzO+/eCPdDrDM7794IKUNJUS5OQVNEQVE6Q0FMTS5JUV9SRS4uMzEvMDcvMjAyNi4uLlVTRC5IAQAAACB6BQACAAAACDI3NjUuMTA4AQgAAAAFAAAAATEBAAAACy0xODgxMDY4Mjk1AwAAAAMxNjACAAAABDEyMjIEAAAAATAHAAAACTcvMzEvMjAyNggAAAAJNS8zMC8yMDI2CQAAAAEw90OsMzvv3gj3Q6wzO+/eCC9DSVEuTkFTREFROkNBTE0uSVFfVFJFQVNVUlkuLjMxLzA3LzIwMjYuLi5VU0QuSAEAAAAgegUAAgAAAAgtMjE3Ljc2NwEIAAAABQAAAAExAQAAAAstMTg4MTA2ODI5NQMAAAADMTYwAgAAAAQxMjQ4BAAAAAEwBwAAAAk3LzMxLzIwMjYIAAAACTUvMzAvMjAyNgkAAAABMPdDrDM7794I90OsMzvv3ggzQ0lRLk5BU0RBUTpDQUxNLklRX09USEVSX0VRVUlUWS4uMzEvMDcvMjAyNi4uLlVTRC5IAQAAACB6BQACAAAABi0xLjQ2NgEIAAAABQAAAAExAQAAAAstMTg4MTA2ODI5NQMAAAADMTYwAgAAAAQxMDI4BAAAAAEwBwAAAAk3LzMxLzIwMjYIAAAACTUvMzAvMjAyNgkAAAABMPdDrDM7794I90OsMzvv3gg6Q0lRLk5BU0RBUTpDQUxNLklRX1RPVEFMX0NPTU1PTl9FUVVJVFkuLjMxLzA3LzIwMjYuLi5VU0QuSAEAAAAgegUAAgAAAAgyNjMyLjczMgEIAAAABQAAAAExAQAAAAstMTg4MTA2ODI5NQMAAAADMTYwAgAAAAQxMDA2</t>
  </si>
  <si>
    <t>BAAAAAEwBwAAAAk3LzMxLzIwMjYIAAAACTUvMzAvMjAyNgkAAAABMPdDrDM7794I90OsMzvv3gg4Q0lRLk5BU0RBUTpDQUxNLklRX01JTk9SSVRZX0lOVEVSRVNULi4zMS8wNy8yMDI2Li4uVVNELkgBAAAAIHoFAAIAAAADNy44AQgAAAAFAAAAATEBAAAACy0xODgxMDY4Mjk1AwAAAAMxNjACAAAABDEwNTIEAAAAATAHAAAACTcvMzEvMjAyNggAAAAJNS8zMC8yMDI2CQAAAAEwC2usMzvv3ggLa6wzO+/eCDNDSVEuTkFTREFROkNBTE0uSVFfVE9UQUxfRVFVSVRZLi4zMS8wNy8yMDI2Li4uVVNELkgBAAAAIHoFAAIAAAAIMjY0MC41MzIBCAAAAAUAAAABMQEAAAALLTE4ODEwNjgyOTUDAAAAAzE2MAIAAAAEMTI3NQQAAAABMAcAAAAJNy8zMS8yMDI2CAAAAAk1LzMwLzIwMjYJAAAAATALa6wzO+/eCAtrrDM7794IOENJUS5OQVNEQVE6Q0FMTS5JUV9UT1RBTF9MSUFCX0VRVUlUWS4uMzEvMDcvMjAyNi4uLlVTRC5IAQAAACB6BQACAAAABzMxMDcuNTcBCAAAAAUAAAABMQEAAAALLTE4ODEwNjgyOTUDAAAAAzE2MAIAAAAEMTAxMwQAAAABMAcAAAAJNy8zMS8yMDI2CAAAAAk1LzMwLzIwMjYJAAAAATALa6wzO+/eCAtrrDM7794IMENJUS5OQVNEQVE6Q0FMTS5JUV9SVUFfR1JPU1MuLjMxLzA3LzIwMjYuLi5VU0QuSAEAAAAgegUAAwAAAAAAC2usMzvv3ggLa6wzO+/eCDRDSVEuTkFTREFROkNBTE0uSVFfUlVB</t>
  </si>
  <si>
    <t>X0FDQ1VNX0RFUC4uMzEvMDcvMjAyNi4uLlVTRC5IAQAAACB6BQADAAAAAAALa6wzO+/eCAtrrDM7794ILkNJUS5OQVNEQVE6Q0FMTS5JUV9SVUFfTkVULi4zMS8wNy8yMDI2Li4uVVNELkgBAAAAIHoFAAMAAAAAAAtrrDM7794IC2usMzvv3gg+Q0lRLk5BU0RBUTpDQUxNLklRX1JVQV9DQVBJVEFMX0xFQVNFX0dST1NTLi4zMS8wNy8yMDI2Li4uVVNELkgBAAAAIHoFAAMAAAAAAAtrrDM7794IC2usMzvv3ghCQ0lRLk5BU0RBUTpDQUxNLklRX1JVQV9DQVBJVEFMX0xFQVNFX0FDQ1VNX0RFUC4uMzEvMDcvMjAyNi4uLlVTRC5IAQAAACB6BQADAAAAAAALa6wzO+/eCAtrrDM7794IPENJUS5OQVNEQVE6Q0FMTS5JUV9SVUFfQ0FQSVRBTF9MRUFTRV9ORVQuLjMxLzA3LzIwMjYuLi5VU0QuSAEAAAAgegUAAwAAAAAAC2usMzvv3ggLa6wzO+/eCEBDSVEuTkFTREFROkNBTE0uSVFfUlVBX09QRVJBVElOR19MRUFTRV9HUk9TUy4uMzEvMDcvMjAyNi4uLlVTRC5IAQAAACB6BQADAAAAAAALa6wzO+/eCAtrrDM7794IRENJUS5OQVNEQVE6Q0FMTS5JUV9SVUFfT1BFUkFUSU5HX0xFQVNFX0FDQ1VNX0RFUC4uMzEvMDcvMjAyNi4uLlVTRC5IAQAAACB6BQADAAAAAAALa6wzO+/eCAtrrDM7794IPkNJUS5OQVNEQVE6Q0FMTS5JUV9SVUFfT1BFUkFUSU5HX0xFQVNFX05FVC4uMzEvMDcvMjAyNi4uLlVTRC5IAQAAACB6</t>
  </si>
  <si>
    <t>BQADAAAAAAALa6wzO+/eCAtrrDM7794IPENJUS5OQVNEQVE6Q0FMTS5JUV9HUFBFX0VYQ0xfT1BFUl9MRUFTRVMuLjMxLzA3LzIwMjYuLi5VU0QuSAEAAAAgegUAAgAAAAgyMzA0LjcwOAEIAAAABQAAAAExAQAAAAstMTg4MTA2ODI5NQMAAAADMTYwAgAAAAU0ODk3NAQAAAABMAcAAAAJNy8zMS8yMDI2CAAAAAk1LzMwLzIwMjYJAAAAATALa6wzO+/eCAtrrDM7794IOkNJUS5OQVNEQVE6Q0FMTS5JUV9BRF9FWENMX09QRVJfTEVBU0VTLi4zMS8wNy8yMDI2Li4uVVNELkgBAAAAIHoFAAIAAAAILTk4Ni4zNzMBCAAAAAUAAAABMQEAAAALLTE4ODEwNjgyOTUDAAAAAzE2MAIAAAAFNDg5NzUEAAAAATAHAAAACTcvMzEvMjAyNggAAAAJNS8zMC8yMDI2CQAAAAEwC2usMzvv3ggLa6wzO+/eCC5DSVEuTkFTREFROkNBTE0uSVFfRUZGRUNUX1RBWF9SQVRFLi4zMS8wNy8yMDI2AQAAACB6BQACAAAABzIyLjYwMTIBCAAAAAUAAAABMQEAAAALLTE4ODEwNjgyOTUDAAAAAzE2MAIAAAAENDM3NgQAAAABMAcAAAAJNy8zMS8yMDI2CAAAAAk1LzMwLzIwMjYJAAAAATCKBbgzO+/eCIoFuDM7794IK0NJUS5OQVNEQVE6Q0FMTS5JUV9QQVlPVVRfUkFUSU8uLjMxLzA3LzIwMjYBAAAAIHoFAAIAAAAHNzMuMTQwMgEIAAAABQAAAAExAQAAAAstMTg4MTA2ODI5NQMAAAADMTYwAgAAAAQ0Mzc3BAAAAAEwBwAAAAk3LzMxLzIw</t>
  </si>
  <si>
    <t>MjYIAAAACTUvMzAvMjAyNgkAAAABMIoFuDM7794IigW4Mzvv3gguQ0lRLk5BU0RBUTpDQUxNLklRX0ZJTElOR19DVVJSRU5DWS4uMzEvMDcvMjAyNgEAAAAgegUAAwAAAANVU0QAigW4Mzvv3giKBbgzO+/eCC1DSVEuTkFTREFROkNBTE0uSVFfUkVTVEFURU1FTlRfSVMuLjMxLzA3LzIwMjYBAAAAIHoFAAMAAAABTwCKBbgzO+/eCIoFuDM7794IK0NJUS5OQVNEQVE6Q0FMTS5JUV9DQUxDX1RZUEVfSVMuLjMxLzA3LzIwMjYBAAAAIHoFAAMAAAADUkVQAIoFuDM7794IigW4Mzvv3ggmQ0lRLk5BU0RBUTpDQUxNLklRX0dBQVBfSVMuLjMxLzA3LzIwMjYBAAAAIHoFAAMAAAAHVVMgR0FBUACKBbgzO+/eCIoFuDM7794ILkNJUS5OQVNEQVE6Q0FMTS5JUV9QRVJJT0RMRU5HVEhfQ0YuLjMxLzA3LzIwMjYBAAAAIHoFAAEAAAACMTIAigW4Mzvv3giKBbgzO+/eCC1DSVEuTkFTREFROkNBTE0uSVFfUkVTVEFURU1FTlRfQ0YuLjMxLzA3LzIwMjYBAAAAIHoFAAMAAAABTwCKBbgzO+/eCIoFuDM7794IK0NJUS5OQVNEQVE6Q0FMTS5JUV9DQUxDX1RZUEVfQ0YuLjMxLzA3LzIwMjYBAAAAIHoFAAMAAAADUkVQAIoFuDM7794IigW4Mzvv3ggmQ0lRLk5BU0RBUTpDQUxNLklRX0dBQVBfQ0YuLjMxLzA3LzIwMjYBAAAAIHoFAAMAAAAHVVMgR0FBUACKBbgzO+/eCIoFuDM7794IPENJUS5OQVNEQVE6Q0FMTS5JUV9UT1RB</t>
  </si>
  <si>
    <t>TF9PVVRTVEFORElOR19GSUxJTkdfREFURS4uMzEvMDcvMjAyNgEAAAAgegUAAgAAAAg0Ni45MTcwOAEEAAAABQAAAAE1AQAAAAstMTg4MTA2ODI5NQIAAAAFMjQxNTMGAAAAATCKBbgzO+/eCIoFuDM7794IOENJUS5OQVNEQVE6Q0FMTS5JUV9UT1RBTF9PVVRTVEFORElOR19CU19EQVRFLi4zMS8wNy8yMDI2AQAAACB6BQACAAAABjQ2Ljk4MQEEAAAABQAAAAE1AQAAAAstMTg4MTA2ODI5NQIAAAAFMjQxNTIGAAAAATCKBbgzO+/eCIoFuDM7794IKUNJUS5OQVNEQVE6Q0FMTS5JUV9JTlZfTUVUSE9ELi4zMS8wNy8yMDI2AQAAACB6BQADAAAABEZJRk8AigW4Mzvv3giKBbgzO+/eCChDSVEuTkFTREFROkNBTE0uSVFfRlVMTF9USU1FLi4zMS8wNy8yMDI2AQAAACB6BQACAAAABDQ3NjIAigW4Mzvv3giKBbgzO+/eCChDSVEuTkFTREFROkNBTE0uSVFfUEFSVF9USU1FLi4zMS8wNy8yMDI2AQAAACB6BQACAAAAAzE0NwCKBbgzO+/eCIoFuDM7794ILkNJUS5OQVNEQVE6Q0FMTS5JUV9UT1RBTF9FTVBMT1lFRVMuLjMxLzA3LzIwMjYBAAAAIHoFAAIAAAAENDgzNgCKBbgzO+/eCIoFuDM7794IPkNJUS5OQVNEQVE6Q0FMTS5JUV9FTVBMT1lFRVNfVU5ERVJfVU5JT05fQ09OVFJBQ1RTLi4zMS8wNy8yMDI2AQAAACB6BQACAAAAAjQwAIoFuDM7794IigW4Mzvv3ggsQ0lRLk5BU0RBUTpDQUxNLklRX0FWR19FTVBM</t>
  </si>
  <si>
    <t>T1lFRVMuLjMxLzA3LzIwMjYBAAAAIHoFAAMAAAAAAIoFuDM7794IigW4Mzvv3ggxQ0lRLk5BU0RBUTpDQUxNLklRX0FWR19URU1QX0VNUExPWUVFUy4uMzEvMDcvMjAyNgEAAAAgegUAAwAAAAAAigW4Mzvv3giKBbgzO+/eCDBDSVEuTkFTREFROkNBTE0uSVFfTlVNQkVSX0FEUkhPTERFUlMuLjMxLzA3LzIwMjYBAAAAIHoFAAMAAAAAAIoFuDM7794IigW4Mzvv3ggtQ0lRLk5BU0RBUTpDQUxNLklRX0NPU1RfQk9SUk9XSU5HLi4zMS8wNy8yMDI2AQAAACB6BQADAAAAAACKBbgzO+/eCIoFuDM7794ILUNJUS5OQVNEQVE6Q0FMTS5JUV9SRVNUQVRFTUVOVF9CUy4uMzEvMDcvMjAyNgEAAAAgegUAAwAAAAFPAIoFuDM7794IigW4Mzvv3ggrQ0lRLk5BU0RBUTpDQUxNLklRX0NBTENfVFlQRV9CUy4uMzEvMDcvMjAyNgEAAAAgegUAAwAAAANSRVAAjiy4Mzvv3giOLLgzO+/eCCZDSVEuTkFTREFROkNBTE0uSVFfR0FBUF9CUy4uMzEvMDcvMjAyNgEAAAAgegUAAwAAAAdVUyBHQUFQAI4suDM7794Ijiy4Mzvv3ggsQ0lRLk5BU0RBUTpDQUxNLklRX1JFVFVSTl9BU1NFVFMuLjMxLzA3LzIwMjYBAAAAIHoFAAIAAAAGNi45MzExAQgAAAAFAAAAATEBAAAACy0xODgxMDY4Mjk1AwAAAAMxNjACAAAABDQxNzgEAAAAATAHAAAACTcvMzEvMjAyNggAAAAJNS8zMC8yMDI2CQAAAAEwjiy4Mzvv3giOLLgzO+/eCC1DSVEu</t>
  </si>
  <si>
    <t>TkFTREFROkNBTE0uSVFfUkVUVVJOX0NBUElUQUwuLjMxLzA3LzIwMjYBAAAAIHoFAAIAAAAGOC4yNDMyAQgAAAAFAAAAATEBAAAACy0xODgxMDY4Mjk1AwAAAAMxNjACAAAABDQzNjMEAAAAATAHAAAACTcvMzEvMjAyNggAAAAJNS8zMC8yMDI2CQAAAAEwjiy4Mzvv3giOLLgzO+/eCCxDSVEuTkFTREFROkNBTE0uSVFfUkVUVVJOX0VRVUlUWS4uMzEvMDcvMjAyNgEAAAAgegUAAgAAAAcxMi4yMTk2AQgAAAAFAAAAATEBAAAACy0xODgxMDY4Mjk1AwAAAAMxNjACAAAABDQxMjgEAAAAATAHAAAACTcvMzEvMjAyNggAAAAJNS8zMC8yMDI2CQAAAAEwjiy4Mzvv3giOLLgzO+/eCDNDSVEuTkFTREFROkNBTE0uSVFfUkVUVVJOX0NPTU1PTl9FUVVJVFkuLjMxLzA3LzIwMjYBAAAAIHoFAAIAAAAHMTIuMTk1NgEIAAAABQAAAAExAQAAAAstMTg4MTA2ODI5NQMAAAADMTYwAgAAAAUzMzMyMAQAAAABMAcAAAAJNy8zMS8yMDI2CAAAAAk1LzMwLzIwMjYJAAAAATCOLLgzO+/eCI4suDM7794IK0NJUS5OQVNEQVE6Q0FMTS5JUV9HUk9TU19NQVJHSU4uLjMxLzA3LzIwMjYBAAAAIHoFAAIAAAAHMjMuMDgxNQEIAAAABQAAAAExAQAAAAstMTg4MTA2ODI5NQMAAAADMTYwAgAAAAQ0MDc0BAAAAAEwBwAAAAk3LzMxLzIwMjYIAAAACTUvMzAvMjAyNgkAAAABMI4suDM7794Ijiy4Mzvv3ggsQ0lRLk5BU0RBUTpDQUxNLklR</t>
  </si>
  <si>
    <t>X0VCSVREQV9NQVJHSU4uLjMxLzA3LzIwMjYBAAAAIHoFAAIAAAAHMTYuMDYyOQEIAAAABQAAAAExAQAAAAstMTg4MTA2ODI5NQMAAAADMTYwAgAAAAQ0MDQ3BAAAAAEwBwAAAAk3LzMxLzIwMjYIAAAACTUvMzAvMjAyNgkAAAABMI4suDM7794Ijiy4Mzvv3ggqQ0lRLk5BU0RBUTpDQUxNLklRX0VCSVRfTUFSR0lOLi4zMS8wNy8yMDI2AQAAACB6BQACAAAABzExLjc5MjQBCAAAAAUAAAABMQEAAAALLTE4ODEwNjgyOTUDAAAAAzE2MAIAAAAENDA1MwQAAAABMAcAAAAJNy8zMS8yMDI2CAAAAAk1LzMwLzIwMjYJAAAAATCOLLgzO+/eCI4suDM7794IKENJUS5OQVNEQVE6Q0FMTS5JUV9OSV9NQVJHSU4uLjMxLzA3LzIwMjYBAAAAIHoFAAIAAAAHMTAuODc2NAEIAAAABQAAAAExAQAAAAstMTg4MTA2ODI5NQMAAAADMTYwAgAAAAQ0MDk0BAAAAAEwBwAAAAk3LzMxLzIwMjYIAAAACTUvMzAvMjAyNgkAAAABMI4suDM7794Ijiy4Mzvv3ggsQ0lRLk5BU0RBUTpDQUxNLklRX0NBUEVYX1BDVF9SRVYuLjMxLzA3LzIwMjYBAAAAIHoFAAIAAAAGNS4xOTM2AQgAAAAFAAAAATEBAAAACy0xODgxMDY4Mjk1AwAAAAMxNjACAAAABTM1MzgwBAAAAAEwBwAAAAk3LzMxLzIwMjYIAAAACTUvMzAvMjAyNgkAAAABMI4suDM7794Ijiy4Mzvv3ggqQ0lRLk5BU0RBUTpDQUxNLklRX0FTU0VUX1RVUk5TLi4zMS8wNy8yMDI2AQAA</t>
  </si>
  <si>
    <t>ACB6BQACAAAABzAuOTQwNDIBCAAAAAUAAAABMQEAAAALLTE4ODEwNjgyOTUDAAAAAzE2MAIAAAAENDE3NwQAAAABMAcAAAAJNy8zMS8yMDI2CAAAAAk1LzMwLzIwMjYJAAAAATCOLLgzO+/eCI4suDM7794IMENJUS5OQVNEQVE6Q0FMTS5JUV9GSVhFRF9BU1NFVF9UVVJOUy4uMzEvMDcvMjAyNgEAAAAgegUAAgAAAAgyLjQ4MzI0OAEIAAAABQAAAAExAQAAAAstMTg4MTA2ODI5NQMAAAADMTYwAgAAAAQ0MDY2BAAAAAEwBwAAAAk3LzMxLzIwMjYIAAAACTUvMzAvMjAyNgkAAAABMI4suDM7794Ijiy4Mzvv3ggnQ0lRLk5BU0RBUTpDQUxNLklRX0FSX1RVUk5TLi4zMS8wNy8yMDI2AQAAACB6BQACAAAACTE1LjMxMTE2MgEIAAAABQAAAAExAQAAAAstMTg4MTA2ODI5NQMAAAADMTYwAgAAAAQ0MDAxBAAAAAEwBwAAAAk3LzMxLzIwMjYIAAAACTUvMzAvMjAyNgkAAAABMI4suDM7794Ijiy4Mzvv3gguQ0lRLk5BU0RBUTpDQUxNLklRX0lOVkVOVE9SWV9UVVJOUy4uMzEvMDcvMjAyNgEAAAAgegUAAgAAAAg2LjY3NjAwNQEIAAAABQAAAAExAQAAAAstMTg4MTA2ODI5NQMAAAADMTYwAgAAAAQ0MDgyBAAAAAEwBwAAAAk3LzMxLzIwMjYIAAAACTUvMzAvMjAyNgkAAAABMI4suDM7794Ijiy4Mzvv3ggsQ0lRLk5BU0RBUTpDQUxNLklRX0NVUlJFTlRfUkFUSU8uLjMxLzA3LzIwMjYBAAAAIHoFAAIAAAAINy42OTU0</t>
  </si>
  <si>
    <t>NjgBCAAAAAUAAAABMQEAAAALLTE4ODEwNjgyOTUDAAAAAzE2MAIAAAAENDAzMAQAAAABMAcAAAAJNy8zMS8yMDI2CAAAAAk1LzMwLzIwMjYJAAAAATCOLLgzO+/eCI4suDM7794IKkNJUS5OQVNEQVE6Q0FMTS5JUV9RVUlDS19SQVRJTy4uMzEvMDcvMjAyNgEAAAAgegUAAgAAAAg1Ljc4Mjk0NgEIAAAABQAAAAExAQAAAAstMTg4MTA2ODI5NQMAAAADMTYwAgAAAAQ0MTIxBAAAAAEwBwAAAAk3LzMxLzIwMjYIAAAACTUvMzAvMjAyNgkAAAABMI4suDM7794Ijiy4Mzvv3ggvQ0lRLk5BU0RBUTpDQUxNLklRX0NGT19DVVJSRU5UX0xJQUIuLjMxLzA3LzIwMjYBAAAAIHoFAAIAAAAIMi4zMzQzODIBCAAAAAUAAAABMQEAAAALLTE4ODEwNjgyOTUDAAAAAzE2MAIAAAAENDE4NQQAAAABMAcAAAAJNy8zMS8yMDI2CAAAAAk1LzMwLzIwMjYJAAAAATCOLLgzO+/eCI4suDM7794ILUNJUS5OQVNEQVE6Q0FMTS5JUV9EQVlTX1NBTEVTX09VVC4uMzEvMDcvMjAyNgEAAAAgegUAAgAAAAkyMy43NzMyMDQBCAAAAAUAAAABMQEAAAALLTE4ODEwNjgyOTUDAAAAAzE2MAIAAAAENDA0MgQAAAABMAcAAAAJNy8zMS8yMDI2CAAAAAk1LzMwLzIwMjYJAAAAATCOLLgzO+/eCI4suDM7794IMUNJUS5OQVNEQVE6Q0FMTS5JUV9EQVlTX0lOVkVOVE9SWV9PVVQuLjMxLzA3LzIwMjYBAAAAIHoFAAIAAAAINTQuNTIzNTYBCAAAAAUA</t>
  </si>
  <si>
    <t>AAABMQEAAAALLTE4ODEwNjgyOTUDAAAAAzE2MAIAAAAENDAzNQQAAAABMAcAAAAJNy8zMS8yMDI2CAAAAAk1LzMwLzIwMjYJAAAAATCOLLgzO+/eCI4suDM7794IL0NJUS5OQVNEQVE6Q0FMTS5JUV9EQVlTX1BBWUFCTEVfT1VULi4zMS8wNy8yMDI2AQAAACB6BQACAAAACTE1LjQ3MDM2NAEIAAAABQAAAAExAQAAAAstMTg4MTA2ODI5NQMAAAADMTYwAgAAAAQ0MTgzBAAAAAEwBwAAAAk3LzMxLzIwMjYIAAAACTUvMzAvMjAyNgkAAAABMI4suDM7794Ijiy4Mzvv3gguQ0lRLk5BU0RBUTpDQUxNLklRX0NBU0hfQ09OVkVSU0lPTi4uMzEvMDcvMjAyNgEAAAAgegUAAgAAAAc2Mi44MjY0AQgAAAAFAAAAATEBAAAACy0xODgxMDY4Mjk1AwAAAAMxNjACAAAABDQxODQEAAAAATAHAAAACTcvMzEvMjAyNggAAAAJNS8zMC8yMDI2CQAAAAEwjiy4Mzvv3giOLLgzO+/eCDBDSVEuTkFTREFROkNBTE0uSVFfVE9UQUxfREVCVF9FUVVJVFkuLjMxLzA3LzIwMjYBAAAAIHoFAAMAAAAAAI4suDM7794Ijiy4Mzvv3ggxQ0lRLk5BU0RBUTpDQUxNLklRX1RPVEFMX0RFQlRfQ0FQSVRBTC4uMzEvMDcvMjAyNgEAAAAgegUAAwAAAAAAjiy4Mzvv3giOLLgzO+/eCC1DSVEuTkFTREFROkNBTE0uSVFfTFRfREVCVF9FUVVJVFkuLjMxLzA3LzIwMjYBAAAAIHoFAAMAAAAAAI4suDM7794Ijiy4Mzvv3gguQ0lRLk5BU0RBUTpDQUxN</t>
  </si>
  <si>
    <t>LklRX0xUX0RFQlRfQ0FQSVRBTC4uMzEvMDcvMjAyNgEAAAAgegUAAwAAAAAAjiy4Mzvv3giOLLgzO+/eCDZDSVEuTkFTREFROkNBTE0uSVFfVE9UQUxfTElBQl9UT1RBTF9BU1NFVFMuLjMxLzA3LzIwMjYBAAAAIHoFAAIAAAAGMTUuMDI5AQgAAAAFAAAAATEBAAAACy0xODgxMDY4Mjk1AwAAAAMxNjACAAAABDQxODgEAAAAATAHAAAACTcvMzEvMjAyNggAAAAJNS8zMC8yMDI2CQAAAAEwjiy4Mzvv3giOLLgzO+/eCCdDSVEuTkFTREFROkNBTE0uSVFfRUJJVF9JTlQuLjMxLzA3LzIwMjYBAAAAIHoFAAIAAAAKNjE3LjUzOTU2OAEIAAAABQAAAAExAQAAAAstMTg4MTA2ODI5NQMAAAADMTYwAgAAAAQ0MTg5BAAAAAEwBwAAAAk3LzMxLzIwMjYIAAAACTUvMzAvMjAyNgkAAAABMI4suDM7794Ijiy4Mzvv3ggpQ0lRLk5BU0RBUTpDQUxNLklRX0VCSVREQV9JTlQuLjMxLzA3LzIwMjYBAAAAIHoFAAIAAAAKODQxLjE3NjI1OAEIAAAABQAAAAExAQAAAAstMTg4MTA2ODI5NQMAAAADMTYwAgAAAAQ0MTkwBAAAAAEwBwAAAAk3LzMxLzIwMjYIAAAACTUvMzAvMjAyNgkAAAABMI4suDM7794Ijiy4Mzvv3gg6Q0lRLk5BU0RBUTpDQUxNLklRX0VCSVREQV9FWENMX09QRVJfTEVBU0VTX0lOVC4uMzEvMDcvMjAyNgEAAAAgegUAAgAAAAo4NDEuMTc2MjU4AQgAAAAFAAAAATEBAAAACy0xODgxMDY4Mjk1AwAAAAMxNjAC</t>
  </si>
  <si>
    <t>AAAABTQ5MTczBAAAAAEwBwAAAAk3LzMxLzIwMjYIAAAACTUvMzAvMjAyNgkAAAABMI4suDM7794Ijiy4Mzvv3ggvQ0lRLk5BU0RBUTpDQUxNLklRX0VCSVREQV9DQVBFWF9JTlQuLjMxLzA3LzIwMjYBAAAAIHoFAAIAAAAKNTY5LjE5Nzg0MQEIAAAABQAAAAExAQAAAAstMTg4MTA2ODI5NQMAAAADMTYwAgAAAAQ0MTkxBAAAAAEwBwAAAAk3LzMxLzIwMjYIAAAACTUvMzAvMjAyNgkAAAABMI4suDM7794Ijiy4Mzvv3ghAQ0lRLk5BU0RBUTpDQUxNLklRX0VCSVREQV9FWENMX09QRVJfTEVBU0VTX0NBUEVYX0lOVC4uMzEvMDcvMjAyNgEAAAAgegUAAgAAAAo1NjkuMTk3ODQxAQgAAAAFAAAAATEBAAAACy0xODgxMDY4Mjk1AwAAAAMxNjACAAAABTQ5MTc0BAAAAAEwBwAAAAk3LzMxLzIwMjYIAAAACTUvMzAvMjAyNgkAAAABMI4suDM7794Ijiy4Mzvv3ggwQ0lRLk5BU0RBUTpDQUxNLklRX1RPVEFMX0RFQlRfRUJJVERBLi4zMS8wNy8yMDI2AQAAACB6BQADAAAAAACOLLgzO+/eCI4suDM7794IQUNJUS5OQVNEQVE6Q0FMTS5JUV9UT1RBTF9ERUJUX0VCSVREQV9FWENMX09QRVJfTEVBU0VTLi4zMS8wNy8yMDI2AQAAACB6BQADAAAAAACOLLgzO+/eCI4suDM7794ILkNJUS5OQVNEQVE6Q0FMTS5JUV9ORVRfREVCVF9FQklUREEuLjMxLzA3LzIwMjYBAAAAIHoFAAMAAAACTk0BCAAAAAUAAAABMQEAAAALLTE4</t>
  </si>
  <si>
    <t>ODEwNjgyOTUDAAAAAzE2MAIAAAAENDE5MwQAAAABMAcAAAAJNy8zMS8yMDI2CAAAAAk1LzMwLzIwMjYJAAAAATCOLLgzO+/eCI4suDM7794IP0NJUS5OQVNEQVE6Q0FMTS5JUV9ORVRfREVCVF9FQklUREFfRVhDTF9PUEVSX0xFQVNFUy4uMzEvMDcvMjAyNgEAAAAgegUAAwAAAAJOTQEIAAAABQAAAAExAQAAAAstMTg4MTA2ODI5NQMAAAADMTYwAgAAAAU0OTE3NQQAAAABMAcAAAAJNy8zMS8yMDI2CAAAAAk1LzMwLzIwMjYJAAAAATCOLLgzO+/eCI4suDM7794INkNJUS5OQVNEQVE6Q0FMTS5JUV9UT1RBTF9ERUJUX0VCSVREQV9DQVBFWC4uMzEvMDcvMjAyNgEAAAAgegUAAwAAAAAAsFO4Mzvv3giwU7gzO+/eCEdDSVEuTkFTREFROkNBTE0uSVFfVE9UQUxfREVCVF9FQklUREFfRVhDTF9PUEVSX0xFQVNFU19DQVBFWC4uMzEvMDcvMjAyNgEAAAAgegUAAwAAAAAAsFO4Mzvv3giwU7gzO+/eCDRDSVEuTkFTREFROkNBTE0uSVFfTkVUX0RFQlRfRUJJVERBX0NBUEVYLi4zMS8wNy8yMDI2AQAAACB6BQADAAAAAk5NAQgAAAAFAAAAATEBAAAACy0xODgxMDY4Mjk1AwAAAAMxNjACAAAABTIzMzE0BAAAAAEwBwAAAAk3LzMxLzIwMjYIAAAACTUvMzAvMjAyNgkAAAABMLBTuDM7794IsFO4Mzvv3ghFQ0lRLk5BU0RBUTpDQUxNLklRX05FVF9ERUJUX0VCSVREQV9FWENMX09QRVJfTEVBU0VTX0NBUEVYLi4zMS8w</t>
  </si>
  <si>
    <t>Ny8yMDI2AQAAACB6BQADAAAAAk5NAQgAAAAFAAAAATEBAAAACy0xODgxMDY4Mjk1AwAAAAMxNjACAAAABTQ5MTgyBAAAAAEwBwAAAAk3LzMxLzIwMjYIAAAACTUvMzAvMjAyNgkAAAABMLBTuDM7794IsFO4Mzvv3ggmQ0lRLk5BU0RBUTpDQUxNLklRX1pfU0NPUkUuLjMxLzA3LzIwMjYBAAAAIHoFAAIAAAAIOC42NzgyMDEBCAAAAAUAAAABMQEAAAALLTE4ODEwNjgyOTUDAAAAAzE2MAIAAAAGMTAwMTIzBAAAAAEwBwAAAAk3LzMxLzIwMjYIAAAACTUvMzAvMjAyNgkAAAABMLBTuDM7794IsFO4Mzvv3gg3Q0lRLk5BU0RBUTpDQUxNLklRX1RPVEFMX1JFVl8xWVJfQU5OX0dST1dUSC4uMzEvMDcvMjAyNgEAAAAgegUAAgAAAAgtMzEuNjgyMQEIAAAABQAAAAExAQAAAAstMTg4MTA2ODI5NQMAAAADMTYwAgAAAAQ0MTk0BAAAAAEwBwAAAAk3LzMxLzIwMjYIAAAACTUvMzAvMjAyNgkAAAABMLBTuDM7794IsFO4Mzvv3ggwQ0lRLk5BU0RBUTpDQUxNLklRX0dQXzFZUl9BTk5fR1JPV1RILi4zMS8wNy8yMDI2AQAAACB6BQACAAAACC02My42OTA0AQgAAAAFAAAAATEBAAAACy0xODgxMDY4Mjk1AwAAAAMxNjACAAAABDQxOTUEAAAAATAHAAAACTcvMzEvMjAyNggAAAAJNS8zMC8yMDI2CQAAAAEwsFO4Mzvv3giwU7gzO+/eCDRDSVEuTkFTREFROkNBTE0uSVFfRUJJVERBXzFZUl9BTk5fR1JPV1RILi4zMS8wNy8y</t>
  </si>
  <si>
    <t>MDI2AQAAACB6BQACAAAACC03MS42OTAzAQgAAAAFAAAAATEBAAAACy0xODgxMDY4Mjk1AwAAAAMxNjACAAAABDQxOTYEAAAAATAHAAAACTcvMzEvMjAyNggAAAAJNS8zMC8yMDI2CQAAAAEwsFO4Mzvv3giwU7gzO+/eCDJDSVEuTkFTREFROkNBTE0uSVFfRUJJVF8xWVJfQU5OX0dST1dUSC4uMzEvMDcvMjAyNgEAAAAgegUAAgAAAAgtNzcuOTYyNgEIAAAABQAAAAExAQAAAAstMTg4MTA2ODI5NQMAAAADMTYwAgAAAAQ0MTk3BAAAAAEwBwAAAAk3LzMxLzIwMjYIAAAACTUvMzAvMjAyNgkAAAABMLBTuDM7794IsFO4Mzvv3ggwQ0lRLk5BU0RBUTpDQUxNLklRX05JXzFZUl9BTk5fR1JPV1RILi4zMS8wNy8yMDI2AQAAACB6BQACAAAACC03NC4wNDM1AQgAAAAFAAAAATEBAAAACy0xODgxMDY4Mjk1AwAAAAMxNjACAAAABDQxOTkEAAAAATAHAAAACTcvMzEvMjAyNggAAAAJNS8zMC8yMDI2CQAAAAEwsFO4Mzvv3giwU7gzO+/eCDFDSVEuTkFTREFROkNBTE0uSVFfRVBTXzFZUl9BTk5fR1JPV1RILi4zMS8wNy8yMDI2AQAAACB6BQACAAAACC03My40MjY5AQgAAAAFAAAAATEBAAAACy0xODgxMDY4Mjk1AwAAAAMxNjACAAAABDQyMDAEAAAAATAHAAAACTcvMzEvMjAyNggAAAAJNS8zMC8yMDI2CQAAAAEwsFO4Mzvv3giwU7gzO+/eCDVDSVEuTkFTREFROkNBTE0uSVFfVE9UQUxfUkVWXzNZUl9BTk5fQ0FHUi4u</t>
  </si>
  <si>
    <t>MzEvMDcvMjAyNgEAAAAgegUAAgAAAActMi41NDk4AQgAAAAFAAAAATEBAAAACy0xODgxMDY4Mjk1AwAAAAMxNjACAAAABDQyMjAEAAAAATAHAAAACTcvMzEvMjAyNggAAAAJNS8zMC8yMDI2CQAAAAEwsFO4Mzvv3giwU7gzO+/eCC5DSVEuTkFTREFROkNBTE0uSVFfR1BfM1lSX0FOTl9DQUdSLi4zMS8wNy8yMDI2AQAAACB6BQACAAAABy0xNy40OTEBCAAAAAUAAAABMQEAAAALLTE4ODEwNjgyOTUDAAAAAzE2MAIAAAAENDIyMQQAAAABMAcAAAAJNy8zMS8yMDI2CAAAAAk1LzMwLzIwMjYJAAAAATCwU7gzO+/eCLBTuDM7794IMkNJUS5OQVNEQVE6Q0FMTS5JUV9FQklUREFfM1lSX0FOTl9DQUdSLi4zMS8wNy8yMDI2AQAAACB6BQACAAAACC0yMy4yOTkyAQgAAAAFAAAAATEBAAAACy0xODgxMDY4Mjk1AwAAAAMxNjACAAAABDQyMjIEAAAAATAHAAAACTcvMzEvMjAyNggAAAAJNS8zMC8yMDI2CQAAAAEwsFO4Mzvv3giwU7gzO+/eCDBDSVEuTkFTREFROkNBTE0uSVFfRUJJVF8zWVJfQU5OX0NBR1IuLjMxLzA3LzIwMjYBAAAAIHoFAAIAAAAILTI5LjEyMTIBCAAAAAUAAAABMQEAAAALLTE4ODEwNjgyOTUDAAAAAzE2MAIAAAAENDIyMwQAAAABMAcAAAAJNy8zMS8yMDI2CAAAAAk1LzMwLzIwMjYJAAAAATCwU7gzO+/eCLBTuDM7794ILkNJUS5OQVNEQVE6Q0FMTS5JUV9OSV8zWVJfQU5OX0NBR1IuLjMxLzA3</t>
  </si>
  <si>
    <t>LzIwMjYBAAAAIHoFAAIAAAAILTI1LjI0MzkBCAAAAAUAAAABMQEAAAALLTE4ODEwNjgyOTUDAAAAAzE2MAIAAAAENDIyNQQAAAABMAcAAAAJNy8zMS8yMDI2CAAAAAk1LzMwLzIwMjYJAAAAATCwU7gzO+/eCLBTuDM7794IL0NJUS5OQVNEQVE6Q0FMTS5JUV9FUFNfM1lSX0FOTl9DQUdSLi4zMS8wNy8yMDI2AQAAACB6BQACAAAACC0yNC42ODY0AQgAAAAFAAAAATEBAAAACy0xODgxMDY4Mjk1AwAAAAMxNjACAAAABDQyMjYEAAAAATAHAAAACTcvMzEvMjAyNggAAAAJNS8zMC8yMDI2CQAAAAEwsFO4Mzvv3giwU7gzO+/eCDVDSVEuTkFTREFROkNBTE0uSVFfVE9UQUxfUkVWXzVZUl9BTk5fQ0FHUi4uMzEvMDcvMjAyNgEAAAAgegUAAgAAAAcxNi42MzQyAQgAAAAFAAAAATEBAAAACy0xODgxMDY4Mjk1AwAAAAMxNjACAAAABDQyMzMEAAAAATAHAAAACTcvMzEvMjAyNggAAAAJNS8zMC8yMDI2CQAAAAEwsFO4Mzvv3giwU7gzO+/eCC5DSVEuTkFTREFROkNBTE0uSVFfR1BfNVlSX0FOTl9DQUdSLi4zMS8wNy8yMDI2AQAAACB6BQACAAAABzMzLjEzNjgBCAAAAAUAAAABMQEAAAALLTE4ODEwNjgyOTUDAAAAAzE2MAIAAAAENDIzNAQAAAABMAcAAAAJNy8zMS8yMDI2CAAAAAk1LzMwLzIwMjYJAAAAATCwU7gzO+/eCLBTuDM7794IMkNJUS5OQVNEQVE6Q0FMTS5JUV9FQklUREFfNVlSX0FOTl9DQUdSLi4zMS8w</t>
  </si>
  <si>
    <t>Ny8yMDI2AQAAACB6BQACAAAABzY2LjgyNTYBCAAAAAUAAAABMQEAAAALLTE4ODEwNjgyOTUDAAAAAzE2MAIAAAAENDIzNQQAAAABMAcAAAAJNy8zMS8yMDI2CAAAAAk1LzMwLzIwMjYJAAAAATCwU7gzO+/eCLBTuDM7794IMENJUS5OQVNEQVE6Q0FMTS5JUV9FQklUXzVZUl9BTk5fQ0FHUi4uMzEvMDcvMjAyNgEAAAAgegUAAwAAAAJOTQEIAAAABQAAAAExAQAAAAstMTg4MTA2ODI5NQMAAAADMTYwAgAAAAQ0MjM2BAAAAAEwBwAAAAk3LzMxLzIwMjYIAAAACTUvMzAvMjAyNgkAAAABMLBTuDM7794IsFO4Mzvv3gguQ0lRLk5BU0RBUTpDQUxNLklRX05JXzVZUl9BTk5fQ0FHUi4uMzEvMDcvMjAyNgEAAAAgegUAAgAAAAgxNzMuNzQ4MgEIAAAABQAAAAExAQAAAAstMTg4MTA2ODI5NQMAAAADMTYwAgAAAAQ0MjM4BAAAAAEwBwAAAAk3LzMxLzIwMjYIAAAACTUvMzAvMjAyNgkAAAABMLBTuDM7794IsFO4Mzvv3ggvQ0lRLk5BU0RBUTpDQUxNLklRX0VQU181WVJfQU5OX0NBR1IuLjMxLzA3LzIwMjYBAAAAIHoFAAIAAAAIMTc3LjkwMTQBCAAAAAUAAAABMQEAAAALLTE4ODEwNjgyOTUDAAAAAzE2MAIAAAAENDIzOQQAAAABMAcAAAAJNy8zMS8yMDI2CAAAAAk1LzMwLzIwMjYJAAAAATCwU7gzO+/eCLBTuDM7794IKkNJUS5OQVNEQVE6Q0FMTS5JUV9SRVYuLjMxLzA3LzIwMjYuLi5VU0QuSAEAAAAgegUAAgAA</t>
  </si>
  <si>
    <t>AAgyOTExLjYzMgEIAAAABQAAAAExAQAAAAstMTg4MTA2ODI5NQMAAAADMTYwAgAAAAMxMTIEAAAAATAHAAAACTcvMzEvMjAyNggAAAAJNS8zMC8yMDI2CQAAAAEwfgYSNDvv3gh+BhI0O+/eCDJDSVEuTkFTREFROkNBTE0uSVFfRklOX0RJVl9SRVYuLjMxLzA3LzIwMjYuLi5VU0QuSAEAAAAgegUAAwAAAAAAfgYSNDvv3gh+BhI0O+/eCDJDSVEuTkFTREFROkNBTE0uSVFfSU5TX0RJVl9SRVYuLjMxLzA3LzIwMjYuLi5VU0QuSAEAAAAgegUAAwAAAAAAfgYSNDvv3gh+BhI0O+/eCDZDSVEuTkFTREFROkNBTE0uSVFfR0FJTl9BU1NFVFNfUkVWLi4zMS8wNy8yMDI2Li4uVVNELkgBAAAAIHoFAAMAAAAAAH4GEjQ7794IfgYSNDvv3gg2Q0lRLk5BU0RBUTpDQUxNLklRX0dBSU5fSU5WRVNUX1JFVi4uMzEvMDcvMjAyNi4uLlVTRC5IAQAAACB6BQADAAAAAAB+BhI0O+/eCH4GEjQ7794IMkNJUS5OQVNEQVE6Q0FMTS5JUV9JTlRfSU5WX0lOQy4uMzEvMDcvMjAyNi4uLlVTRC5IAQAAACB6BQADAAAAAAB+BhI0O+/eCH4GEjQ7794INkNJUS5OQVNEQVE6Q0FMTS5JUV9PVEhFUl9SRVZfU1VQUEwuLjMxLzA3LzIwMjYuLi5VU0QuSAEAAAAgegUAAwAAAAAAfgYSNDvv3gh+BhI0O+/eCDBDSVEuTkFTREFROkNBTE0uSVFfVE9UQUxfUkVWLi4zMS8wNy8yMDI2Li4uVVNELkgBAAAAIHoFAAIAAAAIMjkxMS42MzIBCAAA</t>
  </si>
  <si>
    <t>AAUAAAABMQEAAAALLTE4ODEwNjgyOTUDAAAAAzE2MAIAAAACMjgEAAAAATAHAAAACTcvMzEvMjAyNggAAAAJNS8zMC8yMDI2CQAAAAEwfgYSNDvv3gh+BhI0O+/eCCtDSVEuTkFTREFROkNBTE0uSVFfQ09HUy4uMzEvMDcvMjAyNi4uLlVTRC5IAQAAACB6BQACAAAACDIyMzkuNTgzAQgAAAAFAAAAATEBAAAACy0xODgxMDY4Mjk1AwAAAAMxNjACAAAAAjM0BAAAAAEwBwAAAAk3LzMxLzIwMjYIAAAACTUvMzAvMjAyNgkAAAABMH4GEjQ7794IfgYSNDvv3ggyQ0lRLk5BU0RBUTpDQUxNLklRX0ZJTl9ESVZfRVhQLi4zMS8wNy8yMDI2Li4uVVNELkgBAAAAIHoFAAMAAAAAAEAtEjQ7794IQC0SNDvv3ggyQ0lRLk5BU0RBUTpDQUxNLklRX0lOU19ESVZfRVhQLi4zMS8wNy8yMDI2Li4uVVNELkgBAAAAIHoFAAMAAAAAAEAtEjQ7794IQC0SNDvv3gg2Q0lRLk5BU0RBUTpDQUxNLklRX0ZJTl9ESVZfSU5UX0VYUC4uMzEvMDcvMjAyNi4uLlVTRC5IAQAAACB6BQADAAAAAABALRI0O+/eCEAtEjQ7794IKUNJUS5OQVNEQVE6Q0FMTS5JUV9HUC4uMzEvMDcvMjAyNi4uLlVTRC5IAQAAACB6BQACAAAABzY3Mi4wNDkBCAAAAAUAAAABMQEAAAALLTE4ODEwNjgyOTUDAAAAAzE2MAIAAAACMTAEAAAAATAHAAAACTcvMzEvMjAyNggAAAAJNS8zMC8yMDI2CQAAAAEwQC0SNDvv3ghALRI0O+/eCDBDSVEuTkFTREFROkNBTE0u</t>
  </si>
  <si>
    <t>SVFfU0dBX1NVUFBMLi4zMS8wNy8yMDI2Li4uVVNELkgBAAAAIHoFAAIAAAAHMzI4LjY5NwEIAAAABQAAAAExAQAAAAstMTg4MTA2ODI5NQMAAAADMTYwAgAAAAMxMDIEAAAAATAHAAAACTcvMzEvMjAyNggAAAAJNS8zMC8yMDI2CQAAAAEwQC0SNDvv3ghALRI0O+/eCDRDSVEuTkFTREFROkNBTE0uSVFfRVhQTE9SRV9EUklMTC4uMzEvMDcvMjAyNi4uLlVTRC5IAQAAACB6BQADAAAAAABALRI0O+/eCEAtEjQ7794INUNJUS5OQVNEQVE6Q0FMTS5JUV9QUk9WX0JBRF9ERUJUUy4uMzEvMDcvMjAyNi4uLlVTRC5IAQAAACB6BQADAAAAAABALRI0O+/eCEAtEjQ7794IMkNJUS5OQVNEQVE6Q0FMTS5JUV9TVE9DS19CQVNFRC4uMzEvMDcvMjAyNi4uLlVTRC5IAQAAACB6BQADAAAAAABALRI0O+/eCEAtEjQ7794INENJUS5OQVNEQVE6Q0FMTS5JUV9QUkVfT1BFTl9DT1NULi4zMS8wNy8yMDI2Li4uVVNELkgBAAAAIHoFAAMAAAAAAEAtEjQ7794IQC0SNDvv3ggtQ0lRLk5BU0RBUTpDQUxNLklRX1JEX0VYUC4uMzEvMDcvMjAyNi4uLlVTRC5IAQAAACB6BQADAAAAAABALRI0O+/eCEAtEjQ7794IL0NJUS5OQVNEQVE6Q0FMTS5JUV9EQV9TVVBQTC4uMzEvMDcvMjAyNi4uLlVTRC5IAQAAACB6BQADAAAAAABALRI0O+/eCEAtEjQ7794INUNJUS5OQVNEQVE6Q0FMTS5JUV9HV19JTlRBTl9BTU9SVC4uMzEvMDcvMjAy</t>
  </si>
  <si>
    <t>Ni4uLlVTRC5IAQAAACB6BQADAAAAAABALRI0O+/eCEAtEjQ7794IMUNJUS5OQVNEQVE6Q0FMTS5JUV9JTVBBSVJfT0lMLi4zMS8wNy8yMDI2Li4uVVNELkgBAAAAIHoFAAMAAAAAAEAtEjQ7794IQC0SNDvv3ggxQ0lRLk5BU0RBUTpDQUxNLklRX09USEVSX09QRVIuLjMxLzA3LzIwMjYuLi5VU0QuSAEAAAAgegUAAwAAAAAAQC0SNDvv3ghALRI0O+/eCDdDSVEuTkFTREFROkNBTE0uSVFfVE9UQUxfT1RIRVJfT1BFUi4uMzEvMDcvMjAyNi4uLlVTRC5IAQAAACB6BQACAAAABzMyOC42OTcBCAAAAAUAAAABMQEAAAALLTE4ODEwNjgyOTUDAAAAAzE2MAIAAAADMzgwBAAAAAEwBwAAAAk3LzMxLzIwMjYIAAAACTUvMzAvMjAyNgkAAAABMEAtEjQ7794IQC0SNDvv3ggvQ0lRLk5BU0RBUTpDQUxNLklRX09QRVJfSU5DLi4zMS8wNy8yMDI2Li4uVVNELkgBAAAAIHoFAAIAAAAHMzQzLjM1MgEIAAAABQAAAAExAQAAAAstMTg4MTA2ODI5NQMAAAADMTYwAgAAAAIyMQQAAAABMAcAAAAJNy8zMS8yMDI2CAAAAAk1LzMwLzIwMjYJAAAAATBALRI0O+/eCEAtEjQ7794IM0NJUS5OQVNEQVE6Q0FMTS5JUV9JTlRFUkVTVF9FWFAuLjMxLzA3LzIwMjYuLi5VU0QuSAEAAAAgegUAAgAAAAYtMC41NTYBCAAAAAUAAAABMQEAAAALLTE4ODEwNjgyOTUDAAAAAzE2MAIAAAACODIEAAAAATAHAAAACTcvMzEvMjAyNggAAAAJNS8z</t>
  </si>
  <si>
    <t>MC8yMDI2CQAAAAEwQC0SNDvv3ghALRI0O+/eCDpDSVEuTkFTREFROkNBTE0uSVFfSU5URVJFU1RfSU5WRVNUX0lOQy4uMzEvMDcvMjAyNi4uLlVTRC5IAQAAACB6BQACAAAABjU4LjQwMQEIAAAABQAAAAExAQAAAAstMTg4MTA2ODI5NQMAAAADMTYwAgAAAAI2NQQAAAABMAcAAAAJNy8zMS8yMDI2CAAAAAk1LzMwLzIwMjYJAAAAATBALRI0O+/eCEAtEjQ7794IN0NJUS5OQVNEQVE6Q0FMTS5JUV9ORVRfSU5URVJFU1RfRVhQLi4zMS8wNy8yMDI2Li4uVVNELkgBAAAAIHoFAAIAAAAGNTcuODQ1AQgAAAAFAAAAATEBAAAACy0xODgxMDY4Mjk1AwAAAAMxNjACAAAAAzM2OAQAAAABMAcAAAAJNy8zMS8yMDI2CAAAAAk1LzMwLzIwMjYJAAAAATBALRI0O+/eCEAtEjQ7794IMUNJUS5OQVNEQVE6Q0FMTS5JUV9JTkNfRVFVSVRZLi4zMS8wNy8yMDI2Li4uVVNELkgBAAAAIHoFAAIAAAAELTEuMwEIAAAABQAAAAExAQAAAAstMTg4MTA2ODI5NQMAAAADMTYwAgAAAAI0NwQAAAABMAcAAAAJNy8zMS8yMDI2CAAAAAk1LzMwLzIwMjYJAAAAATBALRI0O+/eCEAtEjQ7794INENJUS5OQVNEQVE6Q0FMTS5JUV9DVVJSRU5DWV9HQUlOLi4zMS8wNy8yMDI2Li4uVVNELkgBAAAAIHoFAAMAAAAAAEAtEjQ7794IQC0SNDvv3gg/Q0lRLk5BU0RBUTpDQUxNLklRX09USEVSX05PTl9PUEVSX0VYUF9TVVBQTC4uMzEvMDcvMjAy</t>
  </si>
  <si>
    <t>Ni4uLlVTRC5IAQAAACB6BQACAAAABjEzLjA5MgEIAAAABQAAAAExAQAAAAstMTg4MTA2ODI5NQMAAAADMTYwAgAAAAI4NQQAAAABMAcAAAAJNy8zMS8yMDI2CAAAAAk1LzMwLzIwMjYJAAAAATBALRI0O+/eCEAtEjQ7794IL0NJUS5OQVNEQVE6Q0FMTS5JUV9FQlRfRVhDTC4uMzEvMDcvMjAyNi4uLlVTRC5IAQAAACB6BQACAAAABzQxMi45ODkBCAAAAAUAAAABMQEAAAALLTE4ODEwNjgyOTUDAAAAAzE2MAIAAAABNAQAAAABMAcAAAAJNy8zMS8yMDI2CAAAAAk1LzMwLzIwMjYJAAAAATBALRI0O+/eCEAtEjQ7794IMkNJUS5OQVNEQVE6Q0FMTS5JUV9SRVNUUlVDVFVSRS4uMzEvMDcvMjAyNi4uLlVTRC5IAQAAACB6BQADAAAAAABALRI0O+/eCEAtEjQ7794ILUNJUS5OQVNEQVE6Q0FMTS5JUV9NRVJHRVIuLjMxLzA3LzIwMjYuLi5VU0QuSAEAAAAgegUAAgAAAAYtMC41OTQBCAAAAAUAAAABMQEAAAALLTE4ODEwNjgyOTUDAAAAAzE2MAIAAAACODAEAAAAATAHAAAACTcvMzEvMjAyNggAAAAJNS8zMC8yMDI2CQAAAAEwQC0SNDvv3ghALRI0O+/eCDRDSVEuTkFTREFROkNBTE0uSVFfSU1QQUlSTUVOVF9HVy4uMzEvMDcvMjAyNi4uLlVTRC5IAQAAACB6BQADAAAAAABALRI0O+/eCEAtEjQ7794IMkNJUS5OQVNEQVE6Q0FMTS5JUV9HQUlOX0lOVkVTVC4uMzEvMDcvMjAyNi4uLlVTRC5IAQAAACB6BQADAAAA</t>
  </si>
  <si>
    <t>AABALRI0O+/eCEAtEjQ7794IMkNJUS5OQVNEQVE6Q0FMTS5JUV9HQUlOX0FTU0VUUy4uMzEvMDcvMjAyNi4uLlVTRC5IAQAAACB6BQACAAAABi0xLjM5MQEIAAAABQAAAAExAQAAAAstMTg4MTA2ODI5NQMAAAADMTYwAgAAAAI1NgQAAAABMAcAAAAJNy8zMS8yMDI2CAAAAAk1LzMwLzIwMjYJAAAAATBALRI0O+/eCEAtEjQ7794INkNJUS5OQVNEQVE6Q0FMTS5JUV9BU1NFVF9XUklURURPV04uLjMxLzA3LzIwMjYuLi5VU0QuSAEAAAAgegUAAwAAAAAAQC0SNDvv3ghALRI0O+/eCCtDSVEuTkFTREFROkNBTE0uSVFfSVBSRC4uMzEvMDcvMjAyNi4uLlVTRC5IAQAAACB6BQADAAAAAABALRI0O+/eCEAtEjQ7794IMUNJUS5OQVNEQVE6Q0FMTS5JUV9JTlNfU0VUVExFLi4zMS8wNy8yMDI2Li4uVVNELkgBAAAAIHoFAAMAAAAAAEAtEjQ7794IQC0SNDvv3ggzQ0lRLk5BU0RBUTpDQUxNLklRX0xFR0FMX1NFVFRMRS4uMzEvMDcvMjAyNi4uLlVTRC5IAQAAACB6BQADAAAAAABALRI0O+/eCEAtEjQ7794IOkNJUS5OQVNEQVE6Q0FMTS5JUV9PVEhFUl9VTlVTVUFMX1NVUFBMLi4zMS8wNy8yMDI2Li4uVVNELkgBAAAAIHoFAAMAAAAAAFFUEjQ7794IUVQSNDvv3ggqQ0lRLk5BU0RBUTpDQUxNLklRX0VCVC4uMzEvMDcvMjAyNi4uLlVTRC5IAQAAACB6BQACAAAABzQxMS4wMDQBCAAAAAUAAAABMQEAAAALLTE4ODEw</t>
  </si>
  <si>
    <t>NjgyOTUDAAAAAzE2MAIAAAADMTM5BAAAAAEwBwAAAAk3LzMxLzIwMjYIAAAACTUvMzAvMjAyNgkAAAABMFFUEjQ7794IUVQSNDvv3gguQ0lRLk5BU0RBUTpDQUxNLklRX0lOQ19UQVguLjMxLzA3LzIwMjYuLi5VU0QuSAEAAAAgegUAAgAAAAY5Mi44OTIBCAAAAAUAAAABMQEAAAALLTE4ODEwNjgyOTUDAAAAAzE2MAIAAAACNzUEAAAAATAHAAAACTcvMzEvMjAyNggAAAAJNS8zMC8yMDI2CQAAAAEwUVQSNDvv3ghRVBI0O+/eCDFDSVEuTkFTREFROkNBTE0uSVFfRUFSTklOR19DTy4uMzEvMDcvMjAyNi4uLlVTRC5IAQAAACB6BQACAAAABzMxOC4xMTIBCAAAAAUAAAABMQEAAAALLTE4ODEwNjgyOTUDAAAAAzE2MAIAAAABNwQAAAABMAcAAAAJNy8zMS8yMDI2CAAAAAk1LzMwLzIwMjYJAAAAATBRVBI0O+/eCFFUEjQ7794IKUNJUS5OQVNEQVE6Q0FMTS5JUV9ETy4uMzEvMDcvMjAyNi4uLlVTRC5IAQAAACB6BQADAAAAAABRVBI0O+/eCFFUEjQ7794INkNJUS5OQVNEQVE6Q0FMTS5JUV9FWFRSQV9BQ0NfSVRFTVMuLjMxLzA3LzIwMjYuLi5VU0QuSAEAAAAgegUAAwAAAAAAUVQSNDvv3ghRVBI0O+/eCDFDSVEuTkFTREFROkNBTE0uSVFfTklfQ09NUEFOWS4uMzEvMDcvMjAyNi4uLlVTRC5IAQAAACB6BQACAAAABzMxOC4xMTIBCAAAAAUAAAABMQEAAAALLTE4ODEwNjgyOTUDAAAAAzE2MAIAAAAFNDE1NzEE</t>
  </si>
  <si>
    <t>AAAAATAHAAAACTcvMzEvMjAyNggAAAAJNS8zMC8yMDI2CQAAAAEwUVQSNDvv3ghRVBI0O+/eCDtDSVEuTkFTREFROkNBTE0uSVFfTUlOT1JJVFlfSU5URVJFU1RfSVMuLjMxLzA3LzIwMjYuLi5VU0QuSAEAAAAgegUAAgAAAAUtMS40MwEIAAAABQAAAAExAQAAAAstMTg4MTA2ODI5NQMAAAADMTYwAgAAAAI4MwQAAAABMAcAAAAJNy8zMS8yMDI2CAAAAAk1LzMwLzIwMjYJAAAAATBRVBI0O+/eCFFUEjQ7794IKUNJUS5OQVNEQVE6Q0FMTS5JUV9OSS4uMzEvMDcvMjAyNi4uLlVTRC5IAQAAACB6BQACAAAABzMxNi42ODIBCAAAAAUAAAABMQEAAAALLTE4ODEwNjgyOTUDAAAAAzE2MAIAAAACMTUEAAAAATAHAAAACTcvMzEvMjAyNggAAAAJNS8zMC8yMDI2CQAAAAEwUVQSNDvv3ghRVBI0O+/eCDVDSVEuTkFTREFROkNBTE0uSVFfUFJFRl9ESVZfT1RIRVIuLjMxLzA3LzIwMjYuLi5VU0QuSAEAAAAgegUAAwAAAAAAUVQSNDvv3ghRVBI0O+/eCDRDSVEuTkFTREFROkNBTE0uSVFfTklfQVZBSUxfSU5DTC4uMzEvMDcvMjAyNi4uLlVTRC5IAQAAACB6BQACAAAABzMxNi42ODIBCAAAAAUAAAABMQEAAAALLTE4ODEwNjgyOTUDAAAAAzE2MAIAAAACMTYEAAAAATAHAAAACTcvMzEvMjAyNggAAAAJNS8zMC8yMDI2CQAAAAEwUVQSNDvv3ghRVBI0O+/eCDRDSVEuTkFTREFROkNBTE0uSVFfTklfQVZBSUxfRVhDTC4u</t>
  </si>
  <si>
    <t>MzEvMDcvMjAyNi4uLlVTRC5IAQAAACB6BQACAAAABzMxNi42ODIBCAAAAAUAAAABMQEAAAALLTE4ODEwNjgyOTUDAAAAAzE2MAIAAAADMzc5BAAAAAEwBwAAAAk3LzMxLzIwMjYIAAAACTUvMzAvMjAyNgkAAAABMFFUEjQ7794IUVQSNDvv3gg1Q0lRLk5BU0RBUTpDQUxNLklRX0JBU0lDX0VQU19JTkNMLi4zMS8wNy8yMDI2Li4uVVNELkgBAAAAIHoFAAIAAAAINi42NDYwMDIBCAAAAAUAAAABMQEAAAALLTE4ODEwNjgyOTUDAAAAAzE2MAIAAAABOQQAAAABMAcAAAAJNy8zMS8yMDI2CAAAAAk1LzMwLzIwMjYJAAAAATBRVBI0O+/eCFFUEjQ7794INUNJUS5OQVNEQVE6Q0FMTS5JUV9CQVNJQ19FUFNfRVhDTC4uMzEvMDcvMjAyNi4uLlVTRC5IAQAAACB6BQACAAAACDYuNjQ2MDAyAQgAAAAFAAAAATEBAAAACy0xODgxMDY4Mjk1AwAAAAMxNjACAAAABDMwNjQEAAAAATAHAAAACTcvMzEvMjAyNggAAAAJNS8zMC8yMDI2CQAAAAEwUVQSNDvv3ghRVBI0O+/eCDVDSVEuTkFTREFROkNBTE0uSVFfRElMVVRfRVBTX0lOQ0wuLjMxLzA3LzIwMjYuLi5VU0QuSAEAAAAgegUAAgAAAAQ2LjYzAQgAAAAFAAAAATEBAAAACy0xODgxMDY4Mjk1AwAAAAMxNjACAAAAATgEAAAAATAHAAAACTcvMzEvMjAyNggAAAAJNS8zMC8yMDI2CQAAAAEwUVQSNDvv3ghRVBI0O+/eCDVDSVEuTkFTREFROkNBTE0uSVFfRElMVVRfRVBT</t>
  </si>
  <si>
    <t>X0VYQ0wuLjMxLzA3LzIwMjYuLi5VU0QuSAEAAAAgegUAAgAAAAQ2LjYzAQgAAAAFAAAAATEBAAAACy0xODgxMDY4Mjk1AwAAAAMxNjACAAAAAzE0MgQAAAABMAcAAAAJNy8zMS8yMDI2CAAAAAk1LzMwLzIwMjYJAAAAATBRVBI0O+/eCFFUEjQ7794IL0NJUS5OQVNEQVE6Q0FMTS5JUV9FUFNfTk9STS4uMzEvMDcvMjAyNi4uLlVTRC5IAQAAACB6BQACAAAACDUuMzg2OTQ5AQgAAAAFAAAAATEBAAAACy0xODgxMDY4Mjk1AwAAAAMxNjACAAAABDQzNzkEAAAAATAHAAAACTcvMzEvMjAyNggAAAAJNS8zMC8yMDI2CQAAAAEwUVQSNDvv3ghRVBI0O+/eCDVDSVEuTkFTREFROkNBTE0uSVFfRElMVVRfRVBTX05PUk0uLjMxLzA3LzIwMjYuLi5VU0QuSAEAAAAgegUAAgAAAAg1LjM3MjE3OQEIAAAABQAAAAExAQAAAAstMTg4MTA2ODI5NQMAAAADMTYwAgAAAAQ0MzgwBAAAAAEwBwAAAAk3LzMxLzIwMjYIAAAACTUvMzAvMjAyNgkAAAABMFFUEjQ7794IUVQSNDvv3ghLQ0lRLk5BU0RBUTpDQUxNLklRX0RJU1RSSUJVVEFCTEVfQ0FTSF9QRVJfU0hBUkVfRElMVVRFRC4uMzEvMDcvMjAyNi4uLlVTRC5IAQAAACB6BQADAAAAAABRVBI0O+/eCFFUEjQ7794IMENJUS5OQVNEQVE6Q0FMTS5JUV9ESVZfU0hBUkUuLjMxLzA3LzIwMjYuLi5VU0QuSAEAAAAgegUAAgAAAAUyLjQ1OAEIAAAABQAAAAExAQAAAAstMTg4MTA2</t>
  </si>
  <si>
    <t>ODI5NQMAAAADMTYwAgAAAAQzMDU4BAAAAAEwBwAAAAk3LzMxLzIwMjYIAAAACTUvMzAvMjAyNgkAAAABMFFUEjQ7794IUVQSNDvv3gg2Q0lRLk5BU0RBUTpDQUxNLklRX1RPVEFMX1JFVl9TSEFSRS4uMzEvMDcvMjAyNi4uLlVTRC5IAQAAACB6BQACAAAACTYxLjEwNDU1NAEIAAAABQAAAAExAQAAAAstMTg4MTA2ODI5NQMAAAADMTYwAgAAAAQ0MzgyBAAAAAEwBwAAAAk3LzMxLzIwMjYIAAAACTUvMzAvMjAyNgkAAAABMFFUEjQ7794IUVQSNDvv3gg/Q0lRLk5BU0RBUTpDQUxNLklRX0RJU1RSSUJVVEFCTEVfQ0FTSF9TSEFSRS4uMzEvMDcvMjAyNi4uLlVTRC5IAQAAACB6BQADAAAAAABRVBI0O+/eCFFUEjQ7794IOENJUS5OQVNEQVE6Q0FMTS5JUV9TUEVDSUFMX0RJVl9TSEFSRS4uMzEvMDcvMjAyNi4uLlVTRC5IAQAAACB6BQADAAAAAABRVBI0O+/eCFFUEjQ7794ILUNJUS5OQVNEQVE6Q0FMTS5JUV9FQklUREEuLjMxLzA3LzIwMjYuLi5VU0QuSAEAAAAgegUAAgAAAAc0NjcuNjk0AQgAAAAFAAAAATEBAAAACy0xODgxMDY4Mjk1AwAAAAMxNjACAAAABDQwNTEEAAAAATAHAAAACTcvMzEvMjAyNggAAAAJNS8zMC8yMDI2CQAAAAEwUVQSNDvv3ghRVBI0O+/eCDRDSVEuTkFTREFROkNBTE0uSVFfRUJJVERBX0VRX0lOQy4uMzEvMDcvMjAyNi4uLlVTRC5IAQAAACB6BQACAAAABzQ2Ni4zOTQBCAAAAAUA</t>
  </si>
  <si>
    <t>AAABMQEAAAALLTE4ODEwNjgyOTUDAAAAAzE2MAIAAAAFMjE2NzcEAAAAATAHAAAACTcvMzEvMjAyNggAAAAJNS8zMC8yMDI2CQAAAAEwUVQSNDvv3ghRVBI0O+/eCD1DSVEuTkFTREFROkNBTE0uSVFfRUJJVERBX0VRX0lOQ19FWENMX1NCQy4uMzEvMDcvMjAyNi4uLlVTRC5IAQAAACB6BQACAAAABzQ3Mi4xNTEBCAAAAAUAAAABMQEAAAALLTE4ODEwNjgyOTUDAAAAAzE2MAIAAAAFMjQxMzEEAAAAATAHAAAACTcvMzEvMjAyNggAAAAJNS8zMC8yMDI2CQAAAAEwUVQSNDvv3ghRVBI0O+/eCDZDSVEuTkFTREFROkNBTE0uSVFfRUJJVERBX0VYQ0xfU0JDLi4zMS8wNy8yMDI2Li4uVVNELkgBAAAAIHoFAAIAAAAHNDczLjQ1MQEIAAAABQAAAAExAQAAAAstMTg4MTA2ODI5NQMAAAADMTYwAgAAAAUyNDEzNQQAAAABMAcAAAAJNy8zMS8yMDI2CAAAAAk1LzMwLzIwMjYJAAAAATBRVBI0O+/eCFFUEjQ7794IPENJUS5OQVNEQVE6Q0FMTS5JUV9FQklUREFfTEVBU0VfQURKVVNURUQuLjMxLzA3LzIwMjYuLi5VU0QuSAEAAAAgegUAAgAAAAc0NjcuNjk0AQgAAAAFAAAAATEBAAAACy0xODgxMDY4Mjk1AwAAAAMxNjACAAAABTQ4OTkzBAAAAAEwBwAAAAk3LzMxLzIwMjYIAAAACTUvMzAvMjAyNgkAAAABMFFUEjQ7794IUVQSNDvv3gg+Q0lRLk5BU0RBUTpDQUxNLklRX0xFQVNFX0FESlVTVE1FTlRfRUJJVERBLi4z</t>
  </si>
  <si>
    <t>MS8wNy8yMDI2Li4uVVNELkgBAAAAIHoFAAMAAAAAAFFUEjQ7794IUVQSNDvv3ghIQ0lRLk5BU0RBUTpDQUxNLklRX0VCSVREQV9FUV9JTkNfRVhDTF9PUEVSX0xFQVNFX0FESi4uMzEvMDcvMjAyNi4uLlVTRC5IAQAAACB6BQACAAAABzQ2Ni4zOTQBCAAAAAUAAAABMQEAAAALLTE4ODEwNjgyOTUDAAAAAzE2MAIAAAAFNDg5ODcEAAAAATAHAAAACTcvMzEvMjAyNggAAAAJNS8zMC8yMDI2CQAAAAEwUVQSNDvv3ghRVBI0O+/eCCtDSVEuTkFTREFROkNBTE0uSVFfRUJJVC4uMzEvMDcvMjAyNi4uLlVTRC5IAQAAACB6BQACAAAABzM0My4zNTIBCAAAAAUAAAABMQEAAAALLTE4ODEwNjgyOTUDAAAAAzE2MAIAAAADNDAwBAAAAAEwBwAAAAk3LzMxLzIwMjYIAAAACTUvMzAvMjAyNgkAAAABMFFUEjQ7794IUVQSNDvv3ggyQ0lRLk5BU0RBUTpDQUxNLklRX0VCSVRfRVFfSU5DLi4zMS8wNy8yMDI2Li4uVVNELkgBAAAAIHoFAAIAAAAHMzQyLjA1MgEIAAAABQAAAAExAQAAAAstMTg4MTA2ODI5NQMAAAADMTYwAgAAAAUyMTY3NQQAAAABMAcAAAAJNy8zMS8yMDI2CAAAAAk1LzMwLzIwMjYJAAAAATBRVBI0O+/eCFFUEjQ7794IO0NJUS5OQVNEQVE6Q0FMTS5JUV9FQklUX0VRX0lOQ19FWENMX1NCQy4uMzEvMDcvMjAyNi4uLlVTRC5IAQAAACB6BQACAAAABzM0Ny44MDkBCAAAAAUAAAABMQEAAAALLTE4ODEwNjgy</t>
  </si>
  <si>
    <t>OTUDAAAAAzE2MAIAAAAFMjQxMzAEAAAAATAHAAAACTcvMzEvMjAyNggAAAAJNS8zMC8yMDI2CQAAAAEwbXsSNDvv3ghtexI0O+/eCDRDSVEuTkFTREFROkNBTE0uSVFfRUJJVF9FWENMX1NCQy4uMzEvMDcvMjAyNi4uLlVTRC5IAQAAACB6BQACAAAABzM0OS4xMDkBCAAAAAUAAAABMQEAAAALLTE4ODEwNjgyOTUDAAAAAzE2MAIAAAAFMjQxMzQEAAAAATAHAAAACTcvMzEvMjAyNggAAAAJNS8zMC8yMDI2CQAAAAEwbXsSNDvv3ghtexI0O+/eCCxDSVEuTkFTREFROkNBTE0uSVFfRUJJVEEuLjMxLzA3LzIwMjYuLi5VU0QuSAEAAAAgegUAAgAAAAczNTAuMTE3AQgAAAAFAAAAATEBAAAACy0xODgxMDY4Mjk1AwAAAAMxNjACAAAABjEwMDY4OQQAAAABMAcAAAAJNy8zMS8yMDI2CAAAAAk1LzMwLzIwMjYJAAAAATBtexI0O+/eCG17EjQ7794IM0NJUS5OQVNEQVE6Q0FMTS5JUV9FQklUQV9FUV9JTkMuLjMxLzA3LzIwMjYuLi5VU0QuSAEAAAAgegUAAgAAAAczNDguODE3AQgAAAAFAAAAATEBAAAACy0xODgxMDY4Mjk1AwAAAAMxNjACAAAABTIxNjc2BAAAAAEwBwAAAAk3LzMxLzIwMjYIAAAACTUvMzAvMjAyNgkAAAABMG17EjQ7794IbXsSNDvv3gg8Q0lRLk5BU0RBUTpDQUxNLklRX0VCSVRBX0VRX0lOQ19FWENMX1NCQy4uMzEvMDcvMjAyNi4uLlVTRC5IAQAAACB6BQACAAAABzM1NC41NzQBCAAAAAUAAAAB</t>
  </si>
  <si>
    <t>MQEAAAALLTE4ODEwNjgyOTUDAAAAAzE2MAIAAAAFMjQxMzIEAAAAATAHAAAACTcvMzEvMjAyNggAAAAJNS8zMC8yMDI2CQAAAAEwbXsSNDvv3ghtexI0O+/eCDVDSVEuTkFTREFROkNBTE0uSVFfRUJJVEFfRVhDTF9TQkMuLjMxLzA3LzIwMjYuLi5VU0QuSAEAAAAgegUAAgAAAAczNTUuODc0AQgAAAAFAAAAATEBAAAACy0xODgxMDY4Mjk1AwAAAAMxNjACAAAABTI0MTM2BAAAAAEwBwAAAAk3LzMxLzIwMjYIAAAACTUvMzAvMjAyNgkAAAABMG17EjQ7794IbXsSNDvv3gguQ0lRLk5BU0RBUTpDQUxNLklRX0VCSVREQVIuLjMxLzA3LzIwMjYuLi5VU0QuSAEAAAAgegUAAwAAAAAAbXsSNDvv3ghtexI0O+/eCDVDSVEuTkFTREFROkNBTE0uSVFfRUJJVERBUl9FUV9JTkMuLjMxLzA3LzIwMjYuLi5VU0QuSAEAAAAgegUAAwAAAAAAbXsSNDvv3ghtexI0O+/eCD5DSVEuTkFTREFROkNBTE0uSVFfRUJJVERBUl9FUV9JTkNfRVhDTF9TQkMuLjMxLzA3LzIwMjYuLi5VU0QuSAEAAAAgegUAAwAAAAAAbXsSNDvv3ghtexI0O+/eCDdDSVEuTkFTREFROkNBTE0uSVFfRUJJVERBUl9FWENMX1NCQy4uMzEvMDcvMjAyNi4uLlVTRC5IAQAAACB6BQADAAAAAABtexI0O+/eCG17EjQ7794IM0NJUS5OQVNEQVE6Q0FMTS5JUV9FQklUREFfQ0FQRVguLjMxLzA3LzIwMjYuLi5VU0QuSAEAAAAgegUAAgAAAAczMTYuNDc0AQgA</t>
  </si>
  <si>
    <t>AAAFAAAAATEBAAAACy0xODgxMDY4Mjk1AwAAAAMxNjACAAAABTM1Mzc5BAAAAAEwBwAAAAk3LzMxLzIwMjYIAAAACTUvMzAvMjAyNgkAAAABMG17EjQ7794IbXsSNDvv3gg4Q0lRLk5BU0RBUTpDQUxNLklRX0ZFRVNfT1RIRVJfSU5DT01FLi4zMS8wNy8yMDI2Li4uVVNELkgBAAAAIHoFAAMAAAAAAG17EjQ7794IbXsSNDvv3gg8Q0lRLk5BU0RBUTpDQUxNLklRX1RPVEFMX1JFVl9BU19SRVBPUlRFRC4uMzEvMDcvMjAyNi4uLlVTRC5IAQAAACB6BQADAAAAAABtexI0O+/eCG17EjQ7794IOUNJUS5OQVNEQVE6Q0FMTS5JUV9BU19SRVBPUlRFRF9FQklUREEuLjMxLzA3LzIwMjYuLi5VU0QuSAEAAAAgegUAAwAAAAAAbXsSNDvv3ghtexI0O+/eCElDSVEuTkFTREFROkNBTE0uSVFfUFJPVl9CQURfREVCVFNfUEFUSUVOVF9TRVJWSUNFX1JFVi4uMzEvMDcvMjAyNi4uLlVTRC5IAQAAACB6BQADAAAAAABtexI0O+/eCG17EjQ7794IQENJUS5OQVNEQVE6Q0FMTS5JUV9FQVJOSU5HX1BBUkVOVF9FWENMX0VYVFJBLi4zMS8wNy8yMDI2Li4uVVNELkgBAAAAIHoFAAIAAAAHMzE2LjY4MgEIAAAABQAAAAExAQAAAAstMTg4MTA2ODI5NQMAAAADMTYwAgAAAAU0MTU5NgQAAAABMAcAAAAJNy8zMS8yMDI2CAAAAAk1LzMwLzIwMjYJAAAAATBtexI0O+/eCG17EjQ7794ILkNJUS5OQVNEQVE6Q0FMTS5JUV9OSV9TRkFT</t>
  </si>
  <si>
    <t>Li4zMS8wNy8yMDI2Li4uVVNELkgBAAAAIHoFAAMAAAAAAG17EjQ7794IbXsSNDvv3gg2Q0lRLk5BU0RBUTpDQUxNLklRX0lOVEVSRVNUX0lOQ09NRS4uMzEvMDcvMjAyNi4uLlVTRC5IAQAAACB6BQACAAAABjU4LjQwMQEIAAAABQAAAAExAQAAAAstMTg4MTA2ODI5NQMAAAADMTYwAgAAAAMyMTAEAAAAATAHAAAACTcvMzEvMjAyNggAAAAJNS8zMC8yMDI2CQAAAAEwbXsSNDvv3ghtexI0O+/eCDhDSVEuTkFTREFROkNBTE0uSVFfSU5WRVNUTUVOVF9JTkNPTUUuLjMxLzA3LzIwMjYuLi5VU0QuSAEAAAAgegUAAwAAAAAAbXsSNDvv3ghtexI0O+/eCD5DSVEuTkFTREFROkNBTE0uSVFfRVhDSVNFX1RBWEVTX0VYQ0xfU0FMRVMuLjMxLzA3LzIwMjYuLi5VU0QuSAEAAAAgegUAAwAAAAAAbXsSNDvv3ghtexI0O+/eCD5DSVEuTkFTREFROkNBTE0uSVFfRVhDSVNFX1RBWEVTX0lOQ0xfU0FMRVMuLjMxLzA3LzIwMjYuLi5VU0QuSAEAAAAgegUAAwAAAAAAbXsSNDvv3ghtexI0O+/eCDpDSVEuTkFTREFROkNBTE0uSVFfQ1VSUl9ET01FU1RJQ19UQVhFUy4uMzEvMDcvMjAyNi4uLlVTRC5IAQAAACB6BQACAAAABjI1LjUyOQEIAAAABQAAAAExAQAAAAstMTg4MTA2ODI5NQMAAAADMTYwAgAAAAQzMDI3BAAAAAEwBwAAAAk3LzMxLzIwMjYIAAAACTUvMzAvMjAyNgkAAAABMG17EjQ7794IbXsSNDvv3gg5Q0lRLk5B</t>
  </si>
  <si>
    <t>U0RBUTpDQUxNLklRX0NVUlJfRk9SRUlHTl9UQVhFUy4uMzEvMDcvMjAyNi4uLlVTRC5IAQAAACB6BQADAAAAAABtexI0O+/eCG17EjQ7794IMUNJUS5OQVNEQVE6Q0FMTS5JUV9DVVJSX1RBWEVTLi4zMS8wNy8yMDI2Li4uVVNELkgBAAAAIHoFAAIAAAAGMjUuNTI5AQgAAAAFAAAAATEBAAAACy0xODgxMDY4Mjk1AwAAAAMxNjACAAAABTM1MzgzBAAAAAEwBwAAAAk3LzMxLzIwMjYIAAAACTUvMzAvMjAyNgkAAAABMG17EjQ7794IbXsSNDvv3gg+Q0lRLk5BU0RBUTpDQUxNLklRX0RFRkVSUkVEX0RPTUVTVElDX1RBWEVTLi4zMS8wNy8yMDI2Li4uVVNELkgBAAAAIHoFAAIAAAAGNjcuMzYzAQgAAAAFAAAAATEBAAAACy0xODgxMDY4Mjk1AwAAAAMxNjACAAAABDMwNTQEAAAAATAHAAAACTcvMzEvMjAyNggAAAAJNS8zMC8yMDI2CQAAAAEwbXsSNDvv3ghtexI0O+/eCD1DSVEuTkFTREFROkNBTE0uSVFfREVGRVJSRURfRk9SRUlHTl9UQVhFUy4uMzEvMDcvMjAyNi4uLlVTRC5IAQAAACB6BQADAAAAAABtexI0O+/eCG17EjQ7794IO0NJUS5OQVNEQVE6Q0FMTS5JUV9ERUZFUlJFRF9UQVhFU19UT1RBTC4uMzEvMDcvMjAyNi4uLlVTRC5IAQAAACB6BQACAAAABjY3LjM2MwEIAAAABQAAAAExAQAAAAstMTg4MTA2ODI5NQMAAAADMTYwAgAAAAUzNTM4NQQAAAABMAcAAAAJNy8zMS8yMDI2CAAAAAk1LzMwLzIw</t>
  </si>
  <si>
    <t>MjYJAAAAATBtexI0O+/eCG17EjQ7794IQENJUS5OQVNEQVE6Q0FMTS5JUV9OT05SRUNVUlJJTkdfSU5DT01FX1RBWEVTLi4zMS8wNy8yMDI2Li4uVVNELkgBAAAAIHoFAAMAAAAAAG17EjQ7794IbXsSNDvv3gguQ0lRLk5BU0RBUTpDQUxNLklRX05JX05PUk0uLjMxLzA3LzIwMjYuLi5VU0QuSAEAAAAgegUAAgAAAAoyNTYuNjg4MTI1AQgAAAAFAAAAATEBAAAACy0xODgxMDY4Mjk1AwAAAAMxNjACAAAABDQzNzgEAAAAATAHAAAACTcvMzEvMjAyNggAAAAJNS8zMC8yMDI2CQAAAAEwbXsSNDvv3ghtexI0O+/eCC9DSVEuTkFTREFROkNBTE0uSVFfRElMVVRfTkkuLjMxLzA3LzIwMjYuLi5VU0QuSAEAAAAgegUAAgAAAAkzMTYuNzg4MDMBCAAAAAUAAAABMQEAAAALLTE4ODEwNjgyOTUDAAAAAzE2MAIAAAAEMzUyMgQAAAABMAcAAAAJNy8zMS8yMDI2CAAAAAk1LzMwLzIwMjYJAAAAATBtexI0O+/eCG17EjQ7794IO0NJUS5OQVNEQVE6Q0FMTS5JUV9DQVBJVEFMSVpFRF9JTlRFUkVTVC4uMzEvMDcvMjAyNi4uLlVTRC5IAQAAACB6BQADAAAAAABtexI0O+/eCG17EjQ7794IMkNJUS5OQVNEQVE6Q0FMTS5JUV9JTlRfRVhQX0xURC4uMzEvMDcvMjAyNi4uLlVTRC5IAQAAACB6BQACAAAABTAuNTU2AQgAAAAFAAAAATEBAAAACy0xODgxMDY4Mjk1AwAAAAMxNjACAAAABDMxMDEEAAAAATAHAAAACTcvMzEvMjAy</t>
  </si>
  <si>
    <t>NggAAAAJNS8zMC8yMDI2CQAAAAEwbXsSNDvv3ghtexI0O+/eCEhDSVEuTkFTREFROkNBTE0uSVFfSU5URVJFU1RfRVhQX0xFQVNFX0xJQUJJTElUWV9ERUJULi4zMS8wNy8yMDI2Li4uVVNELkgBAAAAIHoFAAMAAAAAAG17EjQ7794IbXsSNDvv3gg3Q0lRLk5BU0RBUTpDQUxNLklRX0lOVF9FWFBfSU5DTF9DQVAuLjMxLzA3LzIwMjYuLi5VU0QuSAEAAAAgegUAAgAAAAUwLjU1NgEIAAAABQAAAAExAQAAAAstMTg4MTA2ODI5NQMAAAADMTYwAgAAAAUyMTg2MQQAAAABMAcAAAAJNy8zMS8yMDI2CAAAAAk1LzMwLzIwMjYJAAAAATChohI0O+/eCKGiEjQ7794IOkNJUS5OQVNEQVE6Q0FMTS5JUV9OT05DQVNIX1BFTlNJT05fRVhQLi4zMS8wNy8yMDI2Li4uVVNELkgBAAAAIHoFAAIAAAADMS4xAQgAAAAFAAAAATEBAAAACy0xODgxMDY4Mjk1AwAAAAMxNjACAAAABTIxNjc4BAAAAAEwBwAAAAk3LzMxLzIwMjYIAAAACTUvMzAvMjAyNgkAAAABMKGiEjQ7794IoaISNDvv3ggwQ0lRLk5BU0RBUTpDQUxNLklRX0RBX0VCSVREQS4uMzEvMDcvMjAyNi4uLlVTRC5IAQAAACB6BQACAAAABzEyNC4zNDIBCAAAAAUAAAABMQEAAAALLTE4ODEwNjgyOTUDAAAAAzE2MAIAAAAEMjIwNgQAAAABMAcAAAAJNy8zMS8yMDI2CAAAAAk1LzMwLzIwMjYJAAAAATChohI0O+/eCKGiEjQ7794IOUNJUS5OQVNEQVE6Q0FMTS5JUV9E</t>
  </si>
  <si>
    <t>SVNUUklCVVRBQkxFX0NBU0guLjMxLzA3LzIwMjYuLi5VU0QuSAEAAAAgegUAAwAAAAAAoaISNDvv3gihohI0O+/eCEZDSVEuTkFTREFROkNBTE0uSVFfRElTVFJJQlVUQUJMRV9DQVNIX1NUQU5EQVJESVpFRC4uMzEvMDcvMjAyNi4uLlVTRC5IAQAAACB6BQADAAAAAAChohI0O+/eCKGiEjQ7794IPUNJUS5OQVNEQVE6Q0FMTS5JUV9BTk5VX0RJU1RSSUJVVElPTl9VTklULi4zMS8wNy8yMDI2Li4uVVNELkgBAAAAIHoFAAMAAAAAALHJEjQ7794IsckSNDvv3ggxQ0lRLk5BU0RBUTpDQUxNLklRX0NPTU1PTl9ESVYuLjMxLzA3LzIwMjYuLi5VU0QuSAEAAAAgegUAAgAAAAcxMTcuNTAyALHJEjQ7794IsckSNDvv3ggqQ0lRLk5BU0RBUTpDQUxNLklRX0RJQy4uMzEvMDcvMjAyNi4uLlVTRC5IAQAAACB6BQADAAAAAACxyRI0O+/eCLHJEjQ7794IMkNJUS5OQVNEQVE6Q0FMTS5JUV9BRFZFUlRJU0lORy4uMzEvMDcvMjAyNi4uLlVTRC5IAQAAACB6BQADAAAAAACxyRI0O+/eCLHJEjQ7794IMENJUS5OQVNEQVE6Q0FMTS5JUV9NQVJLRVRJTkcuLjMxLzA3LzIwMjYuLi5VU0QuSAEAAAAgegUAAwAAAAAAsckSNDvv3gixyRI0O+/eCDZDSVEuTkFTREFROkNBTE0uSVFfU0FMRVNfTUFSS0VUSU5HLi4zMS8wNy8yMDI2Li4uVVNELkgBAAAAIHoFAAMAAAAAALHJEjQ7794IsckSNDvv3ggtQ0lRLk5BU0RBUTpDQUxN</t>
  </si>
  <si>
    <t>LklRX0dBX0VYUC4uMzEvMDcvMjAyNi4uLlVTRC5IAQAAACB6BQADAAAAAACxyRI0O+/eCLHJEjQ7794IMENJUS5OQVNEQVE6Q0FMTS5JUV9SRF9FWFBfRk4uLjMxLzA3LzIwMjYuLi5VU0QuSAEAAAAgegUAAwAAAAAAsckSNDvv3gixyRI0O+/eCDhDSVEuTkFTREFROkNBTE0uSVFfTkVUX1JFTlRBTF9FWFBfRk4uLjMxLzA3LzIwMjYuLi5VU0QuSAEAAAAgegUAAwAAAAAAsckSNDvv3gixyRI0O+/eCDVDSVEuTkFTREFROkNBTE0uSVFfTkVUX1JFTlRBTF9FWFAuLjMxLzA3LzIwMjYuLi5VU0QuSAEAAAAgegUAAwAAAAAAsckSNDvv3gixyRI0O+/eCDxDSVEuTkFTREFROkNBTE0uSVFfTkVUX1JFTlRBTF9FWFBfU1VQUExFLi4zMS8wNy8yMDI2Li4uVVNELkgBAAAAIHoFAAMAAAAAALHJEjQ7794IsckSNDvv3gg4Q0lRLk5BU0RBUTpDQUxNLklRX0NPTlRJTkdFTlRfUkVOVEFMLi4zMS8wNy8yMDI2Li4uVVNELkgBAAAAIHoFAAMAAAAAALHJEjQ7794IsckSNDvv3gg1Q0lRLk5BU0RBUTpDQUxNLklRX01JTklNVU1fUkVOVEFMLi4zMS8wNy8yMDI2Li4uVVNELkgBAAAAIHoFAAMAAAAAALHJEjQ7794IsckSNDvv3ggzQ0lRLk5BU0RBUTpDQUxNLklRX09USEVSX1JFTlRBTC4uMzEvMDcvMjAyNi4uLlVTRC5IAQAAACB6BQADAAAAAACxyRI0O+/eCLHJEjQ7794INENJUS5OQVNEQVE6Q0FMTS5JUV9BSVJDUkFG</t>
  </si>
  <si>
    <t>VF9SRU5ULi4zMS8wNy8yMDI2Li4uVVNELkgBAAAAIHoFAAMAAAAAALHJEjQ7794IsckSNDvv3ghBQ0lRLk5BU0RBUTpDQUxNLklRX0RFUFJFQ0lBVElPTl9SRU5UQUxfQVNTRVRTLi4zMS8wNy8yMDI2Li4uVVNELkgBAAAAIHoFAAMAAAAAALHJEjQ7794IsckSNDvv3gg+Q0lRLk5BU0RBUTpDQUxNLklRX0VYUExPUkVfRFJJTExfRVhQX1RPVEFMLi4zMS8wNy8yMDI2Li4uVVNELkgBAAAAIHoFAAMAAAAAALHJEjQ7794IsckSNDvv3ggzQ0lRLk5BU0RBUTpDQUxNLklRX01BSU5UX1JFUEFJUi4uMzEvMDcvMjAyNi4uLlVTRC5IAQAAACB6BQADAAAAAACxyRI0O+/eCLHJEjQ7794IP0NJUS5OQVNEQVE6Q0FMTS5JUV9JTVBVVF9PUEVSX0xFQVNFX0lOVF9FWFAuLjMxLzA3LzIwMjYuLi5VU0QuSAEAAAAgegUAAwAAAAAAsckSNDvv3gixyRI0O+/eCDxDSVEuTkFTREFROkNBTE0uSVFfSU1QVVRfT1BFUl9MRUFTRV9ERVBSLi4zMS8wNy8yMDI2Li4uVVNELkgBAAAAIHoFAAMAAAAAALHJEjQ7794IsckSNDvv3gg+Q0lRLk5BU0RBUTpDQUxNLklRX1NBTEFSSUVTX09USEVSX0JFTkVGSVRTLi4zMS8wNy8yMDI2Li4uVVNELkgBAAAAIHoFAAMAAAAAALHJEjQ7794IsckSNDvv3gg5Q0lRLk5BU0RBUTpDQUxNLklRX1JFU1RSVUNUVVJFX1NVUFBMRS4uMzEvMDcvMjAyNi4uLlVTRC5IAQAAACB6BQADAAAAAAAl8RI0</t>
  </si>
  <si>
    <t>O+/eCCXxEjQ7794INENJUS5OQVNEQVE6Q0FMTS5JUV9NRVJHRVJfU1VQUExFLi4zMS8wNy8yMDI2Li4uVVNELkgBAAAAIHoFAAMAAAAAACXxEjQ7794IJfESNDvv3gg7Q0lRLk5BU0RBUTpDQUxNLklRX0lNUEFJUk1FTlRfR1dfU1VQUExFLi4zMS8wNy8yMDI2Li4uVVNELkgBAAAAIHoFAAMAAAAAACXxEjQ7794IJfESNDvv3gg9Q0lRLk5BU0RBUTpDQUxNLklRX0FTU0VUX1dSSVRFRE9XTl9TVVBQTEUuLjMxLzA3LzIwMjYuLi5VU0QuSAEAAAAgegUAAwAAAAAAJfESNDvv3ggl8RI0O+/eCDJDSVEuTkFTREFROkNBTE0uSVFfSVBSRF9TVVBQTEUuLjMxLzA3LzIwMjYuLi5VU0QuSAEAAAAgegUAAwAAAAAAJfESNDvv3ggl8RI0O+/eCDdDSVEuTkFTREFROkNBTE0uSVFfR0FJTl9CQVJHQUlOX0FDUS4uMzEvMDcvMjAyNi4uLlVTRC5IAQAAACB6BQADAAAAAAAl8RI0O+/eCCXxEjQ7794IPkNJUS5OQVNEQVE6Q0FMTS5JUV9HQUlOX0JBUkdBSU5fQUNRX1NVUFBMRS4uMzEvMDcvMjAyNi4uLlVTRC5IAQAAACB6BQADAAAAAAAl8RI0O+/eCCXxEjQ7794IOENJUS5OQVNEQVE6Q0FMTS5JUV9JTlNfU0VUVExFX1NVUFBMRS4uMzEvMDcvMjAyNi4uLlVTRC5IAQAAACB6BQADAAAAAAAl8RI0O+/eCCXxEjQ7794IOkNJUS5OQVNEQVE6Q0FMTS5JUV9MRUdBTF9TRVRUTEVfU1VQUExFLi4zMS8wNy8yMDI2Li4uVVNE</t>
  </si>
  <si>
    <t>LkgBAAAAIHoFAAMAAAAAACXxEjQ7794IJfESNDvv3gg7Q0lRLk5BU0RBUTpDQUxNLklRX09USEVSX1VOVVNVQUxfU1VQUExFLi4zMS8wNy8yMDI2Li4uVVNELkgBAAAAIHoFAAMAAAAAACXxEjQ7794IJfESNDvv3gg7Q0lRLk5BU0RBUTpDQUxNLklRX1RPVEFMX1VOVVNVQUxfU1VQUExFLi4zMS8wNy8yMDI2Li4uVVNELkgBAAAAIHoFAAMAAAAAACXxEjQ7794IJfESNDvv3gg4Q0lRLk5BU0RBUTpDQUxNLklRX05FR0FUSVZFX0dXX0FNT1JULi4zMS8wNy8yMDI2Li4uVVNELkgBAAAAIHoFAAMAAAAAACXxEjQ7794IJfESNDvv3gg7Q0lRLk5BU0RBUTpDQUxNLklRX05FR0FUSVZFX0dXX0FNT1JUX0FULi4zMS8wNy8yMDI2Li4uVVNELkgBAAAAIHoFAAMAAAAAACXxEjQ7794IJfESNDvv3gg3Q0lRLk5BU0RBUTpDQUxNLklRX1NUT0NLX0JBU0VEX0NPR1MuLjMxLzA3LzIwMjYuLi5VU0QuSAEAAAAgegUAAwAAAAAAJfESNDvv3ggl8RI0O+/eCDVDSVEuTkFTREFROkNBTE0uSVFfU1RPQ0tfQkFTRURfUkQuLjMxLzA3LzIwMjYuLi5VU0QuSAEAAAAgegUAAwAAAAAAJfESNDvv3ggl8RI0O+/eCDVDSVEuTkFTREFROkNBTE0uSVFfU1RPQ0tfQkFTRURfU00uLjMxLzA3LzIwMjYuLi5VU0QuSAEAAAAgegUAAwAAAAAAJfESNDvv3ggl8RI0O+/eCDVDSVEuTkFTREFROkNBTE0uSVFfU1RPQ0tfQkFTRURfR0EuLjMx</t>
  </si>
  <si>
    <t>LzA3LzIwMjYuLi5VU0QuSAEAAAAgegUAAwAAAAAAJfESNDvv3ggl8RI0O+/eCDZDSVEuTkFTREFROkNBTE0uSVFfU1RPQ0tfQkFTRURfU0dBLi4zMS8wNy8yMDI2Li4uVVNELkgBAAAAIHoFAAMAAAAAACXxEjQ7794IJfESNDvv3ghAQ0lRLk5BU0RBUTpDQUxNLklRX1NUT0NLX0JBU0VEX0VYUExPUkVfRFJJTEwuLjMxLzA3LzIwMjYuLi5VU0QuSAEAAAAgegUAAwAAAAAAJfESNDvv3ggl8RI0O+/eCDhDSVEuTkFTREFROkNBTE0uSVFfU1RPQ0tfQkFTRURfT1RIRVIuLjMxLzA3LzIwMjYuLi5VU0QuSAEAAAAgegUAAgAAAAU1Ljc1NwEIAAAABQAAAAExAQAAAAstMTg4MTA2ODI5NQMAAAADMTYwAgAAAAUyMjY3NgQAAAABMAcAAAAJNy8zMS8yMDI2CAAAAAk1LzMwLzIwMjYJAAAAATAl8RI0O+/eCCXxEjQ7794INUNJUS5OQVNEQVE6Q0FMTS5JUV9TVE9DS19CQVNFRF9BVC4uMzEvMDcvMjAyNi4uLlVTRC5IAQAAACB6BQADAAAAAAAl8RI0O+/eCCXxEjQ7794IOENJUS5OQVNEQVE6Q0FMTS5JUV9TVE9DS19CQVNFRF9UT1RBTC4uMzEvMDcvMjAyNi4uLlVTRC5IAQAAACB6BQACAAAABTUuNzU3AQgAAAAFAAAAATEBAAAACy0xODgxMDY4Mjk1AwAAAAMxNjACAAAABTI0MDM0BAAAAAEwBwAAAAk3LzMxLzIwMjYIAAAACTUvMzAvMjAyNgkAAAABMCXxEjQ7794IJfESNDvv3gg+Q0lRLk5BU0RBUTpDQUxNLklR</t>
  </si>
  <si>
    <t>X1JFU1RSX1NUT0NLX0NPTVBfUFJFVEFYLi4zMS8wNy8yMDI2Li4uVVNELkgBAAAAIHoFAAMAAAAAACXxEjQ7794IJfESNDvv3gg7Q0lRLk5BU0RBUTpDQUxNLklRX1JFU1RSX1NUT0NLX0NPTVBfVEFYLi4zMS8wNy8yMDI2Li4uVVNELkgBAAAAIHoFAAMAAAAAACXxEjQ7794IJfESNDvv3gg3Q0lRLk5BU0RBUTpDQUxNLklRX1JFU1RSX1NUT0NLX0NPTVAuLjMxLzA3LzIwMjYuLi5VU0QuSAEAAAAgegUAAwAAAAAAJfESNDvv3ggl8RI0O+/eCEBDSVEuTkFTREFROkNBTE0uSVFfU1RPQ0tfT1BUSU9OU19DT01QX1BSRVRBWC4uMzEvMDcvMjAyNi4uLlVTRC5IAQAAACB6BQADAAAAAAAl8RI0O+/eCCXxEjQ7794IPUNJUS5OQVNEQVE6Q0FMTS5JUV9TVE9DS19PUFRJT05TX0NPTVBfVEFYLi4zMS8wNy8yMDI2Li4uVVNELkgBAAAAIHoFAAMAAAAAACXxEjQ7794IJfESNDvv3gg5Q0lRLk5BU0RBUTpDQUxNLklRX1NUT0NLX09QVElPTlNfQ09NUC4uMzEvMDcvMjAyNi4uLlVTRC5IAQAAACB6BQADAAAAAAAl8RI0O+/eCCXxEjQ7794IPkNJUS5OQVNEQVE6Q0FMTS5JUV9TVE9DS19CQVNFRF9DT01QX1BSRVRBWC4uMzEvMDcvMjAyNi4uLlVTRC5IAQAAACB6BQACAAAABTUuNzU3ACXxEjQ7794IJfESNDvv3gg7Q0lRLk5BU0RBUTpDQUxNLklRX1NUT0NLX0JBU0VEX0NPTVBfVEFYLi4zMS8wNy8yMDI2Li4uVVNE</t>
  </si>
  <si>
    <t>LkgBAAAAIHoFAAMAAAAAACXxEjQ7794IJfESNDvv3gg3Q0lRLk5BU0RBUTpDQUxNLklRX1NUT0NLX0JBU0VEX0NPTVAuLjMxLzA3LzIwMjYuLi5VU0QuSAEAAAAgegUAAwAAAAAAJfESNDvv3ggl8RI0O+/eCCxDSVEuTkFTREFROkNBTE0uSVFfTklfQ0YuLjMxLzA3LzIwMjYuLi5VU0QuSAEAAAAgegUAAgAAAAczMTYuNjgyAQgAAAAFAAAAATEBAAAACy0xODgxMDY4Mjk1AwAAAAMxNjACAAAABDIxNTAEAAAAATAHAAAACTcvMzEvMjAyNggAAAAJNS8zMC8yMDI2CQAAAAEwJfESNDvv3ggl8RI0O+/eCDJDSVEuTkFTREFROkNBTE0uSVFfREFfU1VQUExfQ0YuLjMxLzA3LzIwMjYuLi5VU0QuSAEAAAAgegUAAgAAAAcxMTcuNTc3AQgAAAAFAAAAATEBAAAACy0xODgxMDY4Mjk1AwAAAAMxNjACAAAABDIxNzEEAAAAATAHAAAACTcvMzEvMjAyNggAAAAJNS8zMC8yMDI2CQAAAAEwJfESNDvv3ggl8RI0O+/eCDhDSVEuTkFTREFROkNBTE0uSVFfR1dfSU5UQU5fQU1PUlRfQ0YuLjMxLzA3LzIwMjYuLi5VU0QuSAEAAAAgegUAAgAAAAU2Ljc2NQEIAAAABQAAAAExAQAAAAstMTg4MTA2ODI5NQMAAAADMTYwAgAAAAQyMTgyBAAAAAEwBwAAAAk3LzMxLzIwMjYIAAAACTUvMzAvMjAyNgkAAAABMOsXEzQ7794I6xcTNDvv3ggxQ0lRLk5BU0RBUTpDQUxNLklRX09JTF9JTVBBSVIuLjMxLzA3LzIwMjYuLi5VU0QuSAEA</t>
  </si>
  <si>
    <t>AAAgegUAAwAAAAAA6xcTNDvv3gjrFxM0O+/eCCxDSVEuTkFTREFROkNBTE0uSVFfREFfQ0YuLjMxLzA3LzIwMjYuLi5VU0QuSAEAAAAgegUAAgAAAAcxMjQuMzQyAQgAAAAFAAAAATEBAAAACy0xODgxMDY4Mjk1AwAAAAMxNjACAAAABDIxNjAEAAAAATAHAAAACTcvMzEvMjAyNggAAAAJNS8zMC8yMDI2CQAAAAEw6xcTNDvv3gjrFxM0O+/eCDJDSVEuTkFTREFROkNBTE0uSVFfT1RIRVJfQU1PUlQuLjMxLzA3LzIwMjYuLi5VU0QuSAEAAAAgegUAAwAAAAAA6xcTNDvv3gjrFxM0O+/eCDtDSVEuTkFTREFROkNBTE0uSVFfTUlOT1JJVFlfSU5URVJFU1RfQ0YuLjMxLzA3LzIwMjYuLi5VU0QuSAEAAAAgegUAAwAAAAAA6xcTNDvv3gjrFxM0O+/eCDVDSVEuTkFTREFROkNBTE0uSVFfR0FJTl9BU1NFVFNfQ0YuLjMxLzA3LzIwMjYuLi5VU0QuSAEAAAAgegUAAwAAAAAA6xcTNDvv3gjrFxM0O+/eCDVDSVEuTkFTREFROkNBTE0uSVFfR0FJTl9JTlZFU1RfQ0YuLjMxLzA3LzIwMjYuLi5VU0QuSAEAAAAgegUAAwAAAAAA6xcTNDvv3gjrFxM0O+/eCDlDSVEuTkFTREFROkNBTE0uSVFfQVNTRVRfV1JJVEVET1dOX0NGLi4zMS8wNy8yMDI2Li4uVVNELkgBAAAAIHoFAAMAAAAAAOsXEzQ7794I6xcTNDvv3ggvQ0lRLk5BU0RBUTpDQUxNLklRX0xPQU5TX0NGLi4zMS8wNy8yMDI2Li4uVVNELkgBAAAAIHoFAAMAAAAA</t>
  </si>
  <si>
    <t>AOsXEzQ7794I6xcTNDvv3gg1Q0lRLk5BU0RBUTpDQUxNLklRX0NSRURJVF9MT1NTX0NGLi4zMS8wNy8yMDI2Li4uVVNELkgBAAAAIHoFAAMAAAAAAOsXEzQ7794I6xcTNDvv3gg0Q0lRLk5BU0RBUTpDQUxNLklRX0lOQ19FUVVJVFlfQ0YuLjMxLzA3LzIwMjYuLi5VU0QuSAEAAAAgegUAAwAAAAAA6xcTNDvv3gjrFxM0O+/eCDVDSVEuTkFTREFROkNBTE0uSVFfU1RPQ0tfQkFTRURfQ0YuLjMxLzA3LzIwMjYuLi5VU0QuSAEAAAAgegUAAgAAAAU1Ljc1NwEIAAAABQAAAAExAQAAAAstMTg4MTA2ODI5NQMAAAADMTYwAgAAAAQyMTI3BAAAAAEwBwAAAAk3LzMxLzIwMjYIAAAACTUvMzAvMjAyNgkAAAABMOsXEzQ7794I6xcTNDvv3gg6Q0lRLk5BU0RBUTpDQUxNLklRX1RBWF9CRU5FRklUX09QVElPTlMuLjMxLzA3LzIwMjYuLi5VU0QuSAEAAAAgegUAAwAAAAAA6xcTNDvv3gjrFxM0O+/eCDhDSVEuTkFTREFROkNBTE0uSVFfUFJPVl9CQURfREVCVFNfQ0YuLjMxLzA3LzIwMjYuLi5VU0QuSAEAAAAgegUAAwAAAAAA6xcTNDvv3gjrFxM0O+/eCCxDSVEuTkFTREFROkNBTE0uSVFfRE9fQ0YuLjMxLzA3LzIwMjYuLi5VU0QuSAEAAAAgegUAAwAAAAAA6xcTNDvv3gjrFxM0O+/eCDVDSVEuTkFTREFROkNBTE0uSVFfT1RIRVJfT1BFUl9BQ1QuLjMxLzA3LzIwMjYuLi5VU0QuSAEAAAAgegUAAgAAAAY2NC4zNjgB</t>
  </si>
  <si>
    <t>CAAAAAUAAAABMQEAAAALLTE4ODEwNjgyOTUDAAAAAzE2MAIAAAAEMjA0NwQAAAABMAcAAAAJNy8zMS8yMDI2CAAAAAk1LzMwLzIwMjYJAAAAATDrFxM0O+/eCOsXEzQ7794IPENJUS5OQVNEQVE6Q0FMTS5JUV9DSEFOR0VfVFJBRElOR19BU1NFVFMuLjMxLzA3LzIwMjYuLi5VU0QuSAEAAAAgegUAAwAAAAAA6xcTNDvv3gjrFxM0O+/eCDBDSVEuTkFTREFROkNBTE0uSVFfQ0hBTkdFX0FSLi4zMS8wNy8yMDI2Li4uVVNELkgBAAAAIHoFAAIAAAAHMTM5Ljc1MwEIAAAABQAAAAExAQAAAAstMTg4MTA2ODI5NQMAAAADMTYwAgAAAAQyMDE4BAAAAAEwBwAAAAk3LzMxLzIwMjYIAAAACTUvMzAvMjAyNgkAAAABMOsXEzQ7794I6xcTNDvv3gg3Q0lRLk5BU0RBUTpDQUxNLklRX0NIQU5HRV9JTlZFTlRPUlkuLjMxLzA3LzIwMjYuLi5VU0QuSAEAAAAgegUAAgAAAActMzQuOTc4AQgAAAAFAAAAATEBAAAACy0xODgxMDY4Mjk1AwAAAAMxNjACAAAABDIwOTkEAAAAATAHAAAACTcvMzEvMjAyNggAAAAJNS8zMC8yMDI2CQAAAAEw6xcTNDvv3gjrFxM0O+/eCDBDSVEuTkFTREFROkNBTE0uSVFfQ0hBTkdFX0FQLi4zMS8wNy8yMDI2Li4uVVNELkgBAAAAIHoFAAIAAAAGLTguMzM4AQgAAAAFAAAAATEBAAAACy0xODgxMDY4Mjk1AwAAAAMxNjACAAAABDIwMTcEAAAAATAHAAAACTcvMzEvMjAyNggAAAAJNS8zMC8yMDI2</t>
  </si>
  <si>
    <t>CQAAAAEw6xcTNDvv3gjrFxM0O+/eCDhDSVEuTkFTREFROkNBTE0uSVFfQ0hBTkdFX1VORUFSTl9SRVYuLjMxLzA3LzIwMjYuLi5VU0QuSAEAAAAgegUAAwAAAAAA6xcTNDvv3gjrFxM0O+/eCDVDSVEuTkFTREFROkNBTE0uSVFfQ0hBTkdFX0lOQ19UQVguLjMxLzA3LzIwMjYuLi5VU0QuSAEAAAAgegUAAgAAAAYtOTQuODEBCAAAAAUAAAABMQEAAAALLTE4ODEwNjgyOTUDAAAAAzE2MAIAAAAEMjEwMQQAAAABMAcAAAAJNy8zMS8yMDI2CAAAAAk1LzMwLzIwMjYJAAAAATDrFxM0O+/eCOsXEzQ7794INUNJUS5OQVNEQVE6Q0FMTS5JUV9DSEFOR0VfREVGX1RBWC4uMzEvMDcvMjAyNi4uLlVTRC5IAQAAACB6BQADAAAAAADrFxM0O+/eCOsXEzQ7794IQ0NJUS5OQVNEQVE6Q0FMTS5JUV9DSEFOR0VfT1RIRVJfTkVUX09QRVJfQVNTRVRTLi4zMS8wNy8yMDI2Li4uVVNELkgBAAAAIHoFAAIAAAAHLTMzLjAyMwEIAAAABQAAAAExAQAAAAstMTg4MTA2ODI5NQMAAAADMTYwAgAAAAQyMDQ1BAAAAAEwBwAAAAk3LzMxLzIwMjYIAAAACTUvMzAvMjAyNgkAAAABMOsXEzQ7794I6xcTNDvv3ggwQ0lRLk5BU0RBUTpDQUxNLklRX0NBU0hfT1BFUi4uMzEvMDcvMjAyNi4uLlVTRC5IAQAAACB6BQACAAAABzQ3OS43NTMBCAAAAAUAAAABMQEAAAALLTE4ODEwNjgyOTUDAAAAAzE2MAIAAAAEMjAwNgQAAAABMAcAAAAJNy8z</t>
  </si>
  <si>
    <t>MS8yMDI2CAAAAAk1LzMwLzIwMjYJAAAAATDrFxM0O+/eCOsXEzQ7794ILENJUS5OQVNEQVE6Q0FMTS5JUV9DQVBFWC4uMzEvMDcvMjAyNi4uLlVTRC5IAQAAACB6BQACAAAABy0xNTEuMjIBCAAAAAUAAAABMQEAAAALLTE4ODEwNjgyOTUDAAAAAzE2MAIAAAAEMjAyMQQAAAABMAcAAAAJNy8zMS8yMDI2CAAAAAk1LzMwLzIwMjYJAAAAATDrFxM0O+/eCOsXEzQ7794IMkNJUS5OQVNEQVE6Q0FMTS5JUV9TQUxFX1BQRV9DRi4uMzEvMDcvMjAyNi4uLlVTRC5IAQAAACB6BQACAAAABTAuMzI4AQgAAAAFAAAAATEBAAAACy0xODgxMDY4Mjk1AwAAAAMxNjACAAAABDIwNDIEAAAAATAHAAAACTcvMzEvMjAyNggAAAAJNS8zMC8yMDI2CQAAAAEw6xcTNDvv3gjrFxM0O+/eCDZDSVEuTkFTREFROkNBTE0uSVFfQ0FTSF9BQ1FVSVJFX0NGLi4zMS8wNy8yMDI2Li4uVVNELkgBAAAAIHoFAAIAAAAHLTQ1Mi41NwEIAAAABQAAAAExAQAAAAstMTg4MTA2ODI5NQMAAAADMTYwAgAAAAQyMDU3BAAAAAEwBwAAAAk3LzMxLzIwMjYIAAAACTUvMzAvMjAyNgkAAAABMOsXEzQ7794I6xcTNDvv3ggwQ0lRLk5BU0RBUTpDQUxNLklRX0RJVkVTVF9DRi4uMzEvMDcvMjAyNi4uLlVTRC5IAQAAACB6BQADAAAAAADrFxM0O+/eCOsXEzQ7794IOkNJUS5OQVNEQVE6Q0FMTS5JUV9TQUxFX1JFQUxfRVNUQVRFX0NGLi4zMS8wNy8yMDI2</t>
  </si>
  <si>
    <t>Li4uVVNELkgBAAAAIHoFAAMAAAAAAOsXEzQ7794I6xcTNDvv3gg0Q0lRLk5BU0RBUTpDQUxNLklRX1NBTEVfSU5UQU5fQ0YuLjMxLzA3LzIwMjYuLi5VU0QuSAEAAAAgegUAAwAAAAAA6xcTNDvv3gjrFxM0O+/eCDlDSVEuTkFTREFROkNBTE0uSVFfSU5WRVNUX1NFQ1VSSVRZX0NGLi4zMS8wNy8yMDI2Li4uVVNELkgBAAAAIHoFAAIAAAAGOTkuNTc4AQgAAAAFAAAAATEBAAAACy0xODgxMDY4Mjk1AwAAAAMxNjACAAAABDIwMjcEAAAAATAHAAAACTcvMzEvMjAyNggAAAAJNS8zMC8yMDI2CQAAAAEw6xcTNDvv3gjrFxM0O+/eCDZDSVEuTkFTREFROkNBTE0uSVFfSU5WRVNUX0xPQU5TX0NGLi4zMS8wNy8yMDI2Li4uVVNELkgBAAAAIHoFAAMAAAAAAOsXEzQ7794I6xcTNDvv3gg9Q0lRLk5BU0RBUTpDQUxNLklRX09USEVSX0lOVkVTVF9BQ1RfU1VQUEwuLjMxLzA3LzIwMjYuLi5VU0QuSAEAAAAgegUAAwAAAAAA6xcTNDvv3gjrFxM0O+/eCDJDSVEuTkFTREFROkNBTE0uSVFfQ0FTSF9JTlZFU1QuLjMxLzA3LzIwMjYuLi5VU0QuSAEAAAAgegUAAgAAAAgtNTAzLjg4NAEIAAAABQAAAAExAQAAAAstMTg4MTA2ODI5NQMAAAADMTYwAgAAAAQyMDA1BAAAAAEwBwAAAAk3LzMxLzIwMjYIAAAACTUvMzAvMjAyNgkAAAABMPE+EzQ7794I8T4TNDvv3gg1Q0lRLk5BU0RBUTpDQUxNLklRX1NUX0RFQlRfSVNTVUVE</t>
  </si>
  <si>
    <t>Li4zMS8wNy8yMDI2Li4uVVNELkgBAAAAIHoFAAMAAAAAAPE+EzQ7794I8T4TNDvv3gg1Q0lRLk5BU0RBUTpDQUxNLklRX0xUX0RFQlRfSVNTVUVELi4zMS8wNy8yMDI2Li4uVVNELkgBAAAAIHoFAAMAAAAAAPE+EzQ7794I8T4TNDvv3gg4Q0lRLk5BU0RBUTpDQUxNLklRX1RPVEFMX0RFQlRfSVNTVUVELi4zMS8wNy8yMDI2Li4uVVNELkgBAAAAIHoFAAMAAAAAAPE+EzQ7794I8T4TNDvv3gg1Q0lRLk5BU0RBUTpDQUxNLklRX1NUX0RFQlRfUkVQQUlELi4zMS8wNy8yMDI2Li4uVVNELkgBAAAAIHoFAAMAAAAAAPE+EzQ7794I8T4TNDvv3gg1Q0lRLk5BU0RBUTpDQUxNLklRX0xUX0RFQlRfUkVQQUlELi4zMS8wNy8yMDI2Li4uVVNELkgBAAAAIHoFAAMAAAAAAPE+EzQ7794I8T4TNDvv3gg4Q0lRLk5BU0RBUTpDQUxNLklRX1RPVEFMX0RFQlRfUkVQQUlELi4zMS8wNy8yMDI2Li4uVVNELkgBAAAAIHoFAAMAAAAAAPE+EzQ7794I8T4TNDvv3gg0Q0lRLk5BU0RBUTpDQUxNLklRX0NPTU1PTl9JU1NVRUQuLjMxLzA3LzIwMjYuLi5VU0QuSAEAAAAgegUAAwAAAAAA8T4TNDvv3gjxPhM0O+/eCDFDSVEuTkFTREFROkNBTE0uSVFfQ09NTU9OX1JFUC4uMzEvMDcvMjAyNi4uLlVTRC5IAQAAACB6BQACAAAACC0xMzEuMTI0AQgAAAAFAAAAATEBAAAACy0xODgxMDY4Mjk1AwAAAAMxNjACAAAABDIxNjQEAAAAATAH</t>
  </si>
  <si>
    <t>AAAACTcvMzEvMjAyNggAAAAJNS8zMC8yMDI2CQAAAAEw8T4TNDvv3gjxPhM0O+/eCDJDSVEuTkFTREFROkNBTE0uSVFfUFJFRl9JU1NVRUQuLjMxLzA3LzIwMjYuLi5VU0QuSAEAAAAgegUAAwAAAAAA8T4TNDvv3gjxPhM0O+/eCC9DSVEuTkFTREFROkNBTE0uSVFfUFJFRl9SRVAuLjMxLzA3LzIwMjYuLi5VU0QuSAEAAAAgegUAAwAAAAAA8T4TNDvv3gjxPhM0O+/eCDRDSVEuTkFTREFROkNBTE0uSVFfQ09NTU9OX0RJVl9DRi4uMzEvMDcvMjAyNi4uLlVTRC5IAQAAACB6BQACAAAACC0yMzEuNjIyAQgAAAAFAAAAATEBAAAACy0xODgxMDY4Mjk1AwAAAAMxNjACAAAABDIwNzQEAAAAATAHAAAACTcvMzEvMjAyNggAAAAJNS8zMC8yMDI2CQAAAAEw8T4TNDvv3gjxPhM0O+/eCDJDSVEuTkFTREFROkNBTE0uSVFfUFJFRl9ESVZfQ0YuLjMxLzA3LzIwMjYuLi5VU0QuSAEAAAAgegUAAwAAAAAA8T4TNDvv3gjxPhM0O+/eCDlDSVEuTkFTREFROkNBTE0uSVFfQ09NTU9OX1BSRUZfRElWX0NGLi4zMS8wNy8yMDI2Li4uVVNELkgBAAAAIHoFAAMAAAAAAPE+EzQ7794I8T4TNDvv3gg4Q0lRLk5BU0RBUTpDQUxNLklRX1RPVEFMX0RJVl9QQUlEX0NGLi4zMS8wNy8yMDI2Li4uVVNELkgBAAAAIHoFAAIAAAAILTIzMS42MjIBCAAAAAUAAAABMQEAAAALLTE4ODEwNjgyOTUDAAAAAzE2MAIAAAAEMjAyMgQAAAABMAcA</t>
  </si>
  <si>
    <t>AAAJNy8zMS8yMDI2CAAAAAk1LzMwLzIwMjYJAAAAATDxPhM0O+/eCPE+EzQ7794INUNJUS5OQVNEQVE6Q0FMTS5JUV9TUEVDSUFMX0RJVl9DRi4uMzEvMDcvMjAyNi4uLlVTRC5IAQAAACB6BQADAAAAAADxPhM0O+/eCPE+EzQ7794IPkNJUS5OQVNEQVE6Q0FMTS5JUV9PVEhFUl9GSU5BTkNFX0FDVF9TVVBQTC4uMzEvMDcvMjAyNi4uLlVTRC5IAQAAACB6BQADAAAAAADxPhM0O+/eCPE+EzQ7794IMUNJUS5OQVNEQVE6Q0FMTS5JUV9DQVNIX0ZJTkFOLi4zMS8wNy8yMDI2Li4uVVNELkgBAAAAIHoFAAIAAAAILTM2Mi43NDYBCAAAAAUAAAABMQEAAAALLTE4ODEwNjgyOTUDAAAAAzE2MAIAAAAEMjAwNAQAAAABMAcAAAAJNy8zMS8yMDI2CAAAAAk1LzMwLzIwMjYJAAAAATDxPhM0O+/eCPE+EzQ7794IKUNJUS5OQVNEQVE6Q0FMTS5JUV9GWC4uMzEvMDcvMjAyNi4uLlVTRC5IAQAAACB6BQADAAAAAADxPhM0O+/eCPE+EzQ7794INUNJUS5OQVNEQVE6Q0FMTS5JUV9NSVNDX0FESlVTVF9DRi4uMzEvMDcvMjAyNi4uLlVTRC5IAQAAACB6BQADAAAAAADxPhM0O+/eCPE+EzQ7794IMUNJUS5OQVNEQVE6Q0FMTS5JUV9ORVRfQ0hBTkdFLi4zMS8wNy8yMDI2Li4uVVNELkgBAAAAIHoFAAIAAAAILTM4Ni44NzcBCAAAAAUAAAABMQEAAAALLTE4ODEwNjgyOTUDAAAAAzE2MAIAAAAEMjA5MwQAAAABMAcAAAAJNy8z</t>
  </si>
  <si>
    <t>MS8yMDI2CAAAAAk1LzMwLzIwMjYJAAAAATDxPhM0O+/eCPE+EzQ7794IOkNJUS5OQVNEQVE6Q0FMTS5JUV9EQV9TVVBQTF9QQVJUSUFMX0NGLi4zMS8wNy8yMDI2Li4uVVNELkgBAAAAIHoFAAMAAAAAAPE+EzQ7794I8T4TNDvv3ghAQ0lRLk5BU0RBUTpDQUxNLklRX0dXX0lOVEFOX0FNT1JUX1BBUlRJQUxfQ0YuLjMxLzA3LzIwMjYuLi5VU0QuSAEAAAAgegUAAwAAAAAA8T4TNDvv3gjxPhM0O+/eC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</si>
</sst>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.00_);\(&quot;$&quot;#,##0.00\)"/>
    <numFmt numFmtId="165" formatCode="0.0%"/>
    <numFmt numFmtId="166" formatCode="0.0\x"/>
    <numFmt numFmtId="167" formatCode="_(#,##0_);_(\(#,##0\);_(&quot; - &quot;??_);_(@_)"/>
    <numFmt numFmtId="168" formatCode="_(#,##0.0_);_(\(#,##0.0\);_(&quot; - &quot;??_);_(@_)"/>
    <numFmt numFmtId="169" formatCode="&quot;$&quot;#,##0.0_);\(&quot;$&quot;#,##0.0\)"/>
    <numFmt numFmtId="170" formatCode="#,##0.0_);\(#,##0.0\)"/>
    <numFmt numFmtId="171" formatCode="#,##0.000;\(#,##0.000\)"/>
    <numFmt numFmtId="172" formatCode="#,##0.0;\(#,##0.0\)"/>
    <numFmt numFmtId="173" formatCode="0.0;\(0.0\)"/>
    <numFmt numFmtId="174" formatCode="_(* #,##0.0_);_(* \(#,##0.0\);_(* &quot; - &quot;_);_(@_)"/>
  </numFmts>
  <fonts count="12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color indexed="17"/>
      <name val="Arial"/>
      <family val="2"/>
    </font>
    <font>
      <b/>
      <sz val="10"/>
      <color indexed="8"/>
      <name val="Arial"/>
      <family val="2"/>
    </font>
    <font>
      <sz val="10"/>
      <color indexed="17"/>
      <name val="Arial"/>
      <family val="2"/>
    </font>
    <font>
      <sz val="10"/>
      <name val="Times New Roman"/>
      <family val="1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9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Protection="0">
      <alignment horizontal="left"/>
    </xf>
    <xf numFmtId="171" fontId="3" fillId="0" borderId="0" applyFill="0" applyBorder="0" applyProtection="0">
      <alignment horizontal="right" vertical="top"/>
    </xf>
    <xf numFmtId="14" fontId="3" fillId="0" borderId="0" applyFill="0" applyBorder="0" applyProtection="0">
      <alignment horizontal="left" vertical="top"/>
    </xf>
    <xf numFmtId="172" fontId="3" fillId="0" borderId="0" applyFill="0" applyBorder="0" applyProtection="0">
      <alignment horizontal="left" vertical="top" wrapText="1"/>
    </xf>
    <xf numFmtId="0" fontId="1" fillId="0" borderId="0"/>
    <xf numFmtId="0" fontId="10" fillId="0" borderId="0"/>
  </cellStyleXfs>
  <cellXfs count="70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170" fontId="6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left" indent="1"/>
    </xf>
    <xf numFmtId="170" fontId="7" fillId="0" borderId="3" xfId="0" applyNumberFormat="1" applyFont="1" applyBorder="1" applyAlignment="1">
      <alignment horizontal="right"/>
    </xf>
    <xf numFmtId="170" fontId="7" fillId="0" borderId="0" xfId="0" applyNumberFormat="1" applyFont="1" applyAlignment="1">
      <alignment horizontal="right"/>
    </xf>
    <xf numFmtId="170" fontId="6" fillId="0" borderId="1" xfId="0" applyNumberFormat="1" applyFont="1" applyBorder="1" applyAlignment="1">
      <alignment horizontal="right"/>
    </xf>
    <xf numFmtId="170" fontId="7" fillId="0" borderId="4" xfId="0" applyNumberFormat="1" applyFont="1" applyBorder="1" applyAlignment="1">
      <alignment horizontal="right"/>
    </xf>
    <xf numFmtId="170" fontId="7" fillId="0" borderId="5" xfId="0" applyNumberFormat="1" applyFont="1" applyBorder="1" applyAlignment="1">
      <alignment horizontal="right"/>
    </xf>
    <xf numFmtId="39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74" fontId="6" fillId="0" borderId="0" xfId="0" applyNumberFormat="1" applyFont="1" applyAlignment="1">
      <alignment horizontal="right"/>
    </xf>
    <xf numFmtId="168" fontId="4" fillId="0" borderId="0" xfId="0" applyNumberFormat="1" applyFont="1"/>
    <xf numFmtId="169" fontId="4" fillId="0" borderId="0" xfId="0" applyNumberFormat="1" applyFont="1"/>
    <xf numFmtId="37" fontId="6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6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70" fontId="5" fillId="0" borderId="0" xfId="0" applyNumberFormat="1" applyFont="1" applyAlignment="1">
      <alignment horizontal="right"/>
    </xf>
    <xf numFmtId="14" fontId="7" fillId="0" borderId="1" xfId="0" applyNumberFormat="1" applyFon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right"/>
    </xf>
    <xf numFmtId="165" fontId="4" fillId="0" borderId="3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4" xfId="0" applyNumberFormat="1" applyFont="1" applyBorder="1" applyAlignment="1">
      <alignment horizontal="right"/>
    </xf>
    <xf numFmtId="165" fontId="4" fillId="0" borderId="5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centerContinuous"/>
    </xf>
    <xf numFmtId="0" fontId="4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65" fontId="5" fillId="0" borderId="0" xfId="1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73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70" fontId="9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2" fillId="0" borderId="0" xfId="0" applyNumberFormat="1" applyFont="1" applyAlignment="1">
      <alignment horizontal="center"/>
    </xf>
    <xf numFmtId="169" fontId="2" fillId="0" borderId="0" xfId="0" applyNumberFormat="1" applyFont="1"/>
    <xf numFmtId="39" fontId="2" fillId="0" borderId="0" xfId="0" applyNumberFormat="1" applyFont="1"/>
    <xf numFmtId="164" fontId="2" fillId="0" borderId="0" xfId="0" applyNumberFormat="1" applyFont="1"/>
    <xf numFmtId="170" fontId="2" fillId="0" borderId="0" xfId="0" applyNumberFormat="1" applyFont="1" applyAlignment="1">
      <alignment horizontal="right"/>
    </xf>
    <xf numFmtId="170" fontId="2" fillId="0" borderId="0" xfId="0" applyNumberFormat="1" applyFont="1"/>
    <xf numFmtId="0" fontId="2" fillId="0" borderId="0" xfId="0" applyFont="1" applyAlignment="1">
      <alignment horizontal="right"/>
    </xf>
    <xf numFmtId="174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3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0" fontId="11" fillId="0" borderId="0" xfId="0" applyFont="1"/>
    <xf numFmtId="1" fontId="4" fillId="0" borderId="5" xfId="0" applyNumberFormat="1" applyFont="1" applyBorder="1" applyAlignment="1">
      <alignment horizontal="left"/>
    </xf>
    <xf numFmtId="0" fontId="7" fillId="0" borderId="5" xfId="0" applyFont="1" applyBorder="1" applyAlignment="1">
      <alignment horizontal="left"/>
    </xf>
    <xf numFmtId="14" fontId="7" fillId="0" borderId="5" xfId="0" applyNumberFormat="1" applyFont="1" applyBorder="1" applyAlignment="1">
      <alignment horizontal="right"/>
    </xf>
    <xf numFmtId="39" fontId="7" fillId="0" borderId="5" xfId="0" applyNumberFormat="1" applyFont="1" applyBorder="1" applyAlignment="1">
      <alignment horizontal="right"/>
    </xf>
    <xf numFmtId="165" fontId="4" fillId="0" borderId="5" xfId="1" applyNumberFormat="1" applyFont="1" applyBorder="1" applyAlignment="1">
      <alignment horizontal="right"/>
    </xf>
    <xf numFmtId="170" fontId="4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right"/>
    </xf>
    <xf numFmtId="166" fontId="4" fillId="0" borderId="5" xfId="0" applyNumberFormat="1" applyFont="1" applyBorder="1" applyAlignment="1">
      <alignment horizontal="right"/>
    </xf>
    <xf numFmtId="173" fontId="4" fillId="0" borderId="5" xfId="0" applyNumberFormat="1" applyFont="1" applyBorder="1" applyAlignment="1">
      <alignment horizontal="right"/>
    </xf>
    <xf numFmtId="14" fontId="0" fillId="0" borderId="0" xfId="0" applyNumberFormat="1"/>
  </cellXfs>
  <cellStyles count="8">
    <cellStyle name="Normal" xfId="0" builtinId="0"/>
    <cellStyle name="Normal 2" xfId="7" xr:uid="{00000000-0005-0000-0000-000001000000}"/>
    <cellStyle name="Normal 4" xfId="6" xr:uid="{00000000-0005-0000-0000-000002000000}"/>
    <cellStyle name="Per cent" xfId="1" builtinId="5"/>
    <cellStyle name="Style 21" xfId="2" xr:uid="{00000000-0005-0000-0000-000006000000}"/>
    <cellStyle name="Style 22" xfId="3" xr:uid="{00000000-0005-0000-0000-000007000000}"/>
    <cellStyle name="Style 23" xfId="4" xr:uid="{00000000-0005-0000-0000-000008000000}"/>
    <cellStyle name="Style 24" xfId="5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E26D"/>
      <rgbColor rgb="000000FF"/>
      <rgbColor rgb="00009EA6"/>
      <rgbColor rgb="00DFB793"/>
      <rgbColor rgb="001E3086"/>
      <rgbColor rgb="00800000"/>
      <rgbColor rgb="00008000"/>
      <rgbColor rgb="00000080"/>
      <rgbColor rgb="00808000"/>
      <rgbColor rgb="00800080"/>
      <rgbColor rgb="00008080"/>
      <rgbColor rgb="00FFE26D"/>
      <rgbColor rgb="005A5A5A"/>
      <rgbColor rgb="00E31837"/>
      <rgbColor rgb="0000B1B0"/>
      <rgbColor rgb="00919195"/>
      <rgbColor rgb="00B5E1E1"/>
      <rgbColor rgb="00006C67"/>
      <rgbColor rgb="00643CE6"/>
      <rgbColor rgb="00000000"/>
      <rgbColor rgb="007D2364"/>
      <rgbColor rgb="00E31837"/>
      <rgbColor rgb="0000B1B0"/>
      <rgbColor rgb="00919195"/>
      <rgbColor rgb="00B5E1E1"/>
      <rgbColor rgb="00006C67"/>
      <rgbColor rgb="00643CE6"/>
      <rgbColor rgb="00000000"/>
      <rgbColor rgb="007D2364"/>
      <rgbColor rgb="00E1E1E1"/>
      <rgbColor rgb="000059C2"/>
      <rgbColor rgb="00A5BF88"/>
      <rgbColor rgb="00DCDCFF"/>
      <rgbColor rgb="00E41F1F"/>
      <rgbColor rgb="00FF0000"/>
      <rgbColor rgb="0073868B"/>
      <rgbColor rgb="00969696"/>
      <rgbColor rgb="003366FF"/>
      <rgbColor rgb="0033CCCC"/>
      <rgbColor rgb="0099CC00"/>
      <rgbColor rgb="00008C03"/>
      <rgbColor rgb="00FF9900"/>
      <rgbColor rgb="00FF6600"/>
      <rgbColor rgb="00666699"/>
      <rgbColor rgb="00DFDFDF"/>
      <rgbColor rgb="00003366"/>
      <rgbColor rgb="00339966"/>
      <rgbColor rgb="00003300"/>
      <rgbColor rgb="00333300"/>
      <rgbColor rgb="00993300"/>
      <rgbColor rgb="003264AF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patri/AppData/Roaming/Microsoft/Excel/Portfolio%20Snapshot%20(version%201).xlsb" TargetMode="External"/><Relationship Id="rId2" Type="http://schemas.openxmlformats.org/officeDocument/2006/relationships/externalLinkPath" Target="file:///C:\Users\patri\AppData\Roaming\Microsoft\Excel\Portfolio%20Snapshot%20(version%201).xlsb" TargetMode="External"/><Relationship Id="rId1" Type="http://schemas.openxmlformats.org/officeDocument/2006/relationships/externalLinkPath" Target="/Users/patri/AppData/Roaming/Microsoft/Excel/Portfolio%20Snapshot%20(version%201)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yjanam/Desktop/20.02%20Release%20-%20Copy/Key%20Stats/Key%20Stats%20-%20Standard%2020.2.xlsm" TargetMode="External"/><Relationship Id="rId1" Type="http://schemas.openxmlformats.org/officeDocument/2006/relationships/externalLinkPath" Target="/Users/yjanam/Desktop/20.02%20Release%20-%20Copy/Key%20Stats/Key%20Stats%20-%20Standard%2020.2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crego/AppData/Local/Capital%20IQ/Office%20Plug-in/Templates/+Multi-Language/Financial%20Snapshot%20Tearsheet.xls" TargetMode="External"/><Relationship Id="rId1" Type="http://schemas.openxmlformats.org/officeDocument/2006/relationships/externalLinkPath" Target="/Users/crego/AppData/Local/Capital%20IQ/Office%20Plug-in/Templates/+Multi-Language/Financial%20Snapshot%20Tearsheet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patri/AppData/Local/Capital%20IQ/Office%20Plug-in/Templates/Portfolio%20and%20Index/CIQ%20Alpha%20Models.xls" TargetMode="External"/><Relationship Id="rId2" Type="http://schemas.openxmlformats.org/officeDocument/2006/relationships/externalLinkPath" Target="file:///C:\Users\patri\AppData\Local\Capital%20IQ\Office%20Plug-in\Templates\Portfolio%20and%20Index\CIQ%20Alpha%20Models.xls" TargetMode="External"/><Relationship Id="rId1" Type="http://schemas.openxmlformats.org/officeDocument/2006/relationships/externalLinkPath" Target="/Users/patri/AppData/Local/Capital%20IQ/Office%20Plug-in/Templates/Portfolio%20and%20Index/CIQ%20Alpha%20Mode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view"/>
      <sheetName val="Summary"/>
      <sheetName val="Portfolio"/>
      <sheetName val="Benchmark"/>
      <sheetName val="PortContrib"/>
      <sheetName val="BenchContrib"/>
      <sheetName val="Chart Data"/>
      <sheetName val="Data"/>
    </sheetNames>
    <sheetDataSet>
      <sheetData sheetId="0"/>
      <sheetData sheetId="1"/>
      <sheetData sheetId="2">
        <row r="7">
          <cell r="AI7" t="str">
            <v>(User access restricted)</v>
          </cell>
          <cell r="AJ7" t="str">
            <v>(User access restricted)</v>
          </cell>
          <cell r="AL7" t="str">
            <v>(User access restricted)</v>
          </cell>
          <cell r="AM7" t="str">
            <v>(User access restricted)</v>
          </cell>
          <cell r="AO7" t="str">
            <v>(User access restricted)</v>
          </cell>
          <cell r="AP7" t="str">
            <v>(User access restricted)</v>
          </cell>
          <cell r="AR7" t="str">
            <v>(User access restricted)</v>
          </cell>
          <cell r="AS7" t="str">
            <v>(User access restricted)</v>
          </cell>
          <cell r="AU7" t="str">
            <v>(User access restricted)</v>
          </cell>
          <cell r="AV7" t="str">
            <v>(User access restricted)</v>
          </cell>
          <cell r="AX7" t="str">
            <v>(User access restricted)</v>
          </cell>
          <cell r="AY7" t="str">
            <v>(User access restricted)</v>
          </cell>
          <cell r="BA7" t="str">
            <v>(User access restricted)</v>
          </cell>
          <cell r="BB7" t="str">
            <v>(User access restricted)</v>
          </cell>
          <cell r="BD7" t="str">
            <v>(User access restricted)</v>
          </cell>
          <cell r="BE7" t="str">
            <v>(User access restricted)</v>
          </cell>
          <cell r="BG7" t="str">
            <v>(User access restricted)</v>
          </cell>
          <cell r="BH7" t="str">
            <v>(User access restricted)</v>
          </cell>
          <cell r="BJ7" t="str">
            <v>(User access restricted)</v>
          </cell>
          <cell r="BK7" t="str">
            <v>(User access restricted)</v>
          </cell>
          <cell r="BM7" t="str">
            <v>(User access restricted)</v>
          </cell>
          <cell r="BN7" t="str">
            <v>(User access restricted)</v>
          </cell>
        </row>
      </sheetData>
      <sheetData sheetId="3">
        <row r="7">
          <cell r="AI7" t="str">
            <v>(User access restricted)</v>
          </cell>
          <cell r="AJ7" t="str">
            <v>(User access restricted)</v>
          </cell>
          <cell r="AL7" t="str">
            <v>(User access restricted)</v>
          </cell>
          <cell r="AM7" t="str">
            <v>(User access restricted)</v>
          </cell>
          <cell r="AO7" t="str">
            <v>(User access restricted)</v>
          </cell>
          <cell r="AP7" t="str">
            <v>(User access restricted)</v>
          </cell>
          <cell r="AR7" t="str">
            <v>(User access restricted)</v>
          </cell>
          <cell r="AS7" t="str">
            <v>(User access restricted)</v>
          </cell>
          <cell r="AU7" t="str">
            <v>(User access restricted)</v>
          </cell>
          <cell r="AV7" t="str">
            <v>(User access restricted)</v>
          </cell>
          <cell r="AX7" t="str">
            <v>(User access restricted)</v>
          </cell>
          <cell r="AY7" t="str">
            <v>(User access restricted)</v>
          </cell>
          <cell r="BA7" t="str">
            <v>(User access restricted)</v>
          </cell>
          <cell r="BB7" t="str">
            <v>(User access restricted)</v>
          </cell>
          <cell r="BD7" t="str">
            <v>(User access restricted)</v>
          </cell>
          <cell r="BE7" t="str">
            <v>(User access restricted)</v>
          </cell>
          <cell r="BG7" t="str">
            <v>(User access restricted)</v>
          </cell>
          <cell r="BH7" t="str">
            <v>(User access restricted)</v>
          </cell>
          <cell r="BJ7" t="str">
            <v>(User access restricted)</v>
          </cell>
          <cell r="BK7" t="str">
            <v>(User access restricted)</v>
          </cell>
          <cell r="BM7" t="str">
            <v>(User access restricted)</v>
          </cell>
          <cell r="BN7" t="str">
            <v>(User access restricted)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ey Stats"/>
      <sheetName val="Income Statement"/>
      <sheetName val="Balance Sheet"/>
      <sheetName val="Cash Flow"/>
      <sheetName val="Multiples"/>
      <sheetName val="Capitalization"/>
      <sheetName val="Capital Structure Summary"/>
      <sheetName val="Capital Structure Details"/>
      <sheetName val="Ratios"/>
      <sheetName val="Supplemental"/>
      <sheetName val="Pension-OPE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U6" t="str">
            <v>IQDCS921164068</v>
          </cell>
        </row>
        <row r="7">
          <cell r="U7" t="str">
            <v>IQDCS922008726</v>
          </cell>
        </row>
        <row r="8">
          <cell r="U8" t="str">
            <v>IQDCS921164065</v>
          </cell>
        </row>
        <row r="9">
          <cell r="U9" t="str">
            <v>IQDCS923200891</v>
          </cell>
        </row>
        <row r="10">
          <cell r="U10" t="str">
            <v>IQDCS922584855</v>
          </cell>
        </row>
        <row r="11">
          <cell r="U11" t="str">
            <v>IQDCS920779925</v>
          </cell>
        </row>
        <row r="12">
          <cell r="U12" t="str">
            <v>IQDCS922920408</v>
          </cell>
        </row>
        <row r="13">
          <cell r="U13" t="str">
            <v>IQDCS920779921</v>
          </cell>
        </row>
        <row r="14">
          <cell r="U14" t="str">
            <v>IQDCS920779609</v>
          </cell>
        </row>
        <row r="15">
          <cell r="U15" t="str">
            <v>IQDCS920779615</v>
          </cell>
        </row>
        <row r="16">
          <cell r="U16" t="str">
            <v>IQDCS920779926</v>
          </cell>
        </row>
        <row r="17">
          <cell r="U17" t="str">
            <v>IQDCS922921278</v>
          </cell>
        </row>
        <row r="18">
          <cell r="U18" t="str">
            <v>IQDCS920779614</v>
          </cell>
        </row>
        <row r="19">
          <cell r="U19" t="str">
            <v>IQDCS920779928</v>
          </cell>
        </row>
        <row r="20">
          <cell r="U20" t="str">
            <v>IQDCS922921284</v>
          </cell>
        </row>
        <row r="21">
          <cell r="U21" t="str">
            <v>IQDCS921345359</v>
          </cell>
        </row>
        <row r="22">
          <cell r="U22" t="str">
            <v>IQDCS922920407</v>
          </cell>
        </row>
        <row r="23">
          <cell r="U23" t="str">
            <v>IQDCS920779608</v>
          </cell>
        </row>
        <row r="24">
          <cell r="U24" t="str">
            <v>IQDCS922921285</v>
          </cell>
        </row>
        <row r="25">
          <cell r="U25" t="str">
            <v>IQDCS920779922</v>
          </cell>
        </row>
        <row r="26">
          <cell r="U26" t="str">
            <v>IQDCS922921279</v>
          </cell>
        </row>
        <row r="27">
          <cell r="U27" t="str">
            <v>IQDCS920779620</v>
          </cell>
        </row>
        <row r="28">
          <cell r="U28" t="str">
            <v>IQDCS919289665</v>
          </cell>
        </row>
        <row r="29">
          <cell r="U29" t="str">
            <v>IQDCS920779612</v>
          </cell>
        </row>
        <row r="30">
          <cell r="U30" t="str">
            <v>IQDCS922921287</v>
          </cell>
        </row>
        <row r="35">
          <cell r="U35" t="str">
            <v>IQDCS921164068</v>
          </cell>
        </row>
        <row r="36">
          <cell r="U36" t="str">
            <v>IQDCS922008726</v>
          </cell>
        </row>
        <row r="37">
          <cell r="U37" t="str">
            <v>IQDCS921164065</v>
          </cell>
        </row>
        <row r="38">
          <cell r="U38" t="str">
            <v>IQDCS922031102</v>
          </cell>
        </row>
        <row r="39">
          <cell r="U39" t="str">
            <v>IQDCS922373212</v>
          </cell>
        </row>
        <row r="40">
          <cell r="U40" t="str">
            <v>IQDCS921164072</v>
          </cell>
        </row>
        <row r="41">
          <cell r="U41" t="str">
            <v>IQDCS920779925</v>
          </cell>
        </row>
        <row r="42">
          <cell r="U42" t="str">
            <v>IQDCS920779921</v>
          </cell>
        </row>
        <row r="43">
          <cell r="U43" t="str">
            <v>IQDCS920779609</v>
          </cell>
        </row>
        <row r="44">
          <cell r="U44" t="str">
            <v>IQDCS920779615</v>
          </cell>
        </row>
        <row r="45">
          <cell r="U45" t="str">
            <v>IQDCS920779926</v>
          </cell>
        </row>
        <row r="46">
          <cell r="U46" t="str">
            <v>IQDCS920779614</v>
          </cell>
        </row>
        <row r="47">
          <cell r="U47" t="str">
            <v>IQDCS920779928</v>
          </cell>
        </row>
        <row r="48">
          <cell r="U48" t="str">
            <v>IQDCS920780032</v>
          </cell>
        </row>
        <row r="49">
          <cell r="U49" t="str">
            <v>IQDCS921345359</v>
          </cell>
        </row>
        <row r="50">
          <cell r="U50" t="str">
            <v>IQDCS920779608</v>
          </cell>
        </row>
        <row r="51">
          <cell r="U51" t="str">
            <v>IQDCS920779922</v>
          </cell>
        </row>
        <row r="52">
          <cell r="U52" t="str">
            <v>IQDCS920779620</v>
          </cell>
        </row>
        <row r="53">
          <cell r="U53" t="str">
            <v>IQDCS919289665</v>
          </cell>
        </row>
        <row r="54">
          <cell r="U54" t="str">
            <v>IQDCS920779612</v>
          </cell>
        </row>
        <row r="55">
          <cell r="U55" t="str">
            <v>IQDCS919289795</v>
          </cell>
        </row>
        <row r="56">
          <cell r="U56" t="str">
            <v>IQDCS920779918</v>
          </cell>
        </row>
        <row r="57">
          <cell r="U57" t="str">
            <v>IQDCS920779617</v>
          </cell>
        </row>
        <row r="58">
          <cell r="U58" t="str">
            <v>IQDCS920779919</v>
          </cell>
        </row>
        <row r="59">
          <cell r="U59" t="str">
            <v>IQDCS921164084</v>
          </cell>
        </row>
        <row r="64">
          <cell r="U64" t="str">
            <v>IQDCS921164068</v>
          </cell>
        </row>
        <row r="65">
          <cell r="U65" t="str">
            <v>IQDCS921164072</v>
          </cell>
        </row>
        <row r="66">
          <cell r="U66" t="str">
            <v>IQDCS920779925</v>
          </cell>
        </row>
        <row r="67">
          <cell r="U67" t="str">
            <v>IQDCS920779921</v>
          </cell>
        </row>
        <row r="68">
          <cell r="U68" t="str">
            <v>IQDCS920779609</v>
          </cell>
        </row>
        <row r="69">
          <cell r="U69" t="str">
            <v>IQDCS920779615</v>
          </cell>
        </row>
        <row r="70">
          <cell r="U70" t="str">
            <v>IQDCS920779926</v>
          </cell>
        </row>
        <row r="71">
          <cell r="U71" t="str">
            <v>IQDCS920779614</v>
          </cell>
        </row>
        <row r="72">
          <cell r="U72" t="str">
            <v>IQDCS920779928</v>
          </cell>
        </row>
        <row r="73">
          <cell r="U73" t="str">
            <v>IQDCS920780032</v>
          </cell>
        </row>
        <row r="74">
          <cell r="U74" t="str">
            <v>IQDCS920779608</v>
          </cell>
        </row>
        <row r="75">
          <cell r="U75" t="str">
            <v>IQDCS920779922</v>
          </cell>
        </row>
        <row r="76">
          <cell r="U76" t="str">
            <v>IQDCS920779620</v>
          </cell>
        </row>
        <row r="77">
          <cell r="U77" t="str">
            <v>IQDCS919289665</v>
          </cell>
        </row>
        <row r="78">
          <cell r="U78" t="str">
            <v>IQDCS920779612</v>
          </cell>
        </row>
        <row r="79">
          <cell r="U79" t="str">
            <v>IQDCS919289795</v>
          </cell>
        </row>
        <row r="80">
          <cell r="U80" t="str">
            <v>IQDCS920779918</v>
          </cell>
        </row>
        <row r="81">
          <cell r="U81" t="str">
            <v>IQDCS920779617</v>
          </cell>
        </row>
        <row r="82">
          <cell r="U82" t="str">
            <v>IQDCS920779919</v>
          </cell>
        </row>
        <row r="83">
          <cell r="U83" t="str">
            <v>IQDCS919771151</v>
          </cell>
        </row>
        <row r="84">
          <cell r="U84" t="str">
            <v>IQDCS921164084</v>
          </cell>
        </row>
        <row r="85">
          <cell r="U85" t="str">
            <v>IQDCS921164085</v>
          </cell>
        </row>
        <row r="86">
          <cell r="U86" t="str">
            <v>IQDCS921164070</v>
          </cell>
        </row>
        <row r="87">
          <cell r="U87" t="str">
            <v>IQDCS921164071</v>
          </cell>
        </row>
        <row r="88">
          <cell r="U88" t="str">
            <v>IQDCS916957982</v>
          </cell>
        </row>
      </sheetData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napshot"/>
      <sheetName val="Data"/>
      <sheetName val="Lanugage Index"/>
    </sheetNames>
    <sheetDataSet>
      <sheetData sheetId="0" refreshError="1"/>
      <sheetData sheetId="1">
        <row r="9">
          <cell r="A9">
            <v>43558</v>
          </cell>
          <cell r="B9">
            <v>143.63</v>
          </cell>
          <cell r="C9">
            <v>2.6816499999999999</v>
          </cell>
        </row>
        <row r="10">
          <cell r="A10">
            <v>43559</v>
          </cell>
          <cell r="B10">
            <v>142.78</v>
          </cell>
          <cell r="C10">
            <v>2.7714599999999998</v>
          </cell>
        </row>
        <row r="11">
          <cell r="A11">
            <v>43560</v>
          </cell>
          <cell r="B11">
            <v>143.28</v>
          </cell>
          <cell r="C11">
            <v>2.7319900000000001</v>
          </cell>
        </row>
        <row r="12">
          <cell r="A12">
            <v>43563</v>
          </cell>
          <cell r="B12">
            <v>143.38999999999999</v>
          </cell>
          <cell r="C12">
            <v>2.1182300000000001</v>
          </cell>
        </row>
        <row r="13">
          <cell r="A13">
            <v>43564</v>
          </cell>
          <cell r="B13">
            <v>142.11000000000001</v>
          </cell>
          <cell r="C13">
            <v>3.0384600000000002</v>
          </cell>
        </row>
        <row r="14">
          <cell r="A14">
            <v>43565</v>
          </cell>
          <cell r="B14">
            <v>143.02000000000001</v>
          </cell>
          <cell r="C14">
            <v>2.6783100000000002</v>
          </cell>
        </row>
        <row r="15">
          <cell r="A15">
            <v>43566</v>
          </cell>
          <cell r="B15">
            <v>143.78</v>
          </cell>
          <cell r="C15">
            <v>2.9419900000000001</v>
          </cell>
        </row>
        <row r="16">
          <cell r="A16">
            <v>43567</v>
          </cell>
          <cell r="B16">
            <v>144.35</v>
          </cell>
          <cell r="C16">
            <v>2.8988999999999998</v>
          </cell>
        </row>
        <row r="17">
          <cell r="A17">
            <v>43570</v>
          </cell>
          <cell r="B17">
            <v>143.9</v>
          </cell>
          <cell r="C17">
            <v>3.6031599999999999</v>
          </cell>
        </row>
        <row r="18">
          <cell r="A18">
            <v>43571</v>
          </cell>
          <cell r="B18">
            <v>145.13999999999999</v>
          </cell>
          <cell r="C18">
            <v>6.3016699999999997</v>
          </cell>
        </row>
        <row r="19">
          <cell r="A19">
            <v>43572</v>
          </cell>
          <cell r="B19">
            <v>139.11000000000001</v>
          </cell>
          <cell r="C19">
            <v>12.525690000000001</v>
          </cell>
        </row>
        <row r="20">
          <cell r="A20">
            <v>43573</v>
          </cell>
          <cell r="B20">
            <v>140.33000000000001</v>
          </cell>
          <cell r="C20">
            <v>4.9600200000000001</v>
          </cell>
        </row>
        <row r="21">
          <cell r="A21">
            <v>43577</v>
          </cell>
          <cell r="B21">
            <v>138.88999999999999</v>
          </cell>
          <cell r="C21">
            <v>4.4943299999999997</v>
          </cell>
        </row>
        <row r="22">
          <cell r="A22">
            <v>43578</v>
          </cell>
          <cell r="B22">
            <v>140.44</v>
          </cell>
          <cell r="C22">
            <v>4.4622400000000004</v>
          </cell>
        </row>
        <row r="23">
          <cell r="A23">
            <v>43579</v>
          </cell>
          <cell r="B23">
            <v>139.94999999999999</v>
          </cell>
          <cell r="C23">
            <v>2.7748699999999999</v>
          </cell>
        </row>
        <row r="24">
          <cell r="A24">
            <v>43580</v>
          </cell>
          <cell r="B24">
            <v>138.63</v>
          </cell>
          <cell r="C24">
            <v>2.91011</v>
          </cell>
        </row>
        <row r="25">
          <cell r="A25">
            <v>43581</v>
          </cell>
          <cell r="B25">
            <v>139.44</v>
          </cell>
          <cell r="C25">
            <v>2.3198300000000001</v>
          </cell>
        </row>
        <row r="26">
          <cell r="A26">
            <v>43584</v>
          </cell>
          <cell r="B26">
            <v>139.05000000000001</v>
          </cell>
          <cell r="C26">
            <v>2.9583300000000001</v>
          </cell>
        </row>
        <row r="27">
          <cell r="A27">
            <v>43585</v>
          </cell>
          <cell r="B27">
            <v>140.27000000000001</v>
          </cell>
          <cell r="C27">
            <v>4.6388299999999996</v>
          </cell>
        </row>
        <row r="28">
          <cell r="A28">
            <v>43586</v>
          </cell>
          <cell r="B28">
            <v>140.56</v>
          </cell>
          <cell r="C28">
            <v>3.0536799999999999</v>
          </cell>
        </row>
        <row r="29">
          <cell r="A29">
            <v>43587</v>
          </cell>
          <cell r="B29">
            <v>139.59</v>
          </cell>
          <cell r="C29">
            <v>3.54135</v>
          </cell>
        </row>
        <row r="30">
          <cell r="A30">
            <v>43588</v>
          </cell>
          <cell r="B30">
            <v>140.25</v>
          </cell>
          <cell r="C30">
            <v>2.5800299999999998</v>
          </cell>
        </row>
        <row r="31">
          <cell r="A31">
            <v>43591</v>
          </cell>
          <cell r="B31">
            <v>140.38</v>
          </cell>
          <cell r="C31">
            <v>2.79366</v>
          </cell>
        </row>
        <row r="32">
          <cell r="A32">
            <v>43592</v>
          </cell>
          <cell r="B32">
            <v>137.63999999999999</v>
          </cell>
          <cell r="C32">
            <v>4.7267700000000001</v>
          </cell>
        </row>
        <row r="33">
          <cell r="A33">
            <v>43593</v>
          </cell>
          <cell r="B33">
            <v>138</v>
          </cell>
          <cell r="C33">
            <v>3.8189099999999998</v>
          </cell>
        </row>
        <row r="34">
          <cell r="A34">
            <v>43594</v>
          </cell>
          <cell r="B34">
            <v>135.34</v>
          </cell>
          <cell r="C34">
            <v>4.1929400000000001</v>
          </cell>
        </row>
        <row r="35">
          <cell r="A35">
            <v>43595</v>
          </cell>
          <cell r="B35">
            <v>135.32</v>
          </cell>
          <cell r="C35">
            <v>3.9776899999999999</v>
          </cell>
        </row>
        <row r="36">
          <cell r="A36">
            <v>43598</v>
          </cell>
          <cell r="B36">
            <v>131.41999999999999</v>
          </cell>
          <cell r="C36">
            <v>4.9580200000000003</v>
          </cell>
        </row>
        <row r="37">
          <cell r="A37">
            <v>43599</v>
          </cell>
          <cell r="B37">
            <v>133.31</v>
          </cell>
          <cell r="C37">
            <v>3.28037</v>
          </cell>
        </row>
        <row r="38">
          <cell r="A38">
            <v>43600</v>
          </cell>
          <cell r="B38">
            <v>134.4</v>
          </cell>
          <cell r="C38">
            <v>2.5510100000000002</v>
          </cell>
        </row>
        <row r="39">
          <cell r="A39">
            <v>43601</v>
          </cell>
          <cell r="B39">
            <v>135.88</v>
          </cell>
          <cell r="C39">
            <v>3.0174699999999999</v>
          </cell>
        </row>
        <row r="40">
          <cell r="A40">
            <v>43602</v>
          </cell>
          <cell r="B40">
            <v>134.32</v>
          </cell>
          <cell r="C40">
            <v>2.6191399999999998</v>
          </cell>
        </row>
        <row r="41">
          <cell r="A41">
            <v>43605</v>
          </cell>
          <cell r="B41">
            <v>135.12</v>
          </cell>
          <cell r="C41">
            <v>3.2646500000000001</v>
          </cell>
        </row>
        <row r="42">
          <cell r="A42">
            <v>43606</v>
          </cell>
          <cell r="B42">
            <v>136.44999999999999</v>
          </cell>
          <cell r="C42">
            <v>2.5034999999999998</v>
          </cell>
        </row>
        <row r="43">
          <cell r="A43">
            <v>43607</v>
          </cell>
          <cell r="B43">
            <v>136.35</v>
          </cell>
          <cell r="C43">
            <v>1.84982</v>
          </cell>
        </row>
        <row r="44">
          <cell r="A44">
            <v>43608</v>
          </cell>
          <cell r="B44">
            <v>132.38999999999999</v>
          </cell>
          <cell r="C44">
            <v>5.3434400000000002</v>
          </cell>
        </row>
        <row r="45">
          <cell r="A45">
            <v>43609</v>
          </cell>
          <cell r="B45">
            <v>132.28</v>
          </cell>
          <cell r="C45">
            <v>2.59612</v>
          </cell>
        </row>
        <row r="46">
          <cell r="A46">
            <v>43613</v>
          </cell>
          <cell r="B46">
            <v>130.46</v>
          </cell>
          <cell r="C46">
            <v>4.9091199999999997</v>
          </cell>
        </row>
        <row r="47">
          <cell r="A47">
            <v>43614</v>
          </cell>
          <cell r="B47">
            <v>129.69</v>
          </cell>
          <cell r="C47">
            <v>3.6789800000000001</v>
          </cell>
        </row>
        <row r="48">
          <cell r="A48">
            <v>43615</v>
          </cell>
          <cell r="B48">
            <v>129.57</v>
          </cell>
          <cell r="C48">
            <v>2.7418800000000001</v>
          </cell>
        </row>
        <row r="49">
          <cell r="A49">
            <v>43616</v>
          </cell>
          <cell r="B49">
            <v>126.99</v>
          </cell>
          <cell r="C49">
            <v>3.5393400000000002</v>
          </cell>
        </row>
        <row r="50">
          <cell r="A50">
            <v>43619</v>
          </cell>
          <cell r="B50">
            <v>128.27000000000001</v>
          </cell>
          <cell r="C50">
            <v>4.26708</v>
          </cell>
        </row>
        <row r="51">
          <cell r="A51">
            <v>43620</v>
          </cell>
          <cell r="B51">
            <v>132.69</v>
          </cell>
          <cell r="C51">
            <v>3.9135399999999998</v>
          </cell>
        </row>
        <row r="52">
          <cell r="A52">
            <v>43621</v>
          </cell>
          <cell r="B52">
            <v>131.49</v>
          </cell>
          <cell r="C52">
            <v>3.1615799999999998</v>
          </cell>
        </row>
        <row r="53">
          <cell r="A53">
            <v>43622</v>
          </cell>
          <cell r="B53">
            <v>132.22</v>
          </cell>
          <cell r="C53">
            <v>2.2982499999999999</v>
          </cell>
        </row>
        <row r="54">
          <cell r="A54">
            <v>43623</v>
          </cell>
          <cell r="B54">
            <v>133.31</v>
          </cell>
          <cell r="C54">
            <v>2.5533999999999999</v>
          </cell>
        </row>
        <row r="55">
          <cell r="A55">
            <v>43626</v>
          </cell>
          <cell r="B55">
            <v>134.74</v>
          </cell>
          <cell r="C55">
            <v>2.91133</v>
          </cell>
        </row>
        <row r="56">
          <cell r="A56">
            <v>43627</v>
          </cell>
          <cell r="B56">
            <v>135.94999999999999</v>
          </cell>
          <cell r="C56">
            <v>3.4073500000000001</v>
          </cell>
        </row>
        <row r="57">
          <cell r="A57">
            <v>43628</v>
          </cell>
          <cell r="B57">
            <v>134.87</v>
          </cell>
          <cell r="C57">
            <v>2.25474</v>
          </cell>
        </row>
        <row r="58">
          <cell r="A58">
            <v>43629</v>
          </cell>
          <cell r="B58">
            <v>135.76</v>
          </cell>
          <cell r="C58">
            <v>2.9554200000000002</v>
          </cell>
        </row>
        <row r="59">
          <cell r="A59">
            <v>43630</v>
          </cell>
          <cell r="B59">
            <v>135.15</v>
          </cell>
          <cell r="C59">
            <v>2.1933699999999998</v>
          </cell>
        </row>
        <row r="60">
          <cell r="A60">
            <v>43633</v>
          </cell>
          <cell r="B60">
            <v>134.94999999999999</v>
          </cell>
          <cell r="C60">
            <v>2.1941299999999999</v>
          </cell>
        </row>
        <row r="61">
          <cell r="A61">
            <v>43634</v>
          </cell>
          <cell r="B61">
            <v>136.38</v>
          </cell>
          <cell r="C61">
            <v>2.9146999999999998</v>
          </cell>
        </row>
        <row r="62">
          <cell r="A62">
            <v>43635</v>
          </cell>
          <cell r="B62">
            <v>137.08000000000001</v>
          </cell>
          <cell r="C62">
            <v>2.38252</v>
          </cell>
        </row>
        <row r="63">
          <cell r="A63">
            <v>43636</v>
          </cell>
          <cell r="B63">
            <v>138.85</v>
          </cell>
          <cell r="C63">
            <v>3.0710199999999999</v>
          </cell>
        </row>
        <row r="64">
          <cell r="A64">
            <v>43637</v>
          </cell>
          <cell r="B64">
            <v>139.19999999999999</v>
          </cell>
          <cell r="C64">
            <v>5.2887599999999999</v>
          </cell>
        </row>
        <row r="65">
          <cell r="A65">
            <v>43640</v>
          </cell>
          <cell r="B65">
            <v>139.35</v>
          </cell>
          <cell r="C65">
            <v>2.18614</v>
          </cell>
        </row>
        <row r="66">
          <cell r="A66">
            <v>43641</v>
          </cell>
          <cell r="B66">
            <v>138.36000000000001</v>
          </cell>
          <cell r="C66">
            <v>2.80125</v>
          </cell>
        </row>
        <row r="67">
          <cell r="A67">
            <v>43642</v>
          </cell>
          <cell r="B67">
            <v>138.52000000000001</v>
          </cell>
          <cell r="C67">
            <v>2.28457</v>
          </cell>
        </row>
        <row r="68">
          <cell r="A68">
            <v>43643</v>
          </cell>
          <cell r="B68">
            <v>138.52000000000001</v>
          </cell>
          <cell r="C68">
            <v>2.1498200000000001</v>
          </cell>
        </row>
        <row r="69">
          <cell r="A69">
            <v>43644</v>
          </cell>
          <cell r="B69">
            <v>137.9</v>
          </cell>
          <cell r="C69">
            <v>6.1540400000000002</v>
          </cell>
        </row>
        <row r="70">
          <cell r="A70">
            <v>43647</v>
          </cell>
          <cell r="B70">
            <v>139.88</v>
          </cell>
          <cell r="C70">
            <v>3.3871799999999999</v>
          </cell>
        </row>
        <row r="71">
          <cell r="A71">
            <v>43648</v>
          </cell>
          <cell r="B71">
            <v>140.22</v>
          </cell>
          <cell r="C71">
            <v>2.4100899999999998</v>
          </cell>
        </row>
        <row r="72">
          <cell r="A72">
            <v>43649</v>
          </cell>
          <cell r="B72">
            <v>141.54</v>
          </cell>
          <cell r="C72">
            <v>1.9303600000000001</v>
          </cell>
        </row>
        <row r="73">
          <cell r="A73">
            <v>43651</v>
          </cell>
          <cell r="B73">
            <v>141.38</v>
          </cell>
          <cell r="C73">
            <v>2.1350899999999999</v>
          </cell>
        </row>
        <row r="74">
          <cell r="A74">
            <v>43654</v>
          </cell>
          <cell r="B74">
            <v>140.57</v>
          </cell>
          <cell r="C74">
            <v>2.3954900000000001</v>
          </cell>
        </row>
        <row r="75">
          <cell r="A75">
            <v>43655</v>
          </cell>
          <cell r="B75">
            <v>139.33000000000001</v>
          </cell>
          <cell r="C75">
            <v>3.3652299999999999</v>
          </cell>
        </row>
        <row r="76">
          <cell r="A76">
            <v>43656</v>
          </cell>
          <cell r="B76">
            <v>140.47</v>
          </cell>
          <cell r="C76">
            <v>2.5139300000000002</v>
          </cell>
        </row>
        <row r="77">
          <cell r="A77">
            <v>43657</v>
          </cell>
          <cell r="B77">
            <v>141.24</v>
          </cell>
          <cell r="C77">
            <v>2.1333299999999999</v>
          </cell>
        </row>
        <row r="78">
          <cell r="A78">
            <v>43658</v>
          </cell>
          <cell r="B78">
            <v>142.74</v>
          </cell>
          <cell r="C78">
            <v>2.7862800000000001</v>
          </cell>
        </row>
        <row r="79">
          <cell r="A79">
            <v>43661</v>
          </cell>
          <cell r="B79">
            <v>143.32</v>
          </cell>
          <cell r="C79">
            <v>2.3683100000000001</v>
          </cell>
        </row>
        <row r="80">
          <cell r="A80">
            <v>43662</v>
          </cell>
          <cell r="B80">
            <v>143.53</v>
          </cell>
          <cell r="C80">
            <v>3.4746899999999998</v>
          </cell>
        </row>
        <row r="81">
          <cell r="A81">
            <v>43663</v>
          </cell>
          <cell r="B81">
            <v>143.07</v>
          </cell>
          <cell r="C81">
            <v>6.0642699999999996</v>
          </cell>
        </row>
        <row r="82">
          <cell r="A82">
            <v>43664</v>
          </cell>
          <cell r="B82">
            <v>149.63</v>
          </cell>
          <cell r="C82">
            <v>12.69539</v>
          </cell>
        </row>
        <row r="83">
          <cell r="A83">
            <v>43665</v>
          </cell>
          <cell r="B83">
            <v>149.68</v>
          </cell>
          <cell r="C83">
            <v>7.29068</v>
          </cell>
        </row>
        <row r="84">
          <cell r="A84">
            <v>43668</v>
          </cell>
          <cell r="B84">
            <v>149.74</v>
          </cell>
          <cell r="C84">
            <v>4.0932399999999998</v>
          </cell>
        </row>
        <row r="85">
          <cell r="A85">
            <v>43669</v>
          </cell>
          <cell r="B85">
            <v>150.38</v>
          </cell>
          <cell r="C85">
            <v>3.7422</v>
          </cell>
        </row>
        <row r="86">
          <cell r="A86">
            <v>43670</v>
          </cell>
          <cell r="B86">
            <v>150.03</v>
          </cell>
          <cell r="C86">
            <v>2.9524400000000002</v>
          </cell>
        </row>
        <row r="87">
          <cell r="A87">
            <v>43671</v>
          </cell>
          <cell r="B87">
            <v>150.38999999999999</v>
          </cell>
          <cell r="C87">
            <v>3.1021100000000001</v>
          </cell>
        </row>
        <row r="88">
          <cell r="A88">
            <v>43672</v>
          </cell>
          <cell r="B88">
            <v>151.36000000000001</v>
          </cell>
          <cell r="C88">
            <v>2.90449</v>
          </cell>
        </row>
        <row r="89">
          <cell r="A89">
            <v>43675</v>
          </cell>
          <cell r="B89">
            <v>150.88</v>
          </cell>
          <cell r="C89">
            <v>2.0755300000000001</v>
          </cell>
        </row>
        <row r="90">
          <cell r="A90">
            <v>43676</v>
          </cell>
          <cell r="B90">
            <v>149.77000000000001</v>
          </cell>
          <cell r="C90">
            <v>2.63273</v>
          </cell>
        </row>
        <row r="91">
          <cell r="A91">
            <v>43677</v>
          </cell>
          <cell r="B91">
            <v>148.24</v>
          </cell>
          <cell r="C91">
            <v>3.7229100000000002</v>
          </cell>
        </row>
        <row r="92">
          <cell r="A92">
            <v>43678</v>
          </cell>
          <cell r="B92">
            <v>150.32</v>
          </cell>
          <cell r="C92">
            <v>6.3440099999999999</v>
          </cell>
        </row>
        <row r="93">
          <cell r="A93">
            <v>43679</v>
          </cell>
          <cell r="B93">
            <v>147.25</v>
          </cell>
          <cell r="C93">
            <v>8.1017200000000003</v>
          </cell>
        </row>
        <row r="94">
          <cell r="A94">
            <v>43682</v>
          </cell>
          <cell r="B94">
            <v>140.76</v>
          </cell>
          <cell r="C94">
            <v>7.1148699999999998</v>
          </cell>
        </row>
        <row r="95">
          <cell r="A95">
            <v>43683</v>
          </cell>
          <cell r="B95">
            <v>140.72999999999999</v>
          </cell>
          <cell r="C95">
            <v>5.0706499999999997</v>
          </cell>
        </row>
        <row r="96">
          <cell r="A96">
            <v>43684</v>
          </cell>
          <cell r="B96">
            <v>139.11000000000001</v>
          </cell>
          <cell r="C96">
            <v>5.9318799999999996</v>
          </cell>
        </row>
        <row r="97">
          <cell r="A97">
            <v>43685</v>
          </cell>
          <cell r="B97">
            <v>140.1</v>
          </cell>
          <cell r="C97">
            <v>5.2614400000000003</v>
          </cell>
        </row>
        <row r="98">
          <cell r="A98">
            <v>43686</v>
          </cell>
          <cell r="B98">
            <v>136.13</v>
          </cell>
          <cell r="C98">
            <v>5.2445899999999996</v>
          </cell>
        </row>
        <row r="99">
          <cell r="A99">
            <v>43689</v>
          </cell>
          <cell r="B99">
            <v>134.12</v>
          </cell>
          <cell r="C99">
            <v>4.1936400000000003</v>
          </cell>
        </row>
        <row r="100">
          <cell r="A100">
            <v>43690</v>
          </cell>
          <cell r="B100">
            <v>135.79</v>
          </cell>
          <cell r="C100">
            <v>4.5511699999999999</v>
          </cell>
        </row>
        <row r="101">
          <cell r="A101">
            <v>43691</v>
          </cell>
          <cell r="B101">
            <v>131.25</v>
          </cell>
          <cell r="C101">
            <v>5.11416</v>
          </cell>
        </row>
        <row r="102">
          <cell r="A102">
            <v>43692</v>
          </cell>
          <cell r="B102">
            <v>131.91999999999999</v>
          </cell>
          <cell r="C102">
            <v>3.73895</v>
          </cell>
        </row>
        <row r="103">
          <cell r="A103">
            <v>43693</v>
          </cell>
          <cell r="B103">
            <v>133.76</v>
          </cell>
          <cell r="C103">
            <v>3.0119899999999999</v>
          </cell>
        </row>
        <row r="104">
          <cell r="A104">
            <v>43696</v>
          </cell>
          <cell r="B104">
            <v>135.04</v>
          </cell>
          <cell r="C104">
            <v>3.1654399999999998</v>
          </cell>
        </row>
        <row r="105">
          <cell r="A105">
            <v>43697</v>
          </cell>
          <cell r="B105">
            <v>133</v>
          </cell>
          <cell r="C105">
            <v>3.0189300000000001</v>
          </cell>
        </row>
        <row r="106">
          <cell r="A106">
            <v>43698</v>
          </cell>
          <cell r="B106">
            <v>134.25</v>
          </cell>
          <cell r="C106">
            <v>2.8067700000000002</v>
          </cell>
        </row>
        <row r="107">
          <cell r="A107">
            <v>43699</v>
          </cell>
          <cell r="B107">
            <v>134.32</v>
          </cell>
          <cell r="C107">
            <v>2.6950099999999999</v>
          </cell>
        </row>
        <row r="108">
          <cell r="A108">
            <v>43700</v>
          </cell>
          <cell r="B108">
            <v>129.57</v>
          </cell>
          <cell r="C108">
            <v>4.8187600000000002</v>
          </cell>
        </row>
        <row r="109">
          <cell r="A109">
            <v>43703</v>
          </cell>
          <cell r="B109">
            <v>129.99</v>
          </cell>
          <cell r="C109">
            <v>2.83684</v>
          </cell>
        </row>
        <row r="110">
          <cell r="A110">
            <v>43704</v>
          </cell>
          <cell r="B110">
            <v>131.16999999999999</v>
          </cell>
          <cell r="C110">
            <v>4.7283900000000001</v>
          </cell>
        </row>
        <row r="111">
          <cell r="A111">
            <v>43705</v>
          </cell>
          <cell r="B111">
            <v>132.76</v>
          </cell>
          <cell r="C111">
            <v>2.7203599999999999</v>
          </cell>
        </row>
        <row r="112">
          <cell r="A112">
            <v>43706</v>
          </cell>
          <cell r="B112">
            <v>134.88</v>
          </cell>
          <cell r="C112">
            <v>2.9728400000000001</v>
          </cell>
        </row>
        <row r="113">
          <cell r="A113">
            <v>43707</v>
          </cell>
          <cell r="B113">
            <v>135.53</v>
          </cell>
          <cell r="C113">
            <v>2.9605899999999998</v>
          </cell>
        </row>
        <row r="114">
          <cell r="A114">
            <v>43711</v>
          </cell>
          <cell r="B114">
            <v>134.1</v>
          </cell>
          <cell r="C114">
            <v>2.8282400000000001</v>
          </cell>
        </row>
        <row r="115">
          <cell r="A115">
            <v>43712</v>
          </cell>
          <cell r="B115">
            <v>136.32</v>
          </cell>
          <cell r="C115">
            <v>2.2620800000000001</v>
          </cell>
        </row>
        <row r="116">
          <cell r="A116">
            <v>43713</v>
          </cell>
          <cell r="B116">
            <v>140.97</v>
          </cell>
          <cell r="C116">
            <v>5.0129099999999998</v>
          </cell>
        </row>
        <row r="117">
          <cell r="A117">
            <v>43714</v>
          </cell>
          <cell r="B117">
            <v>140.57</v>
          </cell>
          <cell r="C117">
            <v>2.5771999999999999</v>
          </cell>
        </row>
        <row r="118">
          <cell r="A118">
            <v>43717</v>
          </cell>
          <cell r="B118">
            <v>142.6</v>
          </cell>
          <cell r="C118">
            <v>4.2269399999999999</v>
          </cell>
        </row>
        <row r="119">
          <cell r="A119">
            <v>43718</v>
          </cell>
          <cell r="B119">
            <v>145.05000000000001</v>
          </cell>
          <cell r="C119">
            <v>4.9797399999999996</v>
          </cell>
        </row>
        <row r="120">
          <cell r="A120">
            <v>43719</v>
          </cell>
          <cell r="B120">
            <v>143.6</v>
          </cell>
          <cell r="C120">
            <v>3.8697300000000001</v>
          </cell>
        </row>
        <row r="121">
          <cell r="A121">
            <v>43720</v>
          </cell>
          <cell r="B121">
            <v>143.62</v>
          </cell>
          <cell r="C121">
            <v>2.50543</v>
          </cell>
        </row>
        <row r="122">
          <cell r="A122">
            <v>43721</v>
          </cell>
          <cell r="B122">
            <v>143.66999999999999</v>
          </cell>
          <cell r="C122">
            <v>2.20661</v>
          </cell>
        </row>
        <row r="123">
          <cell r="A123">
            <v>43724</v>
          </cell>
          <cell r="B123">
            <v>142.47999999999999</v>
          </cell>
          <cell r="C123">
            <v>1.9285000000000001</v>
          </cell>
        </row>
        <row r="124">
          <cell r="A124">
            <v>43725</v>
          </cell>
          <cell r="B124">
            <v>142.19999999999999</v>
          </cell>
          <cell r="C124">
            <v>2.94049</v>
          </cell>
        </row>
        <row r="125">
          <cell r="A125">
            <v>43726</v>
          </cell>
          <cell r="B125">
            <v>142.22</v>
          </cell>
          <cell r="C125">
            <v>1.99516</v>
          </cell>
        </row>
        <row r="126">
          <cell r="A126">
            <v>43727</v>
          </cell>
          <cell r="B126">
            <v>142.97</v>
          </cell>
          <cell r="C126">
            <v>3.1820900000000001</v>
          </cell>
        </row>
        <row r="127">
          <cell r="A127">
            <v>43728</v>
          </cell>
          <cell r="B127">
            <v>141.88</v>
          </cell>
          <cell r="C127">
            <v>5.2178800000000001</v>
          </cell>
        </row>
        <row r="128">
          <cell r="A128">
            <v>43731</v>
          </cell>
          <cell r="B128">
            <v>142.07</v>
          </cell>
          <cell r="C128">
            <v>1.85006</v>
          </cell>
        </row>
        <row r="129">
          <cell r="A129">
            <v>43732</v>
          </cell>
          <cell r="B129">
            <v>141.68</v>
          </cell>
          <cell r="C129">
            <v>3.3111700000000002</v>
          </cell>
        </row>
        <row r="130">
          <cell r="A130">
            <v>43733</v>
          </cell>
          <cell r="B130">
            <v>143.16</v>
          </cell>
          <cell r="C130">
            <v>2.5462099999999999</v>
          </cell>
        </row>
        <row r="131">
          <cell r="A131">
            <v>43734</v>
          </cell>
          <cell r="B131">
            <v>143.55000000000001</v>
          </cell>
          <cell r="C131">
            <v>2.31454</v>
          </cell>
        </row>
        <row r="132">
          <cell r="A132">
            <v>43735</v>
          </cell>
          <cell r="B132">
            <v>143.24</v>
          </cell>
          <cell r="C132">
            <v>2.3570799999999998</v>
          </cell>
        </row>
        <row r="133">
          <cell r="A133">
            <v>43738</v>
          </cell>
          <cell r="B133">
            <v>145.41999999999999</v>
          </cell>
          <cell r="C133">
            <v>4.0044300000000002</v>
          </cell>
        </row>
        <row r="134">
          <cell r="A134">
            <v>43739</v>
          </cell>
          <cell r="B134">
            <v>143.66</v>
          </cell>
          <cell r="C134">
            <v>2.9737100000000001</v>
          </cell>
        </row>
        <row r="135">
          <cell r="A135">
            <v>43740</v>
          </cell>
          <cell r="B135">
            <v>141.69</v>
          </cell>
          <cell r="C135">
            <v>3.34728</v>
          </cell>
        </row>
        <row r="136">
          <cell r="A136">
            <v>43741</v>
          </cell>
          <cell r="B136">
            <v>142.02000000000001</v>
          </cell>
          <cell r="C136">
            <v>3.1617199999999999</v>
          </cell>
        </row>
        <row r="137">
          <cell r="A137">
            <v>43742</v>
          </cell>
          <cell r="B137">
            <v>142.99</v>
          </cell>
          <cell r="C137">
            <v>2.4494799999999999</v>
          </cell>
        </row>
        <row r="138">
          <cell r="A138">
            <v>43745</v>
          </cell>
          <cell r="B138">
            <v>141.28</v>
          </cell>
          <cell r="C138">
            <v>2.4887999999999999</v>
          </cell>
        </row>
        <row r="139">
          <cell r="A139">
            <v>43746</v>
          </cell>
          <cell r="B139">
            <v>138.38</v>
          </cell>
          <cell r="C139">
            <v>3.3440799999999999</v>
          </cell>
        </row>
        <row r="140">
          <cell r="A140">
            <v>43747</v>
          </cell>
          <cell r="B140">
            <v>139.66999999999999</v>
          </cell>
          <cell r="C140">
            <v>2.63347</v>
          </cell>
        </row>
        <row r="141">
          <cell r="A141">
            <v>43748</v>
          </cell>
          <cell r="B141">
            <v>141.13</v>
          </cell>
          <cell r="C141">
            <v>2.64669</v>
          </cell>
        </row>
        <row r="142">
          <cell r="A142">
            <v>43749</v>
          </cell>
          <cell r="B142">
            <v>142.76</v>
          </cell>
          <cell r="C142">
            <v>3.0186700000000002</v>
          </cell>
        </row>
        <row r="143">
          <cell r="A143">
            <v>43752</v>
          </cell>
          <cell r="B143">
            <v>142.04</v>
          </cell>
          <cell r="C143">
            <v>2.3256100000000002</v>
          </cell>
        </row>
        <row r="144">
          <cell r="A144">
            <v>43753</v>
          </cell>
          <cell r="B144">
            <v>143</v>
          </cell>
          <cell r="C144">
            <v>3.0470000000000002</v>
          </cell>
        </row>
        <row r="145">
          <cell r="A145">
            <v>43754</v>
          </cell>
          <cell r="B145">
            <v>142.11000000000001</v>
          </cell>
          <cell r="C145">
            <v>5.9157099999999998</v>
          </cell>
        </row>
        <row r="146">
          <cell r="A146">
            <v>43755</v>
          </cell>
          <cell r="B146">
            <v>134.26</v>
          </cell>
          <cell r="C146">
            <v>15.83081</v>
          </cell>
        </row>
        <row r="147">
          <cell r="A147">
            <v>43756</v>
          </cell>
          <cell r="B147">
            <v>134.09</v>
          </cell>
          <cell r="C147">
            <v>7.1783799999999998</v>
          </cell>
        </row>
        <row r="148">
          <cell r="A148">
            <v>43759</v>
          </cell>
          <cell r="B148">
            <v>132.58000000000001</v>
          </cell>
          <cell r="C148">
            <v>6.3729800000000001</v>
          </cell>
        </row>
        <row r="149">
          <cell r="A149">
            <v>43760</v>
          </cell>
          <cell r="B149">
            <v>133.96</v>
          </cell>
          <cell r="C149">
            <v>4.1958000000000002</v>
          </cell>
        </row>
        <row r="150">
          <cell r="A150">
            <v>43761</v>
          </cell>
          <cell r="B150">
            <v>134.38</v>
          </cell>
          <cell r="C150">
            <v>3.6273499999999999</v>
          </cell>
        </row>
        <row r="151">
          <cell r="A151">
            <v>43762</v>
          </cell>
          <cell r="B151">
            <v>134.07</v>
          </cell>
          <cell r="C151">
            <v>2.61931</v>
          </cell>
        </row>
        <row r="152">
          <cell r="A152">
            <v>43763</v>
          </cell>
          <cell r="B152">
            <v>135.44</v>
          </cell>
          <cell r="C152">
            <v>2.5790600000000001</v>
          </cell>
        </row>
        <row r="153">
          <cell r="A153">
            <v>43766</v>
          </cell>
          <cell r="B153">
            <v>135.97</v>
          </cell>
          <cell r="C153">
            <v>3.2261299999999999</v>
          </cell>
        </row>
        <row r="154">
          <cell r="A154">
            <v>43767</v>
          </cell>
          <cell r="B154">
            <v>133.82</v>
          </cell>
          <cell r="C154">
            <v>4.1607200000000004</v>
          </cell>
        </row>
        <row r="155">
          <cell r="A155">
            <v>43768</v>
          </cell>
          <cell r="B155">
            <v>135.25</v>
          </cell>
          <cell r="C155">
            <v>2.25299</v>
          </cell>
        </row>
        <row r="156">
          <cell r="A156">
            <v>43769</v>
          </cell>
          <cell r="B156">
            <v>133.72999999999999</v>
          </cell>
          <cell r="C156">
            <v>3.4121199999999998</v>
          </cell>
        </row>
        <row r="157">
          <cell r="A157">
            <v>43770</v>
          </cell>
          <cell r="B157">
            <v>135.53</v>
          </cell>
          <cell r="C157">
            <v>3.0897899999999998</v>
          </cell>
        </row>
        <row r="158">
          <cell r="A158">
            <v>43773</v>
          </cell>
          <cell r="B158">
            <v>137.66999999999999</v>
          </cell>
          <cell r="C158">
            <v>3.3353899999999999</v>
          </cell>
        </row>
        <row r="159">
          <cell r="A159">
            <v>43774</v>
          </cell>
          <cell r="B159">
            <v>137.88999999999999</v>
          </cell>
          <cell r="C159">
            <v>3.0149599999999999</v>
          </cell>
        </row>
        <row r="160">
          <cell r="A160">
            <v>43775</v>
          </cell>
          <cell r="B160">
            <v>138.78</v>
          </cell>
          <cell r="C160">
            <v>4.47729</v>
          </cell>
        </row>
        <row r="161">
          <cell r="A161">
            <v>43776</v>
          </cell>
          <cell r="B161">
            <v>137.69</v>
          </cell>
          <cell r="C161">
            <v>4.0739099999999997</v>
          </cell>
        </row>
        <row r="162">
          <cell r="A162">
            <v>43777</v>
          </cell>
          <cell r="B162">
            <v>137.61000000000001</v>
          </cell>
          <cell r="C162">
            <v>2.2786</v>
          </cell>
        </row>
        <row r="163">
          <cell r="A163">
            <v>43780</v>
          </cell>
          <cell r="B163">
            <v>135.47</v>
          </cell>
          <cell r="C163">
            <v>2.5687600000000002</v>
          </cell>
        </row>
        <row r="164">
          <cell r="A164">
            <v>43781</v>
          </cell>
          <cell r="B164">
            <v>135.59</v>
          </cell>
          <cell r="C164">
            <v>3.0465399999999998</v>
          </cell>
        </row>
        <row r="165">
          <cell r="A165">
            <v>43782</v>
          </cell>
          <cell r="B165">
            <v>134.47999999999999</v>
          </cell>
          <cell r="C165">
            <v>3.0609199999999999</v>
          </cell>
        </row>
        <row r="166">
          <cell r="A166">
            <v>43783</v>
          </cell>
          <cell r="B166">
            <v>134</v>
          </cell>
          <cell r="C166">
            <v>4.2314699999999998</v>
          </cell>
        </row>
        <row r="167">
          <cell r="A167">
            <v>43784</v>
          </cell>
          <cell r="B167">
            <v>134.4</v>
          </cell>
          <cell r="C167">
            <v>3.2626599999999999</v>
          </cell>
        </row>
        <row r="168">
          <cell r="A168">
            <v>43787</v>
          </cell>
          <cell r="B168">
            <v>134.31</v>
          </cell>
          <cell r="C168">
            <v>3.2108699999999999</v>
          </cell>
        </row>
        <row r="169">
          <cell r="A169">
            <v>43788</v>
          </cell>
          <cell r="B169">
            <v>134.52000000000001</v>
          </cell>
          <cell r="C169">
            <v>2.9950700000000001</v>
          </cell>
        </row>
        <row r="170">
          <cell r="A170">
            <v>43789</v>
          </cell>
          <cell r="B170">
            <v>133.19999999999999</v>
          </cell>
          <cell r="C170">
            <v>4.1401500000000002</v>
          </cell>
        </row>
        <row r="171">
          <cell r="A171">
            <v>43790</v>
          </cell>
          <cell r="B171">
            <v>133.84</v>
          </cell>
          <cell r="C171">
            <v>3.3453400000000002</v>
          </cell>
        </row>
        <row r="172">
          <cell r="A172">
            <v>43791</v>
          </cell>
          <cell r="B172">
            <v>134.34</v>
          </cell>
          <cell r="C172">
            <v>3.2978000000000001</v>
          </cell>
        </row>
        <row r="173">
          <cell r="A173">
            <v>43794</v>
          </cell>
          <cell r="B173">
            <v>135.97</v>
          </cell>
          <cell r="C173">
            <v>2.5901700000000001</v>
          </cell>
        </row>
        <row r="174">
          <cell r="A174">
            <v>43795</v>
          </cell>
          <cell r="B174">
            <v>135.09</v>
          </cell>
          <cell r="C174">
            <v>3.7933400000000002</v>
          </cell>
        </row>
        <row r="175">
          <cell r="A175">
            <v>43796</v>
          </cell>
          <cell r="B175">
            <v>133.77000000000001</v>
          </cell>
          <cell r="C175">
            <v>3.2828300000000001</v>
          </cell>
        </row>
        <row r="176">
          <cell r="A176">
            <v>43798</v>
          </cell>
          <cell r="B176">
            <v>134.44999999999999</v>
          </cell>
          <cell r="C176">
            <v>1.8252600000000001</v>
          </cell>
        </row>
        <row r="177">
          <cell r="A177">
            <v>43801</v>
          </cell>
          <cell r="B177">
            <v>132.91</v>
          </cell>
          <cell r="C177">
            <v>3.0678299999999998</v>
          </cell>
        </row>
        <row r="178">
          <cell r="A178">
            <v>43802</v>
          </cell>
          <cell r="B178">
            <v>132.12</v>
          </cell>
          <cell r="C178">
            <v>3.7110699999999999</v>
          </cell>
        </row>
        <row r="179">
          <cell r="A179">
            <v>43803</v>
          </cell>
          <cell r="B179">
            <v>131.99</v>
          </cell>
          <cell r="C179">
            <v>3.53077</v>
          </cell>
        </row>
        <row r="180">
          <cell r="A180">
            <v>43804</v>
          </cell>
          <cell r="B180">
            <v>131.91</v>
          </cell>
          <cell r="C180">
            <v>3.5985800000000001</v>
          </cell>
        </row>
        <row r="181">
          <cell r="A181">
            <v>43805</v>
          </cell>
          <cell r="B181">
            <v>133.22</v>
          </cell>
          <cell r="C181">
            <v>3.4379900000000001</v>
          </cell>
        </row>
        <row r="182">
          <cell r="A182">
            <v>43808</v>
          </cell>
          <cell r="B182">
            <v>133.91999999999999</v>
          </cell>
          <cell r="C182">
            <v>2.9788000000000001</v>
          </cell>
        </row>
        <row r="183">
          <cell r="A183">
            <v>43809</v>
          </cell>
          <cell r="B183">
            <v>133.91</v>
          </cell>
          <cell r="C183">
            <v>3.4803899999999999</v>
          </cell>
        </row>
        <row r="184">
          <cell r="A184">
            <v>43810</v>
          </cell>
          <cell r="B184">
            <v>133.76</v>
          </cell>
          <cell r="C184">
            <v>3.9533100000000001</v>
          </cell>
        </row>
        <row r="185">
          <cell r="A185">
            <v>43811</v>
          </cell>
          <cell r="B185">
            <v>135.32</v>
          </cell>
          <cell r="C185">
            <v>4.8241899999999998</v>
          </cell>
        </row>
        <row r="186">
          <cell r="A186">
            <v>43812</v>
          </cell>
          <cell r="B186">
            <v>134.21</v>
          </cell>
          <cell r="C186">
            <v>2.5349699999999999</v>
          </cell>
        </row>
        <row r="187">
          <cell r="A187">
            <v>43815</v>
          </cell>
          <cell r="B187">
            <v>134.13</v>
          </cell>
          <cell r="C187">
            <v>3.0493299999999999</v>
          </cell>
        </row>
        <row r="188">
          <cell r="A188">
            <v>43816</v>
          </cell>
          <cell r="B188">
            <v>134.22</v>
          </cell>
          <cell r="C188">
            <v>2.9075500000000001</v>
          </cell>
        </row>
        <row r="189">
          <cell r="A189">
            <v>43817</v>
          </cell>
          <cell r="B189">
            <v>134.41</v>
          </cell>
          <cell r="C189">
            <v>3.1023499999999999</v>
          </cell>
        </row>
        <row r="190">
          <cell r="A190">
            <v>43818</v>
          </cell>
          <cell r="B190">
            <v>134.56</v>
          </cell>
          <cell r="C190">
            <v>3.8667199999999999</v>
          </cell>
        </row>
        <row r="191">
          <cell r="A191">
            <v>43819</v>
          </cell>
          <cell r="B191">
            <v>135.59</v>
          </cell>
          <cell r="C191">
            <v>7.1120700000000001</v>
          </cell>
        </row>
        <row r="192">
          <cell r="A192">
            <v>43822</v>
          </cell>
          <cell r="B192">
            <v>135.55000000000001</v>
          </cell>
          <cell r="C192">
            <v>2.8031700000000002</v>
          </cell>
        </row>
        <row r="193">
          <cell r="A193">
            <v>43823</v>
          </cell>
          <cell r="B193">
            <v>134.97999999999999</v>
          </cell>
          <cell r="C193">
            <v>1.2020900000000001</v>
          </cell>
        </row>
        <row r="194">
          <cell r="A194">
            <v>43825</v>
          </cell>
          <cell r="B194">
            <v>134.91</v>
          </cell>
          <cell r="C194">
            <v>2.1307100000000001</v>
          </cell>
        </row>
        <row r="195">
          <cell r="A195">
            <v>43826</v>
          </cell>
          <cell r="B195">
            <v>135.27000000000001</v>
          </cell>
          <cell r="C195">
            <v>2.75271</v>
          </cell>
        </row>
        <row r="196">
          <cell r="A196">
            <v>43829</v>
          </cell>
          <cell r="B196">
            <v>132.81</v>
          </cell>
          <cell r="C196">
            <v>4.1189400000000003</v>
          </cell>
        </row>
        <row r="197">
          <cell r="A197">
            <v>43830</v>
          </cell>
          <cell r="B197">
            <v>134.04</v>
          </cell>
          <cell r="C197">
            <v>3.7780100000000001</v>
          </cell>
        </row>
        <row r="198">
          <cell r="A198">
            <v>43832</v>
          </cell>
          <cell r="B198">
            <v>135.41999999999999</v>
          </cell>
          <cell r="C198">
            <v>3.1488299999999998</v>
          </cell>
        </row>
        <row r="199">
          <cell r="A199">
            <v>43833</v>
          </cell>
          <cell r="B199">
            <v>134.34</v>
          </cell>
          <cell r="C199">
            <v>2.3736799999999998</v>
          </cell>
        </row>
        <row r="200">
          <cell r="A200">
            <v>43836</v>
          </cell>
          <cell r="B200">
            <v>134.1</v>
          </cell>
          <cell r="C200">
            <v>2.42631</v>
          </cell>
        </row>
        <row r="201">
          <cell r="A201">
            <v>43837</v>
          </cell>
          <cell r="B201">
            <v>134.19</v>
          </cell>
          <cell r="C201">
            <v>3.27597</v>
          </cell>
        </row>
        <row r="202">
          <cell r="A202">
            <v>43838</v>
          </cell>
          <cell r="B202">
            <v>135.31</v>
          </cell>
          <cell r="C202">
            <v>4.3461400000000001</v>
          </cell>
        </row>
        <row r="203">
          <cell r="A203">
            <v>43839</v>
          </cell>
          <cell r="B203">
            <v>136.74</v>
          </cell>
          <cell r="C203">
            <v>3.7328299999999999</v>
          </cell>
        </row>
        <row r="204">
          <cell r="A204">
            <v>43840</v>
          </cell>
          <cell r="B204">
            <v>136.69</v>
          </cell>
          <cell r="C204">
            <v>3.2556400000000001</v>
          </cell>
        </row>
        <row r="205">
          <cell r="A205">
            <v>43843</v>
          </cell>
          <cell r="B205">
            <v>136.6</v>
          </cell>
          <cell r="C205">
            <v>3.5315699999999999</v>
          </cell>
        </row>
        <row r="206">
          <cell r="A206">
            <v>43844</v>
          </cell>
          <cell r="B206">
            <v>135.82</v>
          </cell>
          <cell r="C206">
            <v>3.6834600000000002</v>
          </cell>
        </row>
        <row r="207">
          <cell r="A207">
            <v>43845</v>
          </cell>
          <cell r="B207">
            <v>136.62</v>
          </cell>
          <cell r="C207">
            <v>4.0459500000000004</v>
          </cell>
        </row>
        <row r="208">
          <cell r="A208">
            <v>43846</v>
          </cell>
          <cell r="B208">
            <v>137.97999999999999</v>
          </cell>
          <cell r="C208">
            <v>4.3209099999999996</v>
          </cell>
        </row>
        <row r="209">
          <cell r="A209">
            <v>43847</v>
          </cell>
          <cell r="B209">
            <v>138.31</v>
          </cell>
          <cell r="C209">
            <v>5.6233399999999998</v>
          </cell>
        </row>
        <row r="210">
          <cell r="A210">
            <v>43851</v>
          </cell>
          <cell r="B210">
            <v>139.16999999999999</v>
          </cell>
          <cell r="C210">
            <v>7.2440800000000003</v>
          </cell>
        </row>
        <row r="211">
          <cell r="A211">
            <v>43852</v>
          </cell>
          <cell r="B211">
            <v>143.88999999999999</v>
          </cell>
          <cell r="C211">
            <v>16.47043</v>
          </cell>
        </row>
        <row r="212">
          <cell r="A212">
            <v>43853</v>
          </cell>
          <cell r="B212">
            <v>142.87</v>
          </cell>
          <cell r="C212">
            <v>5.6577900000000003</v>
          </cell>
        </row>
        <row r="213">
          <cell r="A213">
            <v>43854</v>
          </cell>
          <cell r="B213">
            <v>140.56</v>
          </cell>
          <cell r="C213">
            <v>5.58019</v>
          </cell>
        </row>
        <row r="214">
          <cell r="A214">
            <v>43857</v>
          </cell>
          <cell r="B214">
            <v>138.62</v>
          </cell>
          <cell r="C214">
            <v>4.1665599999999996</v>
          </cell>
        </row>
        <row r="215">
          <cell r="A215">
            <v>43858</v>
          </cell>
          <cell r="B215">
            <v>139.55000000000001</v>
          </cell>
          <cell r="C215">
            <v>3.4515600000000002</v>
          </cell>
        </row>
        <row r="216">
          <cell r="A216">
            <v>43859</v>
          </cell>
          <cell r="B216">
            <v>137.69</v>
          </cell>
          <cell r="C216">
            <v>3.05471</v>
          </cell>
        </row>
        <row r="217">
          <cell r="A217">
            <v>43860</v>
          </cell>
          <cell r="B217">
            <v>136.77000000000001</v>
          </cell>
          <cell r="C217">
            <v>5.0579099999999997</v>
          </cell>
        </row>
        <row r="218">
          <cell r="A218">
            <v>43861</v>
          </cell>
          <cell r="B218">
            <v>143.72999999999999</v>
          </cell>
          <cell r="C218">
            <v>18.99456</v>
          </cell>
        </row>
        <row r="219">
          <cell r="A219">
            <v>43864</v>
          </cell>
          <cell r="B219">
            <v>146.27000000000001</v>
          </cell>
          <cell r="C219">
            <v>8.8874999999999993</v>
          </cell>
        </row>
        <row r="220">
          <cell r="A220">
            <v>43865</v>
          </cell>
          <cell r="B220">
            <v>149.11000000000001</v>
          </cell>
          <cell r="C220">
            <v>5.6209699999999998</v>
          </cell>
        </row>
        <row r="221">
          <cell r="A221">
            <v>43866</v>
          </cell>
          <cell r="B221">
            <v>156.33000000000001</v>
          </cell>
          <cell r="C221">
            <v>14.38682</v>
          </cell>
        </row>
        <row r="222">
          <cell r="A222">
            <v>43867</v>
          </cell>
          <cell r="B222">
            <v>156.76</v>
          </cell>
          <cell r="C222">
            <v>8.4005500000000008</v>
          </cell>
        </row>
        <row r="223">
          <cell r="A223">
            <v>43868</v>
          </cell>
          <cell r="B223">
            <v>153.41</v>
          </cell>
          <cell r="C223">
            <v>6.4234299999999998</v>
          </cell>
        </row>
        <row r="224">
          <cell r="A224">
            <v>43871</v>
          </cell>
          <cell r="B224">
            <v>154.43</v>
          </cell>
          <cell r="C224">
            <v>5.2398100000000003</v>
          </cell>
        </row>
        <row r="225">
          <cell r="A225">
            <v>43872</v>
          </cell>
          <cell r="B225">
            <v>153.47999999999999</v>
          </cell>
          <cell r="C225">
            <v>3.8351099999999998</v>
          </cell>
        </row>
        <row r="226">
          <cell r="A226">
            <v>43873</v>
          </cell>
          <cell r="B226">
            <v>155.31</v>
          </cell>
          <cell r="C226">
            <v>4.4380100000000002</v>
          </cell>
        </row>
        <row r="227">
          <cell r="A227">
            <v>43874</v>
          </cell>
          <cell r="B227">
            <v>154.31</v>
          </cell>
          <cell r="C227">
            <v>3.8207</v>
          </cell>
        </row>
        <row r="228">
          <cell r="A228">
            <v>43875</v>
          </cell>
          <cell r="B228">
            <v>150.69999999999999</v>
          </cell>
          <cell r="C228">
            <v>6.09924</v>
          </cell>
        </row>
        <row r="229">
          <cell r="A229">
            <v>43879</v>
          </cell>
          <cell r="B229">
            <v>151.1</v>
          </cell>
          <cell r="C229">
            <v>3.3435100000000002</v>
          </cell>
        </row>
        <row r="230">
          <cell r="A230">
            <v>43880</v>
          </cell>
          <cell r="B230">
            <v>150.86000000000001</v>
          </cell>
          <cell r="C230">
            <v>2.7332800000000002</v>
          </cell>
        </row>
        <row r="231">
          <cell r="A231">
            <v>43881</v>
          </cell>
          <cell r="B231">
            <v>151.22</v>
          </cell>
          <cell r="C231">
            <v>2.8807100000000001</v>
          </cell>
        </row>
        <row r="232">
          <cell r="A232">
            <v>43882</v>
          </cell>
          <cell r="B232">
            <v>149.84</v>
          </cell>
          <cell r="C232">
            <v>3.5372599999999998</v>
          </cell>
        </row>
        <row r="233">
          <cell r="A233">
            <v>43885</v>
          </cell>
          <cell r="B233">
            <v>146.43</v>
          </cell>
          <cell r="C233">
            <v>5.4524100000000004</v>
          </cell>
        </row>
        <row r="234">
          <cell r="A234">
            <v>43886</v>
          </cell>
          <cell r="B234">
            <v>141.71</v>
          </cell>
          <cell r="C234">
            <v>6.2115499999999999</v>
          </cell>
        </row>
        <row r="235">
          <cell r="A235">
            <v>43887</v>
          </cell>
          <cell r="B235">
            <v>139.75</v>
          </cell>
          <cell r="C235">
            <v>5.4095399999999998</v>
          </cell>
        </row>
        <row r="236">
          <cell r="A236">
            <v>43888</v>
          </cell>
          <cell r="B236">
            <v>133.11000000000001</v>
          </cell>
          <cell r="C236">
            <v>8.4211299999999998</v>
          </cell>
        </row>
        <row r="237">
          <cell r="A237">
            <v>43889</v>
          </cell>
          <cell r="B237">
            <v>130.15</v>
          </cell>
          <cell r="C237">
            <v>13.012230000000001</v>
          </cell>
        </row>
        <row r="238">
          <cell r="A238">
            <v>43892</v>
          </cell>
          <cell r="B238">
            <v>134.30000000000001</v>
          </cell>
          <cell r="C238">
            <v>8.5314200000000007</v>
          </cell>
        </row>
        <row r="239">
          <cell r="A239">
            <v>43893</v>
          </cell>
          <cell r="B239">
            <v>128.9</v>
          </cell>
          <cell r="C239">
            <v>7.8960699999999999</v>
          </cell>
        </row>
        <row r="240">
          <cell r="A240">
            <v>43894</v>
          </cell>
          <cell r="B240">
            <v>134.22</v>
          </cell>
          <cell r="C240">
            <v>4.9963699999999998</v>
          </cell>
        </row>
        <row r="241">
          <cell r="A241">
            <v>43895</v>
          </cell>
          <cell r="B241">
            <v>129.55000000000001</v>
          </cell>
          <cell r="C241">
            <v>5.4462299999999999</v>
          </cell>
        </row>
        <row r="242">
          <cell r="A242">
            <v>43896</v>
          </cell>
          <cell r="B242">
            <v>127.73</v>
          </cell>
          <cell r="C242">
            <v>8.1932600000000004</v>
          </cell>
        </row>
        <row r="243">
          <cell r="A243">
            <v>43899</v>
          </cell>
          <cell r="B243">
            <v>117.81</v>
          </cell>
          <cell r="C243">
            <v>10.757490000000001</v>
          </cell>
        </row>
        <row r="244">
          <cell r="A244">
            <v>43900</v>
          </cell>
          <cell r="B244">
            <v>124.77</v>
          </cell>
          <cell r="C244">
            <v>11.410690000000001</v>
          </cell>
        </row>
        <row r="245">
          <cell r="A245">
            <v>43901</v>
          </cell>
          <cell r="B245">
            <v>117.97</v>
          </cell>
          <cell r="C245">
            <v>8.4510400000000008</v>
          </cell>
        </row>
        <row r="246">
          <cell r="A246">
            <v>43902</v>
          </cell>
          <cell r="B246">
            <v>102.81</v>
          </cell>
          <cell r="C246">
            <v>12.51266</v>
          </cell>
        </row>
        <row r="247">
          <cell r="A247">
            <v>43903</v>
          </cell>
          <cell r="B247">
            <v>107.95</v>
          </cell>
          <cell r="C247">
            <v>12.50211</v>
          </cell>
        </row>
        <row r="248">
          <cell r="A248">
            <v>43906</v>
          </cell>
          <cell r="B248">
            <v>99.08</v>
          </cell>
          <cell r="C248">
            <v>10.567959999999999</v>
          </cell>
        </row>
        <row r="249">
          <cell r="A249">
            <v>43907</v>
          </cell>
          <cell r="B249">
            <v>106.65</v>
          </cell>
          <cell r="C249">
            <v>9.2583400000000005</v>
          </cell>
        </row>
        <row r="250">
          <cell r="A250">
            <v>43908</v>
          </cell>
          <cell r="B250">
            <v>103.55</v>
          </cell>
          <cell r="C250">
            <v>8.7724600000000006</v>
          </cell>
        </row>
        <row r="251">
          <cell r="A251">
            <v>43909</v>
          </cell>
          <cell r="B251">
            <v>100.34</v>
          </cell>
          <cell r="C251">
            <v>8.3965200000000006</v>
          </cell>
        </row>
        <row r="252">
          <cell r="A252">
            <v>43910</v>
          </cell>
          <cell r="B252">
            <v>95.39</v>
          </cell>
          <cell r="C252">
            <v>10.54646</v>
          </cell>
        </row>
        <row r="253">
          <cell r="A253">
            <v>43913</v>
          </cell>
          <cell r="B253">
            <v>94.77</v>
          </cell>
          <cell r="C253">
            <v>9.7293900000000004</v>
          </cell>
        </row>
        <row r="254">
          <cell r="A254">
            <v>43914</v>
          </cell>
          <cell r="B254">
            <v>105.48</v>
          </cell>
          <cell r="C254">
            <v>7.9739399999999998</v>
          </cell>
        </row>
        <row r="255">
          <cell r="A255">
            <v>43915</v>
          </cell>
          <cell r="B255">
            <v>105.85</v>
          </cell>
          <cell r="C255">
            <v>8.6540499999999998</v>
          </cell>
        </row>
        <row r="256">
          <cell r="A256">
            <v>43916</v>
          </cell>
          <cell r="B256">
            <v>112.89</v>
          </cell>
          <cell r="C256">
            <v>7.1580500000000002</v>
          </cell>
        </row>
        <row r="257">
          <cell r="A257">
            <v>43917</v>
          </cell>
          <cell r="B257">
            <v>108.03</v>
          </cell>
          <cell r="C257">
            <v>6.4230400000000003</v>
          </cell>
        </row>
        <row r="258">
          <cell r="A258">
            <v>43920</v>
          </cell>
          <cell r="B258">
            <v>112.93</v>
          </cell>
          <cell r="C258">
            <v>5.56454</v>
          </cell>
        </row>
        <row r="259">
          <cell r="A259">
            <v>43921</v>
          </cell>
          <cell r="B259">
            <v>110.93</v>
          </cell>
          <cell r="C259">
            <v>6.3466800000000001</v>
          </cell>
        </row>
        <row r="260">
          <cell r="A260">
            <v>43922</v>
          </cell>
          <cell r="B260">
            <v>105.14</v>
          </cell>
          <cell r="C260">
            <v>6.1129499999999997</v>
          </cell>
        </row>
        <row r="261">
          <cell r="A261">
            <v>43923</v>
          </cell>
          <cell r="B261">
            <v>110</v>
          </cell>
          <cell r="C261">
            <v>6.3286699999999998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me"/>
      <sheetName val="Value Model"/>
      <sheetName val="Growth Model"/>
      <sheetName val="Quality Model"/>
      <sheetName val="Momentum Model"/>
      <sheetName val="Factors"/>
    </sheetNames>
    <sheetDataSet>
      <sheetData sheetId="0"/>
      <sheetData sheetId="1">
        <row r="10">
          <cell r="A10" t="str">
            <v>(User access restricted)</v>
          </cell>
        </row>
      </sheetData>
      <sheetData sheetId="2">
        <row r="10">
          <cell r="A10" t="str">
            <v>(User access restricted)</v>
          </cell>
        </row>
      </sheetData>
      <sheetData sheetId="3">
        <row r="10">
          <cell r="A10" t="str">
            <v>(User access restricted)</v>
          </cell>
        </row>
      </sheetData>
      <sheetData sheetId="4">
        <row r="10">
          <cell r="A10" t="str">
            <v>(User access restricted)</v>
          </cell>
        </row>
      </sheetData>
      <sheetData sheetId="5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F52D9D7-B53F-4669-843D-D99C91072628}" autoFormatId="16" applyNumberFormats="0" applyBorderFormats="0" applyFontFormats="0" applyPatternFormats="0" applyAlignmentFormats="0" applyWidthHeightFormats="0">
  <queryTableRefresh nextId="4">
    <queryTableFields count="2">
      <queryTableField id="2" name="Name" tableColumnId="2"/>
      <queryTableField id="1" name="Value" tableColumnId="1"/>
    </queryTableFields>
  </queryTableRefresh>
  <extLst>
    <ext xmlns:x15="http://schemas.microsoft.com/office/spreadsheetml/2010/11/main" uri="{883FBD77-0823-4a55-B5E3-86C4891E6966}">
      <x15:queryTable sourceDataName="Query - financials_inpu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5A11AE-CA0F-4FEE-A7A6-6739C5883E91}" name="financials_input" displayName="financials_input" ref="A1:B6" tableType="queryTable" totalsRowShown="0">
  <autoFilter ref="A1:B6" xr:uid="{F05A11AE-CA0F-4FEE-A7A6-6739C5883E91}"/>
  <tableColumns count="2">
    <tableColumn id="2" xr3:uid="{54D31CCF-3CD9-4810-854F-1ED992163180}" uniqueName="2" name="Name" queryTableFieldId="2"/>
    <tableColumn id="1" xr3:uid="{9FD20C48-6091-498E-9A37-F7E8CBC468B5}" uniqueName="1" name="Valu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&amp;P Updated">
      <a:dk1>
        <a:srgbClr val="000000"/>
      </a:dk1>
      <a:lt1>
        <a:srgbClr val="FFFFFF"/>
      </a:lt1>
      <a:dk2>
        <a:srgbClr val="5A5A5A"/>
      </a:dk2>
      <a:lt2>
        <a:srgbClr val="DFDFDF"/>
      </a:lt2>
      <a:accent1>
        <a:srgbClr val="E31837"/>
      </a:accent1>
      <a:accent2>
        <a:srgbClr val="00B1B0"/>
      </a:accent2>
      <a:accent3>
        <a:srgbClr val="919195"/>
      </a:accent3>
      <a:accent4>
        <a:srgbClr val="B5E1E1"/>
      </a:accent4>
      <a:accent5>
        <a:srgbClr val="006C67"/>
      </a:accent5>
      <a:accent6>
        <a:srgbClr val="5A3CE6"/>
      </a:accent6>
      <a:hlink>
        <a:srgbClr val="0000FF"/>
      </a:hlink>
      <a:folHlink>
        <a:srgbClr val="800080"/>
      </a:folHlink>
    </a:clrScheme>
    <a:fontScheme name="S&amp;P Capital IQ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FB2D-E8CD-4063-9892-A2F3F3C66C85}">
  <dimension ref="A1:B6"/>
  <sheetViews>
    <sheetView workbookViewId="0">
      <selection activeCell="B6" sqref="B6"/>
    </sheetView>
  </sheetViews>
  <sheetFormatPr defaultRowHeight="12.75" x14ac:dyDescent="0.2"/>
  <cols>
    <col min="1" max="1" width="10.7109375" bestFit="1" customWidth="1"/>
    <col min="2" max="2" width="14.7109375" bestFit="1" customWidth="1"/>
  </cols>
  <sheetData>
    <row r="1" spans="1:2" x14ac:dyDescent="0.2">
      <c r="A1" t="s">
        <v>257</v>
      </c>
      <c r="B1" t="s">
        <v>274</v>
      </c>
    </row>
    <row r="2" spans="1:2" x14ac:dyDescent="0.2">
      <c r="A2" t="s">
        <v>513</v>
      </c>
      <c r="B2" t="s">
        <v>605</v>
      </c>
    </row>
    <row r="3" spans="1:2" x14ac:dyDescent="0.2">
      <c r="A3" t="s">
        <v>577</v>
      </c>
      <c r="B3" t="s">
        <v>578</v>
      </c>
    </row>
    <row r="4" spans="1:2" x14ac:dyDescent="0.2">
      <c r="A4" t="s">
        <v>579</v>
      </c>
      <c r="B4">
        <v>7</v>
      </c>
    </row>
    <row r="5" spans="1:2" x14ac:dyDescent="0.2">
      <c r="A5" t="s">
        <v>580</v>
      </c>
      <c r="B5">
        <v>31</v>
      </c>
    </row>
    <row r="6" spans="1:2" x14ac:dyDescent="0.2">
      <c r="A6" t="s">
        <v>581</v>
      </c>
      <c r="B6" t="s">
        <v>387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92C4-8904-4FD6-9FED-D6B02BEAEA80}">
  <dimension ref="A1:O8"/>
  <sheetViews>
    <sheetView workbookViewId="0">
      <selection activeCell="I32" sqref="I32"/>
    </sheetView>
  </sheetViews>
  <sheetFormatPr defaultRowHeight="12.75" x14ac:dyDescent="0.2"/>
  <cols>
    <col min="1" max="1" width="10.7109375" bestFit="1" customWidth="1"/>
    <col min="2" max="2" width="10" customWidth="1"/>
  </cols>
  <sheetData>
    <row r="1" spans="1:15" x14ac:dyDescent="0.2">
      <c r="A1" t="str">
        <f>Input_Raw!A1</f>
        <v>Name</v>
      </c>
      <c r="B1" t="str">
        <f>Input_Raw!B1</f>
        <v>Value</v>
      </c>
    </row>
    <row r="2" spans="1:15" x14ac:dyDescent="0.2">
      <c r="A2" t="str">
        <f>Input_Raw!A2</f>
        <v>ticker</v>
      </c>
      <c r="B2" t="str">
        <f>Input_Raw!B2</f>
        <v>NASDAQ:CALM</v>
      </c>
      <c r="D2">
        <v>990</v>
      </c>
      <c r="E2">
        <f>D2+1</f>
        <v>991</v>
      </c>
      <c r="F2">
        <f>E2+1</f>
        <v>992</v>
      </c>
      <c r="G2">
        <f t="shared" ref="G2:N2" si="0">F2+1</f>
        <v>993</v>
      </c>
      <c r="H2">
        <f t="shared" si="0"/>
        <v>994</v>
      </c>
      <c r="I2">
        <f t="shared" si="0"/>
        <v>995</v>
      </c>
      <c r="J2">
        <f t="shared" si="0"/>
        <v>996</v>
      </c>
      <c r="K2">
        <f t="shared" si="0"/>
        <v>997</v>
      </c>
      <c r="L2">
        <f t="shared" si="0"/>
        <v>998</v>
      </c>
      <c r="M2">
        <f t="shared" si="0"/>
        <v>999</v>
      </c>
      <c r="N2">
        <f t="shared" si="0"/>
        <v>1000</v>
      </c>
      <c r="O2">
        <v>2000</v>
      </c>
    </row>
    <row r="3" spans="1:15" x14ac:dyDescent="0.2">
      <c r="A3" t="str">
        <f>Input_Raw!A3</f>
        <v>date_year</v>
      </c>
      <c r="B3" t="str">
        <f>Input_Raw!B3</f>
        <v>2026</v>
      </c>
    </row>
    <row r="4" spans="1:15" x14ac:dyDescent="0.2">
      <c r="A4" t="str">
        <f>Input_Raw!A4</f>
        <v>date_month</v>
      </c>
      <c r="B4">
        <f>Input_Raw!B4</f>
        <v>7</v>
      </c>
    </row>
    <row r="5" spans="1:15" x14ac:dyDescent="0.2">
      <c r="A5" t="str">
        <f>Input_Raw!A5</f>
        <v>date_day</v>
      </c>
      <c r="B5">
        <f>Input_Raw!B5</f>
        <v>31</v>
      </c>
    </row>
    <row r="6" spans="1:15" x14ac:dyDescent="0.2">
      <c r="A6" s="42" t="s">
        <v>582</v>
      </c>
      <c r="B6" s="69">
        <f>DATE(B3,B4,B5)</f>
        <v>46234</v>
      </c>
    </row>
    <row r="7" spans="1:15" x14ac:dyDescent="0.2">
      <c r="A7" t="str">
        <f>Input_Raw!A6</f>
        <v>currency</v>
      </c>
      <c r="B7" t="str">
        <f>Input_Raw!B6</f>
        <v>USD</v>
      </c>
    </row>
    <row r="8" spans="1:15" x14ac:dyDescent="0.2">
      <c r="A8" s="42" t="s">
        <v>583</v>
      </c>
      <c r="B8" s="42" t="s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  <pageSetUpPr fitToPage="1"/>
  </sheetPr>
  <dimension ref="A1:BN537"/>
  <sheetViews>
    <sheetView showGridLines="0" zoomScale="85" zoomScaleNormal="85" zoomScaleSheetLayoutView="100" workbookViewId="0">
      <pane xSplit="1" ySplit="1" topLeftCell="B2" activePane="bottomRight" state="frozen"/>
      <selection activeCell="F51" sqref="F51"/>
      <selection pane="topRight" activeCell="F51" sqref="F51"/>
      <selection pane="bottomLeft" activeCell="F51" sqref="F51"/>
      <selection pane="bottomRight" activeCell="F27" sqref="F27"/>
    </sheetView>
  </sheetViews>
  <sheetFormatPr defaultColWidth="9.140625" defaultRowHeight="12.75" x14ac:dyDescent="0.2"/>
  <cols>
    <col min="1" max="1" width="34.5703125" bestFit="1" customWidth="1"/>
    <col min="2" max="13" width="13.28515625" customWidth="1"/>
    <col min="14" max="14" width="5.85546875" style="59" customWidth="1"/>
    <col min="15" max="18" width="9.140625" style="42"/>
    <col min="19" max="19" width="9.140625" style="42" customWidth="1"/>
    <col min="20" max="21" width="9.140625" style="59" customWidth="1"/>
    <col min="22" max="66" width="9.140625" style="59"/>
    <col min="67" max="16384" width="9.140625" style="42"/>
  </cols>
  <sheetData>
    <row r="1" spans="1:66" ht="12.75" customHeight="1" thickBot="1" x14ac:dyDescent="0.25">
      <c r="A1" s="3" t="s">
        <v>604</v>
      </c>
      <c r="B1" s="32" t="str">
        <f t="shared" ref="B1:L1" si="0">"FY"&amp;RIGHT(YEAR(B2),2)</f>
        <v>FY16</v>
      </c>
      <c r="C1" s="32" t="str">
        <f t="shared" si="0"/>
        <v>FY17</v>
      </c>
      <c r="D1" s="32" t="str">
        <f t="shared" si="0"/>
        <v>FY18</v>
      </c>
      <c r="E1" s="32" t="str">
        <f t="shared" si="0"/>
        <v>FY19</v>
      </c>
      <c r="F1" s="32" t="str">
        <f t="shared" si="0"/>
        <v>FY20</v>
      </c>
      <c r="G1" s="32" t="str">
        <f t="shared" si="0"/>
        <v>FY21</v>
      </c>
      <c r="H1" s="32" t="str">
        <f t="shared" si="0"/>
        <v>FY22</v>
      </c>
      <c r="I1" s="32" t="str">
        <f t="shared" si="0"/>
        <v>FY23</v>
      </c>
      <c r="J1" s="32" t="str">
        <f t="shared" si="0"/>
        <v>FY24</v>
      </c>
      <c r="K1" s="32" t="str">
        <f t="shared" si="0"/>
        <v>FY25</v>
      </c>
      <c r="L1" s="32" t="str">
        <f t="shared" si="0"/>
        <v>FY26</v>
      </c>
      <c r="M1" s="32" t="s">
        <v>266</v>
      </c>
      <c r="N1" s="42"/>
      <c r="S1" s="3"/>
      <c r="T1" s="2"/>
      <c r="U1" s="3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spans="1:66" ht="12.75" customHeight="1" thickTop="1" x14ac:dyDescent="0.2">
      <c r="A2" s="3" t="s">
        <v>408</v>
      </c>
      <c r="B2" s="23">
        <f>_xll.ciqfunctions.udf.CIQ(InputTicker, "IQ_PERIODDATE",Input!D$2,Date)</f>
        <v>42518</v>
      </c>
      <c r="C2" s="23">
        <f>_xll.ciqfunctions.udf.CIQ(InputTicker, "IQ_PERIODDATE",Input!E$2,Date)</f>
        <v>42889</v>
      </c>
      <c r="D2" s="23">
        <f>_xll.ciqfunctions.udf.CIQ(InputTicker, "IQ_PERIODDATE",Input!F$2,Date)</f>
        <v>43253</v>
      </c>
      <c r="E2" s="23">
        <f>_xll.ciqfunctions.udf.CIQ(InputTicker, "IQ_PERIODDATE",Input!G$2,Date)</f>
        <v>43617</v>
      </c>
      <c r="F2" s="23">
        <f>_xll.ciqfunctions.udf.CIQ(InputTicker, "IQ_PERIODDATE",Input!H$2,Date)</f>
        <v>43981</v>
      </c>
      <c r="G2" s="23">
        <f>_xll.ciqfunctions.udf.CIQ(InputTicker, "IQ_PERIODDATE",Input!I$2,Date)</f>
        <v>44345</v>
      </c>
      <c r="H2" s="23">
        <f>_xll.ciqfunctions.udf.CIQ(InputTicker, "IQ_PERIODDATE",Input!J$2,Date)</f>
        <v>44709</v>
      </c>
      <c r="I2" s="23">
        <f>_xll.ciqfunctions.udf.CIQ(InputTicker, "IQ_PERIODDATE",Input!K$2,Date)</f>
        <v>45080</v>
      </c>
      <c r="J2" s="23">
        <f>_xll.ciqfunctions.udf.CIQ(InputTicker, "IQ_PERIODDATE",Input!L$2,Date)</f>
        <v>45444</v>
      </c>
      <c r="K2" s="23">
        <f>_xll.ciqfunctions.udf.CIQ(InputTicker, "IQ_PERIODDATE",Input!M$2,Date)</f>
        <v>45808</v>
      </c>
      <c r="L2" s="23">
        <f>_xll.ciqfunctions.udf.CIQ(InputTicker, "IQ_PERIODDATE",Input!N$2,Date)</f>
        <v>46172</v>
      </c>
      <c r="M2" s="23">
        <f>_xll.ciqfunctions.udf.CIQ(InputTicker, "IQ_PERIODDATE",Input!O$2,Date)</f>
        <v>46172</v>
      </c>
      <c r="N2" s="42"/>
      <c r="S2" s="44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</row>
    <row r="3" spans="1:66" ht="12.75" customHeight="1" x14ac:dyDescent="0.2">
      <c r="A3" s="1" t="s">
        <v>57</v>
      </c>
      <c r="B3" s="4">
        <f>_xll.ciqfunctions.udf.CIQ(InputTicker, "IQ_REV",Input!D$2,Date,,,Ccy,Conv)</f>
        <v>1908.65</v>
      </c>
      <c r="C3" s="4">
        <f>_xll.ciqfunctions.udf.CIQ(InputTicker, "IQ_REV",Input!E$2,Date,,,Ccy,Conv)</f>
        <v>1074.5129999999999</v>
      </c>
      <c r="D3" s="41">
        <f>_xll.ciqfunctions.udf.CIQ(InputTicker, "IQ_REV",Input!F$2,Date,,,Ccy,Conv)</f>
        <v>1502.932</v>
      </c>
      <c r="E3" s="4">
        <f>_xll.ciqfunctions.udf.CIQ(InputTicker, "IQ_REV",Input!G$2,Date,,,Ccy,Conv)</f>
        <v>1361.1880000000001</v>
      </c>
      <c r="F3" s="4">
        <f>_xll.ciqfunctions.udf.CIQ(InputTicker, "IQ_REV",Input!H$2,Date,,,Ccy,Conv)</f>
        <v>1351.6089999999999</v>
      </c>
      <c r="G3" s="4">
        <f>_xll.ciqfunctions.udf.CIQ(InputTicker, "IQ_REV",Input!I$2,Date,,,Ccy,Conv)</f>
        <v>1348.9870000000001</v>
      </c>
      <c r="H3" s="4">
        <f>_xll.ciqfunctions.udf.CIQ(InputTicker, "IQ_REV",Input!J$2,Date,,,Ccy,Conv)</f>
        <v>1777.1590000000001</v>
      </c>
      <c r="I3" s="4">
        <f>_xll.ciqfunctions.udf.CIQ(InputTicker, "IQ_REV",Input!K$2,Date,,,Ccy,Conv)</f>
        <v>3146.2170000000001</v>
      </c>
      <c r="J3" s="4">
        <f>_xll.ciqfunctions.udf.CIQ(InputTicker, "IQ_REV",Input!L$2,Date,,,Ccy,Conv)</f>
        <v>2326.4430000000002</v>
      </c>
      <c r="K3" s="4">
        <f>_xll.ciqfunctions.udf.CIQ(InputTicker, "IQ_REV",Input!M$2,Date,,,Ccy,Conv)</f>
        <v>4261.8850000000002</v>
      </c>
      <c r="L3" s="4">
        <f>_xll.ciqfunctions.udf.CIQ(InputTicker, "IQ_REV",Input!N$2,Date,,,Ccy,Conv)</f>
        <v>2911.6320000000001</v>
      </c>
      <c r="M3" s="4">
        <f>_xll.ciqfunctions.udf.CIQ(InputTicker, "IQ_REV",Input!O$2,Date,,,Ccy,Conv)</f>
        <v>2911.6320000000001</v>
      </c>
      <c r="N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</row>
    <row r="4" spans="1:66" ht="12.75" customHeight="1" x14ac:dyDescent="0.2">
      <c r="A4" s="1" t="s">
        <v>157</v>
      </c>
      <c r="B4" s="4">
        <f>_xll.ciqfunctions.udf.CIQ(InputTicker,"IQ_FIN_DIV_REV",Input!D$2,Date,,,Ccy,Conv)</f>
        <v>0</v>
      </c>
      <c r="C4" s="4">
        <f>_xll.ciqfunctions.udf.CIQ(InputTicker,"IQ_FIN_DIV_REV",Input!E$2,Date,,,Ccy,Conv)</f>
        <v>0</v>
      </c>
      <c r="D4" s="4">
        <f>_xll.ciqfunctions.udf.CIQ(InputTicker,"IQ_FIN_DIV_REV",Input!F$2,Date,,,Ccy,Conv)</f>
        <v>0</v>
      </c>
      <c r="E4" s="4">
        <f>_xll.ciqfunctions.udf.CIQ(InputTicker,"IQ_FIN_DIV_REV",Input!G$2,Date,,,Ccy,Conv)</f>
        <v>0</v>
      </c>
      <c r="F4" s="4">
        <f>_xll.ciqfunctions.udf.CIQ(InputTicker,"IQ_FIN_DIV_REV",Input!H$2,Date,,,Ccy,Conv)</f>
        <v>0</v>
      </c>
      <c r="G4" s="4">
        <f>_xll.ciqfunctions.udf.CIQ(InputTicker,"IQ_FIN_DIV_REV",Input!I$2,Date,,,Ccy,Conv)</f>
        <v>0</v>
      </c>
      <c r="H4" s="4">
        <f>_xll.ciqfunctions.udf.CIQ(InputTicker,"IQ_FIN_DIV_REV",Input!J$2,Date,,,Ccy,Conv)</f>
        <v>0</v>
      </c>
      <c r="I4" s="4">
        <f>_xll.ciqfunctions.udf.CIQ(InputTicker,"IQ_FIN_DIV_REV",Input!K$2,Date,,,Ccy,Conv)</f>
        <v>0</v>
      </c>
      <c r="J4" s="4">
        <f>_xll.ciqfunctions.udf.CIQ(InputTicker,"IQ_FIN_DIV_REV",Input!L$2,Date,,,Ccy,Conv)</f>
        <v>0</v>
      </c>
      <c r="K4" s="4">
        <f>_xll.ciqfunctions.udf.CIQ(InputTicker,"IQ_FIN_DIV_REV",Input!M$2,Date,,,Ccy,Conv)</f>
        <v>0</v>
      </c>
      <c r="L4" s="4">
        <f>_xll.ciqfunctions.udf.CIQ(InputTicker,"IQ_FIN_DIV_REV",Input!N$2,Date,,,Ccy,Conv)</f>
        <v>0</v>
      </c>
      <c r="M4" s="4">
        <f>_xll.ciqfunctions.udf.CIQ(InputTicker,"IQ_FIN_DIV_REV",Input!O$2,Date,,,Ccy,Conv)</f>
        <v>0</v>
      </c>
      <c r="N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</row>
    <row r="5" spans="1:66" ht="12.75" customHeight="1" x14ac:dyDescent="0.2">
      <c r="A5" s="1" t="s">
        <v>158</v>
      </c>
      <c r="B5" s="4">
        <f>_xll.ciqfunctions.udf.CIQ(InputTicker, "IQ_INS_DIV_REV",Input!D$2,Date,,,Ccy,Conv)</f>
        <v>0</v>
      </c>
      <c r="C5" s="4">
        <f>_xll.ciqfunctions.udf.CIQ(InputTicker, "IQ_INS_DIV_REV",Input!E$2,Date,,,Ccy,Conv)</f>
        <v>0</v>
      </c>
      <c r="D5" s="4">
        <f>_xll.ciqfunctions.udf.CIQ(InputTicker, "IQ_INS_DIV_REV",Input!F$2,Date,,,Ccy,Conv)</f>
        <v>0</v>
      </c>
      <c r="E5" s="4">
        <f>_xll.ciqfunctions.udf.CIQ(InputTicker, "IQ_INS_DIV_REV",Input!G$2,Date,,,Ccy,Conv)</f>
        <v>0</v>
      </c>
      <c r="F5" s="4">
        <f>_xll.ciqfunctions.udf.CIQ(InputTicker, "IQ_INS_DIV_REV",Input!H$2,Date,,,Ccy,Conv)</f>
        <v>0</v>
      </c>
      <c r="G5" s="4">
        <f>_xll.ciqfunctions.udf.CIQ(InputTicker, "IQ_INS_DIV_REV",Input!I$2,Date,,,Ccy,Conv)</f>
        <v>0</v>
      </c>
      <c r="H5" s="4">
        <f>_xll.ciqfunctions.udf.CIQ(InputTicker, "IQ_INS_DIV_REV",Input!J$2,Date,,,Ccy,Conv)</f>
        <v>0</v>
      </c>
      <c r="I5" s="4">
        <f>_xll.ciqfunctions.udf.CIQ(InputTicker, "IQ_INS_DIV_REV",Input!K$2,Date,,,Ccy,Conv)</f>
        <v>0</v>
      </c>
      <c r="J5" s="4">
        <f>_xll.ciqfunctions.udf.CIQ(InputTicker, "IQ_INS_DIV_REV",Input!L$2,Date,,,Ccy,Conv)</f>
        <v>0</v>
      </c>
      <c r="K5" s="4">
        <f>_xll.ciqfunctions.udf.CIQ(InputTicker, "IQ_INS_DIV_REV",Input!M$2,Date,,,Ccy,Conv)</f>
        <v>0</v>
      </c>
      <c r="L5" s="4">
        <f>_xll.ciqfunctions.udf.CIQ(InputTicker, "IQ_INS_DIV_REV",Input!N$2,Date,,,Ccy,Conv)</f>
        <v>0</v>
      </c>
      <c r="M5" s="4">
        <f>_xll.ciqfunctions.udf.CIQ(InputTicker, "IQ_INS_DIV_REV",Input!O$2,Date,,,Ccy,Conv)</f>
        <v>0</v>
      </c>
      <c r="N5" s="42"/>
      <c r="P5" s="45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</row>
    <row r="6" spans="1:66" ht="12.75" customHeight="1" x14ac:dyDescent="0.2">
      <c r="A6" s="1" t="s">
        <v>276</v>
      </c>
      <c r="B6" s="4">
        <f>_xll.ciqfunctions.udf.CIQ(InputTicker, "IQ_GAIN_ASSETS_REV",Input!D$2,Date,,,Ccy,Conv)</f>
        <v>0</v>
      </c>
      <c r="C6" s="4">
        <f>_xll.ciqfunctions.udf.CIQ(InputTicker, "IQ_GAIN_ASSETS_REV",Input!E$2,Date,,,Ccy,Conv)</f>
        <v>0</v>
      </c>
      <c r="D6" s="4">
        <f>_xll.ciqfunctions.udf.CIQ(InputTicker, "IQ_GAIN_ASSETS_REV",Input!F$2,Date,,,Ccy,Conv)</f>
        <v>0</v>
      </c>
      <c r="E6" s="4">
        <f>_xll.ciqfunctions.udf.CIQ(InputTicker, "IQ_GAIN_ASSETS_REV",Input!G$2,Date,,,Ccy,Conv)</f>
        <v>0</v>
      </c>
      <c r="F6" s="4">
        <f>_xll.ciqfunctions.udf.CIQ(InputTicker, "IQ_GAIN_ASSETS_REV",Input!H$2,Date,,,Ccy,Conv)</f>
        <v>0</v>
      </c>
      <c r="G6" s="4">
        <f>_xll.ciqfunctions.udf.CIQ(InputTicker, "IQ_GAIN_ASSETS_REV",Input!I$2,Date,,,Ccy,Conv)</f>
        <v>0</v>
      </c>
      <c r="H6" s="4">
        <f>_xll.ciqfunctions.udf.CIQ(InputTicker, "IQ_GAIN_ASSETS_REV",Input!J$2,Date,,,Ccy,Conv)</f>
        <v>0</v>
      </c>
      <c r="I6" s="4">
        <f>_xll.ciqfunctions.udf.CIQ(InputTicker, "IQ_GAIN_ASSETS_REV",Input!K$2,Date,,,Ccy,Conv)</f>
        <v>0</v>
      </c>
      <c r="J6" s="4">
        <f>_xll.ciqfunctions.udf.CIQ(InputTicker, "IQ_GAIN_ASSETS_REV",Input!L$2,Date,,,Ccy,Conv)</f>
        <v>0</v>
      </c>
      <c r="K6" s="4">
        <f>_xll.ciqfunctions.udf.CIQ(InputTicker, "IQ_GAIN_ASSETS_REV",Input!M$2,Date,,,Ccy,Conv)</f>
        <v>0</v>
      </c>
      <c r="L6" s="4">
        <f>_xll.ciqfunctions.udf.CIQ(InputTicker, "IQ_GAIN_ASSETS_REV",Input!N$2,Date,,,Ccy,Conv)</f>
        <v>0</v>
      </c>
      <c r="M6" s="4">
        <f>_xll.ciqfunctions.udf.CIQ(InputTicker, "IQ_GAIN_ASSETS_REV",Input!O$2,Date,,,Ccy,Conv)</f>
        <v>0</v>
      </c>
      <c r="N6" s="42"/>
      <c r="P6" s="45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</row>
    <row r="7" spans="1:66" ht="12.75" customHeight="1" x14ac:dyDescent="0.2">
      <c r="A7" s="1" t="s">
        <v>277</v>
      </c>
      <c r="B7" s="4">
        <f>_xll.ciqfunctions.udf.CIQ(InputTicker, "IQ_GAIN_INVEST_REV",Input!D$2,Date,,,Ccy,Conv)</f>
        <v>0</v>
      </c>
      <c r="C7" s="4">
        <f>_xll.ciqfunctions.udf.CIQ(InputTicker, "IQ_GAIN_INVEST_REV",Input!E$2,Date,,,Ccy,Conv)</f>
        <v>0</v>
      </c>
      <c r="D7" s="4">
        <f>_xll.ciqfunctions.udf.CIQ(InputTicker, "IQ_GAIN_INVEST_REV",Input!F$2,Date,,,Ccy,Conv)</f>
        <v>0</v>
      </c>
      <c r="E7" s="4">
        <f>_xll.ciqfunctions.udf.CIQ(InputTicker, "IQ_GAIN_INVEST_REV",Input!G$2,Date,,,Ccy,Conv)</f>
        <v>0</v>
      </c>
      <c r="F7" s="4">
        <f>_xll.ciqfunctions.udf.CIQ(InputTicker, "IQ_GAIN_INVEST_REV",Input!H$2,Date,,,Ccy,Conv)</f>
        <v>0</v>
      </c>
      <c r="G7" s="4">
        <f>_xll.ciqfunctions.udf.CIQ(InputTicker, "IQ_GAIN_INVEST_REV",Input!I$2,Date,,,Ccy,Conv)</f>
        <v>0</v>
      </c>
      <c r="H7" s="4">
        <f>_xll.ciqfunctions.udf.CIQ(InputTicker, "IQ_GAIN_INVEST_REV",Input!J$2,Date,,,Ccy,Conv)</f>
        <v>0</v>
      </c>
      <c r="I7" s="4">
        <f>_xll.ciqfunctions.udf.CIQ(InputTicker, "IQ_GAIN_INVEST_REV",Input!K$2,Date,,,Ccy,Conv)</f>
        <v>0</v>
      </c>
      <c r="J7" s="4">
        <f>_xll.ciqfunctions.udf.CIQ(InputTicker, "IQ_GAIN_INVEST_REV",Input!L$2,Date,,,Ccy,Conv)</f>
        <v>0</v>
      </c>
      <c r="K7" s="4">
        <f>_xll.ciqfunctions.udf.CIQ(InputTicker, "IQ_GAIN_INVEST_REV",Input!M$2,Date,,,Ccy,Conv)</f>
        <v>0</v>
      </c>
      <c r="L7" s="4">
        <f>_xll.ciqfunctions.udf.CIQ(InputTicker, "IQ_GAIN_INVEST_REV",Input!N$2,Date,,,Ccy,Conv)</f>
        <v>0</v>
      </c>
      <c r="M7" s="4">
        <f>_xll.ciqfunctions.udf.CIQ(InputTicker, "IQ_GAIN_INVEST_REV",Input!O$2,Date,,,Ccy,Conv)</f>
        <v>0</v>
      </c>
      <c r="N7" s="42"/>
      <c r="P7" s="45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 t="s">
        <v>603</v>
      </c>
      <c r="AH7" s="42" t="s">
        <v>603</v>
      </c>
      <c r="AI7" s="42"/>
      <c r="AJ7" s="42" t="s">
        <v>603</v>
      </c>
      <c r="AK7" s="42" t="s">
        <v>603</v>
      </c>
      <c r="AL7" s="42"/>
      <c r="AM7" s="42" t="s">
        <v>603</v>
      </c>
      <c r="AN7" s="42" t="s">
        <v>603</v>
      </c>
      <c r="AO7" s="42"/>
      <c r="AP7" s="42" t="s">
        <v>603</v>
      </c>
      <c r="AQ7" s="42" t="s">
        <v>603</v>
      </c>
      <c r="AR7" s="42"/>
      <c r="AS7" s="42" t="s">
        <v>603</v>
      </c>
      <c r="AT7" s="42" t="s">
        <v>603</v>
      </c>
      <c r="AU7" s="42"/>
      <c r="AV7" s="42" t="s">
        <v>603</v>
      </c>
      <c r="AW7" s="42" t="s">
        <v>603</v>
      </c>
      <c r="AX7" s="42"/>
      <c r="AY7" s="42" t="s">
        <v>603</v>
      </c>
      <c r="AZ7" s="42" t="s">
        <v>603</v>
      </c>
      <c r="BA7" s="42"/>
      <c r="BB7" s="42" t="s">
        <v>603</v>
      </c>
      <c r="BC7" s="42" t="s">
        <v>603</v>
      </c>
      <c r="BD7" s="42"/>
      <c r="BE7" s="42" t="s">
        <v>603</v>
      </c>
      <c r="BF7" s="42" t="s">
        <v>603</v>
      </c>
      <c r="BG7" s="42"/>
      <c r="BH7" s="42" t="s">
        <v>603</v>
      </c>
      <c r="BI7" s="42" t="s">
        <v>603</v>
      </c>
      <c r="BJ7" s="42"/>
      <c r="BK7" s="42" t="s">
        <v>603</v>
      </c>
      <c r="BL7" s="42" t="s">
        <v>603</v>
      </c>
      <c r="BM7" s="42"/>
      <c r="BN7" s="42"/>
    </row>
    <row r="8" spans="1:66" ht="12.75" customHeight="1" x14ac:dyDescent="0.2">
      <c r="A8" s="1" t="s">
        <v>159</v>
      </c>
      <c r="B8" s="4">
        <f>_xll.ciqfunctions.udf.CIQ(InputTicker, "IQ_INT_INV_INC",Input!D$2,Date,,,Ccy,Conv)</f>
        <v>0</v>
      </c>
      <c r="C8" s="4">
        <f>_xll.ciqfunctions.udf.CIQ(InputTicker, "IQ_INT_INV_INC",Input!E$2,Date,,,Ccy,Conv)</f>
        <v>0</v>
      </c>
      <c r="D8" s="4">
        <f>_xll.ciqfunctions.udf.CIQ(InputTicker, "IQ_INT_INV_INC",Input!F$2,Date,,,Ccy,Conv)</f>
        <v>0</v>
      </c>
      <c r="E8" s="4">
        <f>_xll.ciqfunctions.udf.CIQ(InputTicker, "IQ_INT_INV_INC",Input!G$2,Date,,,Ccy,Conv)</f>
        <v>0</v>
      </c>
      <c r="F8" s="4">
        <f>_xll.ciqfunctions.udf.CIQ(InputTicker, "IQ_INT_INV_INC",Input!H$2,Date,,,Ccy,Conv)</f>
        <v>0</v>
      </c>
      <c r="G8" s="4">
        <f>_xll.ciqfunctions.udf.CIQ(InputTicker, "IQ_INT_INV_INC",Input!I$2,Date,,,Ccy,Conv)</f>
        <v>0</v>
      </c>
      <c r="H8" s="4">
        <f>_xll.ciqfunctions.udf.CIQ(InputTicker, "IQ_INT_INV_INC",Input!J$2,Date,,,Ccy,Conv)</f>
        <v>0</v>
      </c>
      <c r="I8" s="4">
        <f>_xll.ciqfunctions.udf.CIQ(InputTicker, "IQ_INT_INV_INC",Input!K$2,Date,,,Ccy,Conv)</f>
        <v>0</v>
      </c>
      <c r="J8" s="4">
        <f>_xll.ciqfunctions.udf.CIQ(InputTicker, "IQ_INT_INV_INC",Input!L$2,Date,,,Ccy,Conv)</f>
        <v>0</v>
      </c>
      <c r="K8" s="4">
        <f>_xll.ciqfunctions.udf.CIQ(InputTicker, "IQ_INT_INV_INC",Input!M$2,Date,,,Ccy,Conv)</f>
        <v>0</v>
      </c>
      <c r="L8" s="4">
        <f>_xll.ciqfunctions.udf.CIQ(InputTicker, "IQ_INT_INV_INC",Input!N$2,Date,,,Ccy,Conv)</f>
        <v>0</v>
      </c>
      <c r="M8" s="4">
        <f>_xll.ciqfunctions.udf.CIQ(InputTicker, "IQ_INT_INV_INC",Input!O$2,Date,,,Ccy,Conv)</f>
        <v>0</v>
      </c>
      <c r="N8" s="42"/>
      <c r="P8" s="45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</row>
    <row r="9" spans="1:66" ht="12.75" customHeight="1" x14ac:dyDescent="0.2">
      <c r="A9" s="1" t="s">
        <v>123</v>
      </c>
      <c r="B9" s="4">
        <f>_xll.ciqfunctions.udf.CIQ(InputTicker, "IQ_OTHER_REV_SUPPL",Input!D$2,Date,,,Ccy,Conv)</f>
        <v>0</v>
      </c>
      <c r="C9" s="4">
        <f>_xll.ciqfunctions.udf.CIQ(InputTicker, "IQ_OTHER_REV_SUPPL",Input!E$2,Date,,,Ccy,Conv)</f>
        <v>0</v>
      </c>
      <c r="D9" s="4">
        <f>_xll.ciqfunctions.udf.CIQ(InputTicker, "IQ_OTHER_REV_SUPPL",Input!F$2,Date,,,Ccy,Conv)</f>
        <v>0</v>
      </c>
      <c r="E9" s="4">
        <f>_xll.ciqfunctions.udf.CIQ(InputTicker, "IQ_OTHER_REV_SUPPL",Input!G$2,Date,,,Ccy,Conv)</f>
        <v>0</v>
      </c>
      <c r="F9" s="4">
        <f>_xll.ciqfunctions.udf.CIQ(InputTicker, "IQ_OTHER_REV_SUPPL",Input!H$2,Date,,,Ccy,Conv)</f>
        <v>0</v>
      </c>
      <c r="G9" s="4">
        <f>_xll.ciqfunctions.udf.CIQ(InputTicker, "IQ_OTHER_REV_SUPPL",Input!I$2,Date,,,Ccy,Conv)</f>
        <v>0</v>
      </c>
      <c r="H9" s="4">
        <f>_xll.ciqfunctions.udf.CIQ(InputTicker, "IQ_OTHER_REV_SUPPL",Input!J$2,Date,,,Ccy,Conv)</f>
        <v>0</v>
      </c>
      <c r="I9" s="4">
        <f>_xll.ciqfunctions.udf.CIQ(InputTicker, "IQ_OTHER_REV_SUPPL",Input!K$2,Date,,,Ccy,Conv)</f>
        <v>0</v>
      </c>
      <c r="J9" s="4">
        <f>_xll.ciqfunctions.udf.CIQ(InputTicker, "IQ_OTHER_REV_SUPPL",Input!L$2,Date,,,Ccy,Conv)</f>
        <v>0</v>
      </c>
      <c r="K9" s="4">
        <f>_xll.ciqfunctions.udf.CIQ(InputTicker, "IQ_OTHER_REV_SUPPL",Input!M$2,Date,,,Ccy,Conv)</f>
        <v>0</v>
      </c>
      <c r="L9" s="4">
        <f>_xll.ciqfunctions.udf.CIQ(InputTicker, "IQ_OTHER_REV_SUPPL",Input!N$2,Date,,,Ccy,Conv)</f>
        <v>0</v>
      </c>
      <c r="M9" s="4">
        <f>_xll.ciqfunctions.udf.CIQ(InputTicker, "IQ_OTHER_REV_SUPPL",Input!O$2,Date,,,Ccy,Conv)</f>
        <v>0</v>
      </c>
      <c r="N9" s="42"/>
      <c r="P9" s="45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</row>
    <row r="10" spans="1:66" ht="12.75" customHeight="1" x14ac:dyDescent="0.2">
      <c r="A10" s="5" t="s">
        <v>58</v>
      </c>
      <c r="B10" s="6">
        <f>_xll.ciqfunctions.udf.CIQ(InputTicker, "IQ_TOTAL_REV",Input!D$2,Date,,,Ccy,Conv)</f>
        <v>1908.65</v>
      </c>
      <c r="C10" s="6">
        <f>_xll.ciqfunctions.udf.CIQ(InputTicker, "IQ_TOTAL_REV",Input!E$2,Date,,,Ccy,Conv)</f>
        <v>1074.5129999999999</v>
      </c>
      <c r="D10" s="6">
        <f>_xll.ciqfunctions.udf.CIQ(InputTicker, "IQ_TOTAL_REV",Input!F$2,Date,,,Ccy,Conv)</f>
        <v>1502.932</v>
      </c>
      <c r="E10" s="6">
        <f>_xll.ciqfunctions.udf.CIQ(InputTicker, "IQ_TOTAL_REV",Input!G$2,Date,,,Ccy,Conv)</f>
        <v>1361.1880000000001</v>
      </c>
      <c r="F10" s="6">
        <f>_xll.ciqfunctions.udf.CIQ(InputTicker, "IQ_TOTAL_REV",Input!H$2,Date,,,Ccy,Conv)</f>
        <v>1351.6089999999999</v>
      </c>
      <c r="G10" s="6">
        <f>_xll.ciqfunctions.udf.CIQ(InputTicker, "IQ_TOTAL_REV",Input!I$2,Date,,,Ccy,Conv)</f>
        <v>1348.9870000000001</v>
      </c>
      <c r="H10" s="6">
        <f>_xll.ciqfunctions.udf.CIQ(InputTicker, "IQ_TOTAL_REV",Input!J$2,Date,,,Ccy,Conv)</f>
        <v>1777.1590000000001</v>
      </c>
      <c r="I10" s="6">
        <f>_xll.ciqfunctions.udf.CIQ(InputTicker, "IQ_TOTAL_REV",Input!K$2,Date,,,Ccy,Conv)</f>
        <v>3146.2170000000001</v>
      </c>
      <c r="J10" s="6">
        <f>_xll.ciqfunctions.udf.CIQ(InputTicker, "IQ_TOTAL_REV",Input!L$2,Date,,,Ccy,Conv)</f>
        <v>2326.4430000000002</v>
      </c>
      <c r="K10" s="6">
        <f>_xll.ciqfunctions.udf.CIQ(InputTicker, "IQ_TOTAL_REV",Input!M$2,Date,,,Ccy,Conv)</f>
        <v>4261.8850000000002</v>
      </c>
      <c r="L10" s="6">
        <f>_xll.ciqfunctions.udf.CIQ(InputTicker, "IQ_TOTAL_REV",Input!N$2,Date,,,Ccy,Conv)</f>
        <v>2911.6320000000001</v>
      </c>
      <c r="M10" s="6">
        <f>_xll.ciqfunctions.udf.CIQ(InputTicker, "IQ_TOTAL_REV",Input!O$2,Date,,,Ccy,Conv)</f>
        <v>2911.6320000000001</v>
      </c>
      <c r="N10" s="46"/>
      <c r="P10" s="45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</row>
    <row r="11" spans="1:66" ht="12.75" customHeight="1" x14ac:dyDescent="0.2">
      <c r="A11" s="1" t="s">
        <v>124</v>
      </c>
      <c r="B11" s="4">
        <f>_xll.ciqfunctions.udf.CIQ(InputTicker, "IQ_COGS",Input!D$2,Date,,,Ccy,Conv)</f>
        <v>1260.576</v>
      </c>
      <c r="C11" s="4">
        <f>_xll.ciqfunctions.udf.CIQ(InputTicker, "IQ_COGS",Input!E$2,Date,,,Ccy,Conv)</f>
        <v>1028.963</v>
      </c>
      <c r="D11" s="4">
        <f>_xll.ciqfunctions.udf.CIQ(InputTicker, "IQ_COGS",Input!F$2,Date,,,Ccy,Conv)</f>
        <v>1141.886</v>
      </c>
      <c r="E11" s="4">
        <f>_xll.ciqfunctions.udf.CIQ(InputTicker, "IQ_COGS",Input!G$2,Date,,,Ccy,Conv)</f>
        <v>1138.329</v>
      </c>
      <c r="F11" s="4">
        <f>_xll.ciqfunctions.udf.CIQ(InputTicker, "IQ_COGS",Input!H$2,Date,,,Ccy,Conv)</f>
        <v>1172.021</v>
      </c>
      <c r="G11" s="4">
        <f>_xll.ciqfunctions.udf.CIQ(InputTicker, "IQ_COGS",Input!I$2,Date,,,Ccy,Conv)</f>
        <v>1188.326</v>
      </c>
      <c r="H11" s="4">
        <f>_xll.ciqfunctions.udf.CIQ(InputTicker, "IQ_COGS",Input!J$2,Date,,,Ccy,Conv)</f>
        <v>1440.1</v>
      </c>
      <c r="I11" s="4">
        <f>_xll.ciqfunctions.udf.CIQ(InputTicker, "IQ_COGS",Input!K$2,Date,,,Ccy,Conv)</f>
        <v>1949.76</v>
      </c>
      <c r="J11" s="4">
        <f>_xll.ciqfunctions.udf.CIQ(InputTicker, "IQ_COGS",Input!L$2,Date,,,Ccy,Conv)</f>
        <v>1784.8720000000001</v>
      </c>
      <c r="K11" s="4">
        <f>_xll.ciqfunctions.udf.CIQ(InputTicker, "IQ_COGS",Input!M$2,Date,,,Ccy,Conv)</f>
        <v>2411</v>
      </c>
      <c r="L11" s="4">
        <f>_xll.ciqfunctions.udf.CIQ(InputTicker, "IQ_COGS",Input!N$2,Date,,,Ccy,Conv)</f>
        <v>2239.5830000000001</v>
      </c>
      <c r="M11" s="4">
        <f>_xll.ciqfunctions.udf.CIQ(InputTicker, "IQ_COGS",Input!O$2,Date,,,Ccy,Conv)</f>
        <v>2239.5830000000001</v>
      </c>
      <c r="N11" s="46"/>
      <c r="P11" s="45"/>
      <c r="Q11" s="46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</row>
    <row r="12" spans="1:66" ht="12.75" customHeight="1" x14ac:dyDescent="0.2">
      <c r="A12" s="1" t="s">
        <v>160</v>
      </c>
      <c r="B12" s="4">
        <f>_xll.ciqfunctions.udf.CIQ(InputTicker, "IQ_FIN_DIV_EXP",Input!D$2,Date,,,Ccy,Conv)</f>
        <v>0</v>
      </c>
      <c r="C12" s="4">
        <f>_xll.ciqfunctions.udf.CIQ(InputTicker, "IQ_FIN_DIV_EXP",Input!E$2,Date,,,Ccy,Conv)</f>
        <v>0</v>
      </c>
      <c r="D12" s="4">
        <f>_xll.ciqfunctions.udf.CIQ(InputTicker, "IQ_FIN_DIV_EXP",Input!F$2,Date,,,Ccy,Conv)</f>
        <v>0</v>
      </c>
      <c r="E12" s="4">
        <f>_xll.ciqfunctions.udf.CIQ(InputTicker, "IQ_FIN_DIV_EXP",Input!G$2,Date,,,Ccy,Conv)</f>
        <v>0</v>
      </c>
      <c r="F12" s="4">
        <f>_xll.ciqfunctions.udf.CIQ(InputTicker, "IQ_FIN_DIV_EXP",Input!H$2,Date,,,Ccy,Conv)</f>
        <v>0</v>
      </c>
      <c r="G12" s="4">
        <f>_xll.ciqfunctions.udf.CIQ(InputTicker, "IQ_FIN_DIV_EXP",Input!I$2,Date,,,Ccy,Conv)</f>
        <v>0</v>
      </c>
      <c r="H12" s="4">
        <f>_xll.ciqfunctions.udf.CIQ(InputTicker, "IQ_FIN_DIV_EXP",Input!J$2,Date,,,Ccy,Conv)</f>
        <v>0</v>
      </c>
      <c r="I12" s="4">
        <f>_xll.ciqfunctions.udf.CIQ(InputTicker, "IQ_FIN_DIV_EXP",Input!K$2,Date,,,Ccy,Conv)</f>
        <v>0</v>
      </c>
      <c r="J12" s="4">
        <f>_xll.ciqfunctions.udf.CIQ(InputTicker, "IQ_FIN_DIV_EXP",Input!L$2,Date,,,Ccy,Conv)</f>
        <v>0</v>
      </c>
      <c r="K12" s="4">
        <f>_xll.ciqfunctions.udf.CIQ(InputTicker, "IQ_FIN_DIV_EXP",Input!M$2,Date,,,Ccy,Conv)</f>
        <v>0</v>
      </c>
      <c r="L12" s="4">
        <f>_xll.ciqfunctions.udf.CIQ(InputTicker, "IQ_FIN_DIV_EXP",Input!N$2,Date,,,Ccy,Conv)</f>
        <v>0</v>
      </c>
      <c r="M12" s="4">
        <f>_xll.ciqfunctions.udf.CIQ(InputTicker, "IQ_FIN_DIV_EXP",Input!O$2,Date,,,Ccy,Conv)</f>
        <v>0</v>
      </c>
      <c r="N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</row>
    <row r="13" spans="1:66" ht="12.75" customHeight="1" x14ac:dyDescent="0.2">
      <c r="A13" s="1" t="s">
        <v>161</v>
      </c>
      <c r="B13" s="4">
        <f>_xll.ciqfunctions.udf.CIQ(InputTicker, "IQ_INS_DIV_EXP",Input!D$2,Date,,,Ccy,Conv)</f>
        <v>0</v>
      </c>
      <c r="C13" s="4">
        <f>_xll.ciqfunctions.udf.CIQ(InputTicker, "IQ_INS_DIV_EXP",Input!E$2,Date,,,Ccy,Conv)</f>
        <v>0</v>
      </c>
      <c r="D13" s="4">
        <f>_xll.ciqfunctions.udf.CIQ(InputTicker, "IQ_INS_DIV_EXP",Input!F$2,Date,,,Ccy,Conv)</f>
        <v>0</v>
      </c>
      <c r="E13" s="4">
        <f>_xll.ciqfunctions.udf.CIQ(InputTicker, "IQ_INS_DIV_EXP",Input!G$2,Date,,,Ccy,Conv)</f>
        <v>0</v>
      </c>
      <c r="F13" s="4">
        <f>_xll.ciqfunctions.udf.CIQ(InputTicker, "IQ_INS_DIV_EXP",Input!H$2,Date,,,Ccy,Conv)</f>
        <v>0</v>
      </c>
      <c r="G13" s="4">
        <f>_xll.ciqfunctions.udf.CIQ(InputTicker, "IQ_INS_DIV_EXP",Input!I$2,Date,,,Ccy,Conv)</f>
        <v>0</v>
      </c>
      <c r="H13" s="4">
        <f>_xll.ciqfunctions.udf.CIQ(InputTicker, "IQ_INS_DIV_EXP",Input!J$2,Date,,,Ccy,Conv)</f>
        <v>0</v>
      </c>
      <c r="I13" s="4">
        <f>_xll.ciqfunctions.udf.CIQ(InputTicker, "IQ_INS_DIV_EXP",Input!K$2,Date,,,Ccy,Conv)</f>
        <v>0</v>
      </c>
      <c r="J13" s="4">
        <f>_xll.ciqfunctions.udf.CIQ(InputTicker, "IQ_INS_DIV_EXP",Input!L$2,Date,,,Ccy,Conv)</f>
        <v>0</v>
      </c>
      <c r="K13" s="4">
        <f>_xll.ciqfunctions.udf.CIQ(InputTicker, "IQ_INS_DIV_EXP",Input!M$2,Date,,,Ccy,Conv)</f>
        <v>0</v>
      </c>
      <c r="L13" s="4">
        <f>_xll.ciqfunctions.udf.CIQ(InputTicker, "IQ_INS_DIV_EXP",Input!N$2,Date,,,Ccy,Conv)</f>
        <v>0</v>
      </c>
      <c r="M13" s="4">
        <f>_xll.ciqfunctions.udf.CIQ(InputTicker, "IQ_INS_DIV_EXP",Input!O$2,Date,,,Ccy,Conv)</f>
        <v>0</v>
      </c>
      <c r="N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</row>
    <row r="14" spans="1:66" ht="12.75" customHeight="1" x14ac:dyDescent="0.2">
      <c r="A14" s="1" t="s">
        <v>162</v>
      </c>
      <c r="B14" s="4">
        <f>_xll.ciqfunctions.udf.CIQ(InputTicker, "IQ_FIN_DIV_INT_EXP",Input!D$2,Date,,,Ccy,Conv)</f>
        <v>0</v>
      </c>
      <c r="C14" s="4">
        <f>_xll.ciqfunctions.udf.CIQ(InputTicker, "IQ_FIN_DIV_INT_EXP",Input!E$2,Date,,,Ccy,Conv)</f>
        <v>0</v>
      </c>
      <c r="D14" s="4">
        <f>_xll.ciqfunctions.udf.CIQ(InputTicker, "IQ_FIN_DIV_INT_EXP",Input!F$2,Date,,,Ccy,Conv)</f>
        <v>0</v>
      </c>
      <c r="E14" s="4">
        <f>_xll.ciqfunctions.udf.CIQ(InputTicker, "IQ_FIN_DIV_INT_EXP",Input!G$2,Date,,,Ccy,Conv)</f>
        <v>0</v>
      </c>
      <c r="F14" s="4">
        <f>_xll.ciqfunctions.udf.CIQ(InputTicker, "IQ_FIN_DIV_INT_EXP",Input!H$2,Date,,,Ccy,Conv)</f>
        <v>0</v>
      </c>
      <c r="G14" s="4">
        <f>_xll.ciqfunctions.udf.CIQ(InputTicker, "IQ_FIN_DIV_INT_EXP",Input!I$2,Date,,,Ccy,Conv)</f>
        <v>0</v>
      </c>
      <c r="H14" s="4">
        <f>_xll.ciqfunctions.udf.CIQ(InputTicker, "IQ_FIN_DIV_INT_EXP",Input!J$2,Date,,,Ccy,Conv)</f>
        <v>0</v>
      </c>
      <c r="I14" s="4">
        <f>_xll.ciqfunctions.udf.CIQ(InputTicker, "IQ_FIN_DIV_INT_EXP",Input!K$2,Date,,,Ccy,Conv)</f>
        <v>0</v>
      </c>
      <c r="J14" s="4">
        <f>_xll.ciqfunctions.udf.CIQ(InputTicker, "IQ_FIN_DIV_INT_EXP",Input!L$2,Date,,,Ccy,Conv)</f>
        <v>0</v>
      </c>
      <c r="K14" s="4">
        <f>_xll.ciqfunctions.udf.CIQ(InputTicker, "IQ_FIN_DIV_INT_EXP",Input!M$2,Date,,,Ccy,Conv)</f>
        <v>0</v>
      </c>
      <c r="L14" s="4">
        <f>_xll.ciqfunctions.udf.CIQ(InputTicker, "IQ_FIN_DIV_INT_EXP",Input!N$2,Date,,,Ccy,Conv)</f>
        <v>0</v>
      </c>
      <c r="M14" s="4">
        <f>_xll.ciqfunctions.udf.CIQ(InputTicker, "IQ_FIN_DIV_INT_EXP",Input!O$2,Date,,,Ccy,Conv)</f>
        <v>0</v>
      </c>
      <c r="N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</row>
    <row r="15" spans="1:66" ht="12.75" customHeight="1" x14ac:dyDescent="0.2">
      <c r="A15" s="5" t="s">
        <v>53</v>
      </c>
      <c r="B15" s="6">
        <f>_xll.ciqfunctions.udf.CIQ(InputTicker, "IQ_GP",Input!D$2,Date,,,Ccy,Conv)</f>
        <v>648.07399999999996</v>
      </c>
      <c r="C15" s="6">
        <f>_xll.ciqfunctions.udf.CIQ(InputTicker, "IQ_GP",Input!E$2,Date,,,Ccy,Conv)</f>
        <v>45.55</v>
      </c>
      <c r="D15" s="6">
        <f>_xll.ciqfunctions.udf.CIQ(InputTicker, "IQ_GP",Input!F$2,Date,,,Ccy,Conv)</f>
        <v>361.04599999999999</v>
      </c>
      <c r="E15" s="6">
        <f>_xll.ciqfunctions.udf.CIQ(InputTicker, "IQ_GP",Input!G$2,Date,,,Ccy,Conv)</f>
        <v>222.85900000000001</v>
      </c>
      <c r="F15" s="6">
        <f>_xll.ciqfunctions.udf.CIQ(InputTicker, "IQ_GP",Input!H$2,Date,,,Ccy,Conv)</f>
        <v>179.58799999999999</v>
      </c>
      <c r="G15" s="6">
        <f>_xll.ciqfunctions.udf.CIQ(InputTicker, "IQ_GP",Input!I$2,Date,,,Ccy,Conv)</f>
        <v>160.661</v>
      </c>
      <c r="H15" s="6">
        <f>_xll.ciqfunctions.udf.CIQ(InputTicker, "IQ_GP",Input!J$2,Date,,,Ccy,Conv)</f>
        <v>337.05900000000003</v>
      </c>
      <c r="I15" s="6">
        <f>_xll.ciqfunctions.udf.CIQ(InputTicker, "IQ_GP",Input!K$2,Date,,,Ccy,Conv)</f>
        <v>1196.4570000000001</v>
      </c>
      <c r="J15" s="6">
        <f>_xll.ciqfunctions.udf.CIQ(InputTicker, "IQ_GP",Input!L$2,Date,,,Ccy,Conv)</f>
        <v>541.57100000000003</v>
      </c>
      <c r="K15" s="6">
        <f>_xll.ciqfunctions.udf.CIQ(InputTicker, "IQ_GP",Input!M$2,Date,,,Ccy,Conv)</f>
        <v>1850.885</v>
      </c>
      <c r="L15" s="6">
        <f>_xll.ciqfunctions.udf.CIQ(InputTicker, "IQ_GP",Input!N$2,Date,,,Ccy,Conv)</f>
        <v>672.04899999999998</v>
      </c>
      <c r="M15" s="6">
        <f>_xll.ciqfunctions.udf.CIQ(InputTicker, "IQ_GP",Input!O$2,Date,,,Ccy,Conv)</f>
        <v>672.04899999999998</v>
      </c>
      <c r="N15" s="46"/>
      <c r="P15" s="46"/>
      <c r="Q15" s="46"/>
      <c r="R15" s="46"/>
      <c r="T15" s="42"/>
      <c r="U15" s="42"/>
      <c r="V15" s="46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</row>
    <row r="16" spans="1:66" ht="12.75" customHeight="1" x14ac:dyDescent="0.2">
      <c r="A16" s="1" t="s">
        <v>125</v>
      </c>
      <c r="B16" s="4">
        <f>_xll.ciqfunctions.udf.CIQ(InputTicker, "IQ_SGA_SUPPL",Input!D$2,Date,,,Ccy,Conv)</f>
        <v>177.76</v>
      </c>
      <c r="C16" s="4">
        <f>_xll.ciqfunctions.udf.CIQ(InputTicker, "IQ_SGA_SUPPL",Input!E$2,Date,,,Ccy,Conv)</f>
        <v>176.03200000000001</v>
      </c>
      <c r="D16" s="4">
        <f>_xll.ciqfunctions.udf.CIQ(InputTicker, "IQ_SGA_SUPPL",Input!F$2,Date,,,Ccy,Conv)</f>
        <v>179.316</v>
      </c>
      <c r="E16" s="4">
        <f>_xll.ciqfunctions.udf.CIQ(InputTicker, "IQ_SGA_SUPPL",Input!G$2,Date,,,Ccy,Conv)</f>
        <v>177.04499999999999</v>
      </c>
      <c r="F16" s="4">
        <f>_xll.ciqfunctions.udf.CIQ(InputTicker, "IQ_SGA_SUPPL",Input!H$2,Date,,,Ccy,Conv)</f>
        <v>178.23699999999999</v>
      </c>
      <c r="G16" s="4">
        <f>_xll.ciqfunctions.udf.CIQ(InputTicker, "IQ_SGA_SUPPL",Input!I$2,Date,,,Ccy,Conv)</f>
        <v>183.94300000000001</v>
      </c>
      <c r="H16" s="4">
        <f>_xll.ciqfunctions.udf.CIQ(InputTicker, "IQ_SGA_SUPPL",Input!J$2,Date,,,Ccy,Conv)</f>
        <v>198.631</v>
      </c>
      <c r="I16" s="4">
        <f>_xll.ciqfunctions.udf.CIQ(InputTicker, "IQ_SGA_SUPPL",Input!K$2,Date,,,Ccy,Conv)</f>
        <v>232.20699999999999</v>
      </c>
      <c r="J16" s="4">
        <f>_xll.ciqfunctions.udf.CIQ(InputTicker, "IQ_SGA_SUPPL",Input!L$2,Date,,,Ccy,Conv)</f>
        <v>247.125</v>
      </c>
      <c r="K16" s="4">
        <f>_xll.ciqfunctions.udf.CIQ(InputTicker, "IQ_SGA_SUPPL",Input!M$2,Date,,,Ccy,Conv)</f>
        <v>292.84899999999999</v>
      </c>
      <c r="L16" s="4">
        <f>_xll.ciqfunctions.udf.CIQ(InputTicker, "IQ_SGA_SUPPL",Input!N$2,Date,,,Ccy,Conv)</f>
        <v>328.697</v>
      </c>
      <c r="M16" s="4">
        <f>_xll.ciqfunctions.udf.CIQ(InputTicker, "IQ_SGA_SUPPL",Input!O$2,Date,,,Ccy,Conv)</f>
        <v>328.697</v>
      </c>
      <c r="N16" s="46"/>
      <c r="P16" s="46"/>
      <c r="Q16" s="46"/>
      <c r="R16" s="46"/>
      <c r="T16" s="42"/>
      <c r="U16" s="42"/>
      <c r="V16" s="46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</row>
    <row r="17" spans="1:66" ht="12.75" customHeight="1" x14ac:dyDescent="0.2">
      <c r="A17" s="1" t="s">
        <v>209</v>
      </c>
      <c r="B17" s="4">
        <f>_xll.ciqfunctions.udf.CIQ(InputTicker, "IQ_EXPLORE_DRILL",Input!D$2,Date,,,Ccy,Conv)</f>
        <v>0</v>
      </c>
      <c r="C17" s="4">
        <f>_xll.ciqfunctions.udf.CIQ(InputTicker, "IQ_EXPLORE_DRILL",Input!E$2,Date,,,Ccy,Conv)</f>
        <v>0</v>
      </c>
      <c r="D17" s="4">
        <f>_xll.ciqfunctions.udf.CIQ(InputTicker, "IQ_EXPLORE_DRILL",Input!F$2,Date,,,Ccy,Conv)</f>
        <v>0</v>
      </c>
      <c r="E17" s="4">
        <f>_xll.ciqfunctions.udf.CIQ(InputTicker, "IQ_EXPLORE_DRILL",Input!G$2,Date,,,Ccy,Conv)</f>
        <v>0</v>
      </c>
      <c r="F17" s="4">
        <f>_xll.ciqfunctions.udf.CIQ(InputTicker, "IQ_EXPLORE_DRILL",Input!H$2,Date,,,Ccy,Conv)</f>
        <v>0</v>
      </c>
      <c r="G17" s="4">
        <f>_xll.ciqfunctions.udf.CIQ(InputTicker, "IQ_EXPLORE_DRILL",Input!I$2,Date,,,Ccy,Conv)</f>
        <v>0</v>
      </c>
      <c r="H17" s="4">
        <f>_xll.ciqfunctions.udf.CIQ(InputTicker, "IQ_EXPLORE_DRILL",Input!J$2,Date,,,Ccy,Conv)</f>
        <v>0</v>
      </c>
      <c r="I17" s="4">
        <f>_xll.ciqfunctions.udf.CIQ(InputTicker, "IQ_EXPLORE_DRILL",Input!K$2,Date,,,Ccy,Conv)</f>
        <v>0</v>
      </c>
      <c r="J17" s="4">
        <f>_xll.ciqfunctions.udf.CIQ(InputTicker, "IQ_EXPLORE_DRILL",Input!L$2,Date,,,Ccy,Conv)</f>
        <v>0</v>
      </c>
      <c r="K17" s="4">
        <f>_xll.ciqfunctions.udf.CIQ(InputTicker, "IQ_EXPLORE_DRILL",Input!M$2,Date,,,Ccy,Conv)</f>
        <v>0</v>
      </c>
      <c r="L17" s="4">
        <f>_xll.ciqfunctions.udf.CIQ(InputTicker, "IQ_EXPLORE_DRILL",Input!N$2,Date,,,Ccy,Conv)</f>
        <v>0</v>
      </c>
      <c r="M17" s="4">
        <f>_xll.ciqfunctions.udf.CIQ(InputTicker, "IQ_EXPLORE_DRILL",Input!O$2,Date,,,Ccy,Conv)</f>
        <v>0</v>
      </c>
      <c r="N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</row>
    <row r="18" spans="1:66" ht="12.75" customHeight="1" x14ac:dyDescent="0.2">
      <c r="A18" s="1" t="s">
        <v>210</v>
      </c>
      <c r="B18" s="4">
        <f>_xll.ciqfunctions.udf.CIQ(InputTicker, "IQ_PROV_BAD_DEBTS",Input!D$2,Date,,,Ccy,Conv)</f>
        <v>0</v>
      </c>
      <c r="C18" s="4">
        <f>_xll.ciqfunctions.udf.CIQ(InputTicker, "IQ_PROV_BAD_DEBTS",Input!E$2,Date,,,Ccy,Conv)</f>
        <v>0</v>
      </c>
      <c r="D18" s="4">
        <f>_xll.ciqfunctions.udf.CIQ(InputTicker, "IQ_PROV_BAD_DEBTS",Input!F$2,Date,,,Ccy,Conv)</f>
        <v>0</v>
      </c>
      <c r="E18" s="4">
        <f>_xll.ciqfunctions.udf.CIQ(InputTicker, "IQ_PROV_BAD_DEBTS",Input!G$2,Date,,,Ccy,Conv)</f>
        <v>0</v>
      </c>
      <c r="F18" s="4">
        <f>_xll.ciqfunctions.udf.CIQ(InputTicker, "IQ_PROV_BAD_DEBTS",Input!H$2,Date,,,Ccy,Conv)</f>
        <v>0</v>
      </c>
      <c r="G18" s="4">
        <f>_xll.ciqfunctions.udf.CIQ(InputTicker, "IQ_PROV_BAD_DEBTS",Input!I$2,Date,,,Ccy,Conv)</f>
        <v>0</v>
      </c>
      <c r="H18" s="4">
        <f>_xll.ciqfunctions.udf.CIQ(InputTicker, "IQ_PROV_BAD_DEBTS",Input!J$2,Date,,,Ccy,Conv)</f>
        <v>0</v>
      </c>
      <c r="I18" s="4">
        <f>_xll.ciqfunctions.udf.CIQ(InputTicker, "IQ_PROV_BAD_DEBTS",Input!K$2,Date,,,Ccy,Conv)</f>
        <v>0</v>
      </c>
      <c r="J18" s="4">
        <f>_xll.ciqfunctions.udf.CIQ(InputTicker, "IQ_PROV_BAD_DEBTS",Input!L$2,Date,,,Ccy,Conv)</f>
        <v>0</v>
      </c>
      <c r="K18" s="4">
        <f>_xll.ciqfunctions.udf.CIQ(InputTicker, "IQ_PROV_BAD_DEBTS",Input!M$2,Date,,,Ccy,Conv)</f>
        <v>0</v>
      </c>
      <c r="L18" s="4">
        <f>_xll.ciqfunctions.udf.CIQ(InputTicker, "IQ_PROV_BAD_DEBTS",Input!N$2,Date,,,Ccy,Conv)</f>
        <v>0</v>
      </c>
      <c r="M18" s="4">
        <f>_xll.ciqfunctions.udf.CIQ(InputTicker, "IQ_PROV_BAD_DEBTS",Input!O$2,Date,,,Ccy,Conv)</f>
        <v>0</v>
      </c>
      <c r="N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</row>
    <row r="19" spans="1:66" ht="12.75" customHeight="1" x14ac:dyDescent="0.2">
      <c r="A19" s="1" t="s">
        <v>203</v>
      </c>
      <c r="B19" s="4">
        <f>_xll.ciqfunctions.udf.CIQ(InputTicker, "IQ_STOCK_BASED",Input!D$2,Date,,,Ccy,Conv)</f>
        <v>0</v>
      </c>
      <c r="C19" s="4">
        <f>_xll.ciqfunctions.udf.CIQ(InputTicker, "IQ_STOCK_BASED",Input!E$2,Date,,,Ccy,Conv)</f>
        <v>0</v>
      </c>
      <c r="D19" s="4">
        <f>_xll.ciqfunctions.udf.CIQ(InputTicker, "IQ_STOCK_BASED",Input!F$2,Date,,,Ccy,Conv)</f>
        <v>0</v>
      </c>
      <c r="E19" s="4">
        <f>_xll.ciqfunctions.udf.CIQ(InputTicker, "IQ_STOCK_BASED",Input!G$2,Date,,,Ccy,Conv)</f>
        <v>0</v>
      </c>
      <c r="F19" s="4">
        <f>_xll.ciqfunctions.udf.CIQ(InputTicker, "IQ_STOCK_BASED",Input!H$2,Date,,,Ccy,Conv)</f>
        <v>0</v>
      </c>
      <c r="G19" s="4">
        <f>_xll.ciqfunctions.udf.CIQ(InputTicker, "IQ_STOCK_BASED",Input!I$2,Date,,,Ccy,Conv)</f>
        <v>0</v>
      </c>
      <c r="H19" s="4">
        <f>_xll.ciqfunctions.udf.CIQ(InputTicker, "IQ_STOCK_BASED",Input!J$2,Date,,,Ccy,Conv)</f>
        <v>0</v>
      </c>
      <c r="I19" s="4">
        <f>_xll.ciqfunctions.udf.CIQ(InputTicker, "IQ_STOCK_BASED",Input!K$2,Date,,,Ccy,Conv)</f>
        <v>0</v>
      </c>
      <c r="J19" s="4">
        <f>_xll.ciqfunctions.udf.CIQ(InputTicker, "IQ_STOCK_BASED",Input!L$2,Date,,,Ccy,Conv)</f>
        <v>0</v>
      </c>
      <c r="K19" s="4">
        <f>_xll.ciqfunctions.udf.CIQ(InputTicker, "IQ_STOCK_BASED",Input!M$2,Date,,,Ccy,Conv)</f>
        <v>0</v>
      </c>
      <c r="L19" s="4">
        <f>_xll.ciqfunctions.udf.CIQ(InputTicker, "IQ_STOCK_BASED",Input!N$2,Date,,,Ccy,Conv)</f>
        <v>0</v>
      </c>
      <c r="M19" s="4">
        <f>_xll.ciqfunctions.udf.CIQ(InputTicker, "IQ_STOCK_BASED",Input!O$2,Date,,,Ccy,Conv)</f>
        <v>0</v>
      </c>
      <c r="N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</row>
    <row r="20" spans="1:66" ht="12.75" customHeight="1" x14ac:dyDescent="0.2">
      <c r="A20" s="1" t="s">
        <v>211</v>
      </c>
      <c r="B20" s="4">
        <f>_xll.ciqfunctions.udf.CIQ(InputTicker, "IQ_PRE_OPEN_COST",Input!D$2,Date,,,Ccy,Conv)</f>
        <v>0</v>
      </c>
      <c r="C20" s="4">
        <f>_xll.ciqfunctions.udf.CIQ(InputTicker, "IQ_PRE_OPEN_COST",Input!E$2,Date,,,Ccy,Conv)</f>
        <v>0</v>
      </c>
      <c r="D20" s="4">
        <f>_xll.ciqfunctions.udf.CIQ(InputTicker, "IQ_PRE_OPEN_COST",Input!F$2,Date,,,Ccy,Conv)</f>
        <v>0</v>
      </c>
      <c r="E20" s="4">
        <f>_xll.ciqfunctions.udf.CIQ(InputTicker, "IQ_PRE_OPEN_COST",Input!G$2,Date,,,Ccy,Conv)</f>
        <v>0</v>
      </c>
      <c r="F20" s="4">
        <f>_xll.ciqfunctions.udf.CIQ(InputTicker, "IQ_PRE_OPEN_COST",Input!H$2,Date,,,Ccy,Conv)</f>
        <v>0</v>
      </c>
      <c r="G20" s="4">
        <f>_xll.ciqfunctions.udf.CIQ(InputTicker, "IQ_PRE_OPEN_COST",Input!I$2,Date,,,Ccy,Conv)</f>
        <v>0</v>
      </c>
      <c r="H20" s="4">
        <f>_xll.ciqfunctions.udf.CIQ(InputTicker, "IQ_PRE_OPEN_COST",Input!J$2,Date,,,Ccy,Conv)</f>
        <v>0</v>
      </c>
      <c r="I20" s="4">
        <f>_xll.ciqfunctions.udf.CIQ(InputTicker, "IQ_PRE_OPEN_COST",Input!K$2,Date,,,Ccy,Conv)</f>
        <v>0</v>
      </c>
      <c r="J20" s="4">
        <f>_xll.ciqfunctions.udf.CIQ(InputTicker, "IQ_PRE_OPEN_COST",Input!L$2,Date,,,Ccy,Conv)</f>
        <v>0</v>
      </c>
      <c r="K20" s="4">
        <f>_xll.ciqfunctions.udf.CIQ(InputTicker, "IQ_PRE_OPEN_COST",Input!M$2,Date,,,Ccy,Conv)</f>
        <v>0</v>
      </c>
      <c r="L20" s="4">
        <f>_xll.ciqfunctions.udf.CIQ(InputTicker, "IQ_PRE_OPEN_COST",Input!N$2,Date,,,Ccy,Conv)</f>
        <v>0</v>
      </c>
      <c r="M20" s="4">
        <f>_xll.ciqfunctions.udf.CIQ(InputTicker, "IQ_PRE_OPEN_COST",Input!O$2,Date,,,Ccy,Conv)</f>
        <v>0</v>
      </c>
      <c r="N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</row>
    <row r="21" spans="1:66" ht="12.75" customHeight="1" x14ac:dyDescent="0.2">
      <c r="A21" s="1" t="s">
        <v>59</v>
      </c>
      <c r="B21" s="4">
        <f>_xll.ciqfunctions.udf.CIQ(InputTicker, "IQ_RD_EXP",Input!D$2,Date,,,Ccy,Conv)</f>
        <v>0</v>
      </c>
      <c r="C21" s="4">
        <f>_xll.ciqfunctions.udf.CIQ(InputTicker, "IQ_RD_EXP",Input!E$2,Date,,,Ccy,Conv)</f>
        <v>0</v>
      </c>
      <c r="D21" s="4">
        <f>_xll.ciqfunctions.udf.CIQ(InputTicker, "IQ_RD_EXP",Input!F$2,Date,,,Ccy,Conv)</f>
        <v>0</v>
      </c>
      <c r="E21" s="4">
        <f>_xll.ciqfunctions.udf.CIQ(InputTicker, "IQ_RD_EXP",Input!G$2,Date,,,Ccy,Conv)</f>
        <v>0</v>
      </c>
      <c r="F21" s="4">
        <f>_xll.ciqfunctions.udf.CIQ(InputTicker, "IQ_RD_EXP",Input!H$2,Date,,,Ccy,Conv)</f>
        <v>0</v>
      </c>
      <c r="G21" s="4">
        <f>_xll.ciqfunctions.udf.CIQ(InputTicker, "IQ_RD_EXP",Input!I$2,Date,,,Ccy,Conv)</f>
        <v>0</v>
      </c>
      <c r="H21" s="4">
        <f>_xll.ciqfunctions.udf.CIQ(InputTicker, "IQ_RD_EXP",Input!J$2,Date,,,Ccy,Conv)</f>
        <v>0</v>
      </c>
      <c r="I21" s="4">
        <f>_xll.ciqfunctions.udf.CIQ(InputTicker, "IQ_RD_EXP",Input!K$2,Date,,,Ccy,Conv)</f>
        <v>0</v>
      </c>
      <c r="J21" s="4">
        <f>_xll.ciqfunctions.udf.CIQ(InputTicker, "IQ_RD_EXP",Input!L$2,Date,,,Ccy,Conv)</f>
        <v>0</v>
      </c>
      <c r="K21" s="4">
        <f>_xll.ciqfunctions.udf.CIQ(InputTicker, "IQ_RD_EXP",Input!M$2,Date,,,Ccy,Conv)</f>
        <v>0</v>
      </c>
      <c r="L21" s="4">
        <f>_xll.ciqfunctions.udf.CIQ(InputTicker, "IQ_RD_EXP",Input!N$2,Date,,,Ccy,Conv)</f>
        <v>0</v>
      </c>
      <c r="M21" s="4">
        <f>_xll.ciqfunctions.udf.CIQ(InputTicker, "IQ_RD_EXP",Input!O$2,Date,,,Ccy,Conv)</f>
        <v>0</v>
      </c>
      <c r="N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</row>
    <row r="22" spans="1:66" ht="12.75" customHeight="1" x14ac:dyDescent="0.2">
      <c r="A22" s="1" t="s">
        <v>126</v>
      </c>
      <c r="B22" s="4">
        <f>_xll.ciqfunctions.udf.CIQ(InputTicker, "IQ_DA_SUPPL",Input!D$2,Date,,,Ccy,Conv)</f>
        <v>0</v>
      </c>
      <c r="C22" s="4">
        <f>_xll.ciqfunctions.udf.CIQ(InputTicker, "IQ_DA_SUPPL",Input!E$2,Date,,,Ccy,Conv)</f>
        <v>0</v>
      </c>
      <c r="D22" s="4">
        <f>_xll.ciqfunctions.udf.CIQ(InputTicker, "IQ_DA_SUPPL",Input!F$2,Date,,,Ccy,Conv)</f>
        <v>0</v>
      </c>
      <c r="E22" s="4">
        <f>_xll.ciqfunctions.udf.CIQ(InputTicker, "IQ_DA_SUPPL",Input!G$2,Date,,,Ccy,Conv)</f>
        <v>0</v>
      </c>
      <c r="F22" s="4">
        <f>_xll.ciqfunctions.udf.CIQ(InputTicker, "IQ_DA_SUPPL",Input!H$2,Date,,,Ccy,Conv)</f>
        <v>0</v>
      </c>
      <c r="G22" s="4">
        <f>_xll.ciqfunctions.udf.CIQ(InputTicker, "IQ_DA_SUPPL",Input!I$2,Date,,,Ccy,Conv)</f>
        <v>0</v>
      </c>
      <c r="H22" s="4">
        <f>_xll.ciqfunctions.udf.CIQ(InputTicker, "IQ_DA_SUPPL",Input!J$2,Date,,,Ccy,Conv)</f>
        <v>0</v>
      </c>
      <c r="I22" s="4">
        <f>_xll.ciqfunctions.udf.CIQ(InputTicker, "IQ_DA_SUPPL",Input!K$2,Date,,,Ccy,Conv)</f>
        <v>0</v>
      </c>
      <c r="J22" s="4">
        <f>_xll.ciqfunctions.udf.CIQ(InputTicker, "IQ_DA_SUPPL",Input!L$2,Date,,,Ccy,Conv)</f>
        <v>0</v>
      </c>
      <c r="K22" s="4">
        <f>_xll.ciqfunctions.udf.CIQ(InputTicker, "IQ_DA_SUPPL",Input!M$2,Date,,,Ccy,Conv)</f>
        <v>0</v>
      </c>
      <c r="L22" s="4">
        <f>_xll.ciqfunctions.udf.CIQ(InputTicker, "IQ_DA_SUPPL",Input!N$2,Date,,,Ccy,Conv)</f>
        <v>0</v>
      </c>
      <c r="M22" s="4">
        <f>_xll.ciqfunctions.udf.CIQ(InputTicker, "IQ_DA_SUPPL",Input!O$2,Date,,,Ccy,Conv)</f>
        <v>0</v>
      </c>
      <c r="N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</row>
    <row r="23" spans="1:66" ht="12.75" customHeight="1" x14ac:dyDescent="0.2">
      <c r="A23" s="1" t="s">
        <v>141</v>
      </c>
      <c r="B23" s="4">
        <f>_xll.ciqfunctions.udf.CIQ(InputTicker, "IQ_GW_INTAN_AMORT",Input!D$2,Date,,,Ccy,Conv)</f>
        <v>0</v>
      </c>
      <c r="C23" s="4">
        <f>_xll.ciqfunctions.udf.CIQ(InputTicker, "IQ_GW_INTAN_AMORT",Input!E$2,Date,,,Ccy,Conv)</f>
        <v>0</v>
      </c>
      <c r="D23" s="4">
        <f>_xll.ciqfunctions.udf.CIQ(InputTicker, "IQ_GW_INTAN_AMORT",Input!F$2,Date,,,Ccy,Conv)</f>
        <v>0</v>
      </c>
      <c r="E23" s="4">
        <f>_xll.ciqfunctions.udf.CIQ(InputTicker, "IQ_GW_INTAN_AMORT",Input!G$2,Date,,,Ccy,Conv)</f>
        <v>0</v>
      </c>
      <c r="F23" s="4">
        <f>_xll.ciqfunctions.udf.CIQ(InputTicker, "IQ_GW_INTAN_AMORT",Input!H$2,Date,,,Ccy,Conv)</f>
        <v>0</v>
      </c>
      <c r="G23" s="4">
        <f>_xll.ciqfunctions.udf.CIQ(InputTicker, "IQ_GW_INTAN_AMORT",Input!I$2,Date,,,Ccy,Conv)</f>
        <v>0</v>
      </c>
      <c r="H23" s="4">
        <f>_xll.ciqfunctions.udf.CIQ(InputTicker, "IQ_GW_INTAN_AMORT",Input!J$2,Date,,,Ccy,Conv)</f>
        <v>0</v>
      </c>
      <c r="I23" s="4">
        <f>_xll.ciqfunctions.udf.CIQ(InputTicker, "IQ_GW_INTAN_AMORT",Input!K$2,Date,,,Ccy,Conv)</f>
        <v>0</v>
      </c>
      <c r="J23" s="4">
        <f>_xll.ciqfunctions.udf.CIQ(InputTicker, "IQ_GW_INTAN_AMORT",Input!L$2,Date,,,Ccy,Conv)</f>
        <v>0</v>
      </c>
      <c r="K23" s="4">
        <f>_xll.ciqfunctions.udf.CIQ(InputTicker, "IQ_GW_INTAN_AMORT",Input!M$2,Date,,,Ccy,Conv)</f>
        <v>0</v>
      </c>
      <c r="L23" s="4">
        <f>_xll.ciqfunctions.udf.CIQ(InputTicker, "IQ_GW_INTAN_AMORT",Input!N$2,Date,,,Ccy,Conv)</f>
        <v>0</v>
      </c>
      <c r="M23" s="4">
        <f>_xll.ciqfunctions.udf.CIQ(InputTicker, "IQ_GW_INTAN_AMORT",Input!O$2,Date,,,Ccy,Conv)</f>
        <v>0</v>
      </c>
      <c r="N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</row>
    <row r="24" spans="1:66" ht="12.75" customHeight="1" x14ac:dyDescent="0.2">
      <c r="A24" s="1" t="s">
        <v>197</v>
      </c>
      <c r="B24" s="4">
        <f>_xll.ciqfunctions.udf.CIQ(InputTicker, "IQ_IMPAIR_OIL",Input!D$2,Date,,,Ccy,Conv)</f>
        <v>0</v>
      </c>
      <c r="C24" s="4">
        <f>_xll.ciqfunctions.udf.CIQ(InputTicker, "IQ_IMPAIR_OIL",Input!E$2,Date,,,Ccy,Conv)</f>
        <v>0</v>
      </c>
      <c r="D24" s="4">
        <f>_xll.ciqfunctions.udf.CIQ(InputTicker, "IQ_IMPAIR_OIL",Input!F$2,Date,,,Ccy,Conv)</f>
        <v>0</v>
      </c>
      <c r="E24" s="4">
        <f>_xll.ciqfunctions.udf.CIQ(InputTicker, "IQ_IMPAIR_OIL",Input!G$2,Date,,,Ccy,Conv)</f>
        <v>0</v>
      </c>
      <c r="F24" s="4">
        <f>_xll.ciqfunctions.udf.CIQ(InputTicker, "IQ_IMPAIR_OIL",Input!H$2,Date,,,Ccy,Conv)</f>
        <v>0</v>
      </c>
      <c r="G24" s="4">
        <f>_xll.ciqfunctions.udf.CIQ(InputTicker, "IQ_IMPAIR_OIL",Input!I$2,Date,,,Ccy,Conv)</f>
        <v>0</v>
      </c>
      <c r="H24" s="4">
        <f>_xll.ciqfunctions.udf.CIQ(InputTicker, "IQ_IMPAIR_OIL",Input!J$2,Date,,,Ccy,Conv)</f>
        <v>0</v>
      </c>
      <c r="I24" s="4">
        <f>_xll.ciqfunctions.udf.CIQ(InputTicker, "IQ_IMPAIR_OIL",Input!K$2,Date,,,Ccy,Conv)</f>
        <v>0</v>
      </c>
      <c r="J24" s="4">
        <f>_xll.ciqfunctions.udf.CIQ(InputTicker, "IQ_IMPAIR_OIL",Input!L$2,Date,,,Ccy,Conv)</f>
        <v>0</v>
      </c>
      <c r="K24" s="4">
        <f>_xll.ciqfunctions.udf.CIQ(InputTicker, "IQ_IMPAIR_OIL",Input!M$2,Date,,,Ccy,Conv)</f>
        <v>0</v>
      </c>
      <c r="L24" s="4">
        <f>_xll.ciqfunctions.udf.CIQ(InputTicker, "IQ_IMPAIR_OIL",Input!N$2,Date,,,Ccy,Conv)</f>
        <v>0</v>
      </c>
      <c r="M24" s="4">
        <f>_xll.ciqfunctions.udf.CIQ(InputTicker, "IQ_IMPAIR_OIL",Input!O$2,Date,,,Ccy,Conv)</f>
        <v>0</v>
      </c>
      <c r="N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</row>
    <row r="25" spans="1:66" ht="12.75" customHeight="1" x14ac:dyDescent="0.2">
      <c r="A25" s="1" t="s">
        <v>61</v>
      </c>
      <c r="B25" s="8">
        <f>_xll.ciqfunctions.udf.CIQ(InputTicker, "IQ_OTHER_OPER",Input!D$2,Date,,,Ccy,Conv)</f>
        <v>0</v>
      </c>
      <c r="C25" s="8">
        <f>_xll.ciqfunctions.udf.CIQ(InputTicker, "IQ_OTHER_OPER",Input!E$2,Date,,,Ccy,Conv)</f>
        <v>0</v>
      </c>
      <c r="D25" s="8">
        <f>_xll.ciqfunctions.udf.CIQ(InputTicker, "IQ_OTHER_OPER",Input!F$2,Date,,,Ccy,Conv)</f>
        <v>0</v>
      </c>
      <c r="E25" s="8">
        <f>_xll.ciqfunctions.udf.CIQ(InputTicker, "IQ_OTHER_OPER",Input!G$2,Date,,,Ccy,Conv)</f>
        <v>0</v>
      </c>
      <c r="F25" s="8">
        <f>_xll.ciqfunctions.udf.CIQ(InputTicker, "IQ_OTHER_OPER",Input!H$2,Date,,,Ccy,Conv)</f>
        <v>0</v>
      </c>
      <c r="G25" s="8">
        <f>_xll.ciqfunctions.udf.CIQ(InputTicker, "IQ_OTHER_OPER",Input!I$2,Date,,,Ccy,Conv)</f>
        <v>0</v>
      </c>
      <c r="H25" s="8">
        <f>_xll.ciqfunctions.udf.CIQ(InputTicker, "IQ_OTHER_OPER",Input!J$2,Date,,,Ccy,Conv)</f>
        <v>0</v>
      </c>
      <c r="I25" s="8">
        <f>_xll.ciqfunctions.udf.CIQ(InputTicker, "IQ_OTHER_OPER",Input!K$2,Date,,,Ccy,Conv)</f>
        <v>0</v>
      </c>
      <c r="J25" s="8">
        <f>_xll.ciqfunctions.udf.CIQ(InputTicker, "IQ_OTHER_OPER",Input!L$2,Date,,,Ccy,Conv)</f>
        <v>0</v>
      </c>
      <c r="K25" s="8">
        <f>_xll.ciqfunctions.udf.CIQ(InputTicker, "IQ_OTHER_OPER",Input!M$2,Date,,,Ccy,Conv)</f>
        <v>0</v>
      </c>
      <c r="L25" s="8">
        <f>_xll.ciqfunctions.udf.CIQ(InputTicker, "IQ_OTHER_OPER",Input!N$2,Date,,,Ccy,Conv)</f>
        <v>0</v>
      </c>
      <c r="M25" s="8">
        <f>_xll.ciqfunctions.udf.CIQ(InputTicker, "IQ_OTHER_OPER",Input!O$2,Date,,,Ccy,Conv)</f>
        <v>0</v>
      </c>
      <c r="N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</row>
    <row r="26" spans="1:66" ht="12.75" customHeight="1" x14ac:dyDescent="0.2">
      <c r="A26" s="5" t="s">
        <v>62</v>
      </c>
      <c r="B26" s="7">
        <f>_xll.ciqfunctions.udf.CIQ(InputTicker, "IQ_TOTAL_OTHER_OPER",Input!D$2,Date,,,Ccy,Conv)</f>
        <v>177.76</v>
      </c>
      <c r="C26" s="7">
        <f>_xll.ciqfunctions.udf.CIQ(InputTicker, "IQ_TOTAL_OTHER_OPER",Input!E$2,Date,,,Ccy,Conv)</f>
        <v>176.03200000000001</v>
      </c>
      <c r="D26" s="7">
        <f>_xll.ciqfunctions.udf.CIQ(InputTicker, "IQ_TOTAL_OTHER_OPER",Input!F$2,Date,,,Ccy,Conv)</f>
        <v>179.316</v>
      </c>
      <c r="E26" s="7">
        <f>_xll.ciqfunctions.udf.CIQ(InputTicker, "IQ_TOTAL_OTHER_OPER",Input!G$2,Date,,,Ccy,Conv)</f>
        <v>177.04499999999999</v>
      </c>
      <c r="F26" s="7">
        <f>_xll.ciqfunctions.udf.CIQ(InputTicker, "IQ_TOTAL_OTHER_OPER",Input!H$2,Date,,,Ccy,Conv)</f>
        <v>178.23699999999999</v>
      </c>
      <c r="G26" s="7">
        <f>_xll.ciqfunctions.udf.CIQ(InputTicker, "IQ_TOTAL_OTHER_OPER",Input!I$2,Date,,,Ccy,Conv)</f>
        <v>183.94300000000001</v>
      </c>
      <c r="H26" s="7">
        <f>_xll.ciqfunctions.udf.CIQ(InputTicker, "IQ_TOTAL_OTHER_OPER",Input!J$2,Date,,,Ccy,Conv)</f>
        <v>198.631</v>
      </c>
      <c r="I26" s="7">
        <f>_xll.ciqfunctions.udf.CIQ(InputTicker, "IQ_TOTAL_OTHER_OPER",Input!K$2,Date,,,Ccy,Conv)</f>
        <v>232.20699999999999</v>
      </c>
      <c r="J26" s="7">
        <f>_xll.ciqfunctions.udf.CIQ(InputTicker, "IQ_TOTAL_OTHER_OPER",Input!L$2,Date,,,Ccy,Conv)</f>
        <v>247.125</v>
      </c>
      <c r="K26" s="7">
        <f>_xll.ciqfunctions.udf.CIQ(InputTicker, "IQ_TOTAL_OTHER_OPER",Input!M$2,Date,,,Ccy,Conv)</f>
        <v>292.84899999999999</v>
      </c>
      <c r="L26" s="7">
        <f>_xll.ciqfunctions.udf.CIQ(InputTicker, "IQ_TOTAL_OTHER_OPER",Input!N$2,Date,,,Ccy,Conv)</f>
        <v>328.697</v>
      </c>
      <c r="M26" s="7">
        <f>_xll.ciqfunctions.udf.CIQ(InputTicker, "IQ_TOTAL_OTHER_OPER",Input!O$2,Date,,,Ccy,Conv)</f>
        <v>328.697</v>
      </c>
      <c r="N26" s="46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</row>
    <row r="27" spans="1:66" ht="12.75" customHeight="1" thickBot="1" x14ac:dyDescent="0.25">
      <c r="A27" s="5" t="s">
        <v>63</v>
      </c>
      <c r="B27" s="9">
        <f>_xll.ciqfunctions.udf.CIQ(InputTicker, "IQ_OPER_INC",Input!D$2,Date,,,Ccy,Conv)</f>
        <v>470.31400000000002</v>
      </c>
      <c r="C27" s="9">
        <f>_xll.ciqfunctions.udf.CIQ(InputTicker, "IQ_OPER_INC",Input!E$2,Date,,,Ccy,Conv)</f>
        <v>-130.482</v>
      </c>
      <c r="D27" s="9">
        <f>_xll.ciqfunctions.udf.CIQ(InputTicker, "IQ_OPER_INC",Input!F$2,Date,,,Ccy,Conv)</f>
        <v>181.73</v>
      </c>
      <c r="E27" s="9">
        <f>_xll.ciqfunctions.udf.CIQ(InputTicker, "IQ_OPER_INC",Input!G$2,Date,,,Ccy,Conv)</f>
        <v>45.814</v>
      </c>
      <c r="F27" s="9">
        <f>_xll.ciqfunctions.udf.CIQ(InputTicker, "IQ_OPER_INC",Input!H$2,Date,,,Ccy,Conv)</f>
        <v>1.351</v>
      </c>
      <c r="G27" s="9">
        <f>_xll.ciqfunctions.udf.CIQ(InputTicker, "IQ_OPER_INC",Input!I$2,Date,,,Ccy,Conv)</f>
        <v>-23.282</v>
      </c>
      <c r="H27" s="9">
        <f>_xll.ciqfunctions.udf.CIQ(InputTicker, "IQ_OPER_INC",Input!J$2,Date,,,Ccy,Conv)</f>
        <v>138.428</v>
      </c>
      <c r="I27" s="9">
        <f>_xll.ciqfunctions.udf.CIQ(InputTicker, "IQ_OPER_INC",Input!K$2,Date,,,Ccy,Conv)</f>
        <v>964.25</v>
      </c>
      <c r="J27" s="9">
        <f>_xll.ciqfunctions.udf.CIQ(InputTicker, "IQ_OPER_INC",Input!L$2,Date,,,Ccy,Conv)</f>
        <v>294.44600000000003</v>
      </c>
      <c r="K27" s="9">
        <f>_xll.ciqfunctions.udf.CIQ(InputTicker, "IQ_OPER_INC",Input!M$2,Date,,,Ccy,Conv)</f>
        <v>1558.0360000000001</v>
      </c>
      <c r="L27" s="9">
        <f>_xll.ciqfunctions.udf.CIQ(InputTicker, "IQ_OPER_INC",Input!N$2,Date,,,Ccy,Conv)</f>
        <v>343.35199999999998</v>
      </c>
      <c r="M27" s="9">
        <f>_xll.ciqfunctions.udf.CIQ(InputTicker, "IQ_OPER_INC",Input!O$2,Date,,,Ccy,Conv)</f>
        <v>343.35199999999998</v>
      </c>
      <c r="N27" s="46"/>
      <c r="P27" s="46"/>
      <c r="Q27" s="46"/>
      <c r="R27" s="46"/>
      <c r="T27" s="42"/>
      <c r="U27" s="42"/>
      <c r="V27" s="46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</row>
    <row r="28" spans="1:66" ht="12.75" customHeight="1" thickTop="1" x14ac:dyDescent="0.2">
      <c r="A28" s="1" t="s">
        <v>52</v>
      </c>
      <c r="B28" s="4">
        <f>_xll.ciqfunctions.udf.CIQ(InputTicker, "IQ_INTEREST_EXP",Input!D$2,Date,,,Ccy,Conv)</f>
        <v>-1.1559999999999999</v>
      </c>
      <c r="C28" s="4">
        <f>_xll.ciqfunctions.udf.CIQ(InputTicker, "IQ_INTEREST_EXP",Input!E$2,Date,,,Ccy,Conv)</f>
        <v>-0.318</v>
      </c>
      <c r="D28" s="4">
        <f>_xll.ciqfunctions.udf.CIQ(InputTicker, "IQ_INTEREST_EXP",Input!F$2,Date,,,Ccy,Conv)</f>
        <v>-0.26500000000000001</v>
      </c>
      <c r="E28" s="4">
        <f>_xll.ciqfunctions.udf.CIQ(InputTicker, "IQ_INTEREST_EXP",Input!G$2,Date,,,Ccy,Conv)</f>
        <v>-0.64400000000000002</v>
      </c>
      <c r="F28" s="4">
        <f>_xll.ciqfunctions.udf.CIQ(InputTicker, "IQ_INTEREST_EXP",Input!H$2,Date,,,Ccy,Conv)</f>
        <v>-0.498</v>
      </c>
      <c r="G28" s="4">
        <f>_xll.ciqfunctions.udf.CIQ(InputTicker, "IQ_INTEREST_EXP",Input!I$2,Date,,,Ccy,Conv)</f>
        <v>-0.21299999999999999</v>
      </c>
      <c r="H28" s="4">
        <f>_xll.ciqfunctions.udf.CIQ(InputTicker, "IQ_INTEREST_EXP",Input!J$2,Date,,,Ccy,Conv)</f>
        <v>-0.40300000000000002</v>
      </c>
      <c r="I28" s="4">
        <f>_xll.ciqfunctions.udf.CIQ(InputTicker, "IQ_INTEREST_EXP",Input!K$2,Date,,,Ccy,Conv)</f>
        <v>-0.58299999999999996</v>
      </c>
      <c r="J28" s="4">
        <f>_xll.ciqfunctions.udf.CIQ(InputTicker, "IQ_INTEREST_EXP",Input!L$2,Date,,,Ccy,Conv)</f>
        <v>-0.54900000000000004</v>
      </c>
      <c r="K28" s="4">
        <f>_xll.ciqfunctions.udf.CIQ(InputTicker, "IQ_INTEREST_EXP",Input!M$2,Date,,,Ccy,Conv)</f>
        <v>-0.61199999999999999</v>
      </c>
      <c r="L28" s="4">
        <f>_xll.ciqfunctions.udf.CIQ(InputTicker, "IQ_INTEREST_EXP",Input!N$2,Date,,,Ccy,Conv)</f>
        <v>-0.55600000000000005</v>
      </c>
      <c r="M28" s="4">
        <f>_xll.ciqfunctions.udf.CIQ(InputTicker, "IQ_INTEREST_EXP",Input!O$2,Date,,,Ccy,Conv)</f>
        <v>-0.55600000000000005</v>
      </c>
      <c r="N28" s="46"/>
      <c r="P28" s="46"/>
      <c r="Q28" s="46"/>
      <c r="R28" s="46"/>
      <c r="T28" s="42"/>
      <c r="U28" s="42"/>
      <c r="V28" s="46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</row>
    <row r="29" spans="1:66" ht="12.75" customHeight="1" x14ac:dyDescent="0.2">
      <c r="A29" s="1" t="s">
        <v>64</v>
      </c>
      <c r="B29" s="4">
        <f>_xll.ciqfunctions.udf.CIQ(InputTicker, "IQ_INTEREST_INVEST_INC",Input!D$2,Date,,,Ccy,Conv)</f>
        <v>11.244</v>
      </c>
      <c r="C29" s="4">
        <f>_xll.ciqfunctions.udf.CIQ(InputTicker, "IQ_INTEREST_INVEST_INC",Input!E$2,Date,,,Ccy,Conv)</f>
        <v>10.768000000000001</v>
      </c>
      <c r="D29" s="4">
        <f>_xll.ciqfunctions.udf.CIQ(InputTicker, "IQ_INTEREST_INVEST_INC",Input!F$2,Date,,,Ccy,Conv)</f>
        <v>11.983000000000001</v>
      </c>
      <c r="E29" s="4">
        <f>_xll.ciqfunctions.udf.CIQ(InputTicker, "IQ_INTEREST_INVEST_INC",Input!G$2,Date,,,Ccy,Conv)</f>
        <v>18.46</v>
      </c>
      <c r="F29" s="4">
        <f>_xll.ciqfunctions.udf.CIQ(InputTicker, "IQ_INTEREST_INVEST_INC",Input!H$2,Date,,,Ccy,Conv)</f>
        <v>15.058</v>
      </c>
      <c r="G29" s="4">
        <f>_xll.ciqfunctions.udf.CIQ(InputTicker, "IQ_INTEREST_INVEST_INC",Input!I$2,Date,,,Ccy,Conv)</f>
        <v>11.832000000000001</v>
      </c>
      <c r="H29" s="4">
        <f>_xll.ciqfunctions.udf.CIQ(InputTicker, "IQ_INTEREST_INVEST_INC",Input!J$2,Date,,,Ccy,Conv)</f>
        <v>11.118</v>
      </c>
      <c r="I29" s="4">
        <f>_xll.ciqfunctions.udf.CIQ(InputTicker, "IQ_INTEREST_INVEST_INC",Input!K$2,Date,,,Ccy,Conv)</f>
        <v>28.792000000000002</v>
      </c>
      <c r="J29" s="4">
        <f>_xll.ciqfunctions.udf.CIQ(InputTicker, "IQ_INTEREST_INVEST_INC",Input!L$2,Date,,,Ccy,Conv)</f>
        <v>43.606000000000002</v>
      </c>
      <c r="K29" s="4">
        <f>_xll.ciqfunctions.udf.CIQ(InputTicker, "IQ_INTEREST_INVEST_INC",Input!M$2,Date,,,Ccy,Conv)</f>
        <v>59.868000000000002</v>
      </c>
      <c r="L29" s="4">
        <f>_xll.ciqfunctions.udf.CIQ(InputTicker, "IQ_INTEREST_INVEST_INC",Input!N$2,Date,,,Ccy,Conv)</f>
        <v>58.401000000000003</v>
      </c>
      <c r="M29" s="4">
        <f>_xll.ciqfunctions.udf.CIQ(InputTicker, "IQ_INTEREST_INVEST_INC",Input!O$2,Date,,,Ccy,Conv)</f>
        <v>58.401000000000003</v>
      </c>
      <c r="N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</row>
    <row r="30" spans="1:66" ht="12.75" customHeight="1" x14ac:dyDescent="0.2">
      <c r="A30" s="5" t="s">
        <v>65</v>
      </c>
      <c r="B30" s="6">
        <f>_xll.ciqfunctions.udf.CIQ(InputTicker, "IQ_NET_INTEREST_EXP",Input!D$2,Date,,,Ccy,Conv)</f>
        <v>10.087999999999999</v>
      </c>
      <c r="C30" s="6">
        <f>_xll.ciqfunctions.udf.CIQ(InputTicker, "IQ_NET_INTEREST_EXP",Input!E$2,Date,,,Ccy,Conv)</f>
        <v>10.45</v>
      </c>
      <c r="D30" s="6">
        <f>_xll.ciqfunctions.udf.CIQ(InputTicker, "IQ_NET_INTEREST_EXP",Input!F$2,Date,,,Ccy,Conv)</f>
        <v>11.718</v>
      </c>
      <c r="E30" s="6">
        <f>_xll.ciqfunctions.udf.CIQ(InputTicker, "IQ_NET_INTEREST_EXP",Input!G$2,Date,,,Ccy,Conv)</f>
        <v>17.815999999999999</v>
      </c>
      <c r="F30" s="6">
        <f>_xll.ciqfunctions.udf.CIQ(InputTicker, "IQ_NET_INTEREST_EXP",Input!H$2,Date,,,Ccy,Conv)</f>
        <v>14.56</v>
      </c>
      <c r="G30" s="6">
        <f>_xll.ciqfunctions.udf.CIQ(InputTicker, "IQ_NET_INTEREST_EXP",Input!I$2,Date,,,Ccy,Conv)</f>
        <v>11.619</v>
      </c>
      <c r="H30" s="6">
        <f>_xll.ciqfunctions.udf.CIQ(InputTicker, "IQ_NET_INTEREST_EXP",Input!J$2,Date,,,Ccy,Conv)</f>
        <v>10.715</v>
      </c>
      <c r="I30" s="6">
        <f>_xll.ciqfunctions.udf.CIQ(InputTicker, "IQ_NET_INTEREST_EXP",Input!K$2,Date,,,Ccy,Conv)</f>
        <v>28.209</v>
      </c>
      <c r="J30" s="6">
        <f>_xll.ciqfunctions.udf.CIQ(InputTicker, "IQ_NET_INTEREST_EXP",Input!L$2,Date,,,Ccy,Conv)</f>
        <v>43.057000000000002</v>
      </c>
      <c r="K30" s="6">
        <f>_xll.ciqfunctions.udf.CIQ(InputTicker, "IQ_NET_INTEREST_EXP",Input!M$2,Date,,,Ccy,Conv)</f>
        <v>59.256</v>
      </c>
      <c r="L30" s="6">
        <f>_xll.ciqfunctions.udf.CIQ(InputTicker, "IQ_NET_INTEREST_EXP",Input!N$2,Date,,,Ccy,Conv)</f>
        <v>57.844999999999999</v>
      </c>
      <c r="M30" s="6">
        <f>_xll.ciqfunctions.udf.CIQ(InputTicker, "IQ_NET_INTEREST_EXP",Input!O$2,Date,,,Ccy,Conv)</f>
        <v>57.844999999999999</v>
      </c>
      <c r="N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</row>
    <row r="31" spans="1:66" ht="12.75" customHeight="1" x14ac:dyDescent="0.2">
      <c r="A31" s="1" t="s">
        <v>163</v>
      </c>
      <c r="B31" s="4">
        <f>_xll.ciqfunctions.udf.CIQ(InputTicker, "IQ_INC_EQUITY",Input!D$2,Date,,,Ccy,Conv)</f>
        <v>5.016</v>
      </c>
      <c r="C31" s="4">
        <f>_xll.ciqfunctions.udf.CIQ(InputTicker, "IQ_INC_EQUITY",Input!E$2,Date,,,Ccy,Conv)</f>
        <v>1.39</v>
      </c>
      <c r="D31" s="4">
        <f>_xll.ciqfunctions.udf.CIQ(InputTicker, "IQ_INC_EQUITY",Input!F$2,Date,,,Ccy,Conv)</f>
        <v>3.5169999999999999</v>
      </c>
      <c r="E31" s="4">
        <f>_xll.ciqfunctions.udf.CIQ(InputTicker, "IQ_INC_EQUITY",Input!G$2,Date,,,Ccy,Conv)</f>
        <v>4.7759999999999998</v>
      </c>
      <c r="F31" s="4">
        <f>_xll.ciqfunctions.udf.CIQ(InputTicker, "IQ_INC_EQUITY",Input!H$2,Date,,,Ccy,Conv)</f>
        <v>0.53400000000000003</v>
      </c>
      <c r="G31" s="4">
        <f>_xll.ciqfunctions.udf.CIQ(InputTicker, "IQ_INC_EQUITY",Input!I$2,Date,,,Ccy,Conv)</f>
        <v>0.622</v>
      </c>
      <c r="H31" s="4">
        <f>_xll.ciqfunctions.udf.CIQ(InputTicker, "IQ_INC_EQUITY",Input!J$2,Date,,,Ccy,Conv)</f>
        <v>1.9430000000000001</v>
      </c>
      <c r="I31" s="4">
        <f>_xll.ciqfunctions.udf.CIQ(InputTicker, "IQ_INC_EQUITY",Input!K$2,Date,,,Ccy,Conv)</f>
        <v>0.746</v>
      </c>
      <c r="J31" s="4">
        <f>_xll.ciqfunctions.udf.CIQ(InputTicker, "IQ_INC_EQUITY",Input!L$2,Date,,,Ccy,Conv)</f>
        <v>1.4</v>
      </c>
      <c r="K31" s="4">
        <f>_xll.ciqfunctions.udf.CIQ(InputTicker, "IQ_INC_EQUITY",Input!M$2,Date,,,Ccy,Conv)</f>
        <v>6.2</v>
      </c>
      <c r="L31" s="4">
        <f>_xll.ciqfunctions.udf.CIQ(InputTicker, "IQ_INC_EQUITY",Input!N$2,Date,,,Ccy,Conv)</f>
        <v>-1.3</v>
      </c>
      <c r="M31" s="4">
        <f>_xll.ciqfunctions.udf.CIQ(InputTicker, "IQ_INC_EQUITY",Input!O$2,Date,,,Ccy,Conv)</f>
        <v>-1.3</v>
      </c>
      <c r="N31" s="46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</row>
    <row r="32" spans="1:66" ht="12.75" customHeight="1" x14ac:dyDescent="0.2">
      <c r="A32" s="1" t="s">
        <v>164</v>
      </c>
      <c r="B32" s="4">
        <f>_xll.ciqfunctions.udf.CIQ(InputTicker, "IQ_CURRENCY_GAIN",Input!D$2,Date,,,Ccy,Conv)</f>
        <v>0</v>
      </c>
      <c r="C32" s="4">
        <f>_xll.ciqfunctions.udf.CIQ(InputTicker, "IQ_CURRENCY_GAIN",Input!E$2,Date,,,Ccy,Conv)</f>
        <v>0</v>
      </c>
      <c r="D32" s="4">
        <f>_xll.ciqfunctions.udf.CIQ(InputTicker, "IQ_CURRENCY_GAIN",Input!F$2,Date,,,Ccy,Conv)</f>
        <v>0</v>
      </c>
      <c r="E32" s="4">
        <f>_xll.ciqfunctions.udf.CIQ(InputTicker, "IQ_CURRENCY_GAIN",Input!G$2,Date,,,Ccy,Conv)</f>
        <v>0</v>
      </c>
      <c r="F32" s="4">
        <f>_xll.ciqfunctions.udf.CIQ(InputTicker, "IQ_CURRENCY_GAIN",Input!H$2,Date,,,Ccy,Conv)</f>
        <v>0</v>
      </c>
      <c r="G32" s="4">
        <f>_xll.ciqfunctions.udf.CIQ(InputTicker, "IQ_CURRENCY_GAIN",Input!I$2,Date,,,Ccy,Conv)</f>
        <v>0</v>
      </c>
      <c r="H32" s="4">
        <f>_xll.ciqfunctions.udf.CIQ(InputTicker, "IQ_CURRENCY_GAIN",Input!J$2,Date,,,Ccy,Conv)</f>
        <v>0</v>
      </c>
      <c r="I32" s="4">
        <f>_xll.ciqfunctions.udf.CIQ(InputTicker, "IQ_CURRENCY_GAIN",Input!K$2,Date,,,Ccy,Conv)</f>
        <v>0</v>
      </c>
      <c r="J32" s="4">
        <f>_xll.ciqfunctions.udf.CIQ(InputTicker, "IQ_CURRENCY_GAIN",Input!L$2,Date,,,Ccy,Conv)</f>
        <v>0</v>
      </c>
      <c r="K32" s="4">
        <f>_xll.ciqfunctions.udf.CIQ(InputTicker, "IQ_CURRENCY_GAIN",Input!M$2,Date,,,Ccy,Conv)</f>
        <v>0</v>
      </c>
      <c r="L32" s="4">
        <f>_xll.ciqfunctions.udf.CIQ(InputTicker, "IQ_CURRENCY_GAIN",Input!N$2,Date,,,Ccy,Conv)</f>
        <v>0</v>
      </c>
      <c r="M32" s="4">
        <f>_xll.ciqfunctions.udf.CIQ(InputTicker, "IQ_CURRENCY_GAIN",Input!O$2,Date,,,Ccy,Conv)</f>
        <v>0</v>
      </c>
      <c r="N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</row>
    <row r="33" spans="1:66" ht="12.75" customHeight="1" x14ac:dyDescent="0.2">
      <c r="A33" s="1" t="s">
        <v>127</v>
      </c>
      <c r="B33" s="4">
        <f>_xll.ciqfunctions.udf.CIQ(InputTicker, "IQ_OTHER_NON_OPER_EXP_SUPPL",Input!D$2,Date,,,Ccy,Conv)</f>
        <v>0.247</v>
      </c>
      <c r="C33" s="4">
        <f>_xll.ciqfunctions.udf.CIQ(InputTicker, "IQ_OTHER_NON_OPER_EXP_SUPPL",Input!E$2,Date,,,Ccy,Conv)</f>
        <v>7.7880000000000003</v>
      </c>
      <c r="D33" s="4">
        <f>_xll.ciqfunctions.udf.CIQ(InputTicker, "IQ_OTHER_NON_OPER_EXP_SUPPL",Input!F$2,Date,,,Ccy,Conv)</f>
        <v>1.63</v>
      </c>
      <c r="E33" s="4">
        <f>_xll.ciqfunctions.udf.CIQ(InputTicker, "IQ_OTHER_NON_OPER_EXP_SUPPL",Input!G$2,Date,,,Ccy,Conv)</f>
        <v>2.4079999999999999</v>
      </c>
      <c r="F33" s="4">
        <f>_xll.ciqfunctions.udf.CIQ(InputTicker, "IQ_OTHER_NON_OPER_EXP_SUPPL",Input!H$2,Date,,,Ccy,Conv)</f>
        <v>3.5569999999999999</v>
      </c>
      <c r="G33" s="4">
        <f>_xll.ciqfunctions.udf.CIQ(InputTicker, "IQ_OTHER_NON_OPER_EXP_SUPPL",Input!I$2,Date,,,Ccy,Conv)</f>
        <v>5.4249999999999998</v>
      </c>
      <c r="H33" s="4">
        <f>_xll.ciqfunctions.udf.CIQ(InputTicker, "IQ_OTHER_NON_OPER_EXP_SUPPL",Input!J$2,Date,,,Ccy,Conv)</f>
        <v>9.7149999999999999</v>
      </c>
      <c r="I33" s="4">
        <f>_xll.ciqfunctions.udf.CIQ(InputTicker, "IQ_OTHER_NON_OPER_EXP_SUPPL",Input!K$2,Date,,,Ccy,Conv)</f>
        <v>5.25</v>
      </c>
      <c r="J33" s="4">
        <f>_xll.ciqfunctions.udf.CIQ(InputTicker, "IQ_OTHER_NON_OPER_EXP_SUPPL",Input!L$2,Date,,,Ccy,Conv)</f>
        <v>26.594000000000001</v>
      </c>
      <c r="K33" s="4">
        <f>_xll.ciqfunctions.udf.CIQ(InputTicker, "IQ_OTHER_NON_OPER_EXP_SUPPL",Input!M$2,Date,,,Ccy,Conv)</f>
        <v>0.99099999999999999</v>
      </c>
      <c r="L33" s="4">
        <f>_xll.ciqfunctions.udf.CIQ(InputTicker, "IQ_OTHER_NON_OPER_EXP_SUPPL",Input!N$2,Date,,,Ccy,Conv)</f>
        <v>13.092000000000001</v>
      </c>
      <c r="M33" s="4">
        <f>_xll.ciqfunctions.udf.CIQ(InputTicker, "IQ_OTHER_NON_OPER_EXP_SUPPL",Input!O$2,Date,,,Ccy,Conv)</f>
        <v>13.092000000000001</v>
      </c>
      <c r="N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</row>
    <row r="34" spans="1:66" ht="12.75" customHeight="1" x14ac:dyDescent="0.2">
      <c r="A34" s="5" t="s">
        <v>66</v>
      </c>
      <c r="B34" s="6">
        <f>_xll.ciqfunctions.udf.CIQ(InputTicker, "IQ_EBT_EXCL",Input!D$2,Date,,,Ccy,Conv)</f>
        <v>485.66500000000002</v>
      </c>
      <c r="C34" s="6">
        <f>_xll.ciqfunctions.udf.CIQ(InputTicker, "IQ_EBT_EXCL",Input!E$2,Date,,,Ccy,Conv)</f>
        <v>-110.854</v>
      </c>
      <c r="D34" s="6">
        <f>_xll.ciqfunctions.udf.CIQ(InputTicker, "IQ_EBT_EXCL",Input!F$2,Date,,,Ccy,Conv)</f>
        <v>198.595</v>
      </c>
      <c r="E34" s="6">
        <f>_xll.ciqfunctions.udf.CIQ(InputTicker, "IQ_EBT_EXCL",Input!G$2,Date,,,Ccy,Conv)</f>
        <v>70.813999999999993</v>
      </c>
      <c r="F34" s="6">
        <f>_xll.ciqfunctions.udf.CIQ(InputTicker, "IQ_EBT_EXCL",Input!H$2,Date,,,Ccy,Conv)</f>
        <v>20.001999999999999</v>
      </c>
      <c r="G34" s="6">
        <f>_xll.ciqfunctions.udf.CIQ(InputTicker, "IQ_EBT_EXCL",Input!I$2,Date,,,Ccy,Conv)</f>
        <v>-5.6159999999999997</v>
      </c>
      <c r="H34" s="6">
        <f>_xll.ciqfunctions.udf.CIQ(InputTicker, "IQ_EBT_EXCL",Input!J$2,Date,,,Ccy,Conv)</f>
        <v>160.80099999999999</v>
      </c>
      <c r="I34" s="6">
        <f>_xll.ciqfunctions.udf.CIQ(InputTicker, "IQ_EBT_EXCL",Input!K$2,Date,,,Ccy,Conv)</f>
        <v>998.45500000000004</v>
      </c>
      <c r="J34" s="6">
        <f>_xll.ciqfunctions.udf.CIQ(InputTicker, "IQ_EBT_EXCL",Input!L$2,Date,,,Ccy,Conv)</f>
        <v>365.49700000000001</v>
      </c>
      <c r="K34" s="6">
        <f>_xll.ciqfunctions.udf.CIQ(InputTicker, "IQ_EBT_EXCL",Input!M$2,Date,,,Ccy,Conv)</f>
        <v>1624.4829999999999</v>
      </c>
      <c r="L34" s="6">
        <f>_xll.ciqfunctions.udf.CIQ(InputTicker, "IQ_EBT_EXCL",Input!N$2,Date,,,Ccy,Conv)</f>
        <v>412.98899999999998</v>
      </c>
      <c r="M34" s="6">
        <f>_xll.ciqfunctions.udf.CIQ(InputTicker, "IQ_EBT_EXCL",Input!O$2,Date,,,Ccy,Conv)</f>
        <v>412.98899999999998</v>
      </c>
      <c r="N34" s="46"/>
      <c r="P34" s="46"/>
      <c r="Q34" s="46"/>
      <c r="R34" s="46"/>
      <c r="T34" s="42"/>
      <c r="U34" s="42"/>
      <c r="V34" s="46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</row>
    <row r="35" spans="1:66" ht="12.75" customHeight="1" x14ac:dyDescent="0.2">
      <c r="A35" s="1" t="s">
        <v>165</v>
      </c>
      <c r="B35" s="4">
        <f>_xll.ciqfunctions.udf.CIQ(InputTicker, "IQ_RESTRUCTURE",Input!D$2,Date,,,Ccy,Conv)</f>
        <v>0</v>
      </c>
      <c r="C35" s="4">
        <f>_xll.ciqfunctions.udf.CIQ(InputTicker, "IQ_RESTRUCTURE",Input!E$2,Date,,,Ccy,Conv)</f>
        <v>0</v>
      </c>
      <c r="D35" s="4">
        <f>_xll.ciqfunctions.udf.CIQ(InputTicker, "IQ_RESTRUCTURE",Input!F$2,Date,,,Ccy,Conv)</f>
        <v>0</v>
      </c>
      <c r="E35" s="4">
        <f>_xll.ciqfunctions.udf.CIQ(InputTicker, "IQ_RESTRUCTURE",Input!G$2,Date,,,Ccy,Conv)</f>
        <v>0</v>
      </c>
      <c r="F35" s="4">
        <f>_xll.ciqfunctions.udf.CIQ(InputTicker, "IQ_RESTRUCTURE",Input!H$2,Date,,,Ccy,Conv)</f>
        <v>0</v>
      </c>
      <c r="G35" s="4">
        <f>_xll.ciqfunctions.udf.CIQ(InputTicker, "IQ_RESTRUCTURE",Input!I$2,Date,,,Ccy,Conv)</f>
        <v>0</v>
      </c>
      <c r="H35" s="4">
        <f>_xll.ciqfunctions.udf.CIQ(InputTicker, "IQ_RESTRUCTURE",Input!J$2,Date,,,Ccy,Conv)</f>
        <v>0</v>
      </c>
      <c r="I35" s="4">
        <f>_xll.ciqfunctions.udf.CIQ(InputTicker, "IQ_RESTRUCTURE",Input!K$2,Date,,,Ccy,Conv)</f>
        <v>0</v>
      </c>
      <c r="J35" s="4">
        <f>_xll.ciqfunctions.udf.CIQ(InputTicker, "IQ_RESTRUCTURE",Input!L$2,Date,,,Ccy,Conv)</f>
        <v>0</v>
      </c>
      <c r="K35" s="4">
        <f>_xll.ciqfunctions.udf.CIQ(InputTicker, "IQ_RESTRUCTURE",Input!M$2,Date,,,Ccy,Conv)</f>
        <v>0</v>
      </c>
      <c r="L35" s="4">
        <f>_xll.ciqfunctions.udf.CIQ(InputTicker, "IQ_RESTRUCTURE",Input!N$2,Date,,,Ccy,Conv)</f>
        <v>0</v>
      </c>
      <c r="M35" s="4">
        <f>_xll.ciqfunctions.udf.CIQ(InputTicker, "IQ_RESTRUCTURE",Input!O$2,Date,,,Ccy,Conv)</f>
        <v>0</v>
      </c>
      <c r="N35" s="46"/>
      <c r="P35" s="46"/>
      <c r="Q35" s="46"/>
      <c r="R35" s="46"/>
      <c r="T35" s="42"/>
      <c r="U35" s="42"/>
      <c r="V35" s="46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</row>
    <row r="36" spans="1:66" ht="12.75" customHeight="1" x14ac:dyDescent="0.2">
      <c r="A36" s="1" t="s">
        <v>128</v>
      </c>
      <c r="B36" s="4">
        <f>_xll.ciqfunctions.udf.CIQ(InputTicker, "IQ_MERGER",Input!D$2,Date,,,Ccy,Conv)</f>
        <v>0</v>
      </c>
      <c r="C36" s="4">
        <f>_xll.ciqfunctions.udf.CIQ(InputTicker, "IQ_MERGER",Input!E$2,Date,,,Ccy,Conv)</f>
        <v>0</v>
      </c>
      <c r="D36" s="4">
        <f>_xll.ciqfunctions.udf.CIQ(InputTicker, "IQ_MERGER",Input!F$2,Date,,,Ccy,Conv)</f>
        <v>0</v>
      </c>
      <c r="E36" s="4">
        <f>_xll.ciqfunctions.udf.CIQ(InputTicker, "IQ_MERGER",Input!G$2,Date,,,Ccy,Conv)</f>
        <v>0</v>
      </c>
      <c r="F36" s="4">
        <f>_xll.ciqfunctions.udf.CIQ(InputTicker, "IQ_MERGER",Input!H$2,Date,,,Ccy,Conv)</f>
        <v>0</v>
      </c>
      <c r="G36" s="4">
        <f>_xll.ciqfunctions.udf.CIQ(InputTicker, "IQ_MERGER",Input!I$2,Date,,,Ccy,Conv)</f>
        <v>0</v>
      </c>
      <c r="H36" s="4">
        <f>_xll.ciqfunctions.udf.CIQ(InputTicker, "IQ_MERGER",Input!J$2,Date,,,Ccy,Conv)</f>
        <v>0</v>
      </c>
      <c r="I36" s="4">
        <f>_xll.ciqfunctions.udf.CIQ(InputTicker, "IQ_MERGER",Input!K$2,Date,,,Ccy,Conv)</f>
        <v>0</v>
      </c>
      <c r="J36" s="4">
        <f>_xll.ciqfunctions.udf.CIQ(InputTicker, "IQ_MERGER",Input!L$2,Date,,,Ccy,Conv)</f>
        <v>0</v>
      </c>
      <c r="K36" s="4">
        <f>_xll.ciqfunctions.udf.CIQ(InputTicker, "IQ_MERGER",Input!M$2,Date,,,Ccy,Conv)</f>
        <v>-6.6</v>
      </c>
      <c r="L36" s="4">
        <f>_xll.ciqfunctions.udf.CIQ(InputTicker, "IQ_MERGER",Input!N$2,Date,,,Ccy,Conv)</f>
        <v>-0.59399999999999997</v>
      </c>
      <c r="M36" s="4">
        <f>_xll.ciqfunctions.udf.CIQ(InputTicker, "IQ_MERGER",Input!O$2,Date,,,Ccy,Conv)</f>
        <v>-0.59399999999999997</v>
      </c>
      <c r="N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</row>
    <row r="37" spans="1:66" ht="12.75" customHeight="1" x14ac:dyDescent="0.2">
      <c r="A37" s="1" t="s">
        <v>67</v>
      </c>
      <c r="B37" s="4">
        <f>_xll.ciqfunctions.udf.CIQ(InputTicker, "IQ_IMPAIRMENT_GW",Input!D$2,Date,,,Ccy,Conv)</f>
        <v>0</v>
      </c>
      <c r="C37" s="4">
        <f>_xll.ciqfunctions.udf.CIQ(InputTicker, "IQ_IMPAIRMENT_GW",Input!E$2,Date,,,Ccy,Conv)</f>
        <v>0</v>
      </c>
      <c r="D37" s="4">
        <f>_xll.ciqfunctions.udf.CIQ(InputTicker, "IQ_IMPAIRMENT_GW",Input!F$2,Date,,,Ccy,Conv)</f>
        <v>0</v>
      </c>
      <c r="E37" s="4">
        <f>_xll.ciqfunctions.udf.CIQ(InputTicker, "IQ_IMPAIRMENT_GW",Input!G$2,Date,,,Ccy,Conv)</f>
        <v>0</v>
      </c>
      <c r="F37" s="4">
        <f>_xll.ciqfunctions.udf.CIQ(InputTicker, "IQ_IMPAIRMENT_GW",Input!H$2,Date,,,Ccy,Conv)</f>
        <v>0</v>
      </c>
      <c r="G37" s="4">
        <f>_xll.ciqfunctions.udf.CIQ(InputTicker, "IQ_IMPAIRMENT_GW",Input!I$2,Date,,,Ccy,Conv)</f>
        <v>0</v>
      </c>
      <c r="H37" s="4">
        <f>_xll.ciqfunctions.udf.CIQ(InputTicker, "IQ_IMPAIRMENT_GW",Input!J$2,Date,,,Ccy,Conv)</f>
        <v>0</v>
      </c>
      <c r="I37" s="4">
        <f>_xll.ciqfunctions.udf.CIQ(InputTicker, "IQ_IMPAIRMENT_GW",Input!K$2,Date,,,Ccy,Conv)</f>
        <v>0</v>
      </c>
      <c r="J37" s="4">
        <f>_xll.ciqfunctions.udf.CIQ(InputTicker, "IQ_IMPAIRMENT_GW",Input!L$2,Date,,,Ccy,Conv)</f>
        <v>0</v>
      </c>
      <c r="K37" s="4">
        <f>_xll.ciqfunctions.udf.CIQ(InputTicker, "IQ_IMPAIRMENT_GW",Input!M$2,Date,,,Ccy,Conv)</f>
        <v>0</v>
      </c>
      <c r="L37" s="4">
        <f>_xll.ciqfunctions.udf.CIQ(InputTicker, "IQ_IMPAIRMENT_GW",Input!N$2,Date,,,Ccy,Conv)</f>
        <v>0</v>
      </c>
      <c r="M37" s="4">
        <f>_xll.ciqfunctions.udf.CIQ(InputTicker, "IQ_IMPAIRMENT_GW",Input!O$2,Date,,,Ccy,Conv)</f>
        <v>0</v>
      </c>
      <c r="N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</row>
    <row r="38" spans="1:66" ht="12.75" customHeight="1" x14ac:dyDescent="0.2">
      <c r="A38" s="1" t="s">
        <v>68</v>
      </c>
      <c r="B38" s="4">
        <f>_xll.ciqfunctions.udf.CIQ(InputTicker, "IQ_GAIN_INVEST",Input!D$2,Date,,,Ccy,Conv)</f>
        <v>2.1000000000000001E-2</v>
      </c>
      <c r="C38" s="4">
        <f>_xll.ciqfunctions.udf.CIQ(InputTicker, "IQ_GAIN_INVEST",Input!E$2,Date,,,Ccy,Conv)</f>
        <v>0.224</v>
      </c>
      <c r="D38" s="4">
        <f>_xll.ciqfunctions.udf.CIQ(InputTicker, "IQ_GAIN_INVEST",Input!F$2,Date,,,Ccy,Conv)</f>
        <v>-3.5000000000000003E-2</v>
      </c>
      <c r="E38" s="4">
        <f>_xll.ciqfunctions.udf.CIQ(InputTicker, "IQ_GAIN_INVEST",Input!G$2,Date,,,Ccy,Conv)</f>
        <v>2.4E-2</v>
      </c>
      <c r="F38" s="4">
        <f>_xll.ciqfunctions.udf.CIQ(InputTicker, "IQ_GAIN_INVEST",Input!H$2,Date,,,Ccy,Conv)</f>
        <v>0.13900000000000001</v>
      </c>
      <c r="G38" s="4">
        <f>_xll.ciqfunctions.udf.CIQ(InputTicker, "IQ_GAIN_INVEST",Input!I$2,Date,,,Ccy,Conv)</f>
        <v>-1.351</v>
      </c>
      <c r="H38" s="4">
        <f>_xll.ciqfunctions.udf.CIQ(InputTicker, "IQ_GAIN_INVEST",Input!J$2,Date,,,Ccy,Conv)</f>
        <v>0.105</v>
      </c>
      <c r="I38" s="4">
        <f>_xll.ciqfunctions.udf.CIQ(InputTicker, "IQ_GAIN_INVEST",Input!K$2,Date,,,Ccy,Conv)</f>
        <v>-3.5999999999999997E-2</v>
      </c>
      <c r="J38" s="4">
        <f>_xll.ciqfunctions.udf.CIQ(InputTicker, "IQ_GAIN_INVEST",Input!L$2,Date,,,Ccy,Conv)</f>
        <v>0</v>
      </c>
      <c r="K38" s="4">
        <f>_xll.ciqfunctions.udf.CIQ(InputTicker, "IQ_GAIN_INVEST",Input!M$2,Date,,,Ccy,Conv)</f>
        <v>0</v>
      </c>
      <c r="L38" s="4">
        <f>_xll.ciqfunctions.udf.CIQ(InputTicker, "IQ_GAIN_INVEST",Input!N$2,Date,,,Ccy,Conv)</f>
        <v>0</v>
      </c>
      <c r="M38" s="4">
        <f>_xll.ciqfunctions.udf.CIQ(InputTicker, "IQ_GAIN_INVEST",Input!O$2,Date,,,Ccy,Conv)</f>
        <v>0</v>
      </c>
      <c r="N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</row>
    <row r="39" spans="1:66" ht="12.75" customHeight="1" x14ac:dyDescent="0.2">
      <c r="A39" s="1" t="s">
        <v>69</v>
      </c>
      <c r="B39" s="4">
        <f>_xll.ciqfunctions.udf.CIQ(InputTicker, "IQ_GAIN_ASSETS",Input!D$2,Date,,,Ccy,Conv)</f>
        <v>1.5629999999999999</v>
      </c>
      <c r="C39" s="4">
        <f>_xll.ciqfunctions.udf.CIQ(InputTicker, "IQ_GAIN_ASSETS",Input!E$2,Date,,,Ccy,Conv)</f>
        <v>-3.6640000000000001</v>
      </c>
      <c r="D39" s="4">
        <f>_xll.ciqfunctions.udf.CIQ(InputTicker, "IQ_GAIN_ASSETS",Input!F$2,Date,,,Ccy,Conv)</f>
        <v>-0.47299999999999998</v>
      </c>
      <c r="E39" s="4">
        <f>_xll.ciqfunctions.udf.CIQ(InputTicker, "IQ_GAIN_ASSETS",Input!G$2,Date,,,Ccy,Conv)</f>
        <v>-3.3000000000000002E-2</v>
      </c>
      <c r="F39" s="4">
        <f>_xll.ciqfunctions.udf.CIQ(InputTicker, "IQ_GAIN_ASSETS",Input!H$2,Date,,,Ccy,Conv)</f>
        <v>-8.2000000000000003E-2</v>
      </c>
      <c r="G39" s="4">
        <f>_xll.ciqfunctions.udf.CIQ(InputTicker, "IQ_GAIN_ASSETS",Input!I$2,Date,,,Ccy,Conv)</f>
        <v>-2.9820000000000002</v>
      </c>
      <c r="H39" s="4">
        <f>_xll.ciqfunctions.udf.CIQ(InputTicker, "IQ_GAIN_ASSETS",Input!J$2,Date,,,Ccy,Conv)</f>
        <v>-0.38300000000000001</v>
      </c>
      <c r="I39" s="4">
        <f>_xll.ciqfunctions.udf.CIQ(InputTicker, "IQ_GAIN_ASSETS",Input!K$2,Date,,,Ccy,Conv)</f>
        <v>0.13100000000000001</v>
      </c>
      <c r="J39" s="4">
        <f>_xll.ciqfunctions.udf.CIQ(InputTicker, "IQ_GAIN_ASSETS",Input!L$2,Date,,,Ccy,Conv)</f>
        <v>-2.5999999999999999E-2</v>
      </c>
      <c r="K39" s="4">
        <f>_xll.ciqfunctions.udf.CIQ(InputTicker, "IQ_GAIN_ASSETS",Input!M$2,Date,,,Ccy,Conv)</f>
        <v>0.25900000000000001</v>
      </c>
      <c r="L39" s="4">
        <f>_xll.ciqfunctions.udf.CIQ(InputTicker, "IQ_GAIN_ASSETS",Input!N$2,Date,,,Ccy,Conv)</f>
        <v>-1.391</v>
      </c>
      <c r="M39" s="4">
        <f>_xll.ciqfunctions.udf.CIQ(InputTicker, "IQ_GAIN_ASSETS",Input!O$2,Date,,,Ccy,Conv)</f>
        <v>-1.391</v>
      </c>
      <c r="N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</row>
    <row r="40" spans="1:66" ht="12.75" customHeight="1" x14ac:dyDescent="0.2">
      <c r="A40" s="1" t="s">
        <v>166</v>
      </c>
      <c r="B40" s="4">
        <f>_xll.ciqfunctions.udf.CIQ(InputTicker, "IQ_ASSET_WRITEDOWN",Input!D$2,Date,,,Ccy,Conv)</f>
        <v>0</v>
      </c>
      <c r="C40" s="4">
        <f>_xll.ciqfunctions.udf.CIQ(InputTicker, "IQ_ASSET_WRITEDOWN",Input!E$2,Date,,,Ccy,Conv)</f>
        <v>0</v>
      </c>
      <c r="D40" s="4">
        <f>_xll.ciqfunctions.udf.CIQ(InputTicker, "IQ_ASSET_WRITEDOWN",Input!F$2,Date,,,Ccy,Conv)</f>
        <v>0</v>
      </c>
      <c r="E40" s="4">
        <f>_xll.ciqfunctions.udf.CIQ(InputTicker, "IQ_ASSET_WRITEDOWN",Input!G$2,Date,,,Ccy,Conv)</f>
        <v>0</v>
      </c>
      <c r="F40" s="4">
        <f>_xll.ciqfunctions.udf.CIQ(InputTicker, "IQ_ASSET_WRITEDOWN",Input!H$2,Date,,,Ccy,Conv)</f>
        <v>0</v>
      </c>
      <c r="G40" s="4">
        <f>_xll.ciqfunctions.udf.CIQ(InputTicker, "IQ_ASSET_WRITEDOWN",Input!I$2,Date,,,Ccy,Conv)</f>
        <v>0</v>
      </c>
      <c r="H40" s="4">
        <f>_xll.ciqfunctions.udf.CIQ(InputTicker, "IQ_ASSET_WRITEDOWN",Input!J$2,Date,,,Ccy,Conv)</f>
        <v>0</v>
      </c>
      <c r="I40" s="4">
        <f>_xll.ciqfunctions.udf.CIQ(InputTicker, "IQ_ASSET_WRITEDOWN",Input!K$2,Date,,,Ccy,Conv)</f>
        <v>0</v>
      </c>
      <c r="J40" s="4">
        <f>_xll.ciqfunctions.udf.CIQ(InputTicker, "IQ_ASSET_WRITEDOWN",Input!L$2,Date,,,Ccy,Conv)</f>
        <v>0</v>
      </c>
      <c r="K40" s="4">
        <f>_xll.ciqfunctions.udf.CIQ(InputTicker, "IQ_ASSET_WRITEDOWN",Input!M$2,Date,,,Ccy,Conv)</f>
        <v>0</v>
      </c>
      <c r="L40" s="4">
        <f>_xll.ciqfunctions.udf.CIQ(InputTicker, "IQ_ASSET_WRITEDOWN",Input!N$2,Date,,,Ccy,Conv)</f>
        <v>0</v>
      </c>
      <c r="M40" s="4">
        <f>_xll.ciqfunctions.udf.CIQ(InputTicker, "IQ_ASSET_WRITEDOWN",Input!O$2,Date,,,Ccy,Conv)</f>
        <v>0</v>
      </c>
      <c r="N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</row>
    <row r="41" spans="1:66" ht="12.75" customHeight="1" x14ac:dyDescent="0.2">
      <c r="A41" s="1" t="s">
        <v>278</v>
      </c>
      <c r="B41" s="4">
        <f>_xll.ciqfunctions.udf.CIQ(InputTicker, "IQ_IPRD",Input!D$2,Date,,,Ccy,Conv)</f>
        <v>0</v>
      </c>
      <c r="C41" s="4">
        <f>_xll.ciqfunctions.udf.CIQ(InputTicker, "IQ_IPRD",Input!E$2,Date,,,Ccy,Conv)</f>
        <v>0</v>
      </c>
      <c r="D41" s="4">
        <f>_xll.ciqfunctions.udf.CIQ(InputTicker, "IQ_IPRD",Input!F$2,Date,,,Ccy,Conv)</f>
        <v>0</v>
      </c>
      <c r="E41" s="4">
        <f>_xll.ciqfunctions.udf.CIQ(InputTicker, "IQ_IPRD",Input!G$2,Date,,,Ccy,Conv)</f>
        <v>0</v>
      </c>
      <c r="F41" s="4">
        <f>_xll.ciqfunctions.udf.CIQ(InputTicker, "IQ_IPRD",Input!H$2,Date,,,Ccy,Conv)</f>
        <v>0</v>
      </c>
      <c r="G41" s="4">
        <f>_xll.ciqfunctions.udf.CIQ(InputTicker, "IQ_IPRD",Input!I$2,Date,,,Ccy,Conv)</f>
        <v>0</v>
      </c>
      <c r="H41" s="4">
        <f>_xll.ciqfunctions.udf.CIQ(InputTicker, "IQ_IPRD",Input!J$2,Date,,,Ccy,Conv)</f>
        <v>0</v>
      </c>
      <c r="I41" s="4">
        <f>_xll.ciqfunctions.udf.CIQ(InputTicker, "IQ_IPRD",Input!K$2,Date,,,Ccy,Conv)</f>
        <v>0</v>
      </c>
      <c r="J41" s="4">
        <f>_xll.ciqfunctions.udf.CIQ(InputTicker, "IQ_IPRD",Input!L$2,Date,,,Ccy,Conv)</f>
        <v>0</v>
      </c>
      <c r="K41" s="4">
        <f>_xll.ciqfunctions.udf.CIQ(InputTicker, "IQ_IPRD",Input!M$2,Date,,,Ccy,Conv)</f>
        <v>0</v>
      </c>
      <c r="L41" s="4">
        <f>_xll.ciqfunctions.udf.CIQ(InputTicker, "IQ_IPRD",Input!N$2,Date,,,Ccy,Conv)</f>
        <v>0</v>
      </c>
      <c r="M41" s="4">
        <f>_xll.ciqfunctions.udf.CIQ(InputTicker, "IQ_IPRD",Input!O$2,Date,,,Ccy,Conv)</f>
        <v>0</v>
      </c>
      <c r="N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</row>
    <row r="42" spans="1:66" ht="12.75" customHeight="1" x14ac:dyDescent="0.2">
      <c r="A42" s="1" t="s">
        <v>167</v>
      </c>
      <c r="B42" s="4">
        <f>_xll.ciqfunctions.udf.CIQ(InputTicker, "IQ_INS_SETTLE",Input!D$2,Date,,,Ccy,Conv)</f>
        <v>0</v>
      </c>
      <c r="C42" s="4">
        <f>_xll.ciqfunctions.udf.CIQ(InputTicker, "IQ_INS_SETTLE",Input!E$2,Date,,,Ccy,Conv)</f>
        <v>0</v>
      </c>
      <c r="D42" s="4">
        <f>_xll.ciqfunctions.udf.CIQ(InputTicker, "IQ_INS_SETTLE",Input!F$2,Date,,,Ccy,Conv)</f>
        <v>0</v>
      </c>
      <c r="E42" s="4">
        <f>_xll.ciqfunctions.udf.CIQ(InputTicker, "IQ_INS_SETTLE",Input!G$2,Date,,,Ccy,Conv)</f>
        <v>0</v>
      </c>
      <c r="F42" s="4">
        <f>_xll.ciqfunctions.udf.CIQ(InputTicker, "IQ_INS_SETTLE",Input!H$2,Date,,,Ccy,Conv)</f>
        <v>0</v>
      </c>
      <c r="G42" s="4">
        <f>_xll.ciqfunctions.udf.CIQ(InputTicker, "IQ_INS_SETTLE",Input!I$2,Date,,,Ccy,Conv)</f>
        <v>0</v>
      </c>
      <c r="H42" s="4">
        <f>_xll.ciqfunctions.udf.CIQ(InputTicker, "IQ_INS_SETTLE",Input!J$2,Date,,,Ccy,Conv)</f>
        <v>5.492</v>
      </c>
      <c r="I42" s="4">
        <f>_xll.ciqfunctions.udf.CIQ(InputTicker, "IQ_INS_SETTLE",Input!K$2,Date,,,Ccy,Conv)</f>
        <v>0</v>
      </c>
      <c r="J42" s="4">
        <f>_xll.ciqfunctions.udf.CIQ(InputTicker, "IQ_INS_SETTLE",Input!L$2,Date,,,Ccy,Conv)</f>
        <v>0</v>
      </c>
      <c r="K42" s="4">
        <f>_xll.ciqfunctions.udf.CIQ(InputTicker, "IQ_INS_SETTLE",Input!M$2,Date,,,Ccy,Conv)</f>
        <v>0</v>
      </c>
      <c r="L42" s="4">
        <f>_xll.ciqfunctions.udf.CIQ(InputTicker, "IQ_INS_SETTLE",Input!N$2,Date,,,Ccy,Conv)</f>
        <v>0</v>
      </c>
      <c r="M42" s="4">
        <f>_xll.ciqfunctions.udf.CIQ(InputTicker, "IQ_INS_SETTLE",Input!O$2,Date,,,Ccy,Conv)</f>
        <v>0</v>
      </c>
      <c r="N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</row>
    <row r="43" spans="1:66" ht="12.75" customHeight="1" x14ac:dyDescent="0.2">
      <c r="A43" s="1" t="s">
        <v>168</v>
      </c>
      <c r="B43" s="4">
        <f>_xll.ciqfunctions.udf.CIQ(InputTicker, "IQ_LEGAL_SETTLE",Input!D$2,Date,,,Ccy,Conv)</f>
        <v>0</v>
      </c>
      <c r="C43" s="4">
        <f>_xll.ciqfunctions.udf.CIQ(InputTicker, "IQ_LEGAL_SETTLE",Input!E$2,Date,,,Ccy,Conv)</f>
        <v>0</v>
      </c>
      <c r="D43" s="4">
        <f>_xll.ciqfunctions.udf.CIQ(InputTicker, "IQ_LEGAL_SETTLE",Input!F$2,Date,,,Ccy,Conv)</f>
        <v>-80.75</v>
      </c>
      <c r="E43" s="4">
        <f>_xll.ciqfunctions.udf.CIQ(InputTicker, "IQ_LEGAL_SETTLE",Input!G$2,Date,,,Ccy,Conv)</f>
        <v>0</v>
      </c>
      <c r="F43" s="4">
        <f>_xll.ciqfunctions.udf.CIQ(InputTicker, "IQ_LEGAL_SETTLE",Input!H$2,Date,,,Ccy,Conv)</f>
        <v>0</v>
      </c>
      <c r="G43" s="4">
        <f>_xll.ciqfunctions.udf.CIQ(InputTicker, "IQ_LEGAL_SETTLE",Input!I$2,Date,,,Ccy,Conv)</f>
        <v>0</v>
      </c>
      <c r="H43" s="4">
        <f>_xll.ciqfunctions.udf.CIQ(InputTicker, "IQ_LEGAL_SETTLE",Input!J$2,Date,,,Ccy,Conv)</f>
        <v>0</v>
      </c>
      <c r="I43" s="4">
        <f>_xll.ciqfunctions.udf.CIQ(InputTicker, "IQ_LEGAL_SETTLE",Input!K$2,Date,,,Ccy,Conv)</f>
        <v>0</v>
      </c>
      <c r="J43" s="4">
        <f>_xll.ciqfunctions.udf.CIQ(InputTicker, "IQ_LEGAL_SETTLE",Input!L$2,Date,,,Ccy,Conv)</f>
        <v>0</v>
      </c>
      <c r="K43" s="4">
        <f>_xll.ciqfunctions.udf.CIQ(InputTicker, "IQ_LEGAL_SETTLE",Input!M$2,Date,,,Ccy,Conv)</f>
        <v>0</v>
      </c>
      <c r="L43" s="4">
        <f>_xll.ciqfunctions.udf.CIQ(InputTicker, "IQ_LEGAL_SETTLE",Input!N$2,Date,,,Ccy,Conv)</f>
        <v>0</v>
      </c>
      <c r="M43" s="4">
        <f>_xll.ciqfunctions.udf.CIQ(InputTicker, "IQ_LEGAL_SETTLE",Input!O$2,Date,,,Ccy,Conv)</f>
        <v>0</v>
      </c>
      <c r="N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</row>
    <row r="44" spans="1:66" ht="12.75" customHeight="1" x14ac:dyDescent="0.2">
      <c r="A44" s="1" t="s">
        <v>129</v>
      </c>
      <c r="B44" s="8">
        <f>_xll.ciqfunctions.udf.CIQ(InputTicker, "IQ_OTHER_UNUSUAL_SUPPL",Input!D$2,Date,,,Ccy,Conv)</f>
        <v>0</v>
      </c>
      <c r="C44" s="8">
        <f>_xll.ciqfunctions.udf.CIQ(InputTicker, "IQ_OTHER_UNUSUAL_SUPPL",Input!E$2,Date,,,Ccy,Conv)</f>
        <v>0</v>
      </c>
      <c r="D44" s="8">
        <f>_xll.ciqfunctions.udf.CIQ(InputTicker, "IQ_OTHER_UNUSUAL_SUPPL",Input!F$2,Date,,,Ccy,Conv)</f>
        <v>0</v>
      </c>
      <c r="E44" s="8">
        <f>_xll.ciqfunctions.udf.CIQ(InputTicker, "IQ_OTHER_UNUSUAL_SUPPL",Input!G$2,Date,,,Ccy,Conv)</f>
        <v>0</v>
      </c>
      <c r="F44" s="8">
        <f>_xll.ciqfunctions.udf.CIQ(InputTicker, "IQ_OTHER_UNUSUAL_SUPPL",Input!H$2,Date,,,Ccy,Conv)</f>
        <v>0</v>
      </c>
      <c r="G44" s="8">
        <f>_xll.ciqfunctions.udf.CIQ(InputTicker, "IQ_OTHER_UNUSUAL_SUPPL",Input!I$2,Date,,,Ccy,Conv)</f>
        <v>0</v>
      </c>
      <c r="H44" s="8">
        <f>_xll.ciqfunctions.udf.CIQ(InputTicker, "IQ_OTHER_UNUSUAL_SUPPL",Input!J$2,Date,,,Ccy,Conv)</f>
        <v>0</v>
      </c>
      <c r="I44" s="8">
        <f>_xll.ciqfunctions.udf.CIQ(InputTicker, "IQ_OTHER_UNUSUAL_SUPPL",Input!K$2,Date,,,Ccy,Conv)</f>
        <v>0</v>
      </c>
      <c r="J44" s="8">
        <f>_xll.ciqfunctions.udf.CIQ(InputTicker, "IQ_OTHER_UNUSUAL_SUPPL",Input!L$2,Date,,,Ccy,Conv)</f>
        <v>-5.5</v>
      </c>
      <c r="K44" s="8">
        <f>_xll.ciqfunctions.udf.CIQ(InputTicker, "IQ_OTHER_UNUSUAL_SUPPL",Input!M$2,Date,,,Ccy,Conv)</f>
        <v>-15</v>
      </c>
      <c r="L44" s="8">
        <f>_xll.ciqfunctions.udf.CIQ(InputTicker, "IQ_OTHER_UNUSUAL_SUPPL",Input!N$2,Date,,,Ccy,Conv)</f>
        <v>0</v>
      </c>
      <c r="M44" s="8">
        <f>_xll.ciqfunctions.udf.CIQ(InputTicker, "IQ_OTHER_UNUSUAL_SUPPL",Input!O$2,Date,,,Ccy,Conv)</f>
        <v>0</v>
      </c>
      <c r="N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</row>
    <row r="45" spans="1:66" ht="12.75" customHeight="1" x14ac:dyDescent="0.2">
      <c r="A45" s="5" t="s">
        <v>70</v>
      </c>
      <c r="B45" s="6">
        <f>_xll.ciqfunctions.udf.CIQ(InputTicker, "IQ_EBT",Input!D$2,Date,,,Ccy,Conv)</f>
        <v>487.24900000000002</v>
      </c>
      <c r="C45" s="6">
        <f>_xll.ciqfunctions.udf.CIQ(InputTicker, "IQ_EBT",Input!E$2,Date,,,Ccy,Conv)</f>
        <v>-114.294</v>
      </c>
      <c r="D45" s="6">
        <f>_xll.ciqfunctions.udf.CIQ(InputTicker, "IQ_EBT",Input!F$2,Date,,,Ccy,Conv)</f>
        <v>117.337</v>
      </c>
      <c r="E45" s="6">
        <f>_xll.ciqfunctions.udf.CIQ(InputTicker, "IQ_EBT",Input!G$2,Date,,,Ccy,Conv)</f>
        <v>70.805000000000007</v>
      </c>
      <c r="F45" s="6">
        <f>_xll.ciqfunctions.udf.CIQ(InputTicker, "IQ_EBT",Input!H$2,Date,,,Ccy,Conv)</f>
        <v>20.059000000000001</v>
      </c>
      <c r="G45" s="6">
        <f>_xll.ciqfunctions.udf.CIQ(InputTicker, "IQ_EBT",Input!I$2,Date,,,Ccy,Conv)</f>
        <v>-9.9489999999999998</v>
      </c>
      <c r="H45" s="6">
        <f>_xll.ciqfunctions.udf.CIQ(InputTicker, "IQ_EBT",Input!J$2,Date,,,Ccy,Conv)</f>
        <v>166.01499999999999</v>
      </c>
      <c r="I45" s="6">
        <f>_xll.ciqfunctions.udf.CIQ(InputTicker, "IQ_EBT",Input!K$2,Date,,,Ccy,Conv)</f>
        <v>998.55</v>
      </c>
      <c r="J45" s="6">
        <f>_xll.ciqfunctions.udf.CIQ(InputTicker, "IQ_EBT",Input!L$2,Date,,,Ccy,Conv)</f>
        <v>359.971</v>
      </c>
      <c r="K45" s="6">
        <f>_xll.ciqfunctions.udf.CIQ(InputTicker, "IQ_EBT",Input!M$2,Date,,,Ccy,Conv)</f>
        <v>1603.1420000000001</v>
      </c>
      <c r="L45" s="6">
        <f>_xll.ciqfunctions.udf.CIQ(InputTicker, "IQ_EBT",Input!N$2,Date,,,Ccy,Conv)</f>
        <v>411.00400000000002</v>
      </c>
      <c r="M45" s="6">
        <f>_xll.ciqfunctions.udf.CIQ(InputTicker, "IQ_EBT",Input!O$2,Date,,,Ccy,Conv)</f>
        <v>411.00400000000002</v>
      </c>
      <c r="N45" s="46"/>
      <c r="P45" s="46"/>
      <c r="Q45" s="46"/>
      <c r="R45" s="46"/>
      <c r="T45" s="42"/>
      <c r="U45" s="42"/>
      <c r="V45" s="46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</row>
    <row r="46" spans="1:66" ht="12.75" customHeight="1" x14ac:dyDescent="0.2">
      <c r="A46" s="1" t="s">
        <v>71</v>
      </c>
      <c r="B46" s="4">
        <f>_xll.ciqfunctions.udf.CIQ(InputTicker, "IQ_INC_TAX",Input!D$2,Date,,,Ccy,Conv)</f>
        <v>169.202</v>
      </c>
      <c r="C46" s="4">
        <f>_xll.ciqfunctions.udf.CIQ(InputTicker, "IQ_INC_TAX",Input!E$2,Date,,,Ccy,Conv)</f>
        <v>-39.866999999999997</v>
      </c>
      <c r="D46" s="4">
        <f>_xll.ciqfunctions.udf.CIQ(InputTicker, "IQ_INC_TAX",Input!F$2,Date,,,Ccy,Conv)</f>
        <v>-8.859</v>
      </c>
      <c r="E46" s="4">
        <f>_xll.ciqfunctions.udf.CIQ(InputTicker, "IQ_INC_TAX",Input!G$2,Date,,,Ccy,Conv)</f>
        <v>15.743</v>
      </c>
      <c r="F46" s="4">
        <f>_xll.ciqfunctions.udf.CIQ(InputTicker, "IQ_INC_TAX",Input!H$2,Date,,,Ccy,Conv)</f>
        <v>1.7310000000000001</v>
      </c>
      <c r="G46" s="4">
        <f>_xll.ciqfunctions.udf.CIQ(InputTicker, "IQ_INC_TAX",Input!I$2,Date,,,Ccy,Conv)</f>
        <v>-12.009</v>
      </c>
      <c r="H46" s="4">
        <f>_xll.ciqfunctions.udf.CIQ(InputTicker, "IQ_INC_TAX",Input!J$2,Date,,,Ccy,Conv)</f>
        <v>33.573999999999998</v>
      </c>
      <c r="I46" s="4">
        <f>_xll.ciqfunctions.udf.CIQ(InputTicker, "IQ_INC_TAX",Input!K$2,Date,,,Ccy,Conv)</f>
        <v>241.81800000000001</v>
      </c>
      <c r="J46" s="4">
        <f>_xll.ciqfunctions.udf.CIQ(InputTicker, "IQ_INC_TAX",Input!L$2,Date,,,Ccy,Conv)</f>
        <v>83.688999999999993</v>
      </c>
      <c r="K46" s="4">
        <f>_xll.ciqfunctions.udf.CIQ(InputTicker, "IQ_INC_TAX",Input!M$2,Date,,,Ccy,Conv)</f>
        <v>384.91</v>
      </c>
      <c r="L46" s="4">
        <f>_xll.ciqfunctions.udf.CIQ(InputTicker, "IQ_INC_TAX",Input!N$2,Date,,,Ccy,Conv)</f>
        <v>92.891999999999996</v>
      </c>
      <c r="M46" s="4">
        <f>_xll.ciqfunctions.udf.CIQ(InputTicker, "IQ_INC_TAX",Input!O$2,Date,,,Ccy,Conv)</f>
        <v>92.891999999999996</v>
      </c>
      <c r="N46" s="46"/>
      <c r="P46" s="46"/>
      <c r="Q46" s="46"/>
      <c r="R46" s="46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</row>
    <row r="47" spans="1:66" ht="12.75" customHeight="1" x14ac:dyDescent="0.2">
      <c r="A47" s="5" t="s">
        <v>72</v>
      </c>
      <c r="B47" s="6">
        <f>_xll.ciqfunctions.udf.CIQ(InputTicker, "IQ_EARNING_CO",Input!D$2,Date,,,Ccy,Conv)</f>
        <v>318.04700000000003</v>
      </c>
      <c r="C47" s="6">
        <f>_xll.ciqfunctions.udf.CIQ(InputTicker, "IQ_EARNING_CO",Input!E$2,Date,,,Ccy,Conv)</f>
        <v>-74.427000000000007</v>
      </c>
      <c r="D47" s="6">
        <f>_xll.ciqfunctions.udf.CIQ(InputTicker, "IQ_EARNING_CO",Input!F$2,Date,,,Ccy,Conv)</f>
        <v>126.196</v>
      </c>
      <c r="E47" s="6">
        <f>_xll.ciqfunctions.udf.CIQ(InputTicker, "IQ_EARNING_CO",Input!G$2,Date,,,Ccy,Conv)</f>
        <v>55.061999999999998</v>
      </c>
      <c r="F47" s="6">
        <f>_xll.ciqfunctions.udf.CIQ(InputTicker, "IQ_EARNING_CO",Input!H$2,Date,,,Ccy,Conv)</f>
        <v>18.327999999999999</v>
      </c>
      <c r="G47" s="6">
        <f>_xll.ciqfunctions.udf.CIQ(InputTicker, "IQ_EARNING_CO",Input!I$2,Date,,,Ccy,Conv)</f>
        <v>2.06</v>
      </c>
      <c r="H47" s="6">
        <f>_xll.ciqfunctions.udf.CIQ(InputTicker, "IQ_EARNING_CO",Input!J$2,Date,,,Ccy,Conv)</f>
        <v>132.441</v>
      </c>
      <c r="I47" s="6">
        <f>_xll.ciqfunctions.udf.CIQ(InputTicker, "IQ_EARNING_CO",Input!K$2,Date,,,Ccy,Conv)</f>
        <v>756.73199999999997</v>
      </c>
      <c r="J47" s="6">
        <f>_xll.ciqfunctions.udf.CIQ(InputTicker, "IQ_EARNING_CO",Input!L$2,Date,,,Ccy,Conv)</f>
        <v>276.28199999999998</v>
      </c>
      <c r="K47" s="6">
        <f>_xll.ciqfunctions.udf.CIQ(InputTicker, "IQ_EARNING_CO",Input!M$2,Date,,,Ccy,Conv)</f>
        <v>1218.232</v>
      </c>
      <c r="L47" s="6">
        <f>_xll.ciqfunctions.udf.CIQ(InputTicker, "IQ_EARNING_CO",Input!N$2,Date,,,Ccy,Conv)</f>
        <v>318.11200000000002</v>
      </c>
      <c r="M47" s="6">
        <f>_xll.ciqfunctions.udf.CIQ(InputTicker, "IQ_EARNING_CO",Input!O$2,Date,,,Ccy,Conv)</f>
        <v>318.11200000000002</v>
      </c>
      <c r="N47" s="46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</row>
    <row r="48" spans="1:66" ht="12.75" customHeight="1" x14ac:dyDescent="0.2">
      <c r="A48" s="1" t="s">
        <v>73</v>
      </c>
      <c r="B48" s="4">
        <f>_xll.ciqfunctions.udf.CIQ(InputTicker, "IQ_DO",Input!D$2,Date,,,Ccy,Conv)</f>
        <v>0</v>
      </c>
      <c r="C48" s="4">
        <f>_xll.ciqfunctions.udf.CIQ(InputTicker, "IQ_DO",Input!E$2,Date,,,Ccy,Conv)</f>
        <v>0</v>
      </c>
      <c r="D48" s="4">
        <f>_xll.ciqfunctions.udf.CIQ(InputTicker, "IQ_DO",Input!F$2,Date,,,Ccy,Conv)</f>
        <v>0</v>
      </c>
      <c r="E48" s="4">
        <f>_xll.ciqfunctions.udf.CIQ(InputTicker, "IQ_DO",Input!G$2,Date,,,Ccy,Conv)</f>
        <v>0</v>
      </c>
      <c r="F48" s="4">
        <f>_xll.ciqfunctions.udf.CIQ(InputTicker, "IQ_DO",Input!H$2,Date,,,Ccy,Conv)</f>
        <v>0</v>
      </c>
      <c r="G48" s="4">
        <f>_xll.ciqfunctions.udf.CIQ(InputTicker, "IQ_DO",Input!I$2,Date,,,Ccy,Conv)</f>
        <v>0</v>
      </c>
      <c r="H48" s="4">
        <f>_xll.ciqfunctions.udf.CIQ(InputTicker, "IQ_DO",Input!J$2,Date,,,Ccy,Conv)</f>
        <v>0</v>
      </c>
      <c r="I48" s="4">
        <f>_xll.ciqfunctions.udf.CIQ(InputTicker, "IQ_DO",Input!K$2,Date,,,Ccy,Conv)</f>
        <v>0</v>
      </c>
      <c r="J48" s="4">
        <f>_xll.ciqfunctions.udf.CIQ(InputTicker, "IQ_DO",Input!L$2,Date,,,Ccy,Conv)</f>
        <v>0</v>
      </c>
      <c r="K48" s="4">
        <f>_xll.ciqfunctions.udf.CIQ(InputTicker, "IQ_DO",Input!M$2,Date,,,Ccy,Conv)</f>
        <v>0</v>
      </c>
      <c r="L48" s="4">
        <f>_xll.ciqfunctions.udf.CIQ(InputTicker, "IQ_DO",Input!N$2,Date,,,Ccy,Conv)</f>
        <v>0</v>
      </c>
      <c r="M48" s="4">
        <f>_xll.ciqfunctions.udf.CIQ(InputTicker, "IQ_DO",Input!O$2,Date,,,Ccy,Conv)</f>
        <v>0</v>
      </c>
      <c r="N48" s="46"/>
      <c r="P48" s="46"/>
      <c r="Q48" s="46"/>
      <c r="R48" s="46"/>
      <c r="T48" s="42"/>
      <c r="U48" s="42"/>
      <c r="V48" s="46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</row>
    <row r="49" spans="1:66" ht="12.75" customHeight="1" x14ac:dyDescent="0.2">
      <c r="A49" s="1" t="s">
        <v>74</v>
      </c>
      <c r="B49" s="4">
        <f>_xll.ciqfunctions.udf.CIQ(InputTicker, "IQ_EXTRA_ACC_ITEMS",Input!D$2,Date,,,Ccy,Conv)</f>
        <v>0</v>
      </c>
      <c r="C49" s="4">
        <f>_xll.ciqfunctions.udf.CIQ(InputTicker, "IQ_EXTRA_ACC_ITEMS",Input!E$2,Date,,,Ccy,Conv)</f>
        <v>0</v>
      </c>
      <c r="D49" s="4">
        <f>_xll.ciqfunctions.udf.CIQ(InputTicker, "IQ_EXTRA_ACC_ITEMS",Input!F$2,Date,,,Ccy,Conv)</f>
        <v>0</v>
      </c>
      <c r="E49" s="4">
        <f>_xll.ciqfunctions.udf.CIQ(InputTicker, "IQ_EXTRA_ACC_ITEMS",Input!G$2,Date,,,Ccy,Conv)</f>
        <v>0</v>
      </c>
      <c r="F49" s="4">
        <f>_xll.ciqfunctions.udf.CIQ(InputTicker, "IQ_EXTRA_ACC_ITEMS",Input!H$2,Date,,,Ccy,Conv)</f>
        <v>0</v>
      </c>
      <c r="G49" s="4">
        <f>_xll.ciqfunctions.udf.CIQ(InputTicker, "IQ_EXTRA_ACC_ITEMS",Input!I$2,Date,,,Ccy,Conv)</f>
        <v>0</v>
      </c>
      <c r="H49" s="4">
        <f>_xll.ciqfunctions.udf.CIQ(InputTicker, "IQ_EXTRA_ACC_ITEMS",Input!J$2,Date,,,Ccy,Conv)</f>
        <v>0</v>
      </c>
      <c r="I49" s="4">
        <f>_xll.ciqfunctions.udf.CIQ(InputTicker, "IQ_EXTRA_ACC_ITEMS",Input!K$2,Date,,,Ccy,Conv)</f>
        <v>0</v>
      </c>
      <c r="J49" s="4">
        <f>_xll.ciqfunctions.udf.CIQ(InputTicker, "IQ_EXTRA_ACC_ITEMS",Input!L$2,Date,,,Ccy,Conv)</f>
        <v>0</v>
      </c>
      <c r="K49" s="4">
        <f>_xll.ciqfunctions.udf.CIQ(InputTicker, "IQ_EXTRA_ACC_ITEMS",Input!M$2,Date,,,Ccy,Conv)</f>
        <v>0</v>
      </c>
      <c r="L49" s="4">
        <f>_xll.ciqfunctions.udf.CIQ(InputTicker, "IQ_EXTRA_ACC_ITEMS",Input!N$2,Date,,,Ccy,Conv)</f>
        <v>0</v>
      </c>
      <c r="M49" s="4">
        <f>_xll.ciqfunctions.udf.CIQ(InputTicker, "IQ_EXTRA_ACC_ITEMS",Input!O$2,Date,,,Ccy,Conv)</f>
        <v>0</v>
      </c>
      <c r="N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</row>
    <row r="50" spans="1:66" ht="12.75" customHeight="1" x14ac:dyDescent="0.2">
      <c r="A50" s="5" t="s">
        <v>21</v>
      </c>
      <c r="B50" s="10">
        <f>_xll.ciqfunctions.udf.CIQ(InputTicker, "IQ_NI_COMPANY",Input!D$2,Date,,,Ccy,Conv)</f>
        <v>318.04700000000003</v>
      </c>
      <c r="C50" s="10">
        <f>_xll.ciqfunctions.udf.CIQ(InputTicker, "IQ_NI_COMPANY",Input!E$2,Date,,,Ccy,Conv)</f>
        <v>-74.427000000000007</v>
      </c>
      <c r="D50" s="10">
        <f>_xll.ciqfunctions.udf.CIQ(InputTicker, "IQ_NI_COMPANY",Input!F$2,Date,,,Ccy,Conv)</f>
        <v>126.196</v>
      </c>
      <c r="E50" s="10">
        <f>_xll.ciqfunctions.udf.CIQ(InputTicker, "IQ_NI_COMPANY",Input!G$2,Date,,,Ccy,Conv)</f>
        <v>55.061999999999998</v>
      </c>
      <c r="F50" s="10">
        <f>_xll.ciqfunctions.udf.CIQ(InputTicker, "IQ_NI_COMPANY",Input!H$2,Date,,,Ccy,Conv)</f>
        <v>18.327999999999999</v>
      </c>
      <c r="G50" s="10">
        <f>_xll.ciqfunctions.udf.CIQ(InputTicker, "IQ_NI_COMPANY",Input!I$2,Date,,,Ccy,Conv)</f>
        <v>2.06</v>
      </c>
      <c r="H50" s="10">
        <f>_xll.ciqfunctions.udf.CIQ(InputTicker, "IQ_NI_COMPANY",Input!J$2,Date,,,Ccy,Conv)</f>
        <v>132.441</v>
      </c>
      <c r="I50" s="10">
        <f>_xll.ciqfunctions.udf.CIQ(InputTicker, "IQ_NI_COMPANY",Input!K$2,Date,,,Ccy,Conv)</f>
        <v>756.73199999999997</v>
      </c>
      <c r="J50" s="10">
        <f>_xll.ciqfunctions.udf.CIQ(InputTicker, "IQ_NI_COMPANY",Input!L$2,Date,,,Ccy,Conv)</f>
        <v>276.28199999999998</v>
      </c>
      <c r="K50" s="10">
        <f>_xll.ciqfunctions.udf.CIQ(InputTicker, "IQ_NI_COMPANY",Input!M$2,Date,,,Ccy,Conv)</f>
        <v>1218.232</v>
      </c>
      <c r="L50" s="10">
        <f>_xll.ciqfunctions.udf.CIQ(InputTicker, "IQ_NI_COMPANY",Input!N$2,Date,,,Ccy,Conv)</f>
        <v>318.11200000000002</v>
      </c>
      <c r="M50" s="10">
        <f>_xll.ciqfunctions.udf.CIQ(InputTicker, "IQ_NI_COMPANY",Input!O$2,Date,,,Ccy,Conv)</f>
        <v>318.11200000000002</v>
      </c>
      <c r="N50" s="46"/>
      <c r="P50" s="46"/>
      <c r="Q50" s="46"/>
      <c r="R50" s="46"/>
      <c r="T50" s="42"/>
      <c r="U50" s="42"/>
      <c r="V50" s="46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</row>
    <row r="51" spans="1:66" ht="12.75" customHeight="1" x14ac:dyDescent="0.2">
      <c r="A51" s="1" t="s">
        <v>169</v>
      </c>
      <c r="B51" s="4">
        <f>_xll.ciqfunctions.udf.CIQ(InputTicker, "IQ_MINORITY_INTEREST_IS",Input!D$2,Date,,,Ccy,Conv)</f>
        <v>-2.0059999999999998</v>
      </c>
      <c r="C51" s="4">
        <f>_xll.ciqfunctions.udf.CIQ(InputTicker, "IQ_MINORITY_INTEREST_IS",Input!E$2,Date,,,Ccy,Conv)</f>
        <v>0.14899999999999999</v>
      </c>
      <c r="D51" s="4">
        <f>_xll.ciqfunctions.udf.CIQ(InputTicker, "IQ_MINORITY_INTEREST_IS",Input!F$2,Date,,,Ccy,Conv)</f>
        <v>-0.26400000000000001</v>
      </c>
      <c r="E51" s="4">
        <f>_xll.ciqfunctions.udf.CIQ(InputTicker, "IQ_MINORITY_INTEREST_IS",Input!G$2,Date,,,Ccy,Conv)</f>
        <v>-0.83299999999999996</v>
      </c>
      <c r="F51" s="4">
        <f>_xll.ciqfunctions.udf.CIQ(InputTicker, "IQ_MINORITY_INTEREST_IS",Input!H$2,Date,,,Ccy,Conv)</f>
        <v>6.3E-2</v>
      </c>
      <c r="G51" s="4">
        <f>_xll.ciqfunctions.udf.CIQ(InputTicker, "IQ_MINORITY_INTEREST_IS",Input!I$2,Date,,,Ccy,Conv)</f>
        <v>0</v>
      </c>
      <c r="H51" s="4">
        <f>_xll.ciqfunctions.udf.CIQ(InputTicker, "IQ_MINORITY_INTEREST_IS",Input!J$2,Date,,,Ccy,Conv)</f>
        <v>0.20899999999999999</v>
      </c>
      <c r="I51" s="4">
        <f>_xll.ciqfunctions.udf.CIQ(InputTicker, "IQ_MINORITY_INTEREST_IS",Input!K$2,Date,,,Ccy,Conv)</f>
        <v>1.292</v>
      </c>
      <c r="J51" s="4">
        <f>_xll.ciqfunctions.udf.CIQ(InputTicker, "IQ_MINORITY_INTEREST_IS",Input!L$2,Date,,,Ccy,Conv)</f>
        <v>1.6060000000000001</v>
      </c>
      <c r="K51" s="4">
        <f>_xll.ciqfunctions.udf.CIQ(InputTicker, "IQ_MINORITY_INTEREST_IS",Input!M$2,Date,,,Ccy,Conv)</f>
        <v>1.8160000000000001</v>
      </c>
      <c r="L51" s="4">
        <f>_xll.ciqfunctions.udf.CIQ(InputTicker, "IQ_MINORITY_INTEREST_IS",Input!N$2,Date,,,Ccy,Conv)</f>
        <v>-1.43</v>
      </c>
      <c r="M51" s="4">
        <f>_xll.ciqfunctions.udf.CIQ(InputTicker, "IQ_MINORITY_INTEREST_IS",Input!O$2,Date,,,Ccy,Conv)</f>
        <v>-1.43</v>
      </c>
      <c r="N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</row>
    <row r="52" spans="1:66" ht="12.75" customHeight="1" thickBot="1" x14ac:dyDescent="0.25">
      <c r="A52" s="5" t="s">
        <v>22</v>
      </c>
      <c r="B52" s="9">
        <f>_xll.ciqfunctions.udf.CIQ(InputTicker, "IQ_NI",Input!D$2,Date,,,Ccy,Conv)</f>
        <v>316.041</v>
      </c>
      <c r="C52" s="9">
        <f>_xll.ciqfunctions.udf.CIQ(InputTicker, "IQ_NI",Input!E$2,Date,,,Ccy,Conv)</f>
        <v>-74.278000000000006</v>
      </c>
      <c r="D52" s="9">
        <f>_xll.ciqfunctions.udf.CIQ(InputTicker, "IQ_NI",Input!F$2,Date,,,Ccy,Conv)</f>
        <v>125.932</v>
      </c>
      <c r="E52" s="9">
        <f>_xll.ciqfunctions.udf.CIQ(InputTicker, "IQ_NI",Input!G$2,Date,,,Ccy,Conv)</f>
        <v>54.228999999999999</v>
      </c>
      <c r="F52" s="9">
        <f>_xll.ciqfunctions.udf.CIQ(InputTicker, "IQ_NI",Input!H$2,Date,,,Ccy,Conv)</f>
        <v>18.390999999999998</v>
      </c>
      <c r="G52" s="9">
        <f>_xll.ciqfunctions.udf.CIQ(InputTicker, "IQ_NI",Input!I$2,Date,,,Ccy,Conv)</f>
        <v>2.06</v>
      </c>
      <c r="H52" s="9">
        <f>_xll.ciqfunctions.udf.CIQ(InputTicker, "IQ_NI",Input!J$2,Date,,,Ccy,Conv)</f>
        <v>132.65</v>
      </c>
      <c r="I52" s="9">
        <f>_xll.ciqfunctions.udf.CIQ(InputTicker, "IQ_NI",Input!K$2,Date,,,Ccy,Conv)</f>
        <v>758.024</v>
      </c>
      <c r="J52" s="9">
        <f>_xll.ciqfunctions.udf.CIQ(InputTicker, "IQ_NI",Input!L$2,Date,,,Ccy,Conv)</f>
        <v>277.88799999999998</v>
      </c>
      <c r="K52" s="9">
        <f>_xll.ciqfunctions.udf.CIQ(InputTicker, "IQ_NI",Input!M$2,Date,,,Ccy,Conv)</f>
        <v>1220.048</v>
      </c>
      <c r="L52" s="9">
        <f>_xll.ciqfunctions.udf.CIQ(InputTicker, "IQ_NI",Input!N$2,Date,,,Ccy,Conv)</f>
        <v>316.68200000000002</v>
      </c>
      <c r="M52" s="9">
        <f>_xll.ciqfunctions.udf.CIQ(InputTicker, "IQ_NI",Input!O$2,Date,,,Ccy,Conv)</f>
        <v>316.68200000000002</v>
      </c>
      <c r="N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</row>
    <row r="53" spans="1:66" ht="12.75" customHeight="1" thickTop="1" x14ac:dyDescent="0.2">
      <c r="A53" s="1" t="s">
        <v>75</v>
      </c>
      <c r="B53" s="4">
        <f>_xll.ciqfunctions.udf.CIQ(InputTicker, "IQ_PREF_DIV_OTHER",Input!D$2,Date,,,Ccy,Conv)</f>
        <v>0</v>
      </c>
      <c r="C53" s="4">
        <f>_xll.ciqfunctions.udf.CIQ(InputTicker, "IQ_PREF_DIV_OTHER",Input!E$2,Date,,,Ccy,Conv)</f>
        <v>0</v>
      </c>
      <c r="D53" s="4">
        <f>_xll.ciqfunctions.udf.CIQ(InputTicker, "IQ_PREF_DIV_OTHER",Input!F$2,Date,,,Ccy,Conv)</f>
        <v>0</v>
      </c>
      <c r="E53" s="4">
        <f>_xll.ciqfunctions.udf.CIQ(InputTicker, "IQ_PREF_DIV_OTHER",Input!G$2,Date,,,Ccy,Conv)</f>
        <v>0</v>
      </c>
      <c r="F53" s="4">
        <f>_xll.ciqfunctions.udf.CIQ(InputTicker, "IQ_PREF_DIV_OTHER",Input!H$2,Date,,,Ccy,Conv)</f>
        <v>0</v>
      </c>
      <c r="G53" s="4">
        <f>_xll.ciqfunctions.udf.CIQ(InputTicker, "IQ_PREF_DIV_OTHER",Input!I$2,Date,,,Ccy,Conv)</f>
        <v>0</v>
      </c>
      <c r="H53" s="4">
        <f>_xll.ciqfunctions.udf.CIQ(InputTicker, "IQ_PREF_DIV_OTHER",Input!J$2,Date,,,Ccy,Conv)</f>
        <v>0</v>
      </c>
      <c r="I53" s="4">
        <f>_xll.ciqfunctions.udf.CIQ(InputTicker, "IQ_PREF_DIV_OTHER",Input!K$2,Date,,,Ccy,Conv)</f>
        <v>0</v>
      </c>
      <c r="J53" s="4">
        <f>_xll.ciqfunctions.udf.CIQ(InputTicker, "IQ_PREF_DIV_OTHER",Input!L$2,Date,,,Ccy,Conv)</f>
        <v>0</v>
      </c>
      <c r="K53" s="4">
        <f>_xll.ciqfunctions.udf.CIQ(InputTicker, "IQ_PREF_DIV_OTHER",Input!M$2,Date,,,Ccy,Conv)</f>
        <v>0</v>
      </c>
      <c r="L53" s="4">
        <f>_xll.ciqfunctions.udf.CIQ(InputTicker, "IQ_PREF_DIV_OTHER",Input!N$2,Date,,,Ccy,Conv)</f>
        <v>0</v>
      </c>
      <c r="M53" s="4">
        <f>_xll.ciqfunctions.udf.CIQ(InputTicker, "IQ_PREF_DIV_OTHER",Input!O$2,Date,,,Ccy,Conv)</f>
        <v>0</v>
      </c>
      <c r="N53" s="46"/>
      <c r="P53" s="46"/>
      <c r="Q53" s="46"/>
      <c r="R53" s="46"/>
      <c r="T53" s="42"/>
      <c r="U53" s="42"/>
      <c r="V53" s="46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</row>
    <row r="54" spans="1:66" ht="12.75" customHeight="1" x14ac:dyDescent="0.2">
      <c r="A54" s="5" t="s">
        <v>76</v>
      </c>
      <c r="B54" s="7">
        <f>_xll.ciqfunctions.udf.CIQ(InputTicker, "IQ_NI_AVAIL_INCL",Input!D$2,Date,,,Ccy,Conv)</f>
        <v>316.041</v>
      </c>
      <c r="C54" s="7">
        <f>_xll.ciqfunctions.udf.CIQ(InputTicker, "IQ_NI_AVAIL_INCL",Input!E$2,Date,,,Ccy,Conv)</f>
        <v>-74.278000000000006</v>
      </c>
      <c r="D54" s="7">
        <f>_xll.ciqfunctions.udf.CIQ(InputTicker, "IQ_NI_AVAIL_INCL",Input!F$2,Date,,,Ccy,Conv)</f>
        <v>125.932</v>
      </c>
      <c r="E54" s="7">
        <f>_xll.ciqfunctions.udf.CIQ(InputTicker, "IQ_NI_AVAIL_INCL",Input!G$2,Date,,,Ccy,Conv)</f>
        <v>54.228999999999999</v>
      </c>
      <c r="F54" s="7">
        <f>_xll.ciqfunctions.udf.CIQ(InputTicker, "IQ_NI_AVAIL_INCL",Input!H$2,Date,,,Ccy,Conv)</f>
        <v>18.390999999999998</v>
      </c>
      <c r="G54" s="7">
        <f>_xll.ciqfunctions.udf.CIQ(InputTicker, "IQ_NI_AVAIL_INCL",Input!I$2,Date,,,Ccy,Conv)</f>
        <v>2.06</v>
      </c>
      <c r="H54" s="7">
        <f>_xll.ciqfunctions.udf.CIQ(InputTicker, "IQ_NI_AVAIL_INCL",Input!J$2,Date,,,Ccy,Conv)</f>
        <v>132.65</v>
      </c>
      <c r="I54" s="7">
        <f>_xll.ciqfunctions.udf.CIQ(InputTicker, "IQ_NI_AVAIL_INCL",Input!K$2,Date,,,Ccy,Conv)</f>
        <v>758.024</v>
      </c>
      <c r="J54" s="7">
        <f>_xll.ciqfunctions.udf.CIQ(InputTicker, "IQ_NI_AVAIL_INCL",Input!L$2,Date,,,Ccy,Conv)</f>
        <v>277.88799999999998</v>
      </c>
      <c r="K54" s="7">
        <f>_xll.ciqfunctions.udf.CIQ(InputTicker, "IQ_NI_AVAIL_INCL",Input!M$2,Date,,,Ccy,Conv)</f>
        <v>1220.048</v>
      </c>
      <c r="L54" s="7">
        <f>_xll.ciqfunctions.udf.CIQ(InputTicker, "IQ_NI_AVAIL_INCL",Input!N$2,Date,,,Ccy,Conv)</f>
        <v>316.68200000000002</v>
      </c>
      <c r="M54" s="7">
        <f>_xll.ciqfunctions.udf.CIQ(InputTicker, "IQ_NI_AVAIL_INCL",Input!O$2,Date,,,Ccy,Conv)</f>
        <v>316.68200000000002</v>
      </c>
      <c r="N54" s="46"/>
      <c r="P54" s="46"/>
      <c r="Q54" s="46"/>
      <c r="R54" s="46"/>
      <c r="T54" s="42"/>
      <c r="U54" s="42"/>
      <c r="V54" s="46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</row>
    <row r="55" spans="1:66" ht="12.75" customHeight="1" x14ac:dyDescent="0.2">
      <c r="A55" s="5" t="s">
        <v>77</v>
      </c>
      <c r="B55" s="7">
        <f>_xll.ciqfunctions.udf.CIQ(InputTicker, "IQ_NI_AVAIL_EXCL",Input!D$2,Date,,,Ccy,Conv)</f>
        <v>316.041</v>
      </c>
      <c r="C55" s="7">
        <f>_xll.ciqfunctions.udf.CIQ(InputTicker, "IQ_NI_AVAIL_EXCL",Input!E$2,Date,,,Ccy,Conv)</f>
        <v>-74.278000000000006</v>
      </c>
      <c r="D55" s="7">
        <f>_xll.ciqfunctions.udf.CIQ(InputTicker, "IQ_NI_AVAIL_EXCL",Input!F$2,Date,,,Ccy,Conv)</f>
        <v>125.932</v>
      </c>
      <c r="E55" s="7">
        <f>_xll.ciqfunctions.udf.CIQ(InputTicker, "IQ_NI_AVAIL_EXCL",Input!G$2,Date,,,Ccy,Conv)</f>
        <v>54.228999999999999</v>
      </c>
      <c r="F55" s="7">
        <f>_xll.ciqfunctions.udf.CIQ(InputTicker, "IQ_NI_AVAIL_EXCL",Input!H$2,Date,,,Ccy,Conv)</f>
        <v>18.390999999999998</v>
      </c>
      <c r="G55" s="7">
        <f>_xll.ciqfunctions.udf.CIQ(InputTicker, "IQ_NI_AVAIL_EXCL",Input!I$2,Date,,,Ccy,Conv)</f>
        <v>2.06</v>
      </c>
      <c r="H55" s="7">
        <f>_xll.ciqfunctions.udf.CIQ(InputTicker, "IQ_NI_AVAIL_EXCL",Input!J$2,Date,,,Ccy,Conv)</f>
        <v>132.65</v>
      </c>
      <c r="I55" s="7">
        <f>_xll.ciqfunctions.udf.CIQ(InputTicker, "IQ_NI_AVAIL_EXCL",Input!K$2,Date,,,Ccy,Conv)</f>
        <v>758.024</v>
      </c>
      <c r="J55" s="7">
        <f>_xll.ciqfunctions.udf.CIQ(InputTicker, "IQ_NI_AVAIL_EXCL",Input!L$2,Date,,,Ccy,Conv)</f>
        <v>277.88799999999998</v>
      </c>
      <c r="K55" s="7">
        <f>_xll.ciqfunctions.udf.CIQ(InputTicker, "IQ_NI_AVAIL_EXCL",Input!M$2,Date,,,Ccy,Conv)</f>
        <v>1220.048</v>
      </c>
      <c r="L55" s="7">
        <f>_xll.ciqfunctions.udf.CIQ(InputTicker, "IQ_NI_AVAIL_EXCL",Input!N$2,Date,,,Ccy,Conv)</f>
        <v>316.68200000000002</v>
      </c>
      <c r="M55" s="7">
        <f>_xll.ciqfunctions.udf.CIQ(InputTicker, "IQ_NI_AVAIL_EXCL",Input!O$2,Date,,,Ccy,Conv)</f>
        <v>316.68200000000002</v>
      </c>
      <c r="N55" s="46"/>
      <c r="P55" s="46"/>
      <c r="Q55" s="46"/>
      <c r="R55" s="46"/>
      <c r="T55" s="42"/>
      <c r="U55" s="42"/>
      <c r="V55" s="46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</row>
    <row r="56" spans="1:66" ht="12.75" customHeight="1" x14ac:dyDescent="0.2">
      <c r="A56" s="1" t="s">
        <v>78</v>
      </c>
      <c r="B56" s="11">
        <f>_xll.ciqfunctions.udf.CIQ(InputTicker, "IQ_BASIC_EPS_INCL",Input!D$2,Date,,,Ccy,Conv)</f>
        <v>6.55755</v>
      </c>
      <c r="C56" s="11">
        <f>_xll.ciqfunctions.udf.CIQ(InputTicker, "IQ_BASIC_EPS_INCL",Input!E$2,Date,,,Ccy,Conv)</f>
        <v>-1.5358799999999999</v>
      </c>
      <c r="D56" s="11">
        <f>_xll.ciqfunctions.udf.CIQ(InputTicker, "IQ_BASIC_EPS_INCL",Input!F$2,Date,,,Ccy,Conv)</f>
        <v>2.6044299999999998</v>
      </c>
      <c r="E56" s="11">
        <f>_xll.ciqfunctions.udf.CIQ(InputTicker, "IQ_BASIC_EPS_INCL",Input!G$2,Date,,,Ccy,Conv)</f>
        <v>1.1188899999999999</v>
      </c>
      <c r="F56" s="11">
        <f>_xll.ciqfunctions.udf.CIQ(InputTicker, "IQ_BASIC_EPS_INCL",Input!H$2,Date,,,Ccy,Conv)</f>
        <v>0.37945000000000001</v>
      </c>
      <c r="G56" s="11">
        <f>_xll.ciqfunctions.udf.CIQ(InputTicker, "IQ_BASIC_EPS_INCL",Input!I$2,Date,,,Ccy,Conv)</f>
        <v>4.2450000000000002E-2</v>
      </c>
      <c r="H56" s="11">
        <f>_xll.ciqfunctions.udf.CIQ(InputTicker, "IQ_BASIC_EPS_INCL",Input!J$2,Date,,,Ccy,Conv)</f>
        <v>2.7304900000000001</v>
      </c>
      <c r="I56" s="11">
        <f>_xll.ciqfunctions.udf.CIQ(InputTicker, "IQ_BASIC_EPS_INCL",Input!K$2,Date,,,Ccy,Conv)</f>
        <v>15.581810000000001</v>
      </c>
      <c r="J56" s="11">
        <f>_xll.ciqfunctions.udf.CIQ(InputTicker, "IQ_BASIC_EPS_INCL",Input!L$2,Date,,,Ccy,Conv)</f>
        <v>5.7041300000000001</v>
      </c>
      <c r="K56" s="11">
        <f>_xll.ciqfunctions.udf.CIQ(InputTicker, "IQ_BASIC_EPS_INCL",Input!M$2,Date,,,Ccy,Conv)</f>
        <v>25.042549999999999</v>
      </c>
      <c r="L56" s="11">
        <f>_xll.ciqfunctions.udf.CIQ(InputTicker, "IQ_BASIC_EPS_INCL",Input!N$2,Date,,,Ccy,Conv)</f>
        <v>6.6459999999999999</v>
      </c>
      <c r="M56" s="11">
        <f>_xll.ciqfunctions.udf.CIQ(InputTicker, "IQ_BASIC_EPS_INCL",Input!O$2,Date,,,Ccy,Conv)</f>
        <v>6.6459999999999999</v>
      </c>
      <c r="N56" s="47"/>
      <c r="P56" s="48"/>
      <c r="Q56" s="48"/>
      <c r="R56" s="48"/>
      <c r="T56" s="42"/>
      <c r="U56" s="42"/>
      <c r="V56" s="48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</row>
    <row r="57" spans="1:66" ht="12.75" customHeight="1" x14ac:dyDescent="0.2">
      <c r="A57" s="1" t="s">
        <v>79</v>
      </c>
      <c r="B57" s="11">
        <f>_xll.ciqfunctions.udf.CIQ(InputTicker, "IQ_BASIC_EPS_EXCL",Input!D$2,Date,,,Ccy,Conv)</f>
        <v>6.55755</v>
      </c>
      <c r="C57" s="11">
        <f>_xll.ciqfunctions.udf.CIQ(InputTicker, "IQ_BASIC_EPS_EXCL",Input!E$2,Date,,,Ccy,Conv)</f>
        <v>-1.5358799999999999</v>
      </c>
      <c r="D57" s="11">
        <f>_xll.ciqfunctions.udf.CIQ(InputTicker, "IQ_BASIC_EPS_EXCL",Input!F$2,Date,,,Ccy,Conv)</f>
        <v>2.6044299999999998</v>
      </c>
      <c r="E57" s="11">
        <f>_xll.ciqfunctions.udf.CIQ(InputTicker, "IQ_BASIC_EPS_EXCL",Input!G$2,Date,,,Ccy,Conv)</f>
        <v>1.1188899999999999</v>
      </c>
      <c r="F57" s="11">
        <f>_xll.ciqfunctions.udf.CIQ(InputTicker, "IQ_BASIC_EPS_EXCL",Input!H$2,Date,,,Ccy,Conv)</f>
        <v>0.37945000000000001</v>
      </c>
      <c r="G57" s="11">
        <f>_xll.ciqfunctions.udf.CIQ(InputTicker, "IQ_BASIC_EPS_EXCL",Input!I$2,Date,,,Ccy,Conv)</f>
        <v>4.2450000000000002E-2</v>
      </c>
      <c r="H57" s="11">
        <f>_xll.ciqfunctions.udf.CIQ(InputTicker, "IQ_BASIC_EPS_EXCL",Input!J$2,Date,,,Ccy,Conv)</f>
        <v>2.7304900000000001</v>
      </c>
      <c r="I57" s="11">
        <f>_xll.ciqfunctions.udf.CIQ(InputTicker, "IQ_BASIC_EPS_EXCL",Input!K$2,Date,,,Ccy,Conv)</f>
        <v>15.581810000000001</v>
      </c>
      <c r="J57" s="11">
        <f>_xll.ciqfunctions.udf.CIQ(InputTicker, "IQ_BASIC_EPS_EXCL",Input!L$2,Date,,,Ccy,Conv)</f>
        <v>5.7041300000000001</v>
      </c>
      <c r="K57" s="11">
        <f>_xll.ciqfunctions.udf.CIQ(InputTicker, "IQ_BASIC_EPS_EXCL",Input!M$2,Date,,,Ccy,Conv)</f>
        <v>25.042549999999999</v>
      </c>
      <c r="L57" s="11">
        <f>_xll.ciqfunctions.udf.CIQ(InputTicker, "IQ_BASIC_EPS_EXCL",Input!N$2,Date,,,Ccy,Conv)</f>
        <v>6.6459999999999999</v>
      </c>
      <c r="M57" s="11">
        <f>_xll.ciqfunctions.udf.CIQ(InputTicker, "IQ_BASIC_EPS_EXCL",Input!O$2,Date,,,Ccy,Conv)</f>
        <v>6.6459999999999999</v>
      </c>
      <c r="N57" s="47"/>
      <c r="P57" s="48"/>
      <c r="Q57" s="48"/>
      <c r="R57" s="48"/>
      <c r="T57" s="42"/>
      <c r="U57" s="42"/>
      <c r="V57" s="48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</row>
    <row r="58" spans="1:66" ht="12.75" customHeight="1" x14ac:dyDescent="0.2">
      <c r="A58" s="1" t="s">
        <v>80</v>
      </c>
      <c r="B58" s="12">
        <f>_xll.ciqfunctions.udf.CIQ(InputTicker, "IQ_BASIC_WEIGHT",Input!D$2,Date)</f>
        <v>48.195</v>
      </c>
      <c r="C58" s="12">
        <f>_xll.ciqfunctions.udf.CIQ(InputTicker, "IQ_BASIC_WEIGHT",Input!E$2,Date)</f>
        <v>48.362000000000002</v>
      </c>
      <c r="D58" s="12">
        <f>_xll.ciqfunctions.udf.CIQ(InputTicker, "IQ_BASIC_WEIGHT",Input!F$2,Date)</f>
        <v>48.353000000000002</v>
      </c>
      <c r="E58" s="12">
        <f>_xll.ciqfunctions.udf.CIQ(InputTicker, "IQ_BASIC_WEIGHT",Input!G$2,Date)</f>
        <v>48.466999999999999</v>
      </c>
      <c r="F58" s="12">
        <f>_xll.ciqfunctions.udf.CIQ(InputTicker, "IQ_BASIC_WEIGHT",Input!H$2,Date)</f>
        <v>48.466999999999999</v>
      </c>
      <c r="G58" s="12">
        <f>_xll.ciqfunctions.udf.CIQ(InputTicker, "IQ_BASIC_WEIGHT",Input!I$2,Date)</f>
        <v>48.521999999999998</v>
      </c>
      <c r="H58" s="12">
        <f>_xll.ciqfunctions.udf.CIQ(InputTicker, "IQ_BASIC_WEIGHT",Input!J$2,Date)</f>
        <v>48.581000000000003</v>
      </c>
      <c r="I58" s="12">
        <f>_xll.ciqfunctions.udf.CIQ(InputTicker, "IQ_BASIC_WEIGHT",Input!K$2,Date)</f>
        <v>48.648000000000003</v>
      </c>
      <c r="J58" s="12">
        <f>_xll.ciqfunctions.udf.CIQ(InputTicker, "IQ_BASIC_WEIGHT",Input!L$2,Date)</f>
        <v>48.716999999999999</v>
      </c>
      <c r="K58" s="12">
        <f>_xll.ciqfunctions.udf.CIQ(InputTicker, "IQ_BASIC_WEIGHT",Input!M$2,Date)</f>
        <v>48.719000000000001</v>
      </c>
      <c r="L58" s="12">
        <f>_xll.ciqfunctions.udf.CIQ(InputTicker, "IQ_BASIC_WEIGHT",Input!N$2,Date)</f>
        <v>47.65</v>
      </c>
      <c r="M58" s="12">
        <f>_xll.ciqfunctions.udf.CIQ(InputTicker, "IQ_BASIC_WEIGHT",Input!O$2,Date)</f>
        <v>47.65</v>
      </c>
      <c r="N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</row>
    <row r="59" spans="1:66" ht="12.75" customHeight="1" x14ac:dyDescent="0.2">
      <c r="A59" s="1" t="s">
        <v>81</v>
      </c>
      <c r="B59" s="11">
        <f>_xll.ciqfunctions.udf.CIQ(InputTicker, "IQ_DILUT_EPS_INCL",Input!D$2,Date,,,Ccy,Conv)</f>
        <v>6.53</v>
      </c>
      <c r="C59" s="11">
        <f>_xll.ciqfunctions.udf.CIQ(InputTicker, "IQ_DILUT_EPS_INCL",Input!E$2,Date,,,Ccy,Conv)</f>
        <v>-1.54</v>
      </c>
      <c r="D59" s="11">
        <f>_xll.ciqfunctions.udf.CIQ(InputTicker, "IQ_DILUT_EPS_INCL",Input!F$2,Date,,,Ccy,Conv)</f>
        <v>2.6</v>
      </c>
      <c r="E59" s="11">
        <f>_xll.ciqfunctions.udf.CIQ(InputTicker, "IQ_DILUT_EPS_INCL",Input!G$2,Date,,,Ccy,Conv)</f>
        <v>1.1188899999999999</v>
      </c>
      <c r="F59" s="11">
        <f>_xll.ciqfunctions.udf.CIQ(InputTicker, "IQ_DILUT_EPS_INCL",Input!H$2,Date,,,Ccy,Conv)</f>
        <v>0.37945000000000001</v>
      </c>
      <c r="G59" s="11">
        <f>_xll.ciqfunctions.udf.CIQ(InputTicker, "IQ_DILUT_EPS_INCL",Input!I$2,Date,,,Ccy,Conv)</f>
        <v>0.04</v>
      </c>
      <c r="H59" s="11">
        <f>_xll.ciqfunctions.udf.CIQ(InputTicker, "IQ_DILUT_EPS_INCL",Input!J$2,Date,,,Ccy,Conv)</f>
        <v>2.72</v>
      </c>
      <c r="I59" s="11">
        <f>_xll.ciqfunctions.udf.CIQ(InputTicker, "IQ_DILUT_EPS_INCL",Input!K$2,Date,,,Ccy,Conv)</f>
        <v>15.52</v>
      </c>
      <c r="J59" s="11">
        <f>_xll.ciqfunctions.udf.CIQ(InputTicker, "IQ_DILUT_EPS_INCL",Input!L$2,Date,,,Ccy,Conv)</f>
        <v>5.69</v>
      </c>
      <c r="K59" s="11">
        <f>_xll.ciqfunctions.udf.CIQ(InputTicker, "IQ_DILUT_EPS_INCL",Input!M$2,Date,,,Ccy,Conv)</f>
        <v>24.95</v>
      </c>
      <c r="L59" s="11">
        <f>_xll.ciqfunctions.udf.CIQ(InputTicker, "IQ_DILUT_EPS_INCL",Input!N$2,Date,,,Ccy,Conv)</f>
        <v>6.63</v>
      </c>
      <c r="M59" s="11">
        <f>_xll.ciqfunctions.udf.CIQ(InputTicker, "IQ_DILUT_EPS_INCL",Input!O$2,Date,,,Ccy,Conv)</f>
        <v>6.63</v>
      </c>
      <c r="N59" s="48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</row>
    <row r="60" spans="1:66" ht="12.75" customHeight="1" x14ac:dyDescent="0.2">
      <c r="A60" s="1" t="s">
        <v>82</v>
      </c>
      <c r="B60" s="11">
        <f>_xll.ciqfunctions.udf.CIQ(InputTicker, "IQ_DILUT_EPS_EXCL",Input!D$2,Date,,,Ccy,Conv)</f>
        <v>6.53</v>
      </c>
      <c r="C60" s="11">
        <f>_xll.ciqfunctions.udf.CIQ(InputTicker, "IQ_DILUT_EPS_EXCL",Input!E$2,Date,,,Ccy,Conv)</f>
        <v>-1.54</v>
      </c>
      <c r="D60" s="11">
        <f>_xll.ciqfunctions.udf.CIQ(InputTicker, "IQ_DILUT_EPS_EXCL",Input!F$2,Date,,,Ccy,Conv)</f>
        <v>2.6</v>
      </c>
      <c r="E60" s="11">
        <f>_xll.ciqfunctions.udf.CIQ(InputTicker, "IQ_DILUT_EPS_EXCL",Input!G$2,Date,,,Ccy,Conv)</f>
        <v>1.1188899999999999</v>
      </c>
      <c r="F60" s="11">
        <f>_xll.ciqfunctions.udf.CIQ(InputTicker, "IQ_DILUT_EPS_EXCL",Input!H$2,Date,,,Ccy,Conv)</f>
        <v>0.37945000000000001</v>
      </c>
      <c r="G60" s="11">
        <f>_xll.ciqfunctions.udf.CIQ(InputTicker, "IQ_DILUT_EPS_EXCL",Input!I$2,Date,,,Ccy,Conv)</f>
        <v>0.04</v>
      </c>
      <c r="H60" s="11">
        <f>_xll.ciqfunctions.udf.CIQ(InputTicker, "IQ_DILUT_EPS_EXCL",Input!J$2,Date,,,Ccy,Conv)</f>
        <v>2.72</v>
      </c>
      <c r="I60" s="11">
        <f>_xll.ciqfunctions.udf.CIQ(InputTicker, "IQ_DILUT_EPS_EXCL",Input!K$2,Date,,,Ccy,Conv)</f>
        <v>15.52</v>
      </c>
      <c r="J60" s="11">
        <f>_xll.ciqfunctions.udf.CIQ(InputTicker, "IQ_DILUT_EPS_EXCL",Input!L$2,Date,,,Ccy,Conv)</f>
        <v>5.69</v>
      </c>
      <c r="K60" s="11">
        <f>_xll.ciqfunctions.udf.CIQ(InputTicker, "IQ_DILUT_EPS_EXCL",Input!M$2,Date,,,Ccy,Conv)</f>
        <v>24.95</v>
      </c>
      <c r="L60" s="11">
        <f>_xll.ciqfunctions.udf.CIQ(InputTicker, "IQ_DILUT_EPS_EXCL",Input!N$2,Date,,,Ccy,Conv)</f>
        <v>6.63</v>
      </c>
      <c r="M60" s="11">
        <f>_xll.ciqfunctions.udf.CIQ(InputTicker, "IQ_DILUT_EPS_EXCL",Input!O$2,Date,,,Ccy,Conv)</f>
        <v>6.63</v>
      </c>
      <c r="N60" s="48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</row>
    <row r="61" spans="1:66" ht="12.75" customHeight="1" x14ac:dyDescent="0.2">
      <c r="A61" s="1" t="s">
        <v>83</v>
      </c>
      <c r="B61" s="12">
        <f>_xll.ciqfunctions.udf.CIQ(InputTicker, "IQ_DILUT_WEIGHT",Input!D$2,Date)</f>
        <v>48.365000000000002</v>
      </c>
      <c r="C61" s="12">
        <f>_xll.ciqfunctions.udf.CIQ(InputTicker, "IQ_DILUT_WEIGHT",Input!E$2,Date)</f>
        <v>48.362000000000002</v>
      </c>
      <c r="D61" s="12">
        <f>_xll.ciqfunctions.udf.CIQ(InputTicker, "IQ_DILUT_WEIGHT",Input!F$2,Date)</f>
        <v>48.468000000000004</v>
      </c>
      <c r="E61" s="12">
        <f>_xll.ciqfunctions.udf.CIQ(InputTicker, "IQ_DILUT_WEIGHT",Input!G$2,Date)</f>
        <v>48.588999999999999</v>
      </c>
      <c r="F61" s="12">
        <f>_xll.ciqfunctions.udf.CIQ(InputTicker, "IQ_DILUT_WEIGHT",Input!H$2,Date)</f>
        <v>48.584000000000003</v>
      </c>
      <c r="G61" s="12">
        <f>_xll.ciqfunctions.udf.CIQ(InputTicker, "IQ_DILUT_WEIGHT",Input!I$2,Date)</f>
        <v>48.655999999999999</v>
      </c>
      <c r="H61" s="12">
        <f>_xll.ciqfunctions.udf.CIQ(InputTicker, "IQ_DILUT_WEIGHT",Input!J$2,Date)</f>
        <v>48.734000000000002</v>
      </c>
      <c r="I61" s="12">
        <f>_xll.ciqfunctions.udf.CIQ(InputTicker, "IQ_DILUT_WEIGHT",Input!K$2,Date)</f>
        <v>48.834000000000003</v>
      </c>
      <c r="J61" s="12">
        <f>_xll.ciqfunctions.udf.CIQ(InputTicker, "IQ_DILUT_WEIGHT",Input!L$2,Date)</f>
        <v>48.872999999999998</v>
      </c>
      <c r="K61" s="12">
        <f>_xll.ciqfunctions.udf.CIQ(InputTicker, "IQ_DILUT_WEIGHT",Input!M$2,Date)</f>
        <v>48.890999999999998</v>
      </c>
      <c r="L61" s="12">
        <f>_xll.ciqfunctions.udf.CIQ(InputTicker, "IQ_DILUT_WEIGHT",Input!N$2,Date)</f>
        <v>47.780999999999999</v>
      </c>
      <c r="M61" s="12">
        <f>_xll.ciqfunctions.udf.CIQ(InputTicker, "IQ_DILUT_WEIGHT",Input!O$2,Date)</f>
        <v>47.780999999999999</v>
      </c>
      <c r="N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</row>
    <row r="62" spans="1:66" ht="12.75" customHeight="1" x14ac:dyDescent="0.2">
      <c r="A62" s="1" t="s">
        <v>311</v>
      </c>
      <c r="B62" s="11">
        <f>_xll.ciqfunctions.udf.CIQ(InputTicker, "IQ_EPS_NORM",Input!D$2,Date,,,Ccy,Conv)</f>
        <v>6.2565499999999998</v>
      </c>
      <c r="C62" s="11">
        <f>_xll.ciqfunctions.udf.CIQ(InputTicker, "IQ_EPS_NORM",Input!E$2,Date,,,Ccy,Conv)</f>
        <v>-1.42953</v>
      </c>
      <c r="D62" s="11">
        <f>_xll.ciqfunctions.udf.CIQ(InputTicker, "IQ_EPS_NORM",Input!F$2,Date,,,Ccy,Conv)</f>
        <v>2.5615299999999999</v>
      </c>
      <c r="E62" s="11">
        <f>_xll.ciqfunctions.udf.CIQ(InputTicker, "IQ_EPS_NORM",Input!G$2,Date,,,Ccy,Conv)</f>
        <v>0.89598999999999995</v>
      </c>
      <c r="F62" s="11">
        <f>_xll.ciqfunctions.udf.CIQ(InputTicker, "IQ_EPS_NORM",Input!H$2,Date,,,Ccy,Conv)</f>
        <v>0.25923000000000002</v>
      </c>
      <c r="G62" s="11">
        <f>_xll.ciqfunctions.udf.CIQ(InputTicker, "IQ_EPS_NORM",Input!I$2,Date,,,Ccy,Conv)</f>
        <v>-7.2340000000000002E-2</v>
      </c>
      <c r="H62" s="11">
        <f>_xll.ciqfunctions.udf.CIQ(InputTicker, "IQ_EPS_NORM",Input!J$2,Date,,,Ccy,Conv)</f>
        <v>2.0730200000000001</v>
      </c>
      <c r="I62" s="11">
        <f>_xll.ciqfunctions.udf.CIQ(InputTicker, "IQ_EPS_NORM",Input!K$2,Date,,,Ccy,Conv)</f>
        <v>12.854100000000001</v>
      </c>
      <c r="J62" s="11">
        <f>_xll.ciqfunctions.udf.CIQ(InputTicker, "IQ_EPS_NORM",Input!L$2,Date,,,Ccy,Conv)</f>
        <v>4.7220000000000004</v>
      </c>
      <c r="K62" s="11">
        <f>_xll.ciqfunctions.udf.CIQ(InputTicker, "IQ_EPS_NORM",Input!M$2,Date,,,Ccy,Conv)</f>
        <v>20.877230000000001</v>
      </c>
      <c r="L62" s="11">
        <f>_xll.ciqfunctions.udf.CIQ(InputTicker, "IQ_EPS_NORM",Input!N$2,Date,,,Ccy,Conv)</f>
        <v>5.3869499999999997</v>
      </c>
      <c r="M62" s="11">
        <f>_xll.ciqfunctions.udf.CIQ(InputTicker, "IQ_EPS_NORM",Input!O$2,Date,,,Ccy,Conv)</f>
        <v>5.3869499999999997</v>
      </c>
      <c r="N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</row>
    <row r="63" spans="1:66" ht="12.75" customHeight="1" x14ac:dyDescent="0.2">
      <c r="A63" s="1" t="s">
        <v>312</v>
      </c>
      <c r="B63" s="11">
        <f>_xll.ciqfunctions.udf.CIQ(InputTicker, "IQ_DILUT_EPS_NORM",Input!D$2,Date,,,Ccy,Conv)</f>
        <v>6.2345600000000001</v>
      </c>
      <c r="C63" s="11">
        <f>_xll.ciqfunctions.udf.CIQ(InputTicker, "IQ_DILUT_EPS_NORM",Input!E$2,Date,,,Ccy,Conv)</f>
        <v>-1.42953</v>
      </c>
      <c r="D63" s="11">
        <f>_xll.ciqfunctions.udf.CIQ(InputTicker, "IQ_DILUT_EPS_NORM",Input!F$2,Date,,,Ccy,Conv)</f>
        <v>2.5554600000000001</v>
      </c>
      <c r="E63" s="11">
        <f>_xll.ciqfunctions.udf.CIQ(InputTicker, "IQ_DILUT_EPS_NORM",Input!G$2,Date,,,Ccy,Conv)</f>
        <v>0.89373999999999998</v>
      </c>
      <c r="F63" s="11">
        <f>_xll.ciqfunctions.udf.CIQ(InputTicker, "IQ_DILUT_EPS_NORM",Input!H$2,Date,,,Ccy,Conv)</f>
        <v>0.25861000000000001</v>
      </c>
      <c r="G63" s="11">
        <f>_xll.ciqfunctions.udf.CIQ(InputTicker, "IQ_DILUT_EPS_NORM",Input!I$2,Date,,,Ccy,Conv)</f>
        <v>-7.2139999999999996E-2</v>
      </c>
      <c r="H63" s="11">
        <f>_xll.ciqfunctions.udf.CIQ(InputTicker, "IQ_DILUT_EPS_NORM",Input!J$2,Date,,,Ccy,Conv)</f>
        <v>2.0665200000000001</v>
      </c>
      <c r="I63" s="11">
        <f>_xll.ciqfunctions.udf.CIQ(InputTicker, "IQ_DILUT_EPS_NORM",Input!K$2,Date,,,Ccy,Conv)</f>
        <v>12.80514</v>
      </c>
      <c r="J63" s="11">
        <f>_xll.ciqfunctions.udf.CIQ(InputTicker, "IQ_DILUT_EPS_NORM",Input!L$2,Date,,,Ccy,Conv)</f>
        <v>4.7069299999999998</v>
      </c>
      <c r="K63" s="11">
        <f>_xll.ciqfunctions.udf.CIQ(InputTicker, "IQ_DILUT_EPS_NORM",Input!M$2,Date,,,Ccy,Conv)</f>
        <v>20.803789999999999</v>
      </c>
      <c r="L63" s="11">
        <f>_xll.ciqfunctions.udf.CIQ(InputTicker, "IQ_DILUT_EPS_NORM",Input!N$2,Date,,,Ccy,Conv)</f>
        <v>5.3721800000000002</v>
      </c>
      <c r="M63" s="11">
        <f>_xll.ciqfunctions.udf.CIQ(InputTicker, "IQ_DILUT_EPS_NORM",Input!O$2,Date,,,Ccy,Conv)</f>
        <v>5.3721800000000002</v>
      </c>
      <c r="N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</row>
    <row r="64" spans="1:66" ht="12.75" customHeight="1" x14ac:dyDescent="0.2">
      <c r="A64" s="1" t="s">
        <v>391</v>
      </c>
      <c r="B64" s="4">
        <f>_xll.ciqfunctions.udf.CIQ(InputTicker, "IQ_DISTRIBUTABLE_CASH_PER_SHARE_DILUTED",Input!D$2,Date,,,Ccy,Conv)</f>
        <v>0</v>
      </c>
      <c r="C64" s="4">
        <f>_xll.ciqfunctions.udf.CIQ(InputTicker, "IQ_DISTRIBUTABLE_CASH_PER_SHARE_DILUTED",Input!E$2,Date,,,Ccy,Conv)</f>
        <v>0</v>
      </c>
      <c r="D64" s="4">
        <f>_xll.ciqfunctions.udf.CIQ(InputTicker, "IQ_DISTRIBUTABLE_CASH_PER_SHARE_DILUTED",Input!F$2,Date,,,Ccy,Conv)</f>
        <v>0</v>
      </c>
      <c r="E64" s="4">
        <f>_xll.ciqfunctions.udf.CIQ(InputTicker, "IQ_DISTRIBUTABLE_CASH_PER_SHARE_DILUTED",Input!G$2,Date,,,Ccy,Conv)</f>
        <v>0</v>
      </c>
      <c r="F64" s="4">
        <f>_xll.ciqfunctions.udf.CIQ(InputTicker, "IQ_DISTRIBUTABLE_CASH_PER_SHARE_DILUTED",Input!H$2,Date,,,Ccy,Conv)</f>
        <v>0</v>
      </c>
      <c r="G64" s="4">
        <f>_xll.ciqfunctions.udf.CIQ(InputTicker, "IQ_DISTRIBUTABLE_CASH_PER_SHARE_DILUTED",Input!I$2,Date,,,Ccy,Conv)</f>
        <v>0</v>
      </c>
      <c r="H64" s="4">
        <f>_xll.ciqfunctions.udf.CIQ(InputTicker, "IQ_DISTRIBUTABLE_CASH_PER_SHARE_DILUTED",Input!J$2,Date,,,Ccy,Conv)</f>
        <v>0</v>
      </c>
      <c r="I64" s="4">
        <f>_xll.ciqfunctions.udf.CIQ(InputTicker, "IQ_DISTRIBUTABLE_CASH_PER_SHARE_DILUTED",Input!K$2,Date,,,Ccy,Conv)</f>
        <v>0</v>
      </c>
      <c r="J64" s="4">
        <f>_xll.ciqfunctions.udf.CIQ(InputTicker, "IQ_DISTRIBUTABLE_CASH_PER_SHARE_DILUTED",Input!L$2,Date,,,Ccy,Conv)</f>
        <v>0</v>
      </c>
      <c r="K64" s="4">
        <f>_xll.ciqfunctions.udf.CIQ(InputTicker, "IQ_DISTRIBUTABLE_CASH_PER_SHARE_DILUTED",Input!M$2,Date,,,Ccy,Conv)</f>
        <v>0</v>
      </c>
      <c r="L64" s="4">
        <f>_xll.ciqfunctions.udf.CIQ(InputTicker, "IQ_DISTRIBUTABLE_CASH_PER_SHARE_DILUTED",Input!N$2,Date,,,Ccy,Conv)</f>
        <v>0</v>
      </c>
      <c r="M64" s="4">
        <f>_xll.ciqfunctions.udf.CIQ(InputTicker, "IQ_DISTRIBUTABLE_CASH_PER_SHARE_DILUTED",Input!O$2,Date,,,Ccy,Conv)</f>
        <v>0</v>
      </c>
      <c r="N64" s="42"/>
      <c r="P64" s="48"/>
      <c r="Q64" s="48"/>
      <c r="R64" s="48"/>
      <c r="T64" s="42"/>
      <c r="U64" s="42"/>
      <c r="V64" s="48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</row>
    <row r="65" spans="1:66" ht="12.75" customHeight="1" x14ac:dyDescent="0.2">
      <c r="A65" s="1" t="s">
        <v>389</v>
      </c>
      <c r="B65" s="4">
        <f>_xll.ciqfunctions.udf.CIQ(InputTicker, "IQ_DISTRIBUTABLE_CASH_SHARES_BASIC",Input!D$2,Date)</f>
        <v>0</v>
      </c>
      <c r="C65" s="4">
        <f>_xll.ciqfunctions.udf.CIQ(InputTicker, "IQ_DISTRIBUTABLE_CASH_SHARES_BASIC",Input!E$2,Date)</f>
        <v>0</v>
      </c>
      <c r="D65" s="4">
        <f>_xll.ciqfunctions.udf.CIQ(InputTicker, "IQ_DISTRIBUTABLE_CASH_SHARES_BASIC",Input!F$2,Date)</f>
        <v>0</v>
      </c>
      <c r="E65" s="4">
        <f>_xll.ciqfunctions.udf.CIQ(InputTicker, "IQ_DISTRIBUTABLE_CASH_SHARES_BASIC",Input!G$2,Date)</f>
        <v>0</v>
      </c>
      <c r="F65" s="4">
        <f>_xll.ciqfunctions.udf.CIQ(InputTicker, "IQ_DISTRIBUTABLE_CASH_SHARES_BASIC",Input!H$2,Date)</f>
        <v>0</v>
      </c>
      <c r="G65" s="4">
        <f>_xll.ciqfunctions.udf.CIQ(InputTicker, "IQ_DISTRIBUTABLE_CASH_SHARES_BASIC",Input!I$2,Date)</f>
        <v>0</v>
      </c>
      <c r="H65" s="4">
        <f>_xll.ciqfunctions.udf.CIQ(InputTicker, "IQ_DISTRIBUTABLE_CASH_SHARES_BASIC",Input!J$2,Date)</f>
        <v>0</v>
      </c>
      <c r="I65" s="4">
        <f>_xll.ciqfunctions.udf.CIQ(InputTicker, "IQ_DISTRIBUTABLE_CASH_SHARES_BASIC",Input!K$2,Date)</f>
        <v>0</v>
      </c>
      <c r="J65" s="4">
        <f>_xll.ciqfunctions.udf.CIQ(InputTicker, "IQ_DISTRIBUTABLE_CASH_SHARES_BASIC",Input!L$2,Date)</f>
        <v>0</v>
      </c>
      <c r="K65" s="4">
        <f>_xll.ciqfunctions.udf.CIQ(InputTicker, "IQ_DISTRIBUTABLE_CASH_SHARES_BASIC",Input!M$2,Date)</f>
        <v>0</v>
      </c>
      <c r="L65" s="4">
        <f>_xll.ciqfunctions.udf.CIQ(InputTicker, "IQ_DISTRIBUTABLE_CASH_SHARES_BASIC",Input!N$2,Date)</f>
        <v>0</v>
      </c>
      <c r="M65" s="4">
        <f>_xll.ciqfunctions.udf.CIQ(InputTicker, "IQ_DISTRIBUTABLE_CASH_SHARES_BASIC",Input!O$2,Date)</f>
        <v>0</v>
      </c>
      <c r="N65" s="49"/>
      <c r="P65" s="48"/>
      <c r="Q65" s="48"/>
      <c r="R65" s="48"/>
      <c r="T65" s="42"/>
      <c r="U65" s="42"/>
      <c r="V65" s="48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</row>
    <row r="66" spans="1:66" ht="12.75" customHeight="1" x14ac:dyDescent="0.2">
      <c r="A66" s="1" t="s">
        <v>390</v>
      </c>
      <c r="B66" s="4">
        <f>_xll.ciqfunctions.udf.CIQ(InputTicker, "IQ_DISTRIBUTABLE_CASH_SHARES_DILUTED",Input!D$2,Date)</f>
        <v>0</v>
      </c>
      <c r="C66" s="4">
        <f>_xll.ciqfunctions.udf.CIQ(InputTicker, "IQ_DISTRIBUTABLE_CASH_SHARES_DILUTED",Input!E$2,Date)</f>
        <v>0</v>
      </c>
      <c r="D66" s="4">
        <f>_xll.ciqfunctions.udf.CIQ(InputTicker, "IQ_DISTRIBUTABLE_CASH_SHARES_DILUTED",Input!F$2,Date)</f>
        <v>0</v>
      </c>
      <c r="E66" s="4">
        <f>_xll.ciqfunctions.udf.CIQ(InputTicker, "IQ_DISTRIBUTABLE_CASH_SHARES_DILUTED",Input!G$2,Date)</f>
        <v>0</v>
      </c>
      <c r="F66" s="4">
        <f>_xll.ciqfunctions.udf.CIQ(InputTicker, "IQ_DISTRIBUTABLE_CASH_SHARES_DILUTED",Input!H$2,Date)</f>
        <v>0</v>
      </c>
      <c r="G66" s="4">
        <f>_xll.ciqfunctions.udf.CIQ(InputTicker, "IQ_DISTRIBUTABLE_CASH_SHARES_DILUTED",Input!I$2,Date)</f>
        <v>0</v>
      </c>
      <c r="H66" s="4">
        <f>_xll.ciqfunctions.udf.CIQ(InputTicker, "IQ_DISTRIBUTABLE_CASH_SHARES_DILUTED",Input!J$2,Date)</f>
        <v>0</v>
      </c>
      <c r="I66" s="4">
        <f>_xll.ciqfunctions.udf.CIQ(InputTicker, "IQ_DISTRIBUTABLE_CASH_SHARES_DILUTED",Input!K$2,Date)</f>
        <v>0</v>
      </c>
      <c r="J66" s="4">
        <f>_xll.ciqfunctions.udf.CIQ(InputTicker, "IQ_DISTRIBUTABLE_CASH_SHARES_DILUTED",Input!L$2,Date)</f>
        <v>0</v>
      </c>
      <c r="K66" s="4">
        <f>_xll.ciqfunctions.udf.CIQ(InputTicker, "IQ_DISTRIBUTABLE_CASH_SHARES_DILUTED",Input!M$2,Date)</f>
        <v>0</v>
      </c>
      <c r="L66" s="4">
        <f>_xll.ciqfunctions.udf.CIQ(InputTicker, "IQ_DISTRIBUTABLE_CASH_SHARES_DILUTED",Input!N$2,Date)</f>
        <v>0</v>
      </c>
      <c r="M66" s="4">
        <f>_xll.ciqfunctions.udf.CIQ(InputTicker, "IQ_DISTRIBUTABLE_CASH_SHARES_DILUTED",Input!O$2,Date)</f>
        <v>0</v>
      </c>
      <c r="N66" s="49"/>
      <c r="P66" s="48"/>
      <c r="Q66" s="48"/>
      <c r="R66" s="48"/>
      <c r="T66" s="42"/>
      <c r="U66" s="42"/>
      <c r="V66" s="48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</row>
    <row r="67" spans="1:66" ht="12.75" customHeight="1" x14ac:dyDescent="0.2">
      <c r="A67" s="1" t="s">
        <v>316</v>
      </c>
      <c r="B67" s="11">
        <f>_xll.ciqfunctions.udf.CIQ(InputTicker, "IQ_DIV_SHARE",Input!D$2,Date,,,Ccy,Conv)</f>
        <v>2.1749999999999998</v>
      </c>
      <c r="C67" s="11">
        <f>_xll.ciqfunctions.udf.CIQ(InputTicker, "IQ_DIV_SHARE",Input!E$2,Date,,,Ccy,Conv)</f>
        <v>0</v>
      </c>
      <c r="D67" s="11">
        <f>_xll.ciqfunctions.udf.CIQ(InputTicker, "IQ_DIV_SHARE",Input!F$2,Date,,,Ccy,Conv)</f>
        <v>0.35099999999999998</v>
      </c>
      <c r="E67" s="11">
        <f>_xll.ciqfunctions.udf.CIQ(InputTicker, "IQ_DIV_SHARE",Input!G$2,Date,,,Ccy,Conv)</f>
        <v>0.50600000000000001</v>
      </c>
      <c r="F67" s="11">
        <f>_xll.ciqfunctions.udf.CIQ(InputTicker, "IQ_DIV_SHARE",Input!H$2,Date,,,Ccy,Conv)</f>
        <v>0</v>
      </c>
      <c r="G67" s="11">
        <f>_xll.ciqfunctions.udf.CIQ(InputTicker, "IQ_DIV_SHARE",Input!I$2,Date,,,Ccy,Conv)</f>
        <v>3.4000000000000002E-2</v>
      </c>
      <c r="H67" s="11">
        <f>_xll.ciqfunctions.udf.CIQ(InputTicker, "IQ_DIV_SHARE",Input!J$2,Date,,,Ccy,Conv)</f>
        <v>0.874</v>
      </c>
      <c r="I67" s="11">
        <f>_xll.ciqfunctions.udf.CIQ(InputTicker, "IQ_DIV_SHARE",Input!K$2,Date,,,Ccy,Conv)</f>
        <v>5.165</v>
      </c>
      <c r="J67" s="11">
        <f>_xll.ciqfunctions.udf.CIQ(InputTicker, "IQ_DIV_SHARE",Input!L$2,Date,,,Ccy,Conv)</f>
        <v>1.889</v>
      </c>
      <c r="K67" s="11">
        <f>_xll.ciqfunctions.udf.CIQ(InputTicker, "IQ_DIV_SHARE",Input!M$2,Date,,,Ccy,Conv)</f>
        <v>8.3569999999999993</v>
      </c>
      <c r="L67" s="11">
        <f>_xll.ciqfunctions.udf.CIQ(InputTicker, "IQ_DIV_SHARE",Input!N$2,Date,,,Ccy,Conv)</f>
        <v>2.4580000000000002</v>
      </c>
      <c r="M67" s="11">
        <f>_xll.ciqfunctions.udf.CIQ(InputTicker, "IQ_DIV_SHARE",Input!O$2,Date,,,Ccy,Conv)</f>
        <v>2.4580000000000002</v>
      </c>
      <c r="N67" s="47"/>
      <c r="P67" s="48"/>
      <c r="Q67" s="48"/>
      <c r="R67" s="48"/>
      <c r="T67" s="42"/>
      <c r="U67" s="42"/>
      <c r="V67" s="48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</row>
    <row r="68" spans="1:66" ht="12.75" customHeight="1" x14ac:dyDescent="0.2">
      <c r="A68" s="1" t="s">
        <v>429</v>
      </c>
      <c r="B68" s="4">
        <f>_xll.ciqfunctions.udf.CIQ(InputTicker, "IQ_DR_RATIO_PRIMARY",Input!D$2,Date)</f>
        <v>0</v>
      </c>
      <c r="C68" s="4">
        <f>_xll.ciqfunctions.udf.CIQ(InputTicker, "IQ_DR_RATIO_PRIMARY",Input!E$2,Date)</f>
        <v>0</v>
      </c>
      <c r="D68" s="4">
        <f>_xll.ciqfunctions.udf.CIQ(InputTicker, "IQ_DR_RATIO_PRIMARY",Input!F$2,Date)</f>
        <v>0</v>
      </c>
      <c r="E68" s="4">
        <f>_xll.ciqfunctions.udf.CIQ(InputTicker, "IQ_DR_RATIO_PRIMARY",Input!G$2,Date)</f>
        <v>0</v>
      </c>
      <c r="F68" s="4">
        <f>_xll.ciqfunctions.udf.CIQ(InputTicker, "IQ_DR_RATIO_PRIMARY",Input!H$2,Date)</f>
        <v>0</v>
      </c>
      <c r="G68" s="4">
        <f>_xll.ciqfunctions.udf.CIQ(InputTicker, "IQ_DR_RATIO_PRIMARY",Input!I$2,Date)</f>
        <v>0</v>
      </c>
      <c r="H68" s="4">
        <f>_xll.ciqfunctions.udf.CIQ(InputTicker, "IQ_DR_RATIO_PRIMARY",Input!J$2,Date)</f>
        <v>0</v>
      </c>
      <c r="I68" s="4">
        <f>_xll.ciqfunctions.udf.CIQ(InputTicker, "IQ_DR_RATIO_PRIMARY",Input!K$2,Date)</f>
        <v>0</v>
      </c>
      <c r="J68" s="4">
        <f>_xll.ciqfunctions.udf.CIQ(InputTicker, "IQ_DR_RATIO_PRIMARY",Input!L$2,Date)</f>
        <v>0</v>
      </c>
      <c r="K68" s="4">
        <f>_xll.ciqfunctions.udf.CIQ(InputTicker, "IQ_DR_RATIO_PRIMARY",Input!M$2,Date)</f>
        <v>0</v>
      </c>
      <c r="L68" s="4">
        <f>_xll.ciqfunctions.udf.CIQ(InputTicker, "IQ_DR_RATIO_PRIMARY",Input!N$2,Date)</f>
        <v>0</v>
      </c>
      <c r="M68" s="4">
        <f>_xll.ciqfunctions.udf.CIQ(InputTicker, "IQ_DR_RATIO_PRIMARY",Input!O$2,Date)</f>
        <v>0</v>
      </c>
      <c r="N68" s="48"/>
      <c r="P68" s="48"/>
      <c r="Q68" s="48"/>
      <c r="R68" s="48"/>
      <c r="T68" s="42"/>
      <c r="U68" s="42"/>
      <c r="V68" s="48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</row>
    <row r="69" spans="1:66" ht="12.75" customHeight="1" x14ac:dyDescent="0.2">
      <c r="A69" s="1" t="s">
        <v>314</v>
      </c>
      <c r="B69" s="11">
        <f>_xll.ciqfunctions.udf.CIQ(InputTicker, "IQ_TOTAL_REV_SHARE",Input!D$2,Date,,,Ccy,Conv)</f>
        <v>39.60266</v>
      </c>
      <c r="C69" s="11">
        <f>_xll.ciqfunctions.udf.CIQ(InputTicker, "IQ_TOTAL_REV_SHARE",Input!E$2,Date,,,Ccy,Conv)</f>
        <v>22.218129999999999</v>
      </c>
      <c r="D69" s="11">
        <f>_xll.ciqfunctions.udf.CIQ(InputTicker, "IQ_TOTAL_REV_SHARE",Input!F$2,Date,,,Ccy,Conv)</f>
        <v>31.0825</v>
      </c>
      <c r="E69" s="11">
        <f>_xll.ciqfunctions.udf.CIQ(InputTicker, "IQ_TOTAL_REV_SHARE",Input!G$2,Date,,,Ccy,Conv)</f>
        <v>28.08484</v>
      </c>
      <c r="F69" s="11">
        <f>_xll.ciqfunctions.udf.CIQ(InputTicker, "IQ_TOTAL_REV_SHARE",Input!H$2,Date,,,Ccy,Conv)</f>
        <v>27.8872</v>
      </c>
      <c r="G69" s="11">
        <f>_xll.ciqfunctions.udf.CIQ(InputTicker, "IQ_TOTAL_REV_SHARE",Input!I$2,Date,,,Ccy,Conv)</f>
        <v>27.801549999999999</v>
      </c>
      <c r="H69" s="11">
        <f>_xll.ciqfunctions.udf.CIQ(InputTicker, "IQ_TOTAL_REV_SHARE",Input!J$2,Date,,,Ccy,Conv)</f>
        <v>36.581359999999997</v>
      </c>
      <c r="I69" s="11">
        <f>_xll.ciqfunctions.udf.CIQ(InputTicker, "IQ_TOTAL_REV_SHARE",Input!K$2,Date,,,Ccy,Conv)</f>
        <v>64.673100000000005</v>
      </c>
      <c r="J69" s="11">
        <f>_xll.ciqfunctions.udf.CIQ(InputTicker, "IQ_TOTAL_REV_SHARE",Input!L$2,Date,,,Ccy,Conv)</f>
        <v>47.75423</v>
      </c>
      <c r="K69" s="11">
        <f>_xll.ciqfunctions.udf.CIQ(InputTicker, "IQ_TOTAL_REV_SHARE",Input!M$2,Date,,,Ccy,Conv)</f>
        <v>87.478909999999999</v>
      </c>
      <c r="L69" s="11">
        <f>_xll.ciqfunctions.udf.CIQ(InputTicker, "IQ_TOTAL_REV_SHARE",Input!N$2,Date,,,Ccy,Conv)</f>
        <v>61.104550000000003</v>
      </c>
      <c r="M69" s="11">
        <f>_xll.ciqfunctions.udf.CIQ(InputTicker, "IQ_TOTAL_REV_SHARE",Input!O$2,Date,,,Ccy,Conv)</f>
        <v>61.104550000000003</v>
      </c>
      <c r="N69" s="48"/>
      <c r="P69" s="48"/>
      <c r="Q69" s="48"/>
      <c r="R69" s="48"/>
      <c r="T69" s="42"/>
      <c r="U69" s="42"/>
      <c r="V69" s="48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</row>
    <row r="70" spans="1:66" ht="12.75" customHeight="1" x14ac:dyDescent="0.2">
      <c r="A70" s="1" t="s">
        <v>313</v>
      </c>
      <c r="B70" s="11">
        <f>_xll.ciqfunctions.udf.CIQ(InputTicker, "IQ_DISTRIBUTABLE_CASH_SHARE",Input!D$2,Date,,,Ccy,Conv)</f>
        <v>0</v>
      </c>
      <c r="C70" s="11">
        <f>_xll.ciqfunctions.udf.CIQ(InputTicker, "IQ_DISTRIBUTABLE_CASH_SHARE",Input!E$2,Date,,,Ccy,Conv)</f>
        <v>0</v>
      </c>
      <c r="D70" s="11">
        <f>_xll.ciqfunctions.udf.CIQ(InputTicker, "IQ_DISTRIBUTABLE_CASH_SHARE",Input!F$2,Date,,,Ccy,Conv)</f>
        <v>0</v>
      </c>
      <c r="E70" s="11">
        <f>_xll.ciqfunctions.udf.CIQ(InputTicker, "IQ_DISTRIBUTABLE_CASH_SHARE",Input!G$2,Date,,,Ccy,Conv)</f>
        <v>0</v>
      </c>
      <c r="F70" s="11">
        <f>_xll.ciqfunctions.udf.CIQ(InputTicker, "IQ_DISTRIBUTABLE_CASH_SHARE",Input!H$2,Date,,,Ccy,Conv)</f>
        <v>0</v>
      </c>
      <c r="G70" s="11">
        <f>_xll.ciqfunctions.udf.CIQ(InputTicker, "IQ_DISTRIBUTABLE_CASH_SHARE",Input!I$2,Date,,,Ccy,Conv)</f>
        <v>0</v>
      </c>
      <c r="H70" s="11">
        <f>_xll.ciqfunctions.udf.CIQ(InputTicker, "IQ_DISTRIBUTABLE_CASH_SHARE",Input!J$2,Date,,,Ccy,Conv)</f>
        <v>0</v>
      </c>
      <c r="I70" s="11">
        <f>_xll.ciqfunctions.udf.CIQ(InputTicker, "IQ_DISTRIBUTABLE_CASH_SHARE",Input!K$2,Date,,,Ccy,Conv)</f>
        <v>0</v>
      </c>
      <c r="J70" s="11">
        <f>_xll.ciqfunctions.udf.CIQ(InputTicker, "IQ_DISTRIBUTABLE_CASH_SHARE",Input!L$2,Date,,,Ccy,Conv)</f>
        <v>0</v>
      </c>
      <c r="K70" s="11">
        <f>_xll.ciqfunctions.udf.CIQ(InputTicker, "IQ_DISTRIBUTABLE_CASH_SHARE",Input!M$2,Date,,,Ccy,Conv)</f>
        <v>0</v>
      </c>
      <c r="L70" s="11">
        <f>_xll.ciqfunctions.udf.CIQ(InputTicker, "IQ_DISTRIBUTABLE_CASH_SHARE",Input!N$2,Date,,,Ccy,Conv)</f>
        <v>0</v>
      </c>
      <c r="M70" s="11">
        <f>_xll.ciqfunctions.udf.CIQ(InputTicker, "IQ_DISTRIBUTABLE_CASH_SHARE",Input!O$2,Date,,,Ccy,Conv)</f>
        <v>0</v>
      </c>
      <c r="N70" s="48"/>
      <c r="P70" s="48"/>
      <c r="Q70" s="48"/>
      <c r="R70" s="48"/>
      <c r="T70" s="42"/>
      <c r="U70" s="42"/>
      <c r="V70" s="48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</row>
    <row r="71" spans="1:66" ht="12.75" customHeight="1" x14ac:dyDescent="0.2">
      <c r="A71" s="1" t="s">
        <v>315</v>
      </c>
      <c r="B71" s="11">
        <f>_xll.ciqfunctions.udf.CIQ(InputTicker, "IQ_SPECIAL_DIV_SHARE",Input!D$2,Date,,,Ccy,Conv)</f>
        <v>0</v>
      </c>
      <c r="C71" s="11">
        <f>_xll.ciqfunctions.udf.CIQ(InputTicker, "IQ_SPECIAL_DIV_SHARE",Input!E$2,Date,,,Ccy,Conv)</f>
        <v>0</v>
      </c>
      <c r="D71" s="11">
        <f>_xll.ciqfunctions.udf.CIQ(InputTicker, "IQ_SPECIAL_DIV_SHARE",Input!F$2,Date,,,Ccy,Conv)</f>
        <v>0</v>
      </c>
      <c r="E71" s="11">
        <f>_xll.ciqfunctions.udf.CIQ(InputTicker, "IQ_SPECIAL_DIV_SHARE",Input!G$2,Date,,,Ccy,Conv)</f>
        <v>0</v>
      </c>
      <c r="F71" s="11">
        <f>_xll.ciqfunctions.udf.CIQ(InputTicker, "IQ_SPECIAL_DIV_SHARE",Input!H$2,Date,,,Ccy,Conv)</f>
        <v>0</v>
      </c>
      <c r="G71" s="11">
        <f>_xll.ciqfunctions.udf.CIQ(InputTicker, "IQ_SPECIAL_DIV_SHARE",Input!I$2,Date,,,Ccy,Conv)</f>
        <v>0</v>
      </c>
      <c r="H71" s="11">
        <f>_xll.ciqfunctions.udf.CIQ(InputTicker, "IQ_SPECIAL_DIV_SHARE",Input!J$2,Date,,,Ccy,Conv)</f>
        <v>0</v>
      </c>
      <c r="I71" s="11">
        <f>_xll.ciqfunctions.udf.CIQ(InputTicker, "IQ_SPECIAL_DIV_SHARE",Input!K$2,Date,,,Ccy,Conv)</f>
        <v>0</v>
      </c>
      <c r="J71" s="11">
        <f>_xll.ciqfunctions.udf.CIQ(InputTicker, "IQ_SPECIAL_DIV_SHARE",Input!L$2,Date,,,Ccy,Conv)</f>
        <v>0</v>
      </c>
      <c r="K71" s="11">
        <f>_xll.ciqfunctions.udf.CIQ(InputTicker, "IQ_SPECIAL_DIV_SHARE",Input!M$2,Date,,,Ccy,Conv)</f>
        <v>0</v>
      </c>
      <c r="L71" s="11">
        <f>_xll.ciqfunctions.udf.CIQ(InputTicker, "IQ_SPECIAL_DIV_SHARE",Input!N$2,Date,,,Ccy,Conv)</f>
        <v>0</v>
      </c>
      <c r="M71" s="11">
        <f>_xll.ciqfunctions.udf.CIQ(InputTicker, "IQ_SPECIAL_DIV_SHARE",Input!O$2,Date,,,Ccy,Conv)</f>
        <v>0</v>
      </c>
      <c r="N71" s="48"/>
      <c r="P71" s="48"/>
      <c r="Q71" s="48"/>
      <c r="R71" s="48"/>
      <c r="T71" s="42"/>
      <c r="U71" s="42"/>
      <c r="V71" s="48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</row>
    <row r="72" spans="1:66" ht="12.75" customHeight="1" x14ac:dyDescent="0.2">
      <c r="A72" s="1" t="s">
        <v>216</v>
      </c>
      <c r="B72" s="13">
        <f>_xll.ciqfunctions.udf.CIQ(InputTicker, "IQ_FILINGDATE_IS",Input!D$2,Date)</f>
        <v>43304</v>
      </c>
      <c r="C72" s="13">
        <f>_xll.ciqfunctions.udf.CIQ(InputTicker, "IQ_FILINGDATE_IS",Input!E$2,Date)</f>
        <v>43668</v>
      </c>
      <c r="D72" s="13">
        <f>_xll.ciqfunctions.udf.CIQ(InputTicker, "IQ_FILINGDATE_IS",Input!F$2,Date)</f>
        <v>44032</v>
      </c>
      <c r="E72" s="13">
        <f>_xll.ciqfunctions.udf.CIQ(InputTicker, "IQ_FILINGDATE_IS",Input!G$2,Date)</f>
        <v>44396</v>
      </c>
      <c r="F72" s="13">
        <f>_xll.ciqfunctions.udf.CIQ(InputTicker, "IQ_FILINGDATE_IS",Input!H$2,Date)</f>
        <v>44761</v>
      </c>
      <c r="G72" s="13">
        <f>_xll.ciqfunctions.udf.CIQ(InputTicker, "IQ_FILINGDATE_IS",Input!I$2,Date)</f>
        <v>45132</v>
      </c>
      <c r="H72" s="13">
        <f>_xll.ciqfunctions.udf.CIQ(InputTicker, "IQ_FILINGDATE_IS",Input!J$2,Date)</f>
        <v>45496</v>
      </c>
      <c r="I72" s="13">
        <f>_xll.ciqfunctions.udf.CIQ(InputTicker, "IQ_FILINGDATE_IS",Input!K$2,Date)</f>
        <v>45860</v>
      </c>
      <c r="J72" s="13">
        <f>_xll.ciqfunctions.udf.CIQ(InputTicker, "IQ_FILINGDATE_IS",Input!L$2,Date)</f>
        <v>46225</v>
      </c>
      <c r="K72" s="13">
        <f>_xll.ciqfunctions.udf.CIQ(InputTicker, "IQ_FILINGDATE_IS",Input!M$2,Date)</f>
        <v>46225</v>
      </c>
      <c r="L72" s="13">
        <f>_xll.ciqfunctions.udf.CIQ(InputTicker, "IQ_FILINGDATE_IS",Input!N$2,Date)</f>
        <v>46225</v>
      </c>
      <c r="M72" s="13">
        <f>_xll.ciqfunctions.udf.CIQ(InputTicker, "IQ_FILINGDATE_IS",Input!O$2,Date)</f>
        <v>46225</v>
      </c>
      <c r="N72" s="42"/>
      <c r="P72" s="46"/>
      <c r="Q72" s="46"/>
      <c r="R72" s="46"/>
      <c r="T72" s="42"/>
      <c r="U72" s="42"/>
      <c r="V72" s="46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</row>
    <row r="73" spans="1:66" ht="12.75" customHeight="1" x14ac:dyDescent="0.2">
      <c r="A73" s="1" t="s">
        <v>317</v>
      </c>
      <c r="B73" s="18">
        <f>_xll.ciqfunctions.udf.CIQ(InputTicker,"IQ_PERIODLENGTH_IS",Input!D$2,Date)</f>
        <v>12</v>
      </c>
      <c r="C73" s="18">
        <f>_xll.ciqfunctions.udf.CIQ(InputTicker,"IQ_PERIODLENGTH_IS",Input!E$2,Date)</f>
        <v>12</v>
      </c>
      <c r="D73" s="18">
        <f>_xll.ciqfunctions.udf.CIQ(InputTicker,"IQ_PERIODLENGTH_IS",Input!F$2,Date)</f>
        <v>12</v>
      </c>
      <c r="E73" s="18">
        <f>_xll.ciqfunctions.udf.CIQ(InputTicker,"IQ_PERIODLENGTH_IS",Input!G$2,Date)</f>
        <v>12</v>
      </c>
      <c r="F73" s="18">
        <f>_xll.ciqfunctions.udf.CIQ(InputTicker,"IQ_PERIODLENGTH_IS",Input!H$2,Date)</f>
        <v>12</v>
      </c>
      <c r="G73" s="18">
        <f>_xll.ciqfunctions.udf.CIQ(InputTicker,"IQ_PERIODLENGTH_IS",Input!I$2,Date)</f>
        <v>12</v>
      </c>
      <c r="H73" s="18">
        <f>_xll.ciqfunctions.udf.CIQ(InputTicker,"IQ_PERIODLENGTH_IS",Input!J$2,Date)</f>
        <v>12</v>
      </c>
      <c r="I73" s="18">
        <f>_xll.ciqfunctions.udf.CIQ(InputTicker,"IQ_PERIODLENGTH_IS",Input!K$2,Date)</f>
        <v>12</v>
      </c>
      <c r="J73" s="18">
        <f>_xll.ciqfunctions.udf.CIQ(InputTicker,"IQ_PERIODLENGTH_IS",Input!L$2,Date)</f>
        <v>12</v>
      </c>
      <c r="K73" s="18">
        <f>_xll.ciqfunctions.udf.CIQ(InputTicker,"IQ_PERIODLENGTH_IS",Input!M$2,Date)</f>
        <v>12</v>
      </c>
      <c r="L73" s="18">
        <f>_xll.ciqfunctions.udf.CIQ(InputTicker,"IQ_PERIODLENGTH_IS",Input!N$2,Date)</f>
        <v>12</v>
      </c>
      <c r="M73" s="18">
        <f>_xll.ciqfunctions.udf.CIQ(InputTicker,"IQ_PERIODLENGTH_IS",Input!O$2,Date)</f>
        <v>12</v>
      </c>
      <c r="N73" s="42"/>
      <c r="P73" s="46"/>
      <c r="Q73" s="46"/>
      <c r="R73" s="46"/>
      <c r="T73" s="42"/>
      <c r="U73" s="42"/>
      <c r="V73" s="46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</row>
    <row r="74" spans="1:66" ht="12.75" customHeight="1" x14ac:dyDescent="0.2">
      <c r="A74" s="1" t="s">
        <v>84</v>
      </c>
      <c r="B74" s="4">
        <f>_xll.ciqfunctions.udf.CIQ(InputTicker,"IQ_EBITDA",Input!D$2,Date,,,Ccy,Conv)</f>
        <v>514.90599999999995</v>
      </c>
      <c r="C74" s="4">
        <f>_xll.ciqfunctions.udf.CIQ(InputTicker,"IQ_EBITDA",Input!E$2,Date,,,Ccy,Conv)</f>
        <v>-81.369</v>
      </c>
      <c r="D74" s="4">
        <f>_xll.ciqfunctions.udf.CIQ(InputTicker,"IQ_EBITDA",Input!F$2,Date,,,Ccy,Conv)</f>
        <v>235.756</v>
      </c>
      <c r="E74" s="4">
        <f>_xll.ciqfunctions.udf.CIQ(InputTicker,"IQ_EBITDA",Input!G$2,Date,,,Ccy,Conv)</f>
        <v>100.464</v>
      </c>
      <c r="F74" s="4">
        <f>_xll.ciqfunctions.udf.CIQ(InputTicker,"IQ_EBITDA",Input!H$2,Date,,,Ccy,Conv)</f>
        <v>59.454000000000001</v>
      </c>
      <c r="G74" s="4">
        <f>_xll.ciqfunctions.udf.CIQ(InputTicker,"IQ_EBITDA",Input!I$2,Date,,,Ccy,Conv)</f>
        <v>36.195</v>
      </c>
      <c r="H74" s="4">
        <f>_xll.ciqfunctions.udf.CIQ(InputTicker,"IQ_EBITDA",Input!J$2,Date,,,Ccy,Conv)</f>
        <v>206.82300000000001</v>
      </c>
      <c r="I74" s="4">
        <f>_xll.ciqfunctions.udf.CIQ(InputTicker,"IQ_EBITDA",Input!K$2,Date,,,Ccy,Conv)</f>
        <v>1036.4839999999999</v>
      </c>
      <c r="J74" s="4">
        <f>_xll.ciqfunctions.udf.CIQ(InputTicker,"IQ_EBITDA",Input!L$2,Date,,,Ccy,Conv)</f>
        <v>374.68700000000001</v>
      </c>
      <c r="K74" s="4">
        <f>_xll.ciqfunctions.udf.CIQ(InputTicker,"IQ_EBITDA",Input!M$2,Date,,,Ccy,Conv)</f>
        <v>1652.057</v>
      </c>
      <c r="L74" s="4">
        <f>_xll.ciqfunctions.udf.CIQ(InputTicker,"IQ_EBITDA",Input!N$2,Date,,,Ccy,Conv)</f>
        <v>467.69400000000002</v>
      </c>
      <c r="M74" s="4">
        <f>_xll.ciqfunctions.udf.CIQ(InputTicker,"IQ_EBITDA",Input!O$2,Date,,,Ccy,Conv)</f>
        <v>467.69400000000002</v>
      </c>
      <c r="N74" s="42"/>
      <c r="P74" s="46"/>
      <c r="Q74" s="46"/>
      <c r="R74" s="46"/>
      <c r="T74" s="42"/>
      <c r="U74" s="42"/>
      <c r="V74" s="46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</row>
    <row r="75" spans="1:66" ht="12.75" customHeight="1" x14ac:dyDescent="0.2">
      <c r="A75" s="1" t="s">
        <v>286</v>
      </c>
      <c r="B75" s="4">
        <f>_xll.ciqfunctions.udf.CIQ(InputTicker,"IQ_EBITDA_EQ_INC",Input!D$2,Date,,,Ccy,Conv)</f>
        <v>519.92200000000003</v>
      </c>
      <c r="C75" s="4">
        <f>_xll.ciqfunctions.udf.CIQ(InputTicker,"IQ_EBITDA_EQ_INC",Input!E$2,Date,,,Ccy,Conv)</f>
        <v>-79.978999999999999</v>
      </c>
      <c r="D75" s="4">
        <f>_xll.ciqfunctions.udf.CIQ(InputTicker,"IQ_EBITDA_EQ_INC",Input!F$2,Date,,,Ccy,Conv)</f>
        <v>239.273</v>
      </c>
      <c r="E75" s="4">
        <f>_xll.ciqfunctions.udf.CIQ(InputTicker,"IQ_EBITDA_EQ_INC",Input!G$2,Date,,,Ccy,Conv)</f>
        <v>105.24</v>
      </c>
      <c r="F75" s="4">
        <f>_xll.ciqfunctions.udf.CIQ(InputTicker,"IQ_EBITDA_EQ_INC",Input!H$2,Date,,,Ccy,Conv)</f>
        <v>64.688000000000002</v>
      </c>
      <c r="G75" s="4">
        <f>_xll.ciqfunctions.udf.CIQ(InputTicker,"IQ_EBITDA_EQ_INC",Input!I$2,Date,,,Ccy,Conv)</f>
        <v>41.372999999999998</v>
      </c>
      <c r="H75" s="4">
        <f>_xll.ciqfunctions.udf.CIQ(InputTicker,"IQ_EBITDA_EQ_INC",Input!J$2,Date,,,Ccy,Conv)</f>
        <v>208.76599999999999</v>
      </c>
      <c r="I75" s="4">
        <f>_xll.ciqfunctions.udf.CIQ(InputTicker,"IQ_EBITDA_EQ_INC",Input!K$2,Date,,,Ccy,Conv)</f>
        <v>1037.23</v>
      </c>
      <c r="J75" s="4">
        <f>_xll.ciqfunctions.udf.CIQ(InputTicker,"IQ_EBITDA_EQ_INC",Input!L$2,Date,,,Ccy,Conv)</f>
        <v>376.08699999999999</v>
      </c>
      <c r="K75" s="4">
        <f>_xll.ciqfunctions.udf.CIQ(InputTicker,"IQ_EBITDA_EQ_INC",Input!M$2,Date,,,Ccy,Conv)</f>
        <v>1658.2570000000001</v>
      </c>
      <c r="L75" s="4">
        <f>_xll.ciqfunctions.udf.CIQ(InputTicker,"IQ_EBITDA_EQ_INC",Input!N$2,Date,,,Ccy,Conv)</f>
        <v>466.39400000000001</v>
      </c>
      <c r="M75" s="4">
        <f>_xll.ciqfunctions.udf.CIQ(InputTicker,"IQ_EBITDA_EQ_INC",Input!O$2,Date,,,Ccy,Conv)</f>
        <v>466.39400000000001</v>
      </c>
      <c r="N75" s="50"/>
      <c r="P75" s="46"/>
      <c r="Q75" s="46"/>
      <c r="R75" s="46"/>
      <c r="T75" s="42"/>
      <c r="U75" s="42"/>
      <c r="V75" s="46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</row>
    <row r="76" spans="1:66" ht="12.75" customHeight="1" x14ac:dyDescent="0.2">
      <c r="A76" s="1" t="s">
        <v>287</v>
      </c>
      <c r="B76" s="4">
        <f>_xll.ciqfunctions.udf.CIQ(InputTicker,"IQ_EBITDA_EQ_INC_EXCL_SBC",Input!D$2,Date,,,Ccy,Conv)</f>
        <v>522.99300000000005</v>
      </c>
      <c r="C76" s="4">
        <f>_xll.ciqfunctions.udf.CIQ(InputTicker,"IQ_EBITDA_EQ_INC_EXCL_SBC",Input!E$2,Date,,,Ccy,Conv)</f>
        <v>-76.552000000000007</v>
      </c>
      <c r="D76" s="4">
        <f>_xll.ciqfunctions.udf.CIQ(InputTicker,"IQ_EBITDA_EQ_INC_EXCL_SBC",Input!F$2,Date,,,Ccy,Conv)</f>
        <v>242.74</v>
      </c>
      <c r="E76" s="4">
        <f>_xll.ciqfunctions.udf.CIQ(InputTicker,"IQ_EBITDA_EQ_INC_EXCL_SBC",Input!G$2,Date,,,Ccy,Conv)</f>
        <v>108.85899999999999</v>
      </c>
      <c r="F76" s="4">
        <f>_xll.ciqfunctions.udf.CIQ(InputTicker,"IQ_EBITDA_EQ_INC_EXCL_SBC",Input!H$2,Date,,,Ccy,Conv)</f>
        <v>63.604999999999997</v>
      </c>
      <c r="G76" s="4">
        <f>_xll.ciqfunctions.udf.CIQ(InputTicker,"IQ_EBITDA_EQ_INC_EXCL_SBC",Input!I$2,Date,,,Ccy,Conv)</f>
        <v>40.594999999999999</v>
      </c>
      <c r="H76" s="4">
        <f>_xll.ciqfunctions.udf.CIQ(InputTicker,"IQ_EBITDA_EQ_INC_EXCL_SBC",Input!J$2,Date,,,Ccy,Conv)</f>
        <v>212.82900000000001</v>
      </c>
      <c r="I76" s="4">
        <f>_xll.ciqfunctions.udf.CIQ(InputTicker,"IQ_EBITDA_EQ_INC_EXCL_SBC",Input!K$2,Date,,,Ccy,Conv)</f>
        <v>1041.4349999999999</v>
      </c>
      <c r="J76" s="4">
        <f>_xll.ciqfunctions.udf.CIQ(InputTicker,"IQ_EBITDA_EQ_INC_EXCL_SBC",Input!L$2,Date,,,Ccy,Conv)</f>
        <v>380.44499999999999</v>
      </c>
      <c r="K76" s="4">
        <f>_xll.ciqfunctions.udf.CIQ(InputTicker,"IQ_EBITDA_EQ_INC_EXCL_SBC",Input!M$2,Date,,,Ccy,Conv)</f>
        <v>1662.7840000000001</v>
      </c>
      <c r="L76" s="4">
        <f>_xll.ciqfunctions.udf.CIQ(InputTicker,"IQ_EBITDA_EQ_INC_EXCL_SBC",Input!N$2,Date,,,Ccy,Conv)</f>
        <v>472.15100000000001</v>
      </c>
      <c r="M76" s="4">
        <f>_xll.ciqfunctions.udf.CIQ(InputTicker,"IQ_EBITDA_EQ_INC_EXCL_SBC",Input!O$2,Date,,,Ccy,Conv)</f>
        <v>472.15100000000001</v>
      </c>
      <c r="N76" s="50"/>
      <c r="P76" s="46"/>
      <c r="Q76" s="46"/>
      <c r="R76" s="46"/>
      <c r="T76" s="42"/>
      <c r="U76" s="42"/>
      <c r="V76" s="46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</row>
    <row r="77" spans="1:66" ht="12.75" customHeight="1" x14ac:dyDescent="0.2">
      <c r="A77" s="1" t="s">
        <v>288</v>
      </c>
      <c r="B77" s="4">
        <f>_xll.ciqfunctions.udf.CIQ(InputTicker,"IQ_EBITDA_EXCL_SBC",Input!D$2,Date,,,Ccy,Conv)</f>
        <v>517.97699999999998</v>
      </c>
      <c r="C77" s="4">
        <f>_xll.ciqfunctions.udf.CIQ(InputTicker,"IQ_EBITDA_EXCL_SBC",Input!E$2,Date,,,Ccy,Conv)</f>
        <v>-77.941999999999993</v>
      </c>
      <c r="D77" s="4">
        <f>_xll.ciqfunctions.udf.CIQ(InputTicker,"IQ_EBITDA_EXCL_SBC",Input!F$2,Date,,,Ccy,Conv)</f>
        <v>239.22300000000001</v>
      </c>
      <c r="E77" s="4">
        <f>_xll.ciqfunctions.udf.CIQ(InputTicker,"IQ_EBITDA_EXCL_SBC",Input!G$2,Date,,,Ccy,Conv)</f>
        <v>104.083</v>
      </c>
      <c r="F77" s="4">
        <f>_xll.ciqfunctions.udf.CIQ(InputTicker,"IQ_EBITDA_EXCL_SBC",Input!H$2,Date,,,Ccy,Conv)</f>
        <v>63.070999999999998</v>
      </c>
      <c r="G77" s="4">
        <f>_xll.ciqfunctions.udf.CIQ(InputTicker,"IQ_EBITDA_EXCL_SBC",Input!I$2,Date,,,Ccy,Conv)</f>
        <v>39.972999999999999</v>
      </c>
      <c r="H77" s="4">
        <f>_xll.ciqfunctions.udf.CIQ(InputTicker,"IQ_EBITDA_EXCL_SBC",Input!J$2,Date,,,Ccy,Conv)</f>
        <v>210.886</v>
      </c>
      <c r="I77" s="4">
        <f>_xll.ciqfunctions.udf.CIQ(InputTicker,"IQ_EBITDA_EXCL_SBC",Input!K$2,Date,,,Ccy,Conv)</f>
        <v>1040.6890000000001</v>
      </c>
      <c r="J77" s="4">
        <f>_xll.ciqfunctions.udf.CIQ(InputTicker,"IQ_EBITDA_EXCL_SBC",Input!L$2,Date,,,Ccy,Conv)</f>
        <v>379.04500000000002</v>
      </c>
      <c r="K77" s="4">
        <f>_xll.ciqfunctions.udf.CIQ(InputTicker,"IQ_EBITDA_EXCL_SBC",Input!M$2,Date,,,Ccy,Conv)</f>
        <v>1656.5840000000001</v>
      </c>
      <c r="L77" s="4">
        <f>_xll.ciqfunctions.udf.CIQ(InputTicker,"IQ_EBITDA_EXCL_SBC",Input!N$2,Date,,,Ccy,Conv)</f>
        <v>473.45100000000002</v>
      </c>
      <c r="M77" s="4">
        <f>_xll.ciqfunctions.udf.CIQ(InputTicker,"IQ_EBITDA_EXCL_SBC",Input!O$2,Date,,,Ccy,Conv)</f>
        <v>473.45100000000002</v>
      </c>
      <c r="N77" s="50"/>
      <c r="P77" s="46"/>
      <c r="Q77" s="46"/>
      <c r="R77" s="46"/>
      <c r="T77" s="42"/>
      <c r="U77" s="42"/>
      <c r="V77" s="46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</row>
    <row r="78" spans="1:66" ht="12.75" customHeight="1" x14ac:dyDescent="0.2">
      <c r="A78" s="1" t="s">
        <v>460</v>
      </c>
      <c r="B78" s="4">
        <f>_xll.ciqfunctions.udf.CIQ(InputTicker,"IQ_EBITDA_LEASE_ADJUSTED",Input!D$2,Date,,,Ccy,Conv)</f>
        <v>514.90599999999995</v>
      </c>
      <c r="C78" s="4">
        <f>_xll.ciqfunctions.udf.CIQ(InputTicker,"IQ_EBITDA_LEASE_ADJUSTED",Input!E$2,Date,,,Ccy,Conv)</f>
        <v>-81.369</v>
      </c>
      <c r="D78" s="4">
        <f>_xll.ciqfunctions.udf.CIQ(InputTicker,"IQ_EBITDA_LEASE_ADJUSTED",Input!F$2,Date,,,Ccy,Conv)</f>
        <v>235.756</v>
      </c>
      <c r="E78" s="4">
        <f>_xll.ciqfunctions.udf.CIQ(InputTicker,"IQ_EBITDA_LEASE_ADJUSTED",Input!G$2,Date,,,Ccy,Conv)</f>
        <v>100.464</v>
      </c>
      <c r="F78" s="4">
        <f>_xll.ciqfunctions.udf.CIQ(InputTicker,"IQ_EBITDA_LEASE_ADJUSTED",Input!H$2,Date,,,Ccy,Conv)</f>
        <v>64.153999999999996</v>
      </c>
      <c r="G78" s="4">
        <f>_xll.ciqfunctions.udf.CIQ(InputTicker,"IQ_EBITDA_LEASE_ADJUSTED",Input!I$2,Date,,,Ccy,Conv)</f>
        <v>40.750999999999998</v>
      </c>
      <c r="H78" s="4">
        <f>_xll.ciqfunctions.udf.CIQ(InputTicker,"IQ_EBITDA_LEASE_ADJUSTED",Input!J$2,Date,,,Ccy,Conv)</f>
        <v>206.82300000000001</v>
      </c>
      <c r="I78" s="4">
        <f>_xll.ciqfunctions.udf.CIQ(InputTicker,"IQ_EBITDA_LEASE_ADJUSTED",Input!K$2,Date,,,Ccy,Conv)</f>
        <v>1036.4839999999999</v>
      </c>
      <c r="J78" s="4">
        <f>_xll.ciqfunctions.udf.CIQ(InputTicker,"IQ_EBITDA_LEASE_ADJUSTED",Input!L$2,Date,,,Ccy,Conv)</f>
        <v>374.68700000000001</v>
      </c>
      <c r="K78" s="4">
        <f>_xll.ciqfunctions.udf.CIQ(InputTicker,"IQ_EBITDA_LEASE_ADJUSTED",Input!M$2,Date,,,Ccy,Conv)</f>
        <v>1652.057</v>
      </c>
      <c r="L78" s="4">
        <f>_xll.ciqfunctions.udf.CIQ(InputTicker,"IQ_EBITDA_LEASE_ADJUSTED",Input!N$2,Date,,,Ccy,Conv)</f>
        <v>467.69400000000002</v>
      </c>
      <c r="M78" s="4">
        <f>_xll.ciqfunctions.udf.CIQ(InputTicker,"IQ_EBITDA_LEASE_ADJUSTED",Input!O$2,Date,,,Ccy,Conv)</f>
        <v>467.69400000000002</v>
      </c>
      <c r="N78" s="50"/>
      <c r="P78" s="46"/>
      <c r="Q78" s="46"/>
      <c r="R78" s="46"/>
      <c r="T78" s="42"/>
      <c r="U78" s="42"/>
      <c r="V78" s="46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</row>
    <row r="79" spans="1:66" ht="12.75" customHeight="1" x14ac:dyDescent="0.2">
      <c r="A79" s="1" t="s">
        <v>461</v>
      </c>
      <c r="B79" s="4">
        <f>_xll.ciqfunctions.udf.CIQ(InputTicker,"IQ_LEASE_ADJUSTMENT_EBITDA",Input!D$2,Date,,,Ccy,Conv)</f>
        <v>0</v>
      </c>
      <c r="C79" s="4">
        <f>_xll.ciqfunctions.udf.CIQ(InputTicker,"IQ_LEASE_ADJUSTMENT_EBITDA",Input!E$2,Date,,,Ccy,Conv)</f>
        <v>0</v>
      </c>
      <c r="D79" s="4">
        <f>_xll.ciqfunctions.udf.CIQ(InputTicker,"IQ_LEASE_ADJUSTMENT_EBITDA",Input!F$2,Date,,,Ccy,Conv)</f>
        <v>0</v>
      </c>
      <c r="E79" s="4">
        <f>_xll.ciqfunctions.udf.CIQ(InputTicker,"IQ_LEASE_ADJUSTMENT_EBITDA",Input!G$2,Date,,,Ccy,Conv)</f>
        <v>0</v>
      </c>
      <c r="F79" s="4">
        <f>_xll.ciqfunctions.udf.CIQ(InputTicker,"IQ_LEASE_ADJUSTMENT_EBITDA",Input!H$2,Date,,,Ccy,Conv)</f>
        <v>4.7</v>
      </c>
      <c r="G79" s="4">
        <f>_xll.ciqfunctions.udf.CIQ(InputTicker,"IQ_LEASE_ADJUSTMENT_EBITDA",Input!I$2,Date,,,Ccy,Conv)</f>
        <v>4.556</v>
      </c>
      <c r="H79" s="4">
        <f>_xll.ciqfunctions.udf.CIQ(InputTicker,"IQ_LEASE_ADJUSTMENT_EBITDA",Input!J$2,Date,,,Ccy,Conv)</f>
        <v>0</v>
      </c>
      <c r="I79" s="4">
        <f>_xll.ciqfunctions.udf.CIQ(InputTicker,"IQ_LEASE_ADJUSTMENT_EBITDA",Input!K$2,Date,,,Ccy,Conv)</f>
        <v>0</v>
      </c>
      <c r="J79" s="4">
        <f>_xll.ciqfunctions.udf.CIQ(InputTicker,"IQ_LEASE_ADJUSTMENT_EBITDA",Input!L$2,Date,,,Ccy,Conv)</f>
        <v>0</v>
      </c>
      <c r="K79" s="4">
        <f>_xll.ciqfunctions.udf.CIQ(InputTicker,"IQ_LEASE_ADJUSTMENT_EBITDA",Input!M$2,Date,,,Ccy,Conv)</f>
        <v>0</v>
      </c>
      <c r="L79" s="4">
        <f>_xll.ciqfunctions.udf.CIQ(InputTicker,"IQ_LEASE_ADJUSTMENT_EBITDA",Input!N$2,Date,,,Ccy,Conv)</f>
        <v>0</v>
      </c>
      <c r="M79" s="4">
        <f>_xll.ciqfunctions.udf.CIQ(InputTicker,"IQ_LEASE_ADJUSTMENT_EBITDA",Input!O$2,Date,,,Ccy,Conv)</f>
        <v>0</v>
      </c>
      <c r="N79" s="50"/>
      <c r="P79" s="46"/>
      <c r="Q79" s="46"/>
      <c r="R79" s="46"/>
      <c r="T79" s="42"/>
      <c r="U79" s="42"/>
      <c r="V79" s="46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</row>
    <row r="80" spans="1:66" ht="12.75" customHeight="1" x14ac:dyDescent="0.2">
      <c r="A80" s="1" t="s">
        <v>462</v>
      </c>
      <c r="B80" s="4">
        <f>_xll.ciqfunctions.udf.CIQ(InputTicker,"IQ_EBITDA_EQ_INC_EXCL_OPER_LEASE_ADJ",Input!D$2,Date,,,Ccy,Conv)</f>
        <v>519.92200000000003</v>
      </c>
      <c r="C80" s="4">
        <f>_xll.ciqfunctions.udf.CIQ(InputTicker,"IQ_EBITDA_EQ_INC_EXCL_OPER_LEASE_ADJ",Input!E$2,Date,,,Ccy,Conv)</f>
        <v>-79.978999999999999</v>
      </c>
      <c r="D80" s="4">
        <f>_xll.ciqfunctions.udf.CIQ(InputTicker,"IQ_EBITDA_EQ_INC_EXCL_OPER_LEASE_ADJ",Input!F$2,Date,,,Ccy,Conv)</f>
        <v>239.273</v>
      </c>
      <c r="E80" s="4">
        <f>_xll.ciqfunctions.udf.CIQ(InputTicker,"IQ_EBITDA_EQ_INC_EXCL_OPER_LEASE_ADJ",Input!G$2,Date,,,Ccy,Conv)</f>
        <v>105.24</v>
      </c>
      <c r="F80" s="4">
        <f>_xll.ciqfunctions.udf.CIQ(InputTicker,"IQ_EBITDA_EQ_INC_EXCL_OPER_LEASE_ADJ",Input!H$2,Date,,,Ccy,Conv)</f>
        <v>59.988</v>
      </c>
      <c r="G80" s="4">
        <f>_xll.ciqfunctions.udf.CIQ(InputTicker,"IQ_EBITDA_EQ_INC_EXCL_OPER_LEASE_ADJ",Input!I$2,Date,,,Ccy,Conv)</f>
        <v>36.817</v>
      </c>
      <c r="H80" s="4">
        <f>_xll.ciqfunctions.udf.CIQ(InputTicker,"IQ_EBITDA_EQ_INC_EXCL_OPER_LEASE_ADJ",Input!J$2,Date,,,Ccy,Conv)</f>
        <v>208.76599999999999</v>
      </c>
      <c r="I80" s="4">
        <f>_xll.ciqfunctions.udf.CIQ(InputTicker,"IQ_EBITDA_EQ_INC_EXCL_OPER_LEASE_ADJ",Input!K$2,Date,,,Ccy,Conv)</f>
        <v>1037.23</v>
      </c>
      <c r="J80" s="4">
        <f>_xll.ciqfunctions.udf.CIQ(InputTicker,"IQ_EBITDA_EQ_INC_EXCL_OPER_LEASE_ADJ",Input!L$2,Date,,,Ccy,Conv)</f>
        <v>376.08699999999999</v>
      </c>
      <c r="K80" s="4">
        <f>_xll.ciqfunctions.udf.CIQ(InputTicker,"IQ_EBITDA_EQ_INC_EXCL_OPER_LEASE_ADJ",Input!M$2,Date,,,Ccy,Conv)</f>
        <v>1658.2570000000001</v>
      </c>
      <c r="L80" s="4">
        <f>_xll.ciqfunctions.udf.CIQ(InputTicker,"IQ_EBITDA_EQ_INC_EXCL_OPER_LEASE_ADJ",Input!N$2,Date,,,Ccy,Conv)</f>
        <v>466.39400000000001</v>
      </c>
      <c r="M80" s="4">
        <f>_xll.ciqfunctions.udf.CIQ(InputTicker,"IQ_EBITDA_EQ_INC_EXCL_OPER_LEASE_ADJ",Input!O$2,Date,,,Ccy,Conv)</f>
        <v>466.39400000000001</v>
      </c>
      <c r="N80" s="50"/>
      <c r="P80" s="46"/>
      <c r="Q80" s="46"/>
      <c r="R80" s="46"/>
      <c r="T80" s="42"/>
      <c r="U80" s="42"/>
      <c r="V80" s="46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</row>
    <row r="81" spans="1:66" ht="12.75" customHeight="1" x14ac:dyDescent="0.2">
      <c r="A81" s="1" t="s">
        <v>307</v>
      </c>
      <c r="B81" s="4">
        <f>_xll.ciqfunctions.udf.CIQ(InputTicker,"IQ_EBIT",Input!D$2,Date,,,Ccy,Conv)</f>
        <v>470.31400000000002</v>
      </c>
      <c r="C81" s="4">
        <f>_xll.ciqfunctions.udf.CIQ(InputTicker,"IQ_EBIT",Input!E$2,Date,,,Ccy,Conv)</f>
        <v>-130.482</v>
      </c>
      <c r="D81" s="4">
        <f>_xll.ciqfunctions.udf.CIQ(InputTicker,"IQ_EBIT",Input!F$2,Date,,,Ccy,Conv)</f>
        <v>181.73</v>
      </c>
      <c r="E81" s="4">
        <f>_xll.ciqfunctions.udf.CIQ(InputTicker,"IQ_EBIT",Input!G$2,Date,,,Ccy,Conv)</f>
        <v>45.814</v>
      </c>
      <c r="F81" s="4">
        <f>_xll.ciqfunctions.udf.CIQ(InputTicker,"IQ_EBIT",Input!H$2,Date,,,Ccy,Conv)</f>
        <v>1.351</v>
      </c>
      <c r="G81" s="4">
        <f>_xll.ciqfunctions.udf.CIQ(InputTicker,"IQ_EBIT",Input!I$2,Date,,,Ccy,Conv)</f>
        <v>-23.282</v>
      </c>
      <c r="H81" s="4">
        <f>_xll.ciqfunctions.udf.CIQ(InputTicker,"IQ_EBIT",Input!J$2,Date,,,Ccy,Conv)</f>
        <v>138.428</v>
      </c>
      <c r="I81" s="4">
        <f>_xll.ciqfunctions.udf.CIQ(InputTicker,"IQ_EBIT",Input!K$2,Date,,,Ccy,Conv)</f>
        <v>964.25</v>
      </c>
      <c r="J81" s="4">
        <f>_xll.ciqfunctions.udf.CIQ(InputTicker,"IQ_EBIT",Input!L$2,Date,,,Ccy,Conv)</f>
        <v>294.44600000000003</v>
      </c>
      <c r="K81" s="4">
        <f>_xll.ciqfunctions.udf.CIQ(InputTicker,"IQ_EBIT",Input!M$2,Date,,,Ccy,Conv)</f>
        <v>1558.0360000000001</v>
      </c>
      <c r="L81" s="4">
        <f>_xll.ciqfunctions.udf.CIQ(InputTicker,"IQ_EBIT",Input!N$2,Date,,,Ccy,Conv)</f>
        <v>343.35199999999998</v>
      </c>
      <c r="M81" s="4">
        <f>_xll.ciqfunctions.udf.CIQ(InputTicker,"IQ_EBIT",Input!O$2,Date,,,Ccy,Conv)</f>
        <v>343.35199999999998</v>
      </c>
      <c r="N81" s="50"/>
      <c r="P81" s="46"/>
      <c r="Q81" s="46"/>
      <c r="R81" s="46"/>
      <c r="T81" s="42"/>
      <c r="U81" s="42"/>
      <c r="V81" s="46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</row>
    <row r="82" spans="1:66" ht="12.75" customHeight="1" x14ac:dyDescent="0.2">
      <c r="A82" s="1" t="s">
        <v>289</v>
      </c>
      <c r="B82" s="4">
        <f>_xll.ciqfunctions.udf.CIQ(InputTicker,"IQ_EBIT_EQ_INC",Input!D$2,Date,,,Ccy,Conv)</f>
        <v>475.33</v>
      </c>
      <c r="C82" s="4">
        <f>_xll.ciqfunctions.udf.CIQ(InputTicker,"IQ_EBIT_EQ_INC",Input!E$2,Date,,,Ccy,Conv)</f>
        <v>-129.09200000000001</v>
      </c>
      <c r="D82" s="4">
        <f>_xll.ciqfunctions.udf.CIQ(InputTicker,"IQ_EBIT_EQ_INC",Input!F$2,Date,,,Ccy,Conv)</f>
        <v>185.24700000000001</v>
      </c>
      <c r="E82" s="4">
        <f>_xll.ciqfunctions.udf.CIQ(InputTicker,"IQ_EBIT_EQ_INC",Input!G$2,Date,,,Ccy,Conv)</f>
        <v>50.59</v>
      </c>
      <c r="F82" s="4">
        <f>_xll.ciqfunctions.udf.CIQ(InputTicker,"IQ_EBIT_EQ_INC",Input!H$2,Date,,,Ccy,Conv)</f>
        <v>1.885</v>
      </c>
      <c r="G82" s="4">
        <f>_xll.ciqfunctions.udf.CIQ(InputTicker,"IQ_EBIT_EQ_INC",Input!I$2,Date,,,Ccy,Conv)</f>
        <v>-22.66</v>
      </c>
      <c r="H82" s="4">
        <f>_xll.ciqfunctions.udf.CIQ(InputTicker,"IQ_EBIT_EQ_INC",Input!J$2,Date,,,Ccy,Conv)</f>
        <v>140.37100000000001</v>
      </c>
      <c r="I82" s="4">
        <f>_xll.ciqfunctions.udf.CIQ(InputTicker,"IQ_EBIT_EQ_INC",Input!K$2,Date,,,Ccy,Conv)</f>
        <v>964.99599999999998</v>
      </c>
      <c r="J82" s="4">
        <f>_xll.ciqfunctions.udf.CIQ(InputTicker,"IQ_EBIT_EQ_INC",Input!L$2,Date,,,Ccy,Conv)</f>
        <v>295.846</v>
      </c>
      <c r="K82" s="4">
        <f>_xll.ciqfunctions.udf.CIQ(InputTicker,"IQ_EBIT_EQ_INC",Input!M$2,Date,,,Ccy,Conv)</f>
        <v>1564.2360000000001</v>
      </c>
      <c r="L82" s="4">
        <f>_xll.ciqfunctions.udf.CIQ(InputTicker,"IQ_EBIT_EQ_INC",Input!N$2,Date,,,Ccy,Conv)</f>
        <v>342.05200000000002</v>
      </c>
      <c r="M82" s="4">
        <f>_xll.ciqfunctions.udf.CIQ(InputTicker,"IQ_EBIT_EQ_INC",Input!O$2,Date,,,Ccy,Conv)</f>
        <v>342.05200000000002</v>
      </c>
      <c r="N82" s="50"/>
      <c r="P82" s="46"/>
      <c r="Q82" s="46"/>
      <c r="R82" s="46"/>
      <c r="T82" s="42"/>
      <c r="U82" s="42"/>
      <c r="V82" s="46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</row>
    <row r="83" spans="1:66" ht="12.75" customHeight="1" x14ac:dyDescent="0.2">
      <c r="A83" s="1" t="s">
        <v>290</v>
      </c>
      <c r="B83" s="4">
        <f>_xll.ciqfunctions.udf.CIQ(InputTicker,"IQ_EBIT_EQ_INC_EXCL_SBC",Input!D$2,Date,,,Ccy,Conv)</f>
        <v>478.40100000000001</v>
      </c>
      <c r="C83" s="4">
        <f>_xll.ciqfunctions.udf.CIQ(InputTicker,"IQ_EBIT_EQ_INC_EXCL_SBC",Input!E$2,Date,,,Ccy,Conv)</f>
        <v>-125.66500000000001</v>
      </c>
      <c r="D83" s="4">
        <f>_xll.ciqfunctions.udf.CIQ(InputTicker,"IQ_EBIT_EQ_INC_EXCL_SBC",Input!F$2,Date,,,Ccy,Conv)</f>
        <v>188.714</v>
      </c>
      <c r="E83" s="4">
        <f>_xll.ciqfunctions.udf.CIQ(InputTicker,"IQ_EBIT_EQ_INC_EXCL_SBC",Input!G$2,Date,,,Ccy,Conv)</f>
        <v>54.209000000000003</v>
      </c>
      <c r="F83" s="4">
        <f>_xll.ciqfunctions.udf.CIQ(InputTicker,"IQ_EBIT_EQ_INC_EXCL_SBC",Input!H$2,Date,,,Ccy,Conv)</f>
        <v>5.5019999999999998</v>
      </c>
      <c r="G83" s="4">
        <f>_xll.ciqfunctions.udf.CIQ(InputTicker,"IQ_EBIT_EQ_INC_EXCL_SBC",Input!I$2,Date,,,Ccy,Conv)</f>
        <v>-18.882000000000001</v>
      </c>
      <c r="H83" s="4">
        <f>_xll.ciqfunctions.udf.CIQ(InputTicker,"IQ_EBIT_EQ_INC_EXCL_SBC",Input!J$2,Date,,,Ccy,Conv)</f>
        <v>144.434</v>
      </c>
      <c r="I83" s="4">
        <f>_xll.ciqfunctions.udf.CIQ(InputTicker,"IQ_EBIT_EQ_INC_EXCL_SBC",Input!K$2,Date,,,Ccy,Conv)</f>
        <v>969.20100000000002</v>
      </c>
      <c r="J83" s="4">
        <f>_xll.ciqfunctions.udf.CIQ(InputTicker,"IQ_EBIT_EQ_INC_EXCL_SBC",Input!L$2,Date,,,Ccy,Conv)</f>
        <v>300.20400000000001</v>
      </c>
      <c r="K83" s="4">
        <f>_xll.ciqfunctions.udf.CIQ(InputTicker,"IQ_EBIT_EQ_INC_EXCL_SBC",Input!M$2,Date,,,Ccy,Conv)</f>
        <v>1568.7629999999999</v>
      </c>
      <c r="L83" s="4">
        <f>_xll.ciqfunctions.udf.CIQ(InputTicker,"IQ_EBIT_EQ_INC_EXCL_SBC",Input!N$2,Date,,,Ccy,Conv)</f>
        <v>347.80900000000003</v>
      </c>
      <c r="M83" s="4">
        <f>_xll.ciqfunctions.udf.CIQ(InputTicker,"IQ_EBIT_EQ_INC_EXCL_SBC",Input!O$2,Date,,,Ccy,Conv)</f>
        <v>347.80900000000003</v>
      </c>
      <c r="N83" s="50"/>
      <c r="P83" s="46"/>
      <c r="Q83" s="46"/>
      <c r="R83" s="46"/>
      <c r="T83" s="42"/>
      <c r="U83" s="42"/>
      <c r="V83" s="46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</row>
    <row r="84" spans="1:66" ht="12.75" customHeight="1" x14ac:dyDescent="0.2">
      <c r="A84" s="1" t="s">
        <v>291</v>
      </c>
      <c r="B84" s="4">
        <f>_xll.ciqfunctions.udf.CIQ(InputTicker,"IQ_EBIT_EXCL_SBC",Input!D$2,Date,,,Ccy,Conv)</f>
        <v>473.38499999999999</v>
      </c>
      <c r="C84" s="4">
        <f>_xll.ciqfunctions.udf.CIQ(InputTicker,"IQ_EBIT_EXCL_SBC",Input!E$2,Date,,,Ccy,Conv)</f>
        <v>-127.05500000000001</v>
      </c>
      <c r="D84" s="4">
        <f>_xll.ciqfunctions.udf.CIQ(InputTicker,"IQ_EBIT_EXCL_SBC",Input!F$2,Date,,,Ccy,Conv)</f>
        <v>185.197</v>
      </c>
      <c r="E84" s="4">
        <f>_xll.ciqfunctions.udf.CIQ(InputTicker,"IQ_EBIT_EXCL_SBC",Input!G$2,Date,,,Ccy,Conv)</f>
        <v>49.433</v>
      </c>
      <c r="F84" s="4">
        <f>_xll.ciqfunctions.udf.CIQ(InputTicker,"IQ_EBIT_EXCL_SBC",Input!H$2,Date,,,Ccy,Conv)</f>
        <v>4.968</v>
      </c>
      <c r="G84" s="4">
        <f>_xll.ciqfunctions.udf.CIQ(InputTicker,"IQ_EBIT_EXCL_SBC",Input!I$2,Date,,,Ccy,Conv)</f>
        <v>-19.504000000000001</v>
      </c>
      <c r="H84" s="4">
        <f>_xll.ciqfunctions.udf.CIQ(InputTicker,"IQ_EBIT_EXCL_SBC",Input!J$2,Date,,,Ccy,Conv)</f>
        <v>142.49100000000001</v>
      </c>
      <c r="I84" s="4">
        <f>_xll.ciqfunctions.udf.CIQ(InputTicker,"IQ_EBIT_EXCL_SBC",Input!K$2,Date,,,Ccy,Conv)</f>
        <v>968.45500000000004</v>
      </c>
      <c r="J84" s="4">
        <f>_xll.ciqfunctions.udf.CIQ(InputTicker,"IQ_EBIT_EXCL_SBC",Input!L$2,Date,,,Ccy,Conv)</f>
        <v>298.80399999999997</v>
      </c>
      <c r="K84" s="4">
        <f>_xll.ciqfunctions.udf.CIQ(InputTicker,"IQ_EBIT_EXCL_SBC",Input!M$2,Date,,,Ccy,Conv)</f>
        <v>1562.5630000000001</v>
      </c>
      <c r="L84" s="4">
        <f>_xll.ciqfunctions.udf.CIQ(InputTicker,"IQ_EBIT_EXCL_SBC",Input!N$2,Date,,,Ccy,Conv)</f>
        <v>349.10899999999998</v>
      </c>
      <c r="M84" s="4">
        <f>_xll.ciqfunctions.udf.CIQ(InputTicker,"IQ_EBIT_EXCL_SBC",Input!O$2,Date,,,Ccy,Conv)</f>
        <v>349.10899999999998</v>
      </c>
      <c r="N84" s="50"/>
      <c r="P84" s="46"/>
      <c r="Q84" s="46"/>
      <c r="R84" s="46"/>
      <c r="T84" s="42"/>
      <c r="U84" s="42"/>
      <c r="V84" s="46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</row>
    <row r="85" spans="1:66" ht="12.75" customHeight="1" x14ac:dyDescent="0.2">
      <c r="A85" s="1" t="s">
        <v>308</v>
      </c>
      <c r="B85" s="4">
        <f>_xll.ciqfunctions.udf.CIQ(InputTicker,"IQ_EBITA",Input!D$2,Date,,,Ccy,Conv)</f>
        <v>472.91399999999999</v>
      </c>
      <c r="C85" s="4">
        <f>_xll.ciqfunctions.udf.CIQ(InputTicker,"IQ_EBITA",Input!E$2,Date,,,Ccy,Conv)</f>
        <v>-128.28200000000001</v>
      </c>
      <c r="D85" s="4">
        <f>_xll.ciqfunctions.udf.CIQ(InputTicker,"IQ_EBITA",Input!F$2,Date,,,Ccy,Conv)</f>
        <v>184.53</v>
      </c>
      <c r="E85" s="4">
        <f>_xll.ciqfunctions.udf.CIQ(InputTicker,"IQ_EBITA",Input!G$2,Date,,,Ccy,Conv)</f>
        <v>48.613999999999997</v>
      </c>
      <c r="F85" s="4">
        <f>_xll.ciqfunctions.udf.CIQ(InputTicker,"IQ_EBITA",Input!H$2,Date,,,Ccy,Conv)</f>
        <v>4.2510000000000003</v>
      </c>
      <c r="G85" s="4">
        <f>_xll.ciqfunctions.udf.CIQ(InputTicker,"IQ_EBITA",Input!I$2,Date,,,Ccy,Conv)</f>
        <v>-23.282</v>
      </c>
      <c r="H85" s="4">
        <f>_xll.ciqfunctions.udf.CIQ(InputTicker,"IQ_EBITA",Input!J$2,Date,,,Ccy,Conv)</f>
        <v>138.428</v>
      </c>
      <c r="I85" s="4">
        <f>_xll.ciqfunctions.udf.CIQ(InputTicker,"IQ_EBITA",Input!K$2,Date,,,Ccy,Conv)</f>
        <v>966.48400000000004</v>
      </c>
      <c r="J85" s="4">
        <f>_xll.ciqfunctions.udf.CIQ(InputTicker,"IQ_EBITA",Input!L$2,Date,,,Ccy,Conv)</f>
        <v>296.61900000000003</v>
      </c>
      <c r="K85" s="4">
        <f>_xll.ciqfunctions.udf.CIQ(InputTicker,"IQ_EBITA",Input!M$2,Date,,,Ccy,Conv)</f>
        <v>1560.194</v>
      </c>
      <c r="L85" s="4">
        <f>_xll.ciqfunctions.udf.CIQ(InputTicker,"IQ_EBITA",Input!N$2,Date,,,Ccy,Conv)</f>
        <v>350.11700000000002</v>
      </c>
      <c r="M85" s="4">
        <f>_xll.ciqfunctions.udf.CIQ(InputTicker,"IQ_EBITA",Input!O$2,Date,,,Ccy,Conv)</f>
        <v>350.11700000000002</v>
      </c>
      <c r="N85" s="50"/>
      <c r="P85" s="46"/>
      <c r="Q85" s="46"/>
      <c r="R85" s="46"/>
      <c r="T85" s="42"/>
      <c r="U85" s="42"/>
      <c r="V85" s="46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</row>
    <row r="86" spans="1:66" ht="12.75" customHeight="1" x14ac:dyDescent="0.2">
      <c r="A86" s="1" t="s">
        <v>292</v>
      </c>
      <c r="B86" s="4">
        <f>_xll.ciqfunctions.udf.CIQ(InputTicker,"IQ_EBITA_EQ_INC",Input!D$2,Date,,,Ccy,Conv)</f>
        <v>477.93</v>
      </c>
      <c r="C86" s="4">
        <f>_xll.ciqfunctions.udf.CIQ(InputTicker,"IQ_EBITA_EQ_INC",Input!E$2,Date,,,Ccy,Conv)</f>
        <v>-126.892</v>
      </c>
      <c r="D86" s="4">
        <f>_xll.ciqfunctions.udf.CIQ(InputTicker,"IQ_EBITA_EQ_INC",Input!F$2,Date,,,Ccy,Conv)</f>
        <v>188.047</v>
      </c>
      <c r="E86" s="4">
        <f>_xll.ciqfunctions.udf.CIQ(InputTicker,"IQ_EBITA_EQ_INC",Input!G$2,Date,,,Ccy,Conv)</f>
        <v>53.39</v>
      </c>
      <c r="F86" s="4">
        <f>_xll.ciqfunctions.udf.CIQ(InputTicker,"IQ_EBITA_EQ_INC",Input!H$2,Date,,,Ccy,Conv)</f>
        <v>4.7850000000000001</v>
      </c>
      <c r="G86" s="4">
        <f>_xll.ciqfunctions.udf.CIQ(InputTicker,"IQ_EBITA_EQ_INC",Input!I$2,Date,,,Ccy,Conv)</f>
        <v>-22.66</v>
      </c>
      <c r="H86" s="4">
        <f>_xll.ciqfunctions.udf.CIQ(InputTicker,"IQ_EBITA_EQ_INC",Input!J$2,Date,,,Ccy,Conv)</f>
        <v>140.37100000000001</v>
      </c>
      <c r="I86" s="4">
        <f>_xll.ciqfunctions.udf.CIQ(InputTicker,"IQ_EBITA_EQ_INC",Input!K$2,Date,,,Ccy,Conv)</f>
        <v>967.23</v>
      </c>
      <c r="J86" s="4">
        <f>_xll.ciqfunctions.udf.CIQ(InputTicker,"IQ_EBITA_EQ_INC",Input!L$2,Date,,,Ccy,Conv)</f>
        <v>298.01900000000001</v>
      </c>
      <c r="K86" s="4">
        <f>_xll.ciqfunctions.udf.CIQ(InputTicker,"IQ_EBITA_EQ_INC",Input!M$2,Date,,,Ccy,Conv)</f>
        <v>1566.394</v>
      </c>
      <c r="L86" s="4">
        <f>_xll.ciqfunctions.udf.CIQ(InputTicker,"IQ_EBITA_EQ_INC",Input!N$2,Date,,,Ccy,Conv)</f>
        <v>348.81700000000001</v>
      </c>
      <c r="M86" s="4">
        <f>_xll.ciqfunctions.udf.CIQ(InputTicker,"IQ_EBITA_EQ_INC",Input!O$2,Date,,,Ccy,Conv)</f>
        <v>348.81700000000001</v>
      </c>
      <c r="N86" s="50"/>
      <c r="P86" s="46"/>
      <c r="Q86" s="46"/>
      <c r="R86" s="46"/>
      <c r="T86" s="42"/>
      <c r="U86" s="42"/>
      <c r="V86" s="46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</row>
    <row r="87" spans="1:66" ht="12.75" customHeight="1" x14ac:dyDescent="0.2">
      <c r="A87" s="1" t="s">
        <v>293</v>
      </c>
      <c r="B87" s="4">
        <f>_xll.ciqfunctions.udf.CIQ(InputTicker,"IQ_EBITA_EQ_INC_EXCL_SBC",Input!D$2,Date,,,Ccy,Conv)</f>
        <v>481.00099999999998</v>
      </c>
      <c r="C87" s="4">
        <f>_xll.ciqfunctions.udf.CIQ(InputTicker,"IQ_EBITA_EQ_INC_EXCL_SBC",Input!E$2,Date,,,Ccy,Conv)</f>
        <v>-123.465</v>
      </c>
      <c r="D87" s="4">
        <f>_xll.ciqfunctions.udf.CIQ(InputTicker,"IQ_EBITA_EQ_INC_EXCL_SBC",Input!F$2,Date,,,Ccy,Conv)</f>
        <v>191.51400000000001</v>
      </c>
      <c r="E87" s="4">
        <f>_xll.ciqfunctions.udf.CIQ(InputTicker,"IQ_EBITA_EQ_INC_EXCL_SBC",Input!G$2,Date,,,Ccy,Conv)</f>
        <v>57.009</v>
      </c>
      <c r="F87" s="4">
        <f>_xll.ciqfunctions.udf.CIQ(InputTicker,"IQ_EBITA_EQ_INC_EXCL_SBC",Input!H$2,Date,,,Ccy,Conv)</f>
        <v>8.4019999999999992</v>
      </c>
      <c r="G87" s="4">
        <f>_xll.ciqfunctions.udf.CIQ(InputTicker,"IQ_EBITA_EQ_INC_EXCL_SBC",Input!I$2,Date,,,Ccy,Conv)</f>
        <v>-18.882000000000001</v>
      </c>
      <c r="H87" s="4">
        <f>_xll.ciqfunctions.udf.CIQ(InputTicker,"IQ_EBITA_EQ_INC_EXCL_SBC",Input!J$2,Date,,,Ccy,Conv)</f>
        <v>144.434</v>
      </c>
      <c r="I87" s="4">
        <f>_xll.ciqfunctions.udf.CIQ(InputTicker,"IQ_EBITA_EQ_INC_EXCL_SBC",Input!K$2,Date,,,Ccy,Conv)</f>
        <v>971.43499999999995</v>
      </c>
      <c r="J87" s="4">
        <f>_xll.ciqfunctions.udf.CIQ(InputTicker,"IQ_EBITA_EQ_INC_EXCL_SBC",Input!L$2,Date,,,Ccy,Conv)</f>
        <v>302.37700000000001</v>
      </c>
      <c r="K87" s="4">
        <f>_xll.ciqfunctions.udf.CIQ(InputTicker,"IQ_EBITA_EQ_INC_EXCL_SBC",Input!M$2,Date,,,Ccy,Conv)</f>
        <v>1570.921</v>
      </c>
      <c r="L87" s="4">
        <f>_xll.ciqfunctions.udf.CIQ(InputTicker,"IQ_EBITA_EQ_INC_EXCL_SBC",Input!N$2,Date,,,Ccy,Conv)</f>
        <v>354.57400000000001</v>
      </c>
      <c r="M87" s="4">
        <f>_xll.ciqfunctions.udf.CIQ(InputTicker,"IQ_EBITA_EQ_INC_EXCL_SBC",Input!O$2,Date,,,Ccy,Conv)</f>
        <v>354.57400000000001</v>
      </c>
      <c r="N87" s="50"/>
      <c r="P87" s="46"/>
      <c r="Q87" s="46"/>
      <c r="R87" s="46"/>
      <c r="T87" s="42"/>
      <c r="U87" s="42"/>
      <c r="V87" s="46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</row>
    <row r="88" spans="1:66" ht="12.75" customHeight="1" x14ac:dyDescent="0.2">
      <c r="A88" s="1" t="s">
        <v>294</v>
      </c>
      <c r="B88" s="4">
        <f>_xll.ciqfunctions.udf.CIQ(InputTicker,"IQ_EBITA_EXCL_SBC",Input!D$2,Date,,,Ccy,Conv)</f>
        <v>475.98500000000001</v>
      </c>
      <c r="C88" s="4">
        <f>_xll.ciqfunctions.udf.CIQ(InputTicker,"IQ_EBITA_EXCL_SBC",Input!E$2,Date,,,Ccy,Conv)</f>
        <v>-124.855</v>
      </c>
      <c r="D88" s="4">
        <f>_xll.ciqfunctions.udf.CIQ(InputTicker,"IQ_EBITA_EXCL_SBC",Input!F$2,Date,,,Ccy,Conv)</f>
        <v>187.99700000000001</v>
      </c>
      <c r="E88" s="4">
        <f>_xll.ciqfunctions.udf.CIQ(InputTicker,"IQ_EBITA_EXCL_SBC",Input!G$2,Date,,,Ccy,Conv)</f>
        <v>52.232999999999997</v>
      </c>
      <c r="F88" s="4">
        <f>_xll.ciqfunctions.udf.CIQ(InputTicker,"IQ_EBITA_EXCL_SBC",Input!H$2,Date,,,Ccy,Conv)</f>
        <v>7.8680000000000003</v>
      </c>
      <c r="G88" s="4">
        <f>_xll.ciqfunctions.udf.CIQ(InputTicker,"IQ_EBITA_EXCL_SBC",Input!I$2,Date,,,Ccy,Conv)</f>
        <v>-19.504000000000001</v>
      </c>
      <c r="H88" s="4">
        <f>_xll.ciqfunctions.udf.CIQ(InputTicker,"IQ_EBITA_EXCL_SBC",Input!J$2,Date,,,Ccy,Conv)</f>
        <v>142.49100000000001</v>
      </c>
      <c r="I88" s="4">
        <f>_xll.ciqfunctions.udf.CIQ(InputTicker,"IQ_EBITA_EXCL_SBC",Input!K$2,Date,,,Ccy,Conv)</f>
        <v>970.68899999999996</v>
      </c>
      <c r="J88" s="4">
        <f>_xll.ciqfunctions.udf.CIQ(InputTicker,"IQ_EBITA_EXCL_SBC",Input!L$2,Date,,,Ccy,Conv)</f>
        <v>300.97699999999998</v>
      </c>
      <c r="K88" s="4">
        <f>_xll.ciqfunctions.udf.CIQ(InputTicker,"IQ_EBITA_EXCL_SBC",Input!M$2,Date,,,Ccy,Conv)</f>
        <v>1564.721</v>
      </c>
      <c r="L88" s="4">
        <f>_xll.ciqfunctions.udf.CIQ(InputTicker,"IQ_EBITA_EXCL_SBC",Input!N$2,Date,,,Ccy,Conv)</f>
        <v>355.87400000000002</v>
      </c>
      <c r="M88" s="4">
        <f>_xll.ciqfunctions.udf.CIQ(InputTicker,"IQ_EBITA_EXCL_SBC",Input!O$2,Date,,,Ccy,Conv)</f>
        <v>355.87400000000002</v>
      </c>
      <c r="N88" s="50"/>
      <c r="P88" s="46"/>
      <c r="Q88" s="46"/>
      <c r="R88" s="46"/>
      <c r="T88" s="42"/>
      <c r="U88" s="42"/>
      <c r="V88" s="46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</row>
    <row r="89" spans="1:66" ht="12.75" customHeight="1" x14ac:dyDescent="0.2">
      <c r="A89" s="1" t="s">
        <v>309</v>
      </c>
      <c r="B89" s="4">
        <f>_xll.ciqfunctions.udf.CIQ(InputTicker,"IQ_EBITDAR",Input!D$2,Date,,,Ccy,Conv)</f>
        <v>518.99599999999998</v>
      </c>
      <c r="C89" s="4">
        <f>_xll.ciqfunctions.udf.CIQ(InputTicker,"IQ_EBITDAR",Input!E$2,Date,,,Ccy,Conv)</f>
        <v>-77.394000000000005</v>
      </c>
      <c r="D89" s="4">
        <f>_xll.ciqfunctions.udf.CIQ(InputTicker,"IQ_EBITDAR",Input!F$2,Date,,,Ccy,Conv)</f>
        <v>0</v>
      </c>
      <c r="E89" s="4">
        <f>_xll.ciqfunctions.udf.CIQ(InputTicker,"IQ_EBITDAR",Input!G$2,Date,,,Ccy,Conv)</f>
        <v>0</v>
      </c>
      <c r="F89" s="4">
        <f>_xll.ciqfunctions.udf.CIQ(InputTicker,"IQ_EBITDAR",Input!H$2,Date,,,Ccy,Conv)</f>
        <v>0</v>
      </c>
      <c r="G89" s="4">
        <f>_xll.ciqfunctions.udf.CIQ(InputTicker,"IQ_EBITDAR",Input!I$2,Date,,,Ccy,Conv)</f>
        <v>0</v>
      </c>
      <c r="H89" s="4">
        <f>_xll.ciqfunctions.udf.CIQ(InputTicker,"IQ_EBITDAR",Input!J$2,Date,,,Ccy,Conv)</f>
        <v>0</v>
      </c>
      <c r="I89" s="4">
        <f>_xll.ciqfunctions.udf.CIQ(InputTicker,"IQ_EBITDAR",Input!K$2,Date,,,Ccy,Conv)</f>
        <v>0</v>
      </c>
      <c r="J89" s="4">
        <f>_xll.ciqfunctions.udf.CIQ(InputTicker,"IQ_EBITDAR",Input!L$2,Date,,,Ccy,Conv)</f>
        <v>0</v>
      </c>
      <c r="K89" s="4">
        <f>_xll.ciqfunctions.udf.CIQ(InputTicker,"IQ_EBITDAR",Input!M$2,Date,,,Ccy,Conv)</f>
        <v>0</v>
      </c>
      <c r="L89" s="4">
        <f>_xll.ciqfunctions.udf.CIQ(InputTicker,"IQ_EBITDAR",Input!N$2,Date,,,Ccy,Conv)</f>
        <v>0</v>
      </c>
      <c r="M89" s="4">
        <f>_xll.ciqfunctions.udf.CIQ(InputTicker,"IQ_EBITDAR",Input!O$2,Date,,,Ccy,Conv)</f>
        <v>0</v>
      </c>
      <c r="N89" s="50"/>
      <c r="P89" s="46"/>
      <c r="Q89" s="46"/>
      <c r="R89" s="46"/>
      <c r="T89" s="42"/>
      <c r="U89" s="42"/>
      <c r="V89" s="46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</row>
    <row r="90" spans="1:66" ht="12.75" customHeight="1" x14ac:dyDescent="0.2">
      <c r="A90" s="1" t="s">
        <v>295</v>
      </c>
      <c r="B90" s="4">
        <f>_xll.ciqfunctions.udf.CIQ(InputTicker,"IQ_EBITDAR_EQ_INC",Input!D$2,Date,,,Ccy,Conv)</f>
        <v>524.01199999999994</v>
      </c>
      <c r="C90" s="4">
        <f>_xll.ciqfunctions.udf.CIQ(InputTicker,"IQ_EBITDAR_EQ_INC",Input!E$2,Date,,,Ccy,Conv)</f>
        <v>-76.004000000000005</v>
      </c>
      <c r="D90" s="4">
        <f>_xll.ciqfunctions.udf.CIQ(InputTicker,"IQ_EBITDAR_EQ_INC",Input!F$2,Date,,,Ccy,Conv)</f>
        <v>0</v>
      </c>
      <c r="E90" s="4">
        <f>_xll.ciqfunctions.udf.CIQ(InputTicker,"IQ_EBITDAR_EQ_INC",Input!G$2,Date,,,Ccy,Conv)</f>
        <v>0</v>
      </c>
      <c r="F90" s="4">
        <f>_xll.ciqfunctions.udf.CIQ(InputTicker,"IQ_EBITDAR_EQ_INC",Input!H$2,Date,,,Ccy,Conv)</f>
        <v>0</v>
      </c>
      <c r="G90" s="4">
        <f>_xll.ciqfunctions.udf.CIQ(InputTicker,"IQ_EBITDAR_EQ_INC",Input!I$2,Date,,,Ccy,Conv)</f>
        <v>0</v>
      </c>
      <c r="H90" s="4">
        <f>_xll.ciqfunctions.udf.CIQ(InputTicker,"IQ_EBITDAR_EQ_INC",Input!J$2,Date,,,Ccy,Conv)</f>
        <v>0</v>
      </c>
      <c r="I90" s="4">
        <f>_xll.ciqfunctions.udf.CIQ(InputTicker,"IQ_EBITDAR_EQ_INC",Input!K$2,Date,,,Ccy,Conv)</f>
        <v>0</v>
      </c>
      <c r="J90" s="4">
        <f>_xll.ciqfunctions.udf.CIQ(InputTicker,"IQ_EBITDAR_EQ_INC",Input!L$2,Date,,,Ccy,Conv)</f>
        <v>0</v>
      </c>
      <c r="K90" s="4">
        <f>_xll.ciqfunctions.udf.CIQ(InputTicker,"IQ_EBITDAR_EQ_INC",Input!M$2,Date,,,Ccy,Conv)</f>
        <v>0</v>
      </c>
      <c r="L90" s="4">
        <f>_xll.ciqfunctions.udf.CIQ(InputTicker,"IQ_EBITDAR_EQ_INC",Input!N$2,Date,,,Ccy,Conv)</f>
        <v>0</v>
      </c>
      <c r="M90" s="4">
        <f>_xll.ciqfunctions.udf.CIQ(InputTicker,"IQ_EBITDAR_EQ_INC",Input!O$2,Date,,,Ccy,Conv)</f>
        <v>0</v>
      </c>
      <c r="N90" s="50"/>
      <c r="P90" s="46"/>
      <c r="Q90" s="46"/>
      <c r="R90" s="46"/>
      <c r="T90" s="42"/>
      <c r="U90" s="42"/>
      <c r="V90" s="46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</row>
    <row r="91" spans="1:66" ht="12.75" customHeight="1" x14ac:dyDescent="0.2">
      <c r="A91" s="1" t="s">
        <v>296</v>
      </c>
      <c r="B91" s="4">
        <f>_xll.ciqfunctions.udf.CIQ(InputTicker,"IQ_EBITDAR_EQ_INC_EXCL_SBC",Input!D$2,Date,,,Ccy,Conv)</f>
        <v>527.08299999999997</v>
      </c>
      <c r="C91" s="4">
        <f>_xll.ciqfunctions.udf.CIQ(InputTicker,"IQ_EBITDAR_EQ_INC_EXCL_SBC",Input!E$2,Date,,,Ccy,Conv)</f>
        <v>-72.576999999999998</v>
      </c>
      <c r="D91" s="4">
        <f>_xll.ciqfunctions.udf.CIQ(InputTicker,"IQ_EBITDAR_EQ_INC_EXCL_SBC",Input!F$2,Date,,,Ccy,Conv)</f>
        <v>0</v>
      </c>
      <c r="E91" s="4">
        <f>_xll.ciqfunctions.udf.CIQ(InputTicker,"IQ_EBITDAR_EQ_INC_EXCL_SBC",Input!G$2,Date,,,Ccy,Conv)</f>
        <v>0</v>
      </c>
      <c r="F91" s="4">
        <f>_xll.ciqfunctions.udf.CIQ(InputTicker,"IQ_EBITDAR_EQ_INC_EXCL_SBC",Input!H$2,Date,,,Ccy,Conv)</f>
        <v>0</v>
      </c>
      <c r="G91" s="4">
        <f>_xll.ciqfunctions.udf.CIQ(InputTicker,"IQ_EBITDAR_EQ_INC_EXCL_SBC",Input!I$2,Date,,,Ccy,Conv)</f>
        <v>0</v>
      </c>
      <c r="H91" s="4">
        <f>_xll.ciqfunctions.udf.CIQ(InputTicker,"IQ_EBITDAR_EQ_INC_EXCL_SBC",Input!J$2,Date,,,Ccy,Conv)</f>
        <v>0</v>
      </c>
      <c r="I91" s="4">
        <f>_xll.ciqfunctions.udf.CIQ(InputTicker,"IQ_EBITDAR_EQ_INC_EXCL_SBC",Input!K$2,Date,,,Ccy,Conv)</f>
        <v>0</v>
      </c>
      <c r="J91" s="4">
        <f>_xll.ciqfunctions.udf.CIQ(InputTicker,"IQ_EBITDAR_EQ_INC_EXCL_SBC",Input!L$2,Date,,,Ccy,Conv)</f>
        <v>0</v>
      </c>
      <c r="K91" s="4">
        <f>_xll.ciqfunctions.udf.CIQ(InputTicker,"IQ_EBITDAR_EQ_INC_EXCL_SBC",Input!M$2,Date,,,Ccy,Conv)</f>
        <v>0</v>
      </c>
      <c r="L91" s="4">
        <f>_xll.ciqfunctions.udf.CIQ(InputTicker,"IQ_EBITDAR_EQ_INC_EXCL_SBC",Input!N$2,Date,,,Ccy,Conv)</f>
        <v>0</v>
      </c>
      <c r="M91" s="4">
        <f>_xll.ciqfunctions.udf.CIQ(InputTicker,"IQ_EBITDAR_EQ_INC_EXCL_SBC",Input!O$2,Date,,,Ccy,Conv)</f>
        <v>0</v>
      </c>
      <c r="N91" s="50"/>
      <c r="P91" s="46"/>
      <c r="Q91" s="46"/>
      <c r="R91" s="46"/>
      <c r="T91" s="42"/>
      <c r="U91" s="42"/>
      <c r="V91" s="46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</row>
    <row r="92" spans="1:66" ht="12.75" customHeight="1" x14ac:dyDescent="0.2">
      <c r="A92" s="1" t="s">
        <v>297</v>
      </c>
      <c r="B92" s="4">
        <f>_xll.ciqfunctions.udf.CIQ(InputTicker,"IQ_EBITDAR_EXCL_SBC",Input!D$2,Date,,,Ccy,Conv)</f>
        <v>522.06700000000001</v>
      </c>
      <c r="C92" s="4">
        <f>_xll.ciqfunctions.udf.CIQ(InputTicker,"IQ_EBITDAR_EXCL_SBC",Input!E$2,Date,,,Ccy,Conv)</f>
        <v>-73.966999999999999</v>
      </c>
      <c r="D92" s="4">
        <f>_xll.ciqfunctions.udf.CIQ(InputTicker,"IQ_EBITDAR_EXCL_SBC",Input!F$2,Date,,,Ccy,Conv)</f>
        <v>0</v>
      </c>
      <c r="E92" s="4">
        <f>_xll.ciqfunctions.udf.CIQ(InputTicker,"IQ_EBITDAR_EXCL_SBC",Input!G$2,Date,,,Ccy,Conv)</f>
        <v>0</v>
      </c>
      <c r="F92" s="4">
        <f>_xll.ciqfunctions.udf.CIQ(InputTicker,"IQ_EBITDAR_EXCL_SBC",Input!H$2,Date,,,Ccy,Conv)</f>
        <v>0</v>
      </c>
      <c r="G92" s="4">
        <f>_xll.ciqfunctions.udf.CIQ(InputTicker,"IQ_EBITDAR_EXCL_SBC",Input!I$2,Date,,,Ccy,Conv)</f>
        <v>0</v>
      </c>
      <c r="H92" s="4">
        <f>_xll.ciqfunctions.udf.CIQ(InputTicker,"IQ_EBITDAR_EXCL_SBC",Input!J$2,Date,,,Ccy,Conv)</f>
        <v>0</v>
      </c>
      <c r="I92" s="4">
        <f>_xll.ciqfunctions.udf.CIQ(InputTicker,"IQ_EBITDAR_EXCL_SBC",Input!K$2,Date,,,Ccy,Conv)</f>
        <v>0</v>
      </c>
      <c r="J92" s="4">
        <f>_xll.ciqfunctions.udf.CIQ(InputTicker,"IQ_EBITDAR_EXCL_SBC",Input!L$2,Date,,,Ccy,Conv)</f>
        <v>0</v>
      </c>
      <c r="K92" s="4">
        <f>_xll.ciqfunctions.udf.CIQ(InputTicker,"IQ_EBITDAR_EXCL_SBC",Input!M$2,Date,,,Ccy,Conv)</f>
        <v>0</v>
      </c>
      <c r="L92" s="4">
        <f>_xll.ciqfunctions.udf.CIQ(InputTicker,"IQ_EBITDAR_EXCL_SBC",Input!N$2,Date,,,Ccy,Conv)</f>
        <v>0</v>
      </c>
      <c r="M92" s="4">
        <f>_xll.ciqfunctions.udf.CIQ(InputTicker,"IQ_EBITDAR_EXCL_SBC",Input!O$2,Date,,,Ccy,Conv)</f>
        <v>0</v>
      </c>
      <c r="N92" s="50"/>
      <c r="P92" s="46"/>
      <c r="Q92" s="46"/>
      <c r="R92" s="46"/>
      <c r="T92" s="42"/>
      <c r="U92" s="42"/>
      <c r="V92" s="46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</row>
    <row r="93" spans="1:66" ht="12.75" customHeight="1" x14ac:dyDescent="0.2">
      <c r="A93" s="1" t="s">
        <v>430</v>
      </c>
      <c r="B93" s="4">
        <f>_xll.ciqfunctions.udf.CIQ(InputTicker,"IQ_EBITDA_CAPEX",Input!D$2,Date,,,Ccy,Conv)</f>
        <v>438.78100000000001</v>
      </c>
      <c r="C93" s="4">
        <f>_xll.ciqfunctions.udf.CIQ(InputTicker,"IQ_EBITDA_CAPEX",Input!E$2,Date,,,Ccy,Conv)</f>
        <v>-148.02600000000001</v>
      </c>
      <c r="D93" s="4">
        <f>_xll.ciqfunctions.udf.CIQ(InputTicker,"IQ_EBITDA_CAPEX",Input!F$2,Date,,,Ccy,Conv)</f>
        <v>216.08500000000001</v>
      </c>
      <c r="E93" s="4">
        <f>_xll.ciqfunctions.udf.CIQ(InputTicker,"IQ_EBITDA_CAPEX",Input!G$2,Date,,,Ccy,Conv)</f>
        <v>32.475000000000001</v>
      </c>
      <c r="F93" s="4">
        <f>_xll.ciqfunctions.udf.CIQ(InputTicker,"IQ_EBITDA_CAPEX",Input!H$2,Date,,,Ccy,Conv)</f>
        <v>-64.724000000000004</v>
      </c>
      <c r="G93" s="4">
        <f>_xll.ciqfunctions.udf.CIQ(InputTicker,"IQ_EBITDA_CAPEX",Input!I$2,Date,,,Ccy,Conv)</f>
        <v>-58.874000000000002</v>
      </c>
      <c r="H93" s="4">
        <f>_xll.ciqfunctions.udf.CIQ(InputTicker,"IQ_EBITDA_CAPEX",Input!J$2,Date,,,Ccy,Conv)</f>
        <v>134.42400000000001</v>
      </c>
      <c r="I93" s="4">
        <f>_xll.ciqfunctions.udf.CIQ(InputTicker,"IQ_EBITDA_CAPEX",Input!K$2,Date,,,Ccy,Conv)</f>
        <v>899.91499999999996</v>
      </c>
      <c r="J93" s="4">
        <f>_xll.ciqfunctions.udf.CIQ(InputTicker,"IQ_EBITDA_CAPEX",Input!L$2,Date,,,Ccy,Conv)</f>
        <v>227.571</v>
      </c>
      <c r="K93" s="4">
        <f>_xll.ciqfunctions.udf.CIQ(InputTicker,"IQ_EBITDA_CAPEX",Input!M$2,Date,,,Ccy,Conv)</f>
        <v>1490.8019999999999</v>
      </c>
      <c r="L93" s="4">
        <f>_xll.ciqfunctions.udf.CIQ(InputTicker,"IQ_EBITDA_CAPEX",Input!N$2,Date,,,Ccy,Conv)</f>
        <v>316.47399999999999</v>
      </c>
      <c r="M93" s="4">
        <f>_xll.ciqfunctions.udf.CIQ(InputTicker,"IQ_EBITDA_CAPEX",Input!O$2,Date,,,Ccy,Conv)</f>
        <v>316.47399999999999</v>
      </c>
      <c r="N93" s="49"/>
      <c r="P93" s="46"/>
      <c r="Q93" s="46"/>
      <c r="R93" s="46"/>
      <c r="T93" s="42"/>
      <c r="U93" s="42"/>
      <c r="V93" s="46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</row>
    <row r="94" spans="1:66" ht="12.75" customHeight="1" x14ac:dyDescent="0.2">
      <c r="A94" s="1" t="s">
        <v>39</v>
      </c>
      <c r="B94" s="4">
        <f>_xll.ciqfunctions.udf.CIQ(InputTicker,"IQ_FEES_OTHER_INCOME",Input!D$2,Date,,,Ccy,Conv)</f>
        <v>0</v>
      </c>
      <c r="C94" s="4">
        <f>_xll.ciqfunctions.udf.CIQ(InputTicker,"IQ_FEES_OTHER_INCOME",Input!E$2,Date,,,Ccy,Conv)</f>
        <v>0</v>
      </c>
      <c r="D94" s="4">
        <f>_xll.ciqfunctions.udf.CIQ(InputTicker,"IQ_FEES_OTHER_INCOME",Input!F$2,Date,,,Ccy,Conv)</f>
        <v>0</v>
      </c>
      <c r="E94" s="4">
        <f>_xll.ciqfunctions.udf.CIQ(InputTicker,"IQ_FEES_OTHER_INCOME",Input!G$2,Date,,,Ccy,Conv)</f>
        <v>0</v>
      </c>
      <c r="F94" s="4">
        <f>_xll.ciqfunctions.udf.CIQ(InputTicker,"IQ_FEES_OTHER_INCOME",Input!H$2,Date,,,Ccy,Conv)</f>
        <v>0</v>
      </c>
      <c r="G94" s="4">
        <f>_xll.ciqfunctions.udf.CIQ(InputTicker,"IQ_FEES_OTHER_INCOME",Input!I$2,Date,,,Ccy,Conv)</f>
        <v>0</v>
      </c>
      <c r="H94" s="4">
        <f>_xll.ciqfunctions.udf.CIQ(InputTicker,"IQ_FEES_OTHER_INCOME",Input!J$2,Date,,,Ccy,Conv)</f>
        <v>0</v>
      </c>
      <c r="I94" s="4">
        <f>_xll.ciqfunctions.udf.CIQ(InputTicker,"IQ_FEES_OTHER_INCOME",Input!K$2,Date,,,Ccy,Conv)</f>
        <v>0</v>
      </c>
      <c r="J94" s="4">
        <f>_xll.ciqfunctions.udf.CIQ(InputTicker,"IQ_FEES_OTHER_INCOME",Input!L$2,Date,,,Ccy,Conv)</f>
        <v>0</v>
      </c>
      <c r="K94" s="4">
        <f>_xll.ciqfunctions.udf.CIQ(InputTicker,"IQ_FEES_OTHER_INCOME",Input!M$2,Date,,,Ccy,Conv)</f>
        <v>0</v>
      </c>
      <c r="L94" s="4">
        <f>_xll.ciqfunctions.udf.CIQ(InputTicker,"IQ_FEES_OTHER_INCOME",Input!N$2,Date,,,Ccy,Conv)</f>
        <v>0</v>
      </c>
      <c r="M94" s="4">
        <f>_xll.ciqfunctions.udf.CIQ(InputTicker,"IQ_FEES_OTHER_INCOME",Input!O$2,Date,,,Ccy,Conv)</f>
        <v>0</v>
      </c>
      <c r="N94" s="50"/>
      <c r="P94" s="46"/>
      <c r="Q94" s="46"/>
      <c r="R94" s="46"/>
      <c r="T94" s="42"/>
      <c r="U94" s="42"/>
      <c r="V94" s="46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</row>
    <row r="95" spans="1:66" ht="12.75" customHeight="1" x14ac:dyDescent="0.2">
      <c r="A95" s="1" t="s">
        <v>318</v>
      </c>
      <c r="B95" s="4">
        <f>_xll.ciqfunctions.udf.CIQ(InputTicker,"IQ_SAME_STORE",Input!D$2,Date)</f>
        <v>0</v>
      </c>
      <c r="C95" s="4">
        <f>_xll.ciqfunctions.udf.CIQ(InputTicker,"IQ_SAME_STORE",Input!E$2,Date)</f>
        <v>0</v>
      </c>
      <c r="D95" s="4">
        <f>_xll.ciqfunctions.udf.CIQ(InputTicker,"IQ_SAME_STORE",Input!F$2,Date)</f>
        <v>0</v>
      </c>
      <c r="E95" s="4">
        <f>_xll.ciqfunctions.udf.CIQ(InputTicker,"IQ_SAME_STORE",Input!G$2,Date)</f>
        <v>0</v>
      </c>
      <c r="F95" s="4">
        <f>_xll.ciqfunctions.udf.CIQ(InputTicker,"IQ_SAME_STORE",Input!H$2,Date)</f>
        <v>0</v>
      </c>
      <c r="G95" s="4">
        <f>_xll.ciqfunctions.udf.CIQ(InputTicker,"IQ_SAME_STORE",Input!I$2,Date)</f>
        <v>0</v>
      </c>
      <c r="H95" s="4">
        <f>_xll.ciqfunctions.udf.CIQ(InputTicker,"IQ_SAME_STORE",Input!J$2,Date)</f>
        <v>0</v>
      </c>
      <c r="I95" s="4">
        <f>_xll.ciqfunctions.udf.CIQ(InputTicker,"IQ_SAME_STORE",Input!K$2,Date)</f>
        <v>0</v>
      </c>
      <c r="J95" s="4">
        <f>_xll.ciqfunctions.udf.CIQ(InputTicker,"IQ_SAME_STORE",Input!L$2,Date)</f>
        <v>0</v>
      </c>
      <c r="K95" s="4">
        <f>_xll.ciqfunctions.udf.CIQ(InputTicker,"IQ_SAME_STORE",Input!M$2,Date)</f>
        <v>0</v>
      </c>
      <c r="L95" s="4">
        <f>_xll.ciqfunctions.udf.CIQ(InputTicker,"IQ_SAME_STORE",Input!N$2,Date)</f>
        <v>0</v>
      </c>
      <c r="M95" s="4">
        <f>_xll.ciqfunctions.udf.CIQ(InputTicker,"IQ_SAME_STORE",Input!O$2,Date)</f>
        <v>0</v>
      </c>
      <c r="N95" s="42"/>
      <c r="P95" s="46"/>
      <c r="Q95" s="46"/>
      <c r="R95" s="46"/>
      <c r="T95" s="42"/>
      <c r="U95" s="42"/>
      <c r="V95" s="46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</row>
    <row r="96" spans="1:66" ht="12.75" customHeight="1" x14ac:dyDescent="0.2">
      <c r="A96" s="1" t="s">
        <v>215</v>
      </c>
      <c r="B96" s="4">
        <f>_xll.ciqfunctions.udf.CIQ(InputTicker, "IQ_TOTAL_REV_AS_REPORTED",Input!D$2,Date,,,Ccy,Conv)</f>
        <v>0</v>
      </c>
      <c r="C96" s="4">
        <f>_xll.ciqfunctions.udf.CIQ(InputTicker, "IQ_TOTAL_REV_AS_REPORTED",Input!E$2,Date,,,Ccy,Conv)</f>
        <v>0</v>
      </c>
      <c r="D96" s="4">
        <f>_xll.ciqfunctions.udf.CIQ(InputTicker, "IQ_TOTAL_REV_AS_REPORTED",Input!F$2,Date,,,Ccy,Conv)</f>
        <v>0</v>
      </c>
      <c r="E96" s="4">
        <f>_xll.ciqfunctions.udf.CIQ(InputTicker, "IQ_TOTAL_REV_AS_REPORTED",Input!G$2,Date,,,Ccy,Conv)</f>
        <v>0</v>
      </c>
      <c r="F96" s="4">
        <f>_xll.ciqfunctions.udf.CIQ(InputTicker, "IQ_TOTAL_REV_AS_REPORTED",Input!H$2,Date,,,Ccy,Conv)</f>
        <v>0</v>
      </c>
      <c r="G96" s="4">
        <f>_xll.ciqfunctions.udf.CIQ(InputTicker, "IQ_TOTAL_REV_AS_REPORTED",Input!I$2,Date,,,Ccy,Conv)</f>
        <v>0</v>
      </c>
      <c r="H96" s="4">
        <f>_xll.ciqfunctions.udf.CIQ(InputTicker, "IQ_TOTAL_REV_AS_REPORTED",Input!J$2,Date,,,Ccy,Conv)</f>
        <v>0</v>
      </c>
      <c r="I96" s="4">
        <f>_xll.ciqfunctions.udf.CIQ(InputTicker, "IQ_TOTAL_REV_AS_REPORTED",Input!K$2,Date,,,Ccy,Conv)</f>
        <v>0</v>
      </c>
      <c r="J96" s="4">
        <f>_xll.ciqfunctions.udf.CIQ(InputTicker, "IQ_TOTAL_REV_AS_REPORTED",Input!L$2,Date,,,Ccy,Conv)</f>
        <v>0</v>
      </c>
      <c r="K96" s="4">
        <f>_xll.ciqfunctions.udf.CIQ(InputTicker, "IQ_TOTAL_REV_AS_REPORTED",Input!M$2,Date,,,Ccy,Conv)</f>
        <v>0</v>
      </c>
      <c r="L96" s="4">
        <f>_xll.ciqfunctions.udf.CIQ(InputTicker, "IQ_TOTAL_REV_AS_REPORTED",Input!N$2,Date,,,Ccy,Conv)</f>
        <v>0</v>
      </c>
      <c r="M96" s="4">
        <f>_xll.ciqfunctions.udf.CIQ(InputTicker, "IQ_TOTAL_REV_AS_REPORTED",Input!O$2,Date,,,Ccy,Conv)</f>
        <v>0</v>
      </c>
      <c r="N96" s="49"/>
      <c r="P96" s="46"/>
      <c r="Q96" s="46"/>
      <c r="R96" s="46"/>
      <c r="T96" s="42"/>
      <c r="U96" s="42"/>
      <c r="V96" s="46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</row>
    <row r="97" spans="1:66" ht="12.75" customHeight="1" x14ac:dyDescent="0.2">
      <c r="A97" s="1" t="s">
        <v>463</v>
      </c>
      <c r="B97" s="4">
        <f>_xll.ciqfunctions.udf.CIQ(InputTicker, "IQ_AS_REPORTED_EBITDA",Input!D$2,Date,,,Ccy,Conv)</f>
        <v>0</v>
      </c>
      <c r="C97" s="4">
        <f>_xll.ciqfunctions.udf.CIQ(InputTicker, "IQ_AS_REPORTED_EBITDA",Input!E$2,Date,,,Ccy,Conv)</f>
        <v>0</v>
      </c>
      <c r="D97" s="4">
        <f>_xll.ciqfunctions.udf.CIQ(InputTicker, "IQ_AS_REPORTED_EBITDA",Input!F$2,Date,,,Ccy,Conv)</f>
        <v>0</v>
      </c>
      <c r="E97" s="4">
        <f>_xll.ciqfunctions.udf.CIQ(InputTicker, "IQ_AS_REPORTED_EBITDA",Input!G$2,Date,,,Ccy,Conv)</f>
        <v>0</v>
      </c>
      <c r="F97" s="4">
        <f>_xll.ciqfunctions.udf.CIQ(InputTicker, "IQ_AS_REPORTED_EBITDA",Input!H$2,Date,,,Ccy,Conv)</f>
        <v>0</v>
      </c>
      <c r="G97" s="4">
        <f>_xll.ciqfunctions.udf.CIQ(InputTicker, "IQ_AS_REPORTED_EBITDA",Input!I$2,Date,,,Ccy,Conv)</f>
        <v>0</v>
      </c>
      <c r="H97" s="4">
        <f>_xll.ciqfunctions.udf.CIQ(InputTicker, "IQ_AS_REPORTED_EBITDA",Input!J$2,Date,,,Ccy,Conv)</f>
        <v>0</v>
      </c>
      <c r="I97" s="4">
        <f>_xll.ciqfunctions.udf.CIQ(InputTicker, "IQ_AS_REPORTED_EBITDA",Input!K$2,Date,,,Ccy,Conv)</f>
        <v>0</v>
      </c>
      <c r="J97" s="4">
        <f>_xll.ciqfunctions.udf.CIQ(InputTicker, "IQ_AS_REPORTED_EBITDA",Input!L$2,Date,,,Ccy,Conv)</f>
        <v>0</v>
      </c>
      <c r="K97" s="4">
        <f>_xll.ciqfunctions.udf.CIQ(InputTicker, "IQ_AS_REPORTED_EBITDA",Input!M$2,Date,,,Ccy,Conv)</f>
        <v>0</v>
      </c>
      <c r="L97" s="4">
        <f>_xll.ciqfunctions.udf.CIQ(InputTicker, "IQ_AS_REPORTED_EBITDA",Input!N$2,Date,,,Ccy,Conv)</f>
        <v>0</v>
      </c>
      <c r="M97" s="4">
        <f>_xll.ciqfunctions.udf.CIQ(InputTicker, "IQ_AS_REPORTED_EBITDA",Input!O$2,Date,,,Ccy,Conv)</f>
        <v>0</v>
      </c>
      <c r="N97" s="49"/>
      <c r="P97" s="46"/>
      <c r="Q97" s="46"/>
      <c r="R97" s="46"/>
      <c r="T97" s="42"/>
      <c r="U97" s="42"/>
      <c r="V97" s="46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</row>
    <row r="98" spans="1:66" ht="12.75" customHeight="1" x14ac:dyDescent="0.2">
      <c r="A98" s="1" t="s">
        <v>0</v>
      </c>
      <c r="B98" s="4">
        <f>_xll.ciqfunctions.udf.CIQ(InputTicker, "IQ_PROV_BAD_DEBTS_PATIENT_SERVICE_REV",Input!D$2,Date,,,Ccy,Conv)</f>
        <v>0</v>
      </c>
      <c r="C98" s="4">
        <f>_xll.ciqfunctions.udf.CIQ(InputTicker, "IQ_PROV_BAD_DEBTS_PATIENT_SERVICE_REV",Input!E$2,Date,,,Ccy,Conv)</f>
        <v>0</v>
      </c>
      <c r="D98" s="4">
        <f>_xll.ciqfunctions.udf.CIQ(InputTicker, "IQ_PROV_BAD_DEBTS_PATIENT_SERVICE_REV",Input!F$2,Date,,,Ccy,Conv)</f>
        <v>0</v>
      </c>
      <c r="E98" s="4">
        <f>_xll.ciqfunctions.udf.CIQ(InputTicker, "IQ_PROV_BAD_DEBTS_PATIENT_SERVICE_REV",Input!G$2,Date,,,Ccy,Conv)</f>
        <v>0</v>
      </c>
      <c r="F98" s="4">
        <f>_xll.ciqfunctions.udf.CIQ(InputTicker, "IQ_PROV_BAD_DEBTS_PATIENT_SERVICE_REV",Input!H$2,Date,,,Ccy,Conv)</f>
        <v>0</v>
      </c>
      <c r="G98" s="4">
        <f>_xll.ciqfunctions.udf.CIQ(InputTicker, "IQ_PROV_BAD_DEBTS_PATIENT_SERVICE_REV",Input!I$2,Date,,,Ccy,Conv)</f>
        <v>0</v>
      </c>
      <c r="H98" s="4">
        <f>_xll.ciqfunctions.udf.CIQ(InputTicker, "IQ_PROV_BAD_DEBTS_PATIENT_SERVICE_REV",Input!J$2,Date,,,Ccy,Conv)</f>
        <v>0</v>
      </c>
      <c r="I98" s="4">
        <f>_xll.ciqfunctions.udf.CIQ(InputTicker, "IQ_PROV_BAD_DEBTS_PATIENT_SERVICE_REV",Input!K$2,Date,,,Ccy,Conv)</f>
        <v>0</v>
      </c>
      <c r="J98" s="4">
        <f>_xll.ciqfunctions.udf.CIQ(InputTicker, "IQ_PROV_BAD_DEBTS_PATIENT_SERVICE_REV",Input!L$2,Date,,,Ccy,Conv)</f>
        <v>0</v>
      </c>
      <c r="K98" s="4">
        <f>_xll.ciqfunctions.udf.CIQ(InputTicker, "IQ_PROV_BAD_DEBTS_PATIENT_SERVICE_REV",Input!M$2,Date,,,Ccy,Conv)</f>
        <v>0</v>
      </c>
      <c r="L98" s="4">
        <f>_xll.ciqfunctions.udf.CIQ(InputTicker, "IQ_PROV_BAD_DEBTS_PATIENT_SERVICE_REV",Input!N$2,Date,,,Ccy,Conv)</f>
        <v>0</v>
      </c>
      <c r="M98" s="4">
        <f>_xll.ciqfunctions.udf.CIQ(InputTicker, "IQ_PROV_BAD_DEBTS_PATIENT_SERVICE_REV",Input!O$2,Date,,,Ccy,Conv)</f>
        <v>0</v>
      </c>
      <c r="N98" s="49"/>
      <c r="P98" s="46"/>
      <c r="Q98" s="46"/>
      <c r="R98" s="46"/>
      <c r="T98" s="42"/>
      <c r="U98" s="42"/>
      <c r="V98" s="46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</row>
    <row r="99" spans="1:66" ht="12.75" customHeight="1" x14ac:dyDescent="0.2">
      <c r="A99" s="1" t="s">
        <v>23</v>
      </c>
      <c r="B99" s="4">
        <f>_xll.ciqfunctions.udf.CIQ(InputTicker, "IQ_EARNING_PARENT_EXCL_EXTRA",Input!D$2,Date,,,Ccy,Conv)</f>
        <v>316.041</v>
      </c>
      <c r="C99" s="4">
        <f>_xll.ciqfunctions.udf.CIQ(InputTicker, "IQ_EARNING_PARENT_EXCL_EXTRA",Input!E$2,Date,,,Ccy,Conv)</f>
        <v>-74.278000000000006</v>
      </c>
      <c r="D99" s="4">
        <f>_xll.ciqfunctions.udf.CIQ(InputTicker, "IQ_EARNING_PARENT_EXCL_EXTRA",Input!F$2,Date,,,Ccy,Conv)</f>
        <v>125.932</v>
      </c>
      <c r="E99" s="4">
        <f>_xll.ciqfunctions.udf.CIQ(InputTicker, "IQ_EARNING_PARENT_EXCL_EXTRA",Input!G$2,Date,,,Ccy,Conv)</f>
        <v>54.228999999999999</v>
      </c>
      <c r="F99" s="4">
        <f>_xll.ciqfunctions.udf.CIQ(InputTicker, "IQ_EARNING_PARENT_EXCL_EXTRA",Input!H$2,Date,,,Ccy,Conv)</f>
        <v>18.390999999999998</v>
      </c>
      <c r="G99" s="4">
        <f>_xll.ciqfunctions.udf.CIQ(InputTicker, "IQ_EARNING_PARENT_EXCL_EXTRA",Input!I$2,Date,,,Ccy,Conv)</f>
        <v>2.06</v>
      </c>
      <c r="H99" s="4">
        <f>_xll.ciqfunctions.udf.CIQ(InputTicker, "IQ_EARNING_PARENT_EXCL_EXTRA",Input!J$2,Date,,,Ccy,Conv)</f>
        <v>132.65</v>
      </c>
      <c r="I99" s="4">
        <f>_xll.ciqfunctions.udf.CIQ(InputTicker, "IQ_EARNING_PARENT_EXCL_EXTRA",Input!K$2,Date,,,Ccy,Conv)</f>
        <v>758.024</v>
      </c>
      <c r="J99" s="4">
        <f>_xll.ciqfunctions.udf.CIQ(InputTicker, "IQ_EARNING_PARENT_EXCL_EXTRA",Input!L$2,Date,,,Ccy,Conv)</f>
        <v>277.88799999999998</v>
      </c>
      <c r="K99" s="4">
        <f>_xll.ciqfunctions.udf.CIQ(InputTicker, "IQ_EARNING_PARENT_EXCL_EXTRA",Input!M$2,Date,,,Ccy,Conv)</f>
        <v>1220.048</v>
      </c>
      <c r="L99" s="4">
        <f>_xll.ciqfunctions.udf.CIQ(InputTicker, "IQ_EARNING_PARENT_EXCL_EXTRA",Input!N$2,Date,,,Ccy,Conv)</f>
        <v>316.68200000000002</v>
      </c>
      <c r="M99" s="4">
        <f>_xll.ciqfunctions.udf.CIQ(InputTicker, "IQ_EARNING_PARENT_EXCL_EXTRA",Input!O$2,Date,,,Ccy,Conv)</f>
        <v>316.68200000000002</v>
      </c>
      <c r="N99" s="49"/>
      <c r="P99" s="46"/>
      <c r="Q99" s="46"/>
      <c r="R99" s="46"/>
      <c r="T99" s="42"/>
      <c r="U99" s="42"/>
      <c r="V99" s="46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</row>
    <row r="100" spans="1:66" ht="12.75" customHeight="1" x14ac:dyDescent="0.2">
      <c r="A100" s="1" t="s">
        <v>213</v>
      </c>
      <c r="B100" s="4">
        <f>_xll.ciqfunctions.udf.CIQ(InputTicker, "IQ_NI_SFAS",Input!D$2,Date,,,Ccy,Conv)</f>
        <v>0</v>
      </c>
      <c r="C100" s="4">
        <f>_xll.ciqfunctions.udf.CIQ(InputTicker, "IQ_NI_SFAS",Input!E$2,Date,,,Ccy,Conv)</f>
        <v>0</v>
      </c>
      <c r="D100" s="4">
        <f>_xll.ciqfunctions.udf.CIQ(InputTicker, "IQ_NI_SFAS",Input!F$2,Date,,,Ccy,Conv)</f>
        <v>0</v>
      </c>
      <c r="E100" s="4">
        <f>_xll.ciqfunctions.udf.CIQ(InputTicker, "IQ_NI_SFAS",Input!G$2,Date,,,Ccy,Conv)</f>
        <v>0</v>
      </c>
      <c r="F100" s="4">
        <f>_xll.ciqfunctions.udf.CIQ(InputTicker, "IQ_NI_SFAS",Input!H$2,Date,,,Ccy,Conv)</f>
        <v>0</v>
      </c>
      <c r="G100" s="4">
        <f>_xll.ciqfunctions.udf.CIQ(InputTicker, "IQ_NI_SFAS",Input!I$2,Date,,,Ccy,Conv)</f>
        <v>0</v>
      </c>
      <c r="H100" s="4">
        <f>_xll.ciqfunctions.udf.CIQ(InputTicker, "IQ_NI_SFAS",Input!J$2,Date,,,Ccy,Conv)</f>
        <v>0</v>
      </c>
      <c r="I100" s="4">
        <f>_xll.ciqfunctions.udf.CIQ(InputTicker, "IQ_NI_SFAS",Input!K$2,Date,,,Ccy,Conv)</f>
        <v>0</v>
      </c>
      <c r="J100" s="4">
        <f>_xll.ciqfunctions.udf.CIQ(InputTicker, "IQ_NI_SFAS",Input!L$2,Date,,,Ccy,Conv)</f>
        <v>0</v>
      </c>
      <c r="K100" s="4">
        <f>_xll.ciqfunctions.udf.CIQ(InputTicker, "IQ_NI_SFAS",Input!M$2,Date,,,Ccy,Conv)</f>
        <v>0</v>
      </c>
      <c r="L100" s="4">
        <f>_xll.ciqfunctions.udf.CIQ(InputTicker, "IQ_NI_SFAS",Input!N$2,Date,,,Ccy,Conv)</f>
        <v>0</v>
      </c>
      <c r="M100" s="4">
        <f>_xll.ciqfunctions.udf.CIQ(InputTicker, "IQ_NI_SFAS",Input!O$2,Date,,,Ccy,Conv)</f>
        <v>0</v>
      </c>
      <c r="N100" s="49"/>
      <c r="P100" s="46"/>
      <c r="Q100" s="46"/>
      <c r="R100" s="46"/>
      <c r="T100" s="42"/>
      <c r="U100" s="42"/>
      <c r="V100" s="46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</row>
    <row r="101" spans="1:66" ht="12.75" customHeight="1" x14ac:dyDescent="0.2">
      <c r="A101" s="1" t="s">
        <v>442</v>
      </c>
      <c r="B101" s="4">
        <f>_xll.ciqfunctions.udf.CIQ(InputTicker, "IQ_INTEREST_INCOME",Input!D$2,Date,,,Ccy,Conv)</f>
        <v>11.244</v>
      </c>
      <c r="C101" s="4">
        <f>_xll.ciqfunctions.udf.CIQ(InputTicker, "IQ_INTEREST_INCOME",Input!E$2,Date,,,Ccy,Conv)</f>
        <v>10.768000000000001</v>
      </c>
      <c r="D101" s="4">
        <f>_xll.ciqfunctions.udf.CIQ(InputTicker, "IQ_INTEREST_INCOME",Input!F$2,Date,,,Ccy,Conv)</f>
        <v>11.983000000000001</v>
      </c>
      <c r="E101" s="4">
        <f>_xll.ciqfunctions.udf.CIQ(InputTicker, "IQ_INTEREST_INCOME",Input!G$2,Date,,,Ccy,Conv)</f>
        <v>18.46</v>
      </c>
      <c r="F101" s="4">
        <f>_xll.ciqfunctions.udf.CIQ(InputTicker, "IQ_INTEREST_INCOME",Input!H$2,Date,,,Ccy,Conv)</f>
        <v>15.058</v>
      </c>
      <c r="G101" s="4">
        <f>_xll.ciqfunctions.udf.CIQ(InputTicker, "IQ_INTEREST_INCOME",Input!I$2,Date,,,Ccy,Conv)</f>
        <v>11.832000000000001</v>
      </c>
      <c r="H101" s="4">
        <f>_xll.ciqfunctions.udf.CIQ(InputTicker, "IQ_INTEREST_INCOME",Input!J$2,Date,,,Ccy,Conv)</f>
        <v>11.118</v>
      </c>
      <c r="I101" s="4">
        <f>_xll.ciqfunctions.udf.CIQ(InputTicker, "IQ_INTEREST_INCOME",Input!K$2,Date,,,Ccy,Conv)</f>
        <v>28.792000000000002</v>
      </c>
      <c r="J101" s="4">
        <f>_xll.ciqfunctions.udf.CIQ(InputTicker, "IQ_INTEREST_INCOME",Input!L$2,Date,,,Ccy,Conv)</f>
        <v>43.606000000000002</v>
      </c>
      <c r="K101" s="4">
        <f>_xll.ciqfunctions.udf.CIQ(InputTicker, "IQ_INTEREST_INCOME",Input!M$2,Date,,,Ccy,Conv)</f>
        <v>59.868000000000002</v>
      </c>
      <c r="L101" s="4">
        <f>_xll.ciqfunctions.udf.CIQ(InputTicker, "IQ_INTEREST_INCOME",Input!N$2,Date,,,Ccy,Conv)</f>
        <v>58.401000000000003</v>
      </c>
      <c r="M101" s="4">
        <f>_xll.ciqfunctions.udf.CIQ(InputTicker, "IQ_INTEREST_INCOME",Input!O$2,Date,,,Ccy,Conv)</f>
        <v>58.401000000000003</v>
      </c>
      <c r="N101" s="49"/>
      <c r="P101" s="46"/>
      <c r="Q101" s="46"/>
      <c r="R101" s="46"/>
      <c r="T101" s="42"/>
      <c r="U101" s="42"/>
      <c r="V101" s="46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</row>
    <row r="102" spans="1:66" ht="12.75" customHeight="1" x14ac:dyDescent="0.2">
      <c r="A102" s="1" t="s">
        <v>444</v>
      </c>
      <c r="B102" s="4">
        <f>_xll.ciqfunctions.udf.CIQ(InputTicker, "IQ_INVESTMENT_INCOME",Input!D$2,Date,,,Ccy,Conv)</f>
        <v>0</v>
      </c>
      <c r="C102" s="4">
        <f>_xll.ciqfunctions.udf.CIQ(InputTicker, "IQ_INVESTMENT_INCOME",Input!E$2,Date,,,Ccy,Conv)</f>
        <v>0</v>
      </c>
      <c r="D102" s="4">
        <f>_xll.ciqfunctions.udf.CIQ(InputTicker, "IQ_INVESTMENT_INCOME",Input!F$2,Date,,,Ccy,Conv)</f>
        <v>0</v>
      </c>
      <c r="E102" s="4">
        <f>_xll.ciqfunctions.udf.CIQ(InputTicker, "IQ_INVESTMENT_INCOME",Input!G$2,Date,,,Ccy,Conv)</f>
        <v>0</v>
      </c>
      <c r="F102" s="4">
        <f>_xll.ciqfunctions.udf.CIQ(InputTicker, "IQ_INVESTMENT_INCOME",Input!H$2,Date,,,Ccy,Conv)</f>
        <v>0</v>
      </c>
      <c r="G102" s="4">
        <f>_xll.ciqfunctions.udf.CIQ(InputTicker, "IQ_INVESTMENT_INCOME",Input!I$2,Date,,,Ccy,Conv)</f>
        <v>0</v>
      </c>
      <c r="H102" s="4">
        <f>_xll.ciqfunctions.udf.CIQ(InputTicker, "IQ_INVESTMENT_INCOME",Input!J$2,Date,,,Ccy,Conv)</f>
        <v>0</v>
      </c>
      <c r="I102" s="4">
        <f>_xll.ciqfunctions.udf.CIQ(InputTicker, "IQ_INVESTMENT_INCOME",Input!K$2,Date,,,Ccy,Conv)</f>
        <v>0</v>
      </c>
      <c r="J102" s="4">
        <f>_xll.ciqfunctions.udf.CIQ(InputTicker, "IQ_INVESTMENT_INCOME",Input!L$2,Date,,,Ccy,Conv)</f>
        <v>0</v>
      </c>
      <c r="K102" s="4">
        <f>_xll.ciqfunctions.udf.CIQ(InputTicker, "IQ_INVESTMENT_INCOME",Input!M$2,Date,,,Ccy,Conv)</f>
        <v>0</v>
      </c>
      <c r="L102" s="4">
        <f>_xll.ciqfunctions.udf.CIQ(InputTicker, "IQ_INVESTMENT_INCOME",Input!N$2,Date,,,Ccy,Conv)</f>
        <v>0</v>
      </c>
      <c r="M102" s="4">
        <f>_xll.ciqfunctions.udf.CIQ(InputTicker, "IQ_INVESTMENT_INCOME",Input!O$2,Date,,,Ccy,Conv)</f>
        <v>0</v>
      </c>
      <c r="N102" s="49"/>
      <c r="P102" s="46"/>
      <c r="Q102" s="46"/>
      <c r="R102" s="46"/>
      <c r="T102" s="42"/>
      <c r="U102" s="42"/>
      <c r="V102" s="46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</row>
    <row r="103" spans="1:66" ht="12.75" customHeight="1" x14ac:dyDescent="0.2">
      <c r="A103" s="1" t="s">
        <v>373</v>
      </c>
      <c r="B103" s="4">
        <f>_xll.ciqfunctions.udf.CIQ(InputTicker, "IQ_EXCISE_TAXES_EXCL_SALES",Input!D$2,Date,,,Ccy,Conv)</f>
        <v>0</v>
      </c>
      <c r="C103" s="4">
        <f>_xll.ciqfunctions.udf.CIQ(InputTicker, "IQ_EXCISE_TAXES_EXCL_SALES",Input!E$2,Date,,,Ccy,Conv)</f>
        <v>0</v>
      </c>
      <c r="D103" s="4">
        <f>_xll.ciqfunctions.udf.CIQ(InputTicker, "IQ_EXCISE_TAXES_EXCL_SALES",Input!F$2,Date,,,Ccy,Conv)</f>
        <v>0</v>
      </c>
      <c r="E103" s="4">
        <f>_xll.ciqfunctions.udf.CIQ(InputTicker, "IQ_EXCISE_TAXES_EXCL_SALES",Input!G$2,Date,,,Ccy,Conv)</f>
        <v>0</v>
      </c>
      <c r="F103" s="4">
        <f>_xll.ciqfunctions.udf.CIQ(InputTicker, "IQ_EXCISE_TAXES_EXCL_SALES",Input!H$2,Date,,,Ccy,Conv)</f>
        <v>0</v>
      </c>
      <c r="G103" s="4">
        <f>_xll.ciqfunctions.udf.CIQ(InputTicker, "IQ_EXCISE_TAXES_EXCL_SALES",Input!I$2,Date,,,Ccy,Conv)</f>
        <v>0</v>
      </c>
      <c r="H103" s="4">
        <f>_xll.ciqfunctions.udf.CIQ(InputTicker, "IQ_EXCISE_TAXES_EXCL_SALES",Input!J$2,Date,,,Ccy,Conv)</f>
        <v>0</v>
      </c>
      <c r="I103" s="4">
        <f>_xll.ciqfunctions.udf.CIQ(InputTicker, "IQ_EXCISE_TAXES_EXCL_SALES",Input!K$2,Date,,,Ccy,Conv)</f>
        <v>0</v>
      </c>
      <c r="J103" s="4">
        <f>_xll.ciqfunctions.udf.CIQ(InputTicker, "IQ_EXCISE_TAXES_EXCL_SALES",Input!L$2,Date,,,Ccy,Conv)</f>
        <v>0</v>
      </c>
      <c r="K103" s="4">
        <f>_xll.ciqfunctions.udf.CIQ(InputTicker, "IQ_EXCISE_TAXES_EXCL_SALES",Input!M$2,Date,,,Ccy,Conv)</f>
        <v>0</v>
      </c>
      <c r="L103" s="4">
        <f>_xll.ciqfunctions.udf.CIQ(InputTicker, "IQ_EXCISE_TAXES_EXCL_SALES",Input!N$2,Date,,,Ccy,Conv)</f>
        <v>0</v>
      </c>
      <c r="M103" s="4">
        <f>_xll.ciqfunctions.udf.CIQ(InputTicker, "IQ_EXCISE_TAXES_EXCL_SALES",Input!O$2,Date,,,Ccy,Conv)</f>
        <v>0</v>
      </c>
      <c r="N103" s="49"/>
      <c r="P103" s="46"/>
      <c r="Q103" s="46"/>
      <c r="R103" s="46"/>
      <c r="T103" s="42"/>
      <c r="U103" s="42"/>
      <c r="V103" s="46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</row>
    <row r="104" spans="1:66" ht="12.75" customHeight="1" x14ac:dyDescent="0.2">
      <c r="A104" s="1" t="s">
        <v>374</v>
      </c>
      <c r="B104" s="4">
        <f>_xll.ciqfunctions.udf.CIQ(InputTicker, "IQ_EXCISE_TAXES_INCL_SALES",Input!D$2,Date,,,Ccy,Conv)</f>
        <v>0</v>
      </c>
      <c r="C104" s="4">
        <f>_xll.ciqfunctions.udf.CIQ(InputTicker, "IQ_EXCISE_TAXES_INCL_SALES",Input!E$2,Date,,,Ccy,Conv)</f>
        <v>0</v>
      </c>
      <c r="D104" s="4">
        <f>_xll.ciqfunctions.udf.CIQ(InputTicker, "IQ_EXCISE_TAXES_INCL_SALES",Input!F$2,Date,,,Ccy,Conv)</f>
        <v>0</v>
      </c>
      <c r="E104" s="4">
        <f>_xll.ciqfunctions.udf.CIQ(InputTicker, "IQ_EXCISE_TAXES_INCL_SALES",Input!G$2,Date,,,Ccy,Conv)</f>
        <v>0</v>
      </c>
      <c r="F104" s="4">
        <f>_xll.ciqfunctions.udf.CIQ(InputTicker, "IQ_EXCISE_TAXES_INCL_SALES",Input!H$2,Date,,,Ccy,Conv)</f>
        <v>0</v>
      </c>
      <c r="G104" s="4">
        <f>_xll.ciqfunctions.udf.CIQ(InputTicker, "IQ_EXCISE_TAXES_INCL_SALES",Input!I$2,Date,,,Ccy,Conv)</f>
        <v>0</v>
      </c>
      <c r="H104" s="4">
        <f>_xll.ciqfunctions.udf.CIQ(InputTicker, "IQ_EXCISE_TAXES_INCL_SALES",Input!J$2,Date,,,Ccy,Conv)</f>
        <v>0</v>
      </c>
      <c r="I104" s="4">
        <f>_xll.ciqfunctions.udf.CIQ(InputTicker, "IQ_EXCISE_TAXES_INCL_SALES",Input!K$2,Date,,,Ccy,Conv)</f>
        <v>0</v>
      </c>
      <c r="J104" s="4">
        <f>_xll.ciqfunctions.udf.CIQ(InputTicker, "IQ_EXCISE_TAXES_INCL_SALES",Input!L$2,Date,,,Ccy,Conv)</f>
        <v>0</v>
      </c>
      <c r="K104" s="4">
        <f>_xll.ciqfunctions.udf.CIQ(InputTicker, "IQ_EXCISE_TAXES_INCL_SALES",Input!M$2,Date,,,Ccy,Conv)</f>
        <v>0</v>
      </c>
      <c r="L104" s="4">
        <f>_xll.ciqfunctions.udf.CIQ(InputTicker, "IQ_EXCISE_TAXES_INCL_SALES",Input!N$2,Date,,,Ccy,Conv)</f>
        <v>0</v>
      </c>
      <c r="M104" s="4">
        <f>_xll.ciqfunctions.udf.CIQ(InputTicker, "IQ_EXCISE_TAXES_INCL_SALES",Input!O$2,Date,,,Ccy,Conv)</f>
        <v>0</v>
      </c>
      <c r="N104" s="49"/>
      <c r="P104" s="46"/>
      <c r="Q104" s="46"/>
      <c r="R104" s="46"/>
      <c r="T104" s="42"/>
      <c r="U104" s="42"/>
      <c r="V104" s="46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</row>
    <row r="105" spans="1:66" ht="12.75" customHeight="1" x14ac:dyDescent="0.2">
      <c r="A105" s="1" t="s">
        <v>319</v>
      </c>
      <c r="B105" s="4">
        <f>_xll.ciqfunctions.udf.CIQ(InputTicker, "IQ_CURR_DOMESTIC_TAXES",Input!D$2,Date,,,Ccy,Conv)</f>
        <v>149.81</v>
      </c>
      <c r="C105" s="4">
        <f>_xll.ciqfunctions.udf.CIQ(InputTicker, "IQ_CURR_DOMESTIC_TAXES",Input!E$2,Date,,,Ccy,Conv)</f>
        <v>-54.7</v>
      </c>
      <c r="D105" s="4">
        <f>_xll.ciqfunctions.udf.CIQ(InputTicker, "IQ_CURR_DOMESTIC_TAXES",Input!F$2,Date,,,Ccy,Conv)</f>
        <v>24.95</v>
      </c>
      <c r="E105" s="4">
        <f>_xll.ciqfunctions.udf.CIQ(InputTicker, "IQ_CURR_DOMESTIC_TAXES",Input!G$2,Date,,,Ccy,Conv)</f>
        <v>9.6199999999999992</v>
      </c>
      <c r="F105" s="4">
        <f>_xll.ciqfunctions.udf.CIQ(InputTicker, "IQ_CURR_DOMESTIC_TAXES",Input!H$2,Date,,,Ccy,Conv)</f>
        <v>-8.5500000000000007</v>
      </c>
      <c r="G105" s="4">
        <f>_xll.ciqfunctions.udf.CIQ(InputTicker, "IQ_CURR_DOMESTIC_TAXES",Input!I$2,Date,,,Ccy,Conv)</f>
        <v>-34.36</v>
      </c>
      <c r="H105" s="4">
        <f>_xll.ciqfunctions.udf.CIQ(InputTicker, "IQ_CURR_DOMESTIC_TAXES",Input!J$2,Date,,,Ccy,Conv)</f>
        <v>27.898</v>
      </c>
      <c r="I105" s="4">
        <f>_xll.ciqfunctions.udf.CIQ(InputTicker, "IQ_CURR_DOMESTIC_TAXES",Input!K$2,Date,,,Ccy,Conv)</f>
        <v>217.351</v>
      </c>
      <c r="J105" s="4">
        <f>_xll.ciqfunctions.udf.CIQ(InputTicker, "IQ_CURR_DOMESTIC_TAXES",Input!L$2,Date,,,Ccy,Conv)</f>
        <v>93.361000000000004</v>
      </c>
      <c r="K105" s="4">
        <f>_xll.ciqfunctions.udf.CIQ(InputTicker, "IQ_CURR_DOMESTIC_TAXES",Input!M$2,Date,,,Ccy,Conv)</f>
        <v>373.34</v>
      </c>
      <c r="L105" s="4">
        <f>_xll.ciqfunctions.udf.CIQ(InputTicker, "IQ_CURR_DOMESTIC_TAXES",Input!N$2,Date,,,Ccy,Conv)</f>
        <v>25.529</v>
      </c>
      <c r="M105" s="4">
        <f>_xll.ciqfunctions.udf.CIQ(InputTicker, "IQ_CURR_DOMESTIC_TAXES",Input!O$2,Date,,,Ccy,Conv)</f>
        <v>25.529</v>
      </c>
      <c r="N105" s="49"/>
      <c r="P105" s="46"/>
      <c r="Q105" s="46"/>
      <c r="R105" s="46"/>
      <c r="T105" s="42"/>
      <c r="U105" s="42"/>
      <c r="V105" s="46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</row>
    <row r="106" spans="1:66" ht="12.75" customHeight="1" x14ac:dyDescent="0.2">
      <c r="A106" s="1" t="s">
        <v>320</v>
      </c>
      <c r="B106" s="4">
        <f>_xll.ciqfunctions.udf.CIQ(InputTicker, "IQ_CURR_FOREIGN_TAXES",Input!D$2,Date,,,Ccy,Conv)</f>
        <v>0</v>
      </c>
      <c r="C106" s="4">
        <f>_xll.ciqfunctions.udf.CIQ(InputTicker, "IQ_CURR_FOREIGN_TAXES",Input!E$2,Date,,,Ccy,Conv)</f>
        <v>0</v>
      </c>
      <c r="D106" s="4">
        <f>_xll.ciqfunctions.udf.CIQ(InputTicker, "IQ_CURR_FOREIGN_TAXES",Input!F$2,Date,,,Ccy,Conv)</f>
        <v>0</v>
      </c>
      <c r="E106" s="4">
        <f>_xll.ciqfunctions.udf.CIQ(InputTicker, "IQ_CURR_FOREIGN_TAXES",Input!G$2,Date,,,Ccy,Conv)</f>
        <v>0</v>
      </c>
      <c r="F106" s="4">
        <f>_xll.ciqfunctions.udf.CIQ(InputTicker, "IQ_CURR_FOREIGN_TAXES",Input!H$2,Date,,,Ccy,Conv)</f>
        <v>0</v>
      </c>
      <c r="G106" s="4">
        <f>_xll.ciqfunctions.udf.CIQ(InputTicker, "IQ_CURR_FOREIGN_TAXES",Input!I$2,Date,,,Ccy,Conv)</f>
        <v>0</v>
      </c>
      <c r="H106" s="4">
        <f>_xll.ciqfunctions.udf.CIQ(InputTicker, "IQ_CURR_FOREIGN_TAXES",Input!J$2,Date,,,Ccy,Conv)</f>
        <v>0</v>
      </c>
      <c r="I106" s="4">
        <f>_xll.ciqfunctions.udf.CIQ(InputTicker, "IQ_CURR_FOREIGN_TAXES",Input!K$2,Date,,,Ccy,Conv)</f>
        <v>0</v>
      </c>
      <c r="J106" s="4">
        <f>_xll.ciqfunctions.udf.CIQ(InputTicker, "IQ_CURR_FOREIGN_TAXES",Input!L$2,Date,,,Ccy,Conv)</f>
        <v>0</v>
      </c>
      <c r="K106" s="4">
        <f>_xll.ciqfunctions.udf.CIQ(InputTicker, "IQ_CURR_FOREIGN_TAXES",Input!M$2,Date,,,Ccy,Conv)</f>
        <v>0</v>
      </c>
      <c r="L106" s="4">
        <f>_xll.ciqfunctions.udf.CIQ(InputTicker, "IQ_CURR_FOREIGN_TAXES",Input!N$2,Date,,,Ccy,Conv)</f>
        <v>0</v>
      </c>
      <c r="M106" s="4">
        <f>_xll.ciqfunctions.udf.CIQ(InputTicker, "IQ_CURR_FOREIGN_TAXES",Input!O$2,Date,,,Ccy,Conv)</f>
        <v>0</v>
      </c>
      <c r="N106" s="49"/>
      <c r="P106" s="46"/>
      <c r="Q106" s="46"/>
      <c r="R106" s="46"/>
      <c r="T106" s="42"/>
      <c r="U106" s="42"/>
      <c r="V106" s="46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</row>
    <row r="107" spans="1:66" ht="12.75" customHeight="1" x14ac:dyDescent="0.2">
      <c r="A107" s="1" t="s">
        <v>432</v>
      </c>
      <c r="B107" s="4">
        <f>_xll.ciqfunctions.udf.CIQ(InputTicker, "IQ_CURR_TAXES",Input!D$2,Date,,,Ccy,Conv)</f>
        <v>149.81</v>
      </c>
      <c r="C107" s="4">
        <f>_xll.ciqfunctions.udf.CIQ(InputTicker, "IQ_CURR_TAXES",Input!E$2,Date,,,Ccy,Conv)</f>
        <v>-54.7</v>
      </c>
      <c r="D107" s="4">
        <f>_xll.ciqfunctions.udf.CIQ(InputTicker, "IQ_CURR_TAXES",Input!F$2,Date,,,Ccy,Conv)</f>
        <v>24.95</v>
      </c>
      <c r="E107" s="4">
        <f>_xll.ciqfunctions.udf.CIQ(InputTicker, "IQ_CURR_TAXES",Input!G$2,Date,,,Ccy,Conv)</f>
        <v>9.6199999999999992</v>
      </c>
      <c r="F107" s="4">
        <f>_xll.ciqfunctions.udf.CIQ(InputTicker, "IQ_CURR_TAXES",Input!H$2,Date,,,Ccy,Conv)</f>
        <v>-8.5500000000000007</v>
      </c>
      <c r="G107" s="4">
        <f>_xll.ciqfunctions.udf.CIQ(InputTicker, "IQ_CURR_TAXES",Input!I$2,Date,,,Ccy,Conv)</f>
        <v>-34.36</v>
      </c>
      <c r="H107" s="4">
        <f>_xll.ciqfunctions.udf.CIQ(InputTicker, "IQ_CURR_TAXES",Input!J$2,Date,,,Ccy,Conv)</f>
        <v>27.898</v>
      </c>
      <c r="I107" s="4">
        <f>_xll.ciqfunctions.udf.CIQ(InputTicker, "IQ_CURR_TAXES",Input!K$2,Date,,,Ccy,Conv)</f>
        <v>217.351</v>
      </c>
      <c r="J107" s="4">
        <f>_xll.ciqfunctions.udf.CIQ(InputTicker, "IQ_CURR_TAXES",Input!L$2,Date,,,Ccy,Conv)</f>
        <v>93.361000000000004</v>
      </c>
      <c r="K107" s="4">
        <f>_xll.ciqfunctions.udf.CIQ(InputTicker, "IQ_CURR_TAXES",Input!M$2,Date,,,Ccy,Conv)</f>
        <v>373.34</v>
      </c>
      <c r="L107" s="4">
        <f>_xll.ciqfunctions.udf.CIQ(InputTicker, "IQ_CURR_TAXES",Input!N$2,Date,,,Ccy,Conv)</f>
        <v>25.529</v>
      </c>
      <c r="M107" s="4">
        <f>_xll.ciqfunctions.udf.CIQ(InputTicker, "IQ_CURR_TAXES",Input!O$2,Date,,,Ccy,Conv)</f>
        <v>25.529</v>
      </c>
      <c r="N107" s="49"/>
      <c r="P107" s="46"/>
      <c r="Q107" s="46"/>
      <c r="R107" s="46"/>
      <c r="T107" s="42"/>
      <c r="U107" s="42"/>
      <c r="V107" s="46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</row>
    <row r="108" spans="1:66" ht="12.75" customHeight="1" x14ac:dyDescent="0.2">
      <c r="A108" s="1" t="s">
        <v>321</v>
      </c>
      <c r="B108" s="4">
        <f>_xll.ciqfunctions.udf.CIQ(InputTicker, "IQ_DEFERRED_DOMESTIC_TAXES",Input!D$2,Date,,,Ccy,Conv)</f>
        <v>19.391999999999999</v>
      </c>
      <c r="C108" s="4">
        <f>_xll.ciqfunctions.udf.CIQ(InputTicker, "IQ_DEFERRED_DOMESTIC_TAXES",Input!E$2,Date,,,Ccy,Conv)</f>
        <v>14.833</v>
      </c>
      <c r="D108" s="4">
        <f>_xll.ciqfunctions.udf.CIQ(InputTicker, "IQ_DEFERRED_DOMESTIC_TAXES",Input!F$2,Date,,,Ccy,Conv)</f>
        <v>-33.808999999999997</v>
      </c>
      <c r="E108" s="4">
        <f>_xll.ciqfunctions.udf.CIQ(InputTicker, "IQ_DEFERRED_DOMESTIC_TAXES",Input!G$2,Date,,,Ccy,Conv)</f>
        <v>6.1230000000000002</v>
      </c>
      <c r="F108" s="4">
        <f>_xll.ciqfunctions.udf.CIQ(InputTicker, "IQ_DEFERRED_DOMESTIC_TAXES",Input!H$2,Date,,,Ccy,Conv)</f>
        <v>10.281000000000001</v>
      </c>
      <c r="G108" s="4">
        <f>_xll.ciqfunctions.udf.CIQ(InputTicker, "IQ_DEFERRED_DOMESTIC_TAXES",Input!I$2,Date,,,Ccy,Conv)</f>
        <v>22.350999999999999</v>
      </c>
      <c r="H108" s="4">
        <f>_xll.ciqfunctions.udf.CIQ(InputTicker, "IQ_DEFERRED_DOMESTIC_TAXES",Input!J$2,Date,,,Ccy,Conv)</f>
        <v>5.6760000000000002</v>
      </c>
      <c r="I108" s="4">
        <f>_xll.ciqfunctions.udf.CIQ(InputTicker, "IQ_DEFERRED_DOMESTIC_TAXES",Input!K$2,Date,,,Ccy,Conv)</f>
        <v>24.466999999999999</v>
      </c>
      <c r="J108" s="4">
        <f>_xll.ciqfunctions.udf.CIQ(InputTicker, "IQ_DEFERRED_DOMESTIC_TAXES",Input!L$2,Date,,,Ccy,Conv)</f>
        <v>-9.6720000000000006</v>
      </c>
      <c r="K108" s="4">
        <f>_xll.ciqfunctions.udf.CIQ(InputTicker, "IQ_DEFERRED_DOMESTIC_TAXES",Input!M$2,Date,,,Ccy,Conv)</f>
        <v>11.57</v>
      </c>
      <c r="L108" s="4">
        <f>_xll.ciqfunctions.udf.CIQ(InputTicker, "IQ_DEFERRED_DOMESTIC_TAXES",Input!N$2,Date,,,Ccy,Conv)</f>
        <v>67.363</v>
      </c>
      <c r="M108" s="4">
        <f>_xll.ciqfunctions.udf.CIQ(InputTicker, "IQ_DEFERRED_DOMESTIC_TAXES",Input!O$2,Date,,,Ccy,Conv)</f>
        <v>67.363</v>
      </c>
      <c r="N108" s="49"/>
      <c r="P108" s="46"/>
      <c r="Q108" s="46"/>
      <c r="R108" s="46"/>
      <c r="T108" s="42"/>
      <c r="U108" s="42"/>
      <c r="V108" s="46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</row>
    <row r="109" spans="1:66" ht="12.75" customHeight="1" x14ac:dyDescent="0.2">
      <c r="A109" s="1" t="s">
        <v>322</v>
      </c>
      <c r="B109" s="4">
        <f>_xll.ciqfunctions.udf.CIQ(InputTicker, "IQ_DEFERRED_FOREIGN_TAXES",Input!D$2,Date,,,Ccy,Conv)</f>
        <v>0</v>
      </c>
      <c r="C109" s="4">
        <f>_xll.ciqfunctions.udf.CIQ(InputTicker, "IQ_DEFERRED_FOREIGN_TAXES",Input!E$2,Date,,,Ccy,Conv)</f>
        <v>0</v>
      </c>
      <c r="D109" s="4">
        <f>_xll.ciqfunctions.udf.CIQ(InputTicker, "IQ_DEFERRED_FOREIGN_TAXES",Input!F$2,Date,,,Ccy,Conv)</f>
        <v>0</v>
      </c>
      <c r="E109" s="4">
        <f>_xll.ciqfunctions.udf.CIQ(InputTicker, "IQ_DEFERRED_FOREIGN_TAXES",Input!G$2,Date,,,Ccy,Conv)</f>
        <v>0</v>
      </c>
      <c r="F109" s="4">
        <f>_xll.ciqfunctions.udf.CIQ(InputTicker, "IQ_DEFERRED_FOREIGN_TAXES",Input!H$2,Date,,,Ccy,Conv)</f>
        <v>0</v>
      </c>
      <c r="G109" s="4">
        <f>_xll.ciqfunctions.udf.CIQ(InputTicker, "IQ_DEFERRED_FOREIGN_TAXES",Input!I$2,Date,,,Ccy,Conv)</f>
        <v>0</v>
      </c>
      <c r="H109" s="4">
        <f>_xll.ciqfunctions.udf.CIQ(InputTicker, "IQ_DEFERRED_FOREIGN_TAXES",Input!J$2,Date,,,Ccy,Conv)</f>
        <v>0</v>
      </c>
      <c r="I109" s="4">
        <f>_xll.ciqfunctions.udf.CIQ(InputTicker, "IQ_DEFERRED_FOREIGN_TAXES",Input!K$2,Date,,,Ccy,Conv)</f>
        <v>0</v>
      </c>
      <c r="J109" s="4">
        <f>_xll.ciqfunctions.udf.CIQ(InputTicker, "IQ_DEFERRED_FOREIGN_TAXES",Input!L$2,Date,,,Ccy,Conv)</f>
        <v>0</v>
      </c>
      <c r="K109" s="4">
        <f>_xll.ciqfunctions.udf.CIQ(InputTicker, "IQ_DEFERRED_FOREIGN_TAXES",Input!M$2,Date,,,Ccy,Conv)</f>
        <v>0</v>
      </c>
      <c r="L109" s="4">
        <f>_xll.ciqfunctions.udf.CIQ(InputTicker, "IQ_DEFERRED_FOREIGN_TAXES",Input!N$2,Date,,,Ccy,Conv)</f>
        <v>0</v>
      </c>
      <c r="M109" s="4">
        <f>_xll.ciqfunctions.udf.CIQ(InputTicker, "IQ_DEFERRED_FOREIGN_TAXES",Input!O$2,Date,,,Ccy,Conv)</f>
        <v>0</v>
      </c>
      <c r="N109" s="49"/>
      <c r="P109" s="46"/>
      <c r="Q109" s="46"/>
      <c r="R109" s="46"/>
      <c r="T109" s="42"/>
      <c r="U109" s="42"/>
      <c r="V109" s="46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</row>
    <row r="110" spans="1:66" ht="12.75" customHeight="1" x14ac:dyDescent="0.2">
      <c r="A110" s="1" t="s">
        <v>433</v>
      </c>
      <c r="B110" s="4">
        <f>_xll.ciqfunctions.udf.CIQ(InputTicker, "IQ_DEFERRED_TAXES_TOTAL",Input!D$2,Date,,,Ccy,Conv)</f>
        <v>19.391999999999999</v>
      </c>
      <c r="C110" s="4">
        <f>_xll.ciqfunctions.udf.CIQ(InputTicker, "IQ_DEFERRED_TAXES_TOTAL",Input!E$2,Date,,,Ccy,Conv)</f>
        <v>14.833</v>
      </c>
      <c r="D110" s="4">
        <f>_xll.ciqfunctions.udf.CIQ(InputTicker, "IQ_DEFERRED_TAXES_TOTAL",Input!F$2,Date,,,Ccy,Conv)</f>
        <v>-33.808999999999997</v>
      </c>
      <c r="E110" s="4">
        <f>_xll.ciqfunctions.udf.CIQ(InputTicker, "IQ_DEFERRED_TAXES_TOTAL",Input!G$2,Date,,,Ccy,Conv)</f>
        <v>6.1230000000000002</v>
      </c>
      <c r="F110" s="4">
        <f>_xll.ciqfunctions.udf.CIQ(InputTicker, "IQ_DEFERRED_TAXES_TOTAL",Input!H$2,Date,,,Ccy,Conv)</f>
        <v>10.281000000000001</v>
      </c>
      <c r="G110" s="4">
        <f>_xll.ciqfunctions.udf.CIQ(InputTicker, "IQ_DEFERRED_TAXES_TOTAL",Input!I$2,Date,,,Ccy,Conv)</f>
        <v>22.350999999999999</v>
      </c>
      <c r="H110" s="4">
        <f>_xll.ciqfunctions.udf.CIQ(InputTicker, "IQ_DEFERRED_TAXES_TOTAL",Input!J$2,Date,,,Ccy,Conv)</f>
        <v>5.6760000000000002</v>
      </c>
      <c r="I110" s="4">
        <f>_xll.ciqfunctions.udf.CIQ(InputTicker, "IQ_DEFERRED_TAXES_TOTAL",Input!K$2,Date,,,Ccy,Conv)</f>
        <v>24.466999999999999</v>
      </c>
      <c r="J110" s="4">
        <f>_xll.ciqfunctions.udf.CIQ(InputTicker, "IQ_DEFERRED_TAXES_TOTAL",Input!L$2,Date,,,Ccy,Conv)</f>
        <v>-9.6720000000000006</v>
      </c>
      <c r="K110" s="4">
        <f>_xll.ciqfunctions.udf.CIQ(InputTicker, "IQ_DEFERRED_TAXES_TOTAL",Input!M$2,Date,,,Ccy,Conv)</f>
        <v>11.57</v>
      </c>
      <c r="L110" s="4">
        <f>_xll.ciqfunctions.udf.CIQ(InputTicker, "IQ_DEFERRED_TAXES_TOTAL",Input!N$2,Date,,,Ccy,Conv)</f>
        <v>67.363</v>
      </c>
      <c r="M110" s="4">
        <f>_xll.ciqfunctions.udf.CIQ(InputTicker, "IQ_DEFERRED_TAXES_TOTAL",Input!O$2,Date,,,Ccy,Conv)</f>
        <v>67.363</v>
      </c>
      <c r="N110" s="49"/>
      <c r="P110" s="46"/>
      <c r="Q110" s="46"/>
      <c r="R110" s="46"/>
      <c r="T110" s="42"/>
      <c r="U110" s="42"/>
      <c r="V110" s="46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</row>
    <row r="111" spans="1:66" ht="12.75" customHeight="1" x14ac:dyDescent="0.2">
      <c r="A111" s="1" t="s">
        <v>458</v>
      </c>
      <c r="B111" s="4">
        <f>_xll.ciqfunctions.udf.CIQ(InputTicker, "IQ_NONRECURRING_INCOME_TAXES",Input!D$2,Date,,,Ccy,Conv)</f>
        <v>0</v>
      </c>
      <c r="C111" s="4">
        <f>_xll.ciqfunctions.udf.CIQ(InputTicker, "IQ_NONRECURRING_INCOME_TAXES",Input!E$2,Date,,,Ccy,Conv)</f>
        <v>0</v>
      </c>
      <c r="D111" s="4">
        <f>_xll.ciqfunctions.udf.CIQ(InputTicker, "IQ_NONRECURRING_INCOME_TAXES",Input!F$2,Date,,,Ccy,Conv)</f>
        <v>-42.972999999999999</v>
      </c>
      <c r="E111" s="4">
        <f>_xll.ciqfunctions.udf.CIQ(InputTicker, "IQ_NONRECURRING_INCOME_TAXES",Input!G$2,Date,,,Ccy,Conv)</f>
        <v>0</v>
      </c>
      <c r="F111" s="4">
        <f>_xll.ciqfunctions.udf.CIQ(InputTicker, "IQ_NONRECURRING_INCOME_TAXES",Input!H$2,Date,,,Ccy,Conv)</f>
        <v>0</v>
      </c>
      <c r="G111" s="4">
        <f>_xll.ciqfunctions.udf.CIQ(InputTicker, "IQ_NONRECURRING_INCOME_TAXES",Input!I$2,Date,,,Ccy,Conv)</f>
        <v>0</v>
      </c>
      <c r="H111" s="4">
        <f>_xll.ciqfunctions.udf.CIQ(InputTicker, "IQ_NONRECURRING_INCOME_TAXES",Input!J$2,Date,,,Ccy,Conv)</f>
        <v>0</v>
      </c>
      <c r="I111" s="4">
        <f>_xll.ciqfunctions.udf.CIQ(InputTicker, "IQ_NONRECURRING_INCOME_TAXES",Input!K$2,Date,,,Ccy,Conv)</f>
        <v>0</v>
      </c>
      <c r="J111" s="4">
        <f>_xll.ciqfunctions.udf.CIQ(InputTicker, "IQ_NONRECURRING_INCOME_TAXES",Input!L$2,Date,,,Ccy,Conv)</f>
        <v>0</v>
      </c>
      <c r="K111" s="4">
        <f>_xll.ciqfunctions.udf.CIQ(InputTicker, "IQ_NONRECURRING_INCOME_TAXES",Input!M$2,Date,,,Ccy,Conv)</f>
        <v>0</v>
      </c>
      <c r="L111" s="4">
        <f>_xll.ciqfunctions.udf.CIQ(InputTicker, "IQ_NONRECURRING_INCOME_TAXES",Input!N$2,Date,,,Ccy,Conv)</f>
        <v>0</v>
      </c>
      <c r="M111" s="4">
        <f>_xll.ciqfunctions.udf.CIQ(InputTicker, "IQ_NONRECURRING_INCOME_TAXES",Input!O$2,Date,,,Ccy,Conv)</f>
        <v>0</v>
      </c>
      <c r="N111" s="49"/>
      <c r="P111" s="46"/>
      <c r="Q111" s="46"/>
      <c r="R111" s="46"/>
      <c r="T111" s="42"/>
      <c r="U111" s="42"/>
      <c r="V111" s="46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</row>
    <row r="112" spans="1:66" ht="12.75" customHeight="1" x14ac:dyDescent="0.2">
      <c r="A112" s="1" t="s">
        <v>323</v>
      </c>
      <c r="B112" s="4">
        <f>_xll.ciqfunctions.udf.CIQ(InputTicker, "IQ_NI_NORM",Input!D$2,Date,,,Ccy,Conv)</f>
        <v>301.53462999999999</v>
      </c>
      <c r="C112" s="4">
        <f>_xll.ciqfunctions.udf.CIQ(InputTicker, "IQ_NI_NORM",Input!E$2,Date,,,Ccy,Conv)</f>
        <v>-69.134749999999997</v>
      </c>
      <c r="D112" s="4">
        <f>_xll.ciqfunctions.udf.CIQ(InputTicker, "IQ_NI_NORM",Input!F$2,Date,,,Ccy,Conv)</f>
        <v>123.85787999999999</v>
      </c>
      <c r="E112" s="4">
        <f>_xll.ciqfunctions.udf.CIQ(InputTicker, "IQ_NI_NORM",Input!G$2,Date,,,Ccy,Conv)</f>
        <v>43.425750000000001</v>
      </c>
      <c r="F112" s="4">
        <f>_xll.ciqfunctions.udf.CIQ(InputTicker, "IQ_NI_NORM",Input!H$2,Date,,,Ccy,Conv)</f>
        <v>12.564249999999999</v>
      </c>
      <c r="G112" s="4">
        <f>_xll.ciqfunctions.udf.CIQ(InputTicker, "IQ_NI_NORM",Input!I$2,Date,,,Ccy,Conv)</f>
        <v>-3.51</v>
      </c>
      <c r="H112" s="4">
        <f>_xll.ciqfunctions.udf.CIQ(InputTicker, "IQ_NI_NORM",Input!J$2,Date,,,Ccy,Conv)</f>
        <v>100.70963</v>
      </c>
      <c r="I112" s="4">
        <f>_xll.ciqfunctions.udf.CIQ(InputTicker, "IQ_NI_NORM",Input!K$2,Date,,,Ccy,Conv)</f>
        <v>625.32637999999997</v>
      </c>
      <c r="J112" s="4">
        <f>_xll.ciqfunctions.udf.CIQ(InputTicker, "IQ_NI_NORM",Input!L$2,Date,,,Ccy,Conv)</f>
        <v>230.04163</v>
      </c>
      <c r="K112" s="4">
        <f>_xll.ciqfunctions.udf.CIQ(InputTicker, "IQ_NI_NORM",Input!M$2,Date,,,Ccy,Conv)</f>
        <v>1017.11788</v>
      </c>
      <c r="L112" s="4">
        <f>_xll.ciqfunctions.udf.CIQ(InputTicker, "IQ_NI_NORM",Input!N$2,Date,,,Ccy,Conv)</f>
        <v>256.68813</v>
      </c>
      <c r="M112" s="4">
        <f>_xll.ciqfunctions.udf.CIQ(InputTicker, "IQ_NI_NORM",Input!O$2,Date,,,Ccy,Conv)</f>
        <v>256.68813</v>
      </c>
      <c r="N112" s="49"/>
      <c r="P112" s="46"/>
      <c r="Q112" s="46"/>
      <c r="R112" s="46"/>
      <c r="T112" s="42"/>
      <c r="U112" s="42"/>
      <c r="V112" s="46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</row>
    <row r="113" spans="1:66" ht="12.75" customHeight="1" x14ac:dyDescent="0.2">
      <c r="A113" s="1" t="s">
        <v>348</v>
      </c>
      <c r="B113" s="4">
        <f>_xll.ciqfunctions.udf.CIQ(InputTicker, "IQ_DILUT_NI",Input!D$2,Date,,,Ccy,Conv)</f>
        <v>315.82344999999998</v>
      </c>
      <c r="C113" s="4">
        <f>_xll.ciqfunctions.udf.CIQ(InputTicker, "IQ_DILUT_NI",Input!E$2,Date,,,Ccy,Conv)</f>
        <v>-74.47748</v>
      </c>
      <c r="D113" s="4">
        <f>_xll.ciqfunctions.udf.CIQ(InputTicker, "IQ_DILUT_NI",Input!F$2,Date,,,Ccy,Conv)</f>
        <v>126.0168</v>
      </c>
      <c r="E113" s="4">
        <f>_xll.ciqfunctions.udf.CIQ(InputTicker, "IQ_DILUT_NI",Input!G$2,Date,,,Ccy,Conv)</f>
        <v>54.41968</v>
      </c>
      <c r="F113" s="4">
        <f>_xll.ciqfunctions.udf.CIQ(InputTicker, "IQ_DILUT_NI",Input!H$2,Date,,,Ccy,Conv)</f>
        <v>18.461919999999999</v>
      </c>
      <c r="G113" s="4">
        <f>_xll.ciqfunctions.udf.CIQ(InputTicker, "IQ_DILUT_NI",Input!I$2,Date,,,Ccy,Conv)</f>
        <v>1.94624</v>
      </c>
      <c r="H113" s="4">
        <f>_xll.ciqfunctions.udf.CIQ(InputTicker, "IQ_DILUT_NI",Input!J$2,Date,,,Ccy,Conv)</f>
        <v>132.55647999999999</v>
      </c>
      <c r="I113" s="4">
        <f>_xll.ciqfunctions.udf.CIQ(InputTicker, "IQ_DILUT_NI",Input!K$2,Date,,,Ccy,Conv)</f>
        <v>757.90368000000001</v>
      </c>
      <c r="J113" s="4">
        <f>_xll.ciqfunctions.udf.CIQ(InputTicker, "IQ_DILUT_NI",Input!L$2,Date,,,Ccy,Conv)</f>
        <v>278.08737000000002</v>
      </c>
      <c r="K113" s="4">
        <f>_xll.ciqfunctions.udf.CIQ(InputTicker, "IQ_DILUT_NI",Input!M$2,Date,,,Ccy,Conv)</f>
        <v>1219.8304499999999</v>
      </c>
      <c r="L113" s="4">
        <f>_xll.ciqfunctions.udf.CIQ(InputTicker, "IQ_DILUT_NI",Input!N$2,Date,,,Ccy,Conv)</f>
        <v>316.78802999999999</v>
      </c>
      <c r="M113" s="4">
        <f>_xll.ciqfunctions.udf.CIQ(InputTicker, "IQ_DILUT_NI",Input!O$2,Date,,,Ccy,Conv)</f>
        <v>316.78802999999999</v>
      </c>
      <c r="N113" s="49"/>
      <c r="P113" s="46"/>
      <c r="Q113" s="46"/>
      <c r="R113" s="46"/>
      <c r="T113" s="42"/>
      <c r="U113" s="42"/>
      <c r="V113" s="46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</row>
    <row r="114" spans="1:66" ht="12.75" customHeight="1" x14ac:dyDescent="0.2">
      <c r="A114" s="1" t="s">
        <v>310</v>
      </c>
      <c r="B114" s="4">
        <f>_xll.ciqfunctions.udf.CIQ(InputTicker, "IQ_CAPITALIZED_INTEREST",Input!D$2,Date,,,Ccy,Conv)</f>
        <v>1.1000000000000001</v>
      </c>
      <c r="C114" s="4">
        <f>_xll.ciqfunctions.udf.CIQ(InputTicker, "IQ_CAPITALIZED_INTEREST",Input!E$2,Date,,,Ccy,Conv)</f>
        <v>1.1000000000000001</v>
      </c>
      <c r="D114" s="4">
        <f>_xll.ciqfunctions.udf.CIQ(InputTicker, "IQ_CAPITALIZED_INTEREST",Input!F$2,Date,,,Ccy,Conv)</f>
        <v>0.217</v>
      </c>
      <c r="E114" s="4">
        <f>_xll.ciqfunctions.udf.CIQ(InputTicker, "IQ_CAPITALIZED_INTEREST",Input!G$2,Date,,,Ccy,Conv)</f>
        <v>0</v>
      </c>
      <c r="F114" s="4">
        <f>_xll.ciqfunctions.udf.CIQ(InputTicker, "IQ_CAPITALIZED_INTEREST",Input!H$2,Date,,,Ccy,Conv)</f>
        <v>0</v>
      </c>
      <c r="G114" s="4">
        <f>_xll.ciqfunctions.udf.CIQ(InputTicker, "IQ_CAPITALIZED_INTEREST",Input!I$2,Date,,,Ccy,Conv)</f>
        <v>0</v>
      </c>
      <c r="H114" s="4">
        <f>_xll.ciqfunctions.udf.CIQ(InputTicker, "IQ_CAPITALIZED_INTEREST",Input!J$2,Date,,,Ccy,Conv)</f>
        <v>0</v>
      </c>
      <c r="I114" s="4">
        <f>_xll.ciqfunctions.udf.CIQ(InputTicker, "IQ_CAPITALIZED_INTEREST",Input!K$2,Date,,,Ccy,Conv)</f>
        <v>0</v>
      </c>
      <c r="J114" s="4">
        <f>_xll.ciqfunctions.udf.CIQ(InputTicker, "IQ_CAPITALIZED_INTEREST",Input!L$2,Date,,,Ccy,Conv)</f>
        <v>0</v>
      </c>
      <c r="K114" s="4">
        <f>_xll.ciqfunctions.udf.CIQ(InputTicker, "IQ_CAPITALIZED_INTEREST",Input!M$2,Date,,,Ccy,Conv)</f>
        <v>0</v>
      </c>
      <c r="L114" s="4">
        <f>_xll.ciqfunctions.udf.CIQ(InputTicker, "IQ_CAPITALIZED_INTEREST",Input!N$2,Date,,,Ccy,Conv)</f>
        <v>0</v>
      </c>
      <c r="M114" s="4">
        <f>_xll.ciqfunctions.udf.CIQ(InputTicker, "IQ_CAPITALIZED_INTEREST",Input!O$2,Date,,,Ccy,Conv)</f>
        <v>0</v>
      </c>
      <c r="N114" s="49"/>
      <c r="P114" s="46"/>
      <c r="Q114" s="46"/>
      <c r="R114" s="46"/>
      <c r="T114" s="42"/>
      <c r="U114" s="42"/>
      <c r="V114" s="46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</row>
    <row r="115" spans="1:66" ht="12.75" customHeight="1" x14ac:dyDescent="0.2">
      <c r="A115" s="1" t="s">
        <v>324</v>
      </c>
      <c r="B115" s="4">
        <f>_xll.ciqfunctions.udf.CIQ(InputTicker, "IQ_INT_EXP_LTD",Input!D$2,Date,,,Ccy,Conv)</f>
        <v>0</v>
      </c>
      <c r="C115" s="4">
        <f>_xll.ciqfunctions.udf.CIQ(InputTicker, "IQ_INT_EXP_LTD",Input!E$2,Date,,,Ccy,Conv)</f>
        <v>1.4179999999999999</v>
      </c>
      <c r="D115" s="4">
        <f>_xll.ciqfunctions.udf.CIQ(InputTicker, "IQ_INT_EXP_LTD",Input!F$2,Date,,,Ccy,Conv)</f>
        <v>0</v>
      </c>
      <c r="E115" s="4">
        <f>_xll.ciqfunctions.udf.CIQ(InputTicker, "IQ_INT_EXP_LTD",Input!G$2,Date,,,Ccy,Conv)</f>
        <v>0</v>
      </c>
      <c r="F115" s="4">
        <f>_xll.ciqfunctions.udf.CIQ(InputTicker, "IQ_INT_EXP_LTD",Input!H$2,Date,,,Ccy,Conv)</f>
        <v>0</v>
      </c>
      <c r="G115" s="4">
        <f>_xll.ciqfunctions.udf.CIQ(InputTicker, "IQ_INT_EXP_LTD",Input!I$2,Date,,,Ccy,Conv)</f>
        <v>0</v>
      </c>
      <c r="H115" s="4">
        <f>_xll.ciqfunctions.udf.CIQ(InputTicker, "IQ_INT_EXP_LTD",Input!J$2,Date,,,Ccy,Conv)</f>
        <v>0.40300000000000002</v>
      </c>
      <c r="I115" s="4">
        <f>_xll.ciqfunctions.udf.CIQ(InputTicker, "IQ_INT_EXP_LTD",Input!K$2,Date,,,Ccy,Conv)</f>
        <v>0.58299999999999996</v>
      </c>
      <c r="J115" s="4">
        <f>_xll.ciqfunctions.udf.CIQ(InputTicker, "IQ_INT_EXP_LTD",Input!L$2,Date,,,Ccy,Conv)</f>
        <v>0.54900000000000004</v>
      </c>
      <c r="K115" s="4">
        <f>_xll.ciqfunctions.udf.CIQ(InputTicker, "IQ_INT_EXP_LTD",Input!M$2,Date,,,Ccy,Conv)</f>
        <v>0.61199999999999999</v>
      </c>
      <c r="L115" s="4">
        <f>_xll.ciqfunctions.udf.CIQ(InputTicker, "IQ_INT_EXP_LTD",Input!N$2,Date,,,Ccy,Conv)</f>
        <v>0.55600000000000005</v>
      </c>
      <c r="M115" s="4">
        <f>_xll.ciqfunctions.udf.CIQ(InputTicker, "IQ_INT_EXP_LTD",Input!O$2,Date,,,Ccy,Conv)</f>
        <v>0.55600000000000005</v>
      </c>
      <c r="N115" s="49"/>
      <c r="P115" s="46"/>
      <c r="Q115" s="46"/>
      <c r="R115" s="46"/>
      <c r="T115" s="42"/>
      <c r="U115" s="42"/>
      <c r="V115" s="46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</row>
    <row r="116" spans="1:66" ht="12.75" customHeight="1" x14ac:dyDescent="0.2">
      <c r="A116" s="1" t="s">
        <v>459</v>
      </c>
      <c r="B116" s="4">
        <f>_xll.ciqfunctions.udf.CIQ(InputTicker, "IQ_INTEREST_EXP_LEASE_LIABILITY_DEBT",Input!D$2,Date,,,Ccy,Conv)</f>
        <v>0</v>
      </c>
      <c r="C116" s="4">
        <f>_xll.ciqfunctions.udf.CIQ(InputTicker, "IQ_INTEREST_EXP_LEASE_LIABILITY_DEBT",Input!E$2,Date,,,Ccy,Conv)</f>
        <v>0</v>
      </c>
      <c r="D116" s="4">
        <f>_xll.ciqfunctions.udf.CIQ(InputTicker, "IQ_INTEREST_EXP_LEASE_LIABILITY_DEBT",Input!F$2,Date,,,Ccy,Conv)</f>
        <v>0</v>
      </c>
      <c r="E116" s="4">
        <f>_xll.ciqfunctions.udf.CIQ(InputTicker, "IQ_INTEREST_EXP_LEASE_LIABILITY_DEBT",Input!G$2,Date,,,Ccy,Conv)</f>
        <v>0</v>
      </c>
      <c r="F116" s="4">
        <f>_xll.ciqfunctions.udf.CIQ(InputTicker, "IQ_INTEREST_EXP_LEASE_LIABILITY_DEBT",Input!H$2,Date,,,Ccy,Conv)</f>
        <v>0</v>
      </c>
      <c r="G116" s="4">
        <f>_xll.ciqfunctions.udf.CIQ(InputTicker, "IQ_INTEREST_EXP_LEASE_LIABILITY_DEBT",Input!I$2,Date,,,Ccy,Conv)</f>
        <v>0</v>
      </c>
      <c r="H116" s="4">
        <f>_xll.ciqfunctions.udf.CIQ(InputTicker, "IQ_INTEREST_EXP_LEASE_LIABILITY_DEBT",Input!J$2,Date,,,Ccy,Conv)</f>
        <v>0</v>
      </c>
      <c r="I116" s="4">
        <f>_xll.ciqfunctions.udf.CIQ(InputTicker, "IQ_INTEREST_EXP_LEASE_LIABILITY_DEBT",Input!K$2,Date,,,Ccy,Conv)</f>
        <v>0</v>
      </c>
      <c r="J116" s="4">
        <f>_xll.ciqfunctions.udf.CIQ(InputTicker, "IQ_INTEREST_EXP_LEASE_LIABILITY_DEBT",Input!L$2,Date,,,Ccy,Conv)</f>
        <v>0</v>
      </c>
      <c r="K116" s="4">
        <f>_xll.ciqfunctions.udf.CIQ(InputTicker, "IQ_INTEREST_EXP_LEASE_LIABILITY_DEBT",Input!M$2,Date,,,Ccy,Conv)</f>
        <v>0</v>
      </c>
      <c r="L116" s="4">
        <f>_xll.ciqfunctions.udf.CIQ(InputTicker, "IQ_INTEREST_EXP_LEASE_LIABILITY_DEBT",Input!N$2,Date,,,Ccy,Conv)</f>
        <v>0</v>
      </c>
      <c r="M116" s="4">
        <f>_xll.ciqfunctions.udf.CIQ(InputTicker, "IQ_INTEREST_EXP_LEASE_LIABILITY_DEBT",Input!O$2,Date,,,Ccy,Conv)</f>
        <v>0</v>
      </c>
      <c r="N116" s="49"/>
      <c r="P116" s="46"/>
      <c r="Q116" s="46"/>
      <c r="R116" s="46"/>
      <c r="T116" s="42"/>
      <c r="U116" s="42"/>
      <c r="V116" s="46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</row>
    <row r="117" spans="1:66" ht="12.75" customHeight="1" x14ac:dyDescent="0.2">
      <c r="A117" s="1" t="s">
        <v>328</v>
      </c>
      <c r="B117" s="4">
        <f>_xll.ciqfunctions.udf.CIQ(InputTicker, "IQ_INT_EXP_INCL_CAP",Input!D$2,Date,,,Ccy,Conv)</f>
        <v>2.2559999999999998</v>
      </c>
      <c r="C117" s="4">
        <f>_xll.ciqfunctions.udf.CIQ(InputTicker, "IQ_INT_EXP_INCL_CAP",Input!E$2,Date,,,Ccy,Conv)</f>
        <v>1.4179999999999999</v>
      </c>
      <c r="D117" s="4">
        <f>_xll.ciqfunctions.udf.CIQ(InputTicker, "IQ_INT_EXP_INCL_CAP",Input!F$2,Date,,,Ccy,Conv)</f>
        <v>0.48199999999999998</v>
      </c>
      <c r="E117" s="4">
        <f>_xll.ciqfunctions.udf.CIQ(InputTicker, "IQ_INT_EXP_INCL_CAP",Input!G$2,Date,,,Ccy,Conv)</f>
        <v>0.64400000000000002</v>
      </c>
      <c r="F117" s="4">
        <f>_xll.ciqfunctions.udf.CIQ(InputTicker, "IQ_INT_EXP_INCL_CAP",Input!H$2,Date,,,Ccy,Conv)</f>
        <v>0.498</v>
      </c>
      <c r="G117" s="4">
        <f>_xll.ciqfunctions.udf.CIQ(InputTicker, "IQ_INT_EXP_INCL_CAP",Input!I$2,Date,,,Ccy,Conv)</f>
        <v>0.21299999999999999</v>
      </c>
      <c r="H117" s="4">
        <f>_xll.ciqfunctions.udf.CIQ(InputTicker, "IQ_INT_EXP_INCL_CAP",Input!J$2,Date,,,Ccy,Conv)</f>
        <v>0.40300000000000002</v>
      </c>
      <c r="I117" s="4">
        <f>_xll.ciqfunctions.udf.CIQ(InputTicker, "IQ_INT_EXP_INCL_CAP",Input!K$2,Date,,,Ccy,Conv)</f>
        <v>0.58299999999999996</v>
      </c>
      <c r="J117" s="4">
        <f>_xll.ciqfunctions.udf.CIQ(InputTicker, "IQ_INT_EXP_INCL_CAP",Input!L$2,Date,,,Ccy,Conv)</f>
        <v>0.54900000000000004</v>
      </c>
      <c r="K117" s="4">
        <f>_xll.ciqfunctions.udf.CIQ(InputTicker, "IQ_INT_EXP_INCL_CAP",Input!M$2,Date,,,Ccy,Conv)</f>
        <v>0.61199999999999999</v>
      </c>
      <c r="L117" s="4">
        <f>_xll.ciqfunctions.udf.CIQ(InputTicker, "IQ_INT_EXP_INCL_CAP",Input!N$2,Date,,,Ccy,Conv)</f>
        <v>0.55600000000000005</v>
      </c>
      <c r="M117" s="4">
        <f>_xll.ciqfunctions.udf.CIQ(InputTicker, "IQ_INT_EXP_INCL_CAP",Input!O$2,Date,,,Ccy,Conv)</f>
        <v>0.55600000000000005</v>
      </c>
      <c r="N117" s="49"/>
      <c r="P117" s="46"/>
      <c r="Q117" s="46"/>
      <c r="R117" s="46"/>
      <c r="T117" s="42"/>
      <c r="U117" s="42"/>
      <c r="V117" s="46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</row>
    <row r="118" spans="1:66" ht="12.75" customHeight="1" x14ac:dyDescent="0.2">
      <c r="A118" s="1" t="s">
        <v>325</v>
      </c>
      <c r="B118" s="4">
        <f>_xll.ciqfunctions.udf.CIQ(InputTicker, "IQ_NONCASH_PENSION_EXP",Input!D$2,Date,,,Ccy,Conv)</f>
        <v>0.34699999999999998</v>
      </c>
      <c r="C118" s="4">
        <f>_xll.ciqfunctions.udf.CIQ(InputTicker, "IQ_NONCASH_PENSION_EXP",Input!E$2,Date,,,Ccy,Conv)</f>
        <v>0.61599999999999999</v>
      </c>
      <c r="D118" s="4">
        <f>_xll.ciqfunctions.udf.CIQ(InputTicker, "IQ_NONCASH_PENSION_EXP",Input!F$2,Date,,,Ccy,Conv)</f>
        <v>0.69299999999999995</v>
      </c>
      <c r="E118" s="4">
        <f>_xll.ciqfunctions.udf.CIQ(InputTicker, "IQ_NONCASH_PENSION_EXP",Input!G$2,Date,,,Ccy,Conv)</f>
        <v>0.377</v>
      </c>
      <c r="F118" s="4">
        <f>_xll.ciqfunctions.udf.CIQ(InputTicker, "IQ_NONCASH_PENSION_EXP",Input!H$2,Date,,,Ccy,Conv)</f>
        <v>0.621</v>
      </c>
      <c r="G118" s="4">
        <f>_xll.ciqfunctions.udf.CIQ(InputTicker, "IQ_NONCASH_PENSION_EXP",Input!I$2,Date,,,Ccy,Conv)</f>
        <v>1.6</v>
      </c>
      <c r="H118" s="4">
        <f>_xll.ciqfunctions.udf.CIQ(InputTicker, "IQ_NONCASH_PENSION_EXP",Input!J$2,Date,,,Ccy,Conv)</f>
        <v>0.25800000000000001</v>
      </c>
      <c r="I118" s="4">
        <f>_xll.ciqfunctions.udf.CIQ(InputTicker, "IQ_NONCASH_PENSION_EXP",Input!K$2,Date,,,Ccy,Conv)</f>
        <v>0.752</v>
      </c>
      <c r="J118" s="4">
        <f>_xll.ciqfunctions.udf.CIQ(InputTicker, "IQ_NONCASH_PENSION_EXP",Input!L$2,Date,,,Ccy,Conv)</f>
        <v>1.2</v>
      </c>
      <c r="K118" s="4">
        <f>_xll.ciqfunctions.udf.CIQ(InputTicker, "IQ_NONCASH_PENSION_EXP",Input!M$2,Date,,,Ccy,Conv)</f>
        <v>1.5</v>
      </c>
      <c r="L118" s="4">
        <f>_xll.ciqfunctions.udf.CIQ(InputTicker, "IQ_NONCASH_PENSION_EXP",Input!N$2,Date,,,Ccy,Conv)</f>
        <v>1.1000000000000001</v>
      </c>
      <c r="M118" s="4">
        <f>_xll.ciqfunctions.udf.CIQ(InputTicker, "IQ_NONCASH_PENSION_EXP",Input!O$2,Date,,,Ccy,Conv)</f>
        <v>1.1000000000000001</v>
      </c>
      <c r="N118" s="49"/>
      <c r="P118" s="46"/>
      <c r="Q118" s="46"/>
      <c r="R118" s="46"/>
      <c r="T118" s="42"/>
      <c r="U118" s="42"/>
      <c r="V118" s="46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</row>
    <row r="119" spans="1:66" ht="12.75" customHeight="1" x14ac:dyDescent="0.2">
      <c r="A119" s="1" t="s">
        <v>326</v>
      </c>
      <c r="B119" s="4">
        <f>_xll.ciqfunctions.udf.CIQ(InputTicker, "IQ_DA_EBITDA",Input!D$2,Date,,,Ccy,Conv)</f>
        <v>44.591999999999999</v>
      </c>
      <c r="C119" s="4">
        <f>_xll.ciqfunctions.udf.CIQ(InputTicker, "IQ_DA_EBITDA",Input!E$2,Date,,,Ccy,Conv)</f>
        <v>49.113</v>
      </c>
      <c r="D119" s="4">
        <f>_xll.ciqfunctions.udf.CIQ(InputTicker, "IQ_DA_EBITDA",Input!F$2,Date,,,Ccy,Conv)</f>
        <v>54.026000000000003</v>
      </c>
      <c r="E119" s="4">
        <f>_xll.ciqfunctions.udf.CIQ(InputTicker, "IQ_DA_EBITDA",Input!G$2,Date,,,Ccy,Conv)</f>
        <v>54.65</v>
      </c>
      <c r="F119" s="4">
        <f>_xll.ciqfunctions.udf.CIQ(InputTicker, "IQ_DA_EBITDA",Input!H$2,Date,,,Ccy,Conv)</f>
        <v>58.103000000000002</v>
      </c>
      <c r="G119" s="4">
        <f>_xll.ciqfunctions.udf.CIQ(InputTicker, "IQ_DA_EBITDA",Input!I$2,Date,,,Ccy,Conv)</f>
        <v>59.476999999999997</v>
      </c>
      <c r="H119" s="4">
        <f>_xll.ciqfunctions.udf.CIQ(InputTicker, "IQ_DA_EBITDA",Input!J$2,Date,,,Ccy,Conv)</f>
        <v>68.394999999999996</v>
      </c>
      <c r="I119" s="4">
        <f>_xll.ciqfunctions.udf.CIQ(InputTicker, "IQ_DA_EBITDA",Input!K$2,Date,,,Ccy,Conv)</f>
        <v>72.233999999999995</v>
      </c>
      <c r="J119" s="4">
        <f>_xll.ciqfunctions.udf.CIQ(InputTicker, "IQ_DA_EBITDA",Input!L$2,Date,,,Ccy,Conv)</f>
        <v>80.241</v>
      </c>
      <c r="K119" s="4">
        <f>_xll.ciqfunctions.udf.CIQ(InputTicker, "IQ_DA_EBITDA",Input!M$2,Date,,,Ccy,Conv)</f>
        <v>94.021000000000001</v>
      </c>
      <c r="L119" s="4">
        <f>_xll.ciqfunctions.udf.CIQ(InputTicker, "IQ_DA_EBITDA",Input!N$2,Date,,,Ccy,Conv)</f>
        <v>124.342</v>
      </c>
      <c r="M119" s="4">
        <f>_xll.ciqfunctions.udf.CIQ(InputTicker, "IQ_DA_EBITDA",Input!O$2,Date,,,Ccy,Conv)</f>
        <v>124.342</v>
      </c>
      <c r="N119" s="49"/>
      <c r="P119" s="46"/>
      <c r="Q119" s="46"/>
      <c r="R119" s="46"/>
      <c r="T119" s="42"/>
      <c r="U119" s="42"/>
      <c r="V119" s="46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</row>
    <row r="120" spans="1:66" ht="12.75" customHeight="1" x14ac:dyDescent="0.2">
      <c r="A120" s="1" t="s">
        <v>327</v>
      </c>
      <c r="B120" s="4">
        <f>_xll.ciqfunctions.udf.CIQ(InputTicker, "IQ_DISTRIBUTABLE_CASH",Input!D$2,Date,,,Ccy,Conv)</f>
        <v>0</v>
      </c>
      <c r="C120" s="4">
        <f>_xll.ciqfunctions.udf.CIQ(InputTicker, "IQ_DISTRIBUTABLE_CASH",Input!E$2,Date,,,Ccy,Conv)</f>
        <v>0</v>
      </c>
      <c r="D120" s="4">
        <f>_xll.ciqfunctions.udf.CIQ(InputTicker, "IQ_DISTRIBUTABLE_CASH",Input!F$2,Date,,,Ccy,Conv)</f>
        <v>0</v>
      </c>
      <c r="E120" s="4">
        <f>_xll.ciqfunctions.udf.CIQ(InputTicker, "IQ_DISTRIBUTABLE_CASH",Input!G$2,Date,,,Ccy,Conv)</f>
        <v>0</v>
      </c>
      <c r="F120" s="4">
        <f>_xll.ciqfunctions.udf.CIQ(InputTicker, "IQ_DISTRIBUTABLE_CASH",Input!H$2,Date,,,Ccy,Conv)</f>
        <v>0</v>
      </c>
      <c r="G120" s="4">
        <f>_xll.ciqfunctions.udf.CIQ(InputTicker, "IQ_DISTRIBUTABLE_CASH",Input!I$2,Date,,,Ccy,Conv)</f>
        <v>0</v>
      </c>
      <c r="H120" s="4">
        <f>_xll.ciqfunctions.udf.CIQ(InputTicker, "IQ_DISTRIBUTABLE_CASH",Input!J$2,Date,,,Ccy,Conv)</f>
        <v>0</v>
      </c>
      <c r="I120" s="4">
        <f>_xll.ciqfunctions.udf.CIQ(InputTicker, "IQ_DISTRIBUTABLE_CASH",Input!K$2,Date,,,Ccy,Conv)</f>
        <v>0</v>
      </c>
      <c r="J120" s="4">
        <f>_xll.ciqfunctions.udf.CIQ(InputTicker, "IQ_DISTRIBUTABLE_CASH",Input!L$2,Date,,,Ccy,Conv)</f>
        <v>0</v>
      </c>
      <c r="K120" s="4">
        <f>_xll.ciqfunctions.udf.CIQ(InputTicker, "IQ_DISTRIBUTABLE_CASH",Input!M$2,Date,,,Ccy,Conv)</f>
        <v>0</v>
      </c>
      <c r="L120" s="4">
        <f>_xll.ciqfunctions.udf.CIQ(InputTicker, "IQ_DISTRIBUTABLE_CASH",Input!N$2,Date,,,Ccy,Conv)</f>
        <v>0</v>
      </c>
      <c r="M120" s="4">
        <f>_xll.ciqfunctions.udf.CIQ(InputTicker, "IQ_DISTRIBUTABLE_CASH",Input!O$2,Date,,,Ccy,Conv)</f>
        <v>0</v>
      </c>
      <c r="N120" s="49"/>
      <c r="P120" s="46"/>
      <c r="Q120" s="46"/>
      <c r="R120" s="46"/>
      <c r="T120" s="42"/>
      <c r="U120" s="42"/>
      <c r="V120" s="46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</row>
    <row r="121" spans="1:66" ht="12.75" customHeight="1" x14ac:dyDescent="0.2">
      <c r="A121" s="1" t="s">
        <v>436</v>
      </c>
      <c r="B121" s="4">
        <f>_xll.ciqfunctions.udf.CIQ(InputTicker, "IQ_DISTRIBUTABLE_CASH_STANDARDIZED",Input!D$2,Date,,,Ccy,Conv)</f>
        <v>0</v>
      </c>
      <c r="C121" s="4">
        <f>_xll.ciqfunctions.udf.CIQ(InputTicker, "IQ_DISTRIBUTABLE_CASH_STANDARDIZED",Input!E$2,Date,,,Ccy,Conv)</f>
        <v>0</v>
      </c>
      <c r="D121" s="4">
        <f>_xll.ciqfunctions.udf.CIQ(InputTicker, "IQ_DISTRIBUTABLE_CASH_STANDARDIZED",Input!F$2,Date,,,Ccy,Conv)</f>
        <v>0</v>
      </c>
      <c r="E121" s="4">
        <f>_xll.ciqfunctions.udf.CIQ(InputTicker, "IQ_DISTRIBUTABLE_CASH_STANDARDIZED",Input!G$2,Date,,,Ccy,Conv)</f>
        <v>0</v>
      </c>
      <c r="F121" s="4">
        <f>_xll.ciqfunctions.udf.CIQ(InputTicker, "IQ_DISTRIBUTABLE_CASH_STANDARDIZED",Input!H$2,Date,,,Ccy,Conv)</f>
        <v>0</v>
      </c>
      <c r="G121" s="4">
        <f>_xll.ciqfunctions.udf.CIQ(InputTicker, "IQ_DISTRIBUTABLE_CASH_STANDARDIZED",Input!I$2,Date,,,Ccy,Conv)</f>
        <v>0</v>
      </c>
      <c r="H121" s="4">
        <f>_xll.ciqfunctions.udf.CIQ(InputTicker, "IQ_DISTRIBUTABLE_CASH_STANDARDIZED",Input!J$2,Date,,,Ccy,Conv)</f>
        <v>0</v>
      </c>
      <c r="I121" s="4">
        <f>_xll.ciqfunctions.udf.CIQ(InputTicker, "IQ_DISTRIBUTABLE_CASH_STANDARDIZED",Input!K$2,Date,,,Ccy,Conv)</f>
        <v>0</v>
      </c>
      <c r="J121" s="4">
        <f>_xll.ciqfunctions.udf.CIQ(InputTicker, "IQ_DISTRIBUTABLE_CASH_STANDARDIZED",Input!L$2,Date,,,Ccy,Conv)</f>
        <v>0</v>
      </c>
      <c r="K121" s="4">
        <f>_xll.ciqfunctions.udf.CIQ(InputTicker, "IQ_DISTRIBUTABLE_CASH_STANDARDIZED",Input!M$2,Date,,,Ccy,Conv)</f>
        <v>0</v>
      </c>
      <c r="L121" s="4">
        <f>_xll.ciqfunctions.udf.CIQ(InputTicker, "IQ_DISTRIBUTABLE_CASH_STANDARDIZED",Input!N$2,Date,,,Ccy,Conv)</f>
        <v>0</v>
      </c>
      <c r="M121" s="4">
        <f>_xll.ciqfunctions.udf.CIQ(InputTicker, "IQ_DISTRIBUTABLE_CASH_STANDARDIZED",Input!O$2,Date,,,Ccy,Conv)</f>
        <v>0</v>
      </c>
      <c r="N121" s="49"/>
      <c r="P121" s="46"/>
      <c r="Q121" s="46"/>
      <c r="R121" s="46"/>
      <c r="T121" s="42"/>
      <c r="U121" s="42"/>
      <c r="V121" s="46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</row>
    <row r="122" spans="1:66" ht="12.75" customHeight="1" x14ac:dyDescent="0.2">
      <c r="A122" s="1" t="s">
        <v>389</v>
      </c>
      <c r="B122" s="4">
        <f>_xll.ciqfunctions.udf.CIQ(InputTicker, "IQ_DISTRIBUTABLE_CASH_SHARES_BASIC",Input!D$2,Date)</f>
        <v>0</v>
      </c>
      <c r="C122" s="4">
        <f>_xll.ciqfunctions.udf.CIQ(InputTicker, "IQ_DISTRIBUTABLE_CASH_SHARES_BASIC",Input!E$2,Date)</f>
        <v>0</v>
      </c>
      <c r="D122" s="4">
        <f>_xll.ciqfunctions.udf.CIQ(InputTicker, "IQ_DISTRIBUTABLE_CASH_SHARES_BASIC",Input!F$2,Date)</f>
        <v>0</v>
      </c>
      <c r="E122" s="4">
        <f>_xll.ciqfunctions.udf.CIQ(InputTicker, "IQ_DISTRIBUTABLE_CASH_SHARES_BASIC",Input!G$2,Date)</f>
        <v>0</v>
      </c>
      <c r="F122" s="4">
        <f>_xll.ciqfunctions.udf.CIQ(InputTicker, "IQ_DISTRIBUTABLE_CASH_SHARES_BASIC",Input!H$2,Date)</f>
        <v>0</v>
      </c>
      <c r="G122" s="4">
        <f>_xll.ciqfunctions.udf.CIQ(InputTicker, "IQ_DISTRIBUTABLE_CASH_SHARES_BASIC",Input!I$2,Date)</f>
        <v>0</v>
      </c>
      <c r="H122" s="4">
        <f>_xll.ciqfunctions.udf.CIQ(InputTicker, "IQ_DISTRIBUTABLE_CASH_SHARES_BASIC",Input!J$2,Date)</f>
        <v>0</v>
      </c>
      <c r="I122" s="4">
        <f>_xll.ciqfunctions.udf.CIQ(InputTicker, "IQ_DISTRIBUTABLE_CASH_SHARES_BASIC",Input!K$2,Date)</f>
        <v>0</v>
      </c>
      <c r="J122" s="4">
        <f>_xll.ciqfunctions.udf.CIQ(InputTicker, "IQ_DISTRIBUTABLE_CASH_SHARES_BASIC",Input!L$2,Date)</f>
        <v>0</v>
      </c>
      <c r="K122" s="4">
        <f>_xll.ciqfunctions.udf.CIQ(InputTicker, "IQ_DISTRIBUTABLE_CASH_SHARES_BASIC",Input!M$2,Date)</f>
        <v>0</v>
      </c>
      <c r="L122" s="4">
        <f>_xll.ciqfunctions.udf.CIQ(InputTicker, "IQ_DISTRIBUTABLE_CASH_SHARES_BASIC",Input!N$2,Date)</f>
        <v>0</v>
      </c>
      <c r="M122" s="4">
        <f>_xll.ciqfunctions.udf.CIQ(InputTicker, "IQ_DISTRIBUTABLE_CASH_SHARES_BASIC",Input!O$2,Date)</f>
        <v>0</v>
      </c>
      <c r="N122" s="49"/>
      <c r="P122" s="46"/>
      <c r="Q122" s="46"/>
      <c r="R122" s="46"/>
      <c r="T122" s="42"/>
      <c r="U122" s="42"/>
      <c r="V122" s="46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</row>
    <row r="123" spans="1:66" ht="12.75" customHeight="1" x14ac:dyDescent="0.2">
      <c r="A123" s="1" t="s">
        <v>390</v>
      </c>
      <c r="B123" s="4">
        <f>_xll.ciqfunctions.udf.CIQ(InputTicker, "IQ_DISTRIBUTABLE_CASH_SHARES_DILUTED",Input!D$2,Date)</f>
        <v>0</v>
      </c>
      <c r="C123" s="4">
        <f>_xll.ciqfunctions.udf.CIQ(InputTicker, "IQ_DISTRIBUTABLE_CASH_SHARES_DILUTED",Input!E$2,Date)</f>
        <v>0</v>
      </c>
      <c r="D123" s="4">
        <f>_xll.ciqfunctions.udf.CIQ(InputTicker, "IQ_DISTRIBUTABLE_CASH_SHARES_DILUTED",Input!F$2,Date)</f>
        <v>0</v>
      </c>
      <c r="E123" s="4">
        <f>_xll.ciqfunctions.udf.CIQ(InputTicker, "IQ_DISTRIBUTABLE_CASH_SHARES_DILUTED",Input!G$2,Date)</f>
        <v>0</v>
      </c>
      <c r="F123" s="4">
        <f>_xll.ciqfunctions.udf.CIQ(InputTicker, "IQ_DISTRIBUTABLE_CASH_SHARES_DILUTED",Input!H$2,Date)</f>
        <v>0</v>
      </c>
      <c r="G123" s="4">
        <f>_xll.ciqfunctions.udf.CIQ(InputTicker, "IQ_DISTRIBUTABLE_CASH_SHARES_DILUTED",Input!I$2,Date)</f>
        <v>0</v>
      </c>
      <c r="H123" s="4">
        <f>_xll.ciqfunctions.udf.CIQ(InputTicker, "IQ_DISTRIBUTABLE_CASH_SHARES_DILUTED",Input!J$2,Date)</f>
        <v>0</v>
      </c>
      <c r="I123" s="4">
        <f>_xll.ciqfunctions.udf.CIQ(InputTicker, "IQ_DISTRIBUTABLE_CASH_SHARES_DILUTED",Input!K$2,Date)</f>
        <v>0</v>
      </c>
      <c r="J123" s="4">
        <f>_xll.ciqfunctions.udf.CIQ(InputTicker, "IQ_DISTRIBUTABLE_CASH_SHARES_DILUTED",Input!L$2,Date)</f>
        <v>0</v>
      </c>
      <c r="K123" s="4">
        <f>_xll.ciqfunctions.udf.CIQ(InputTicker, "IQ_DISTRIBUTABLE_CASH_SHARES_DILUTED",Input!M$2,Date)</f>
        <v>0</v>
      </c>
      <c r="L123" s="4">
        <f>_xll.ciqfunctions.udf.CIQ(InputTicker, "IQ_DISTRIBUTABLE_CASH_SHARES_DILUTED",Input!N$2,Date)</f>
        <v>0</v>
      </c>
      <c r="M123" s="4">
        <f>_xll.ciqfunctions.udf.CIQ(InputTicker, "IQ_DISTRIBUTABLE_CASH_SHARES_DILUTED",Input!O$2,Date)</f>
        <v>0</v>
      </c>
      <c r="N123" s="49"/>
      <c r="P123" s="46"/>
      <c r="Q123" s="46"/>
      <c r="R123" s="46"/>
      <c r="T123" s="42"/>
      <c r="U123" s="42"/>
      <c r="V123" s="46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</row>
    <row r="124" spans="1:66" ht="12.75" customHeight="1" x14ac:dyDescent="0.2">
      <c r="A124" s="1" t="s">
        <v>344</v>
      </c>
      <c r="B124" s="4">
        <f>_xll.ciqfunctions.udf.CIQ(InputTicker, "IQ_ANNU_DISTRIBUTION_UNIT",Input!D$2,Date,,,Ccy,Conv)</f>
        <v>0</v>
      </c>
      <c r="C124" s="4">
        <f>_xll.ciqfunctions.udf.CIQ(InputTicker, "IQ_ANNU_DISTRIBUTION_UNIT",Input!E$2,Date,,,Ccy,Conv)</f>
        <v>0</v>
      </c>
      <c r="D124" s="4">
        <f>_xll.ciqfunctions.udf.CIQ(InputTicker, "IQ_ANNU_DISTRIBUTION_UNIT",Input!F$2,Date,,,Ccy,Conv)</f>
        <v>0</v>
      </c>
      <c r="E124" s="4">
        <f>_xll.ciqfunctions.udf.CIQ(InputTicker, "IQ_ANNU_DISTRIBUTION_UNIT",Input!G$2,Date,,,Ccy,Conv)</f>
        <v>0</v>
      </c>
      <c r="F124" s="4">
        <f>_xll.ciqfunctions.udf.CIQ(InputTicker, "IQ_ANNU_DISTRIBUTION_UNIT",Input!H$2,Date,,,Ccy,Conv)</f>
        <v>0</v>
      </c>
      <c r="G124" s="4">
        <f>_xll.ciqfunctions.udf.CIQ(InputTicker, "IQ_ANNU_DISTRIBUTION_UNIT",Input!I$2,Date,,,Ccy,Conv)</f>
        <v>0</v>
      </c>
      <c r="H124" s="4">
        <f>_xll.ciqfunctions.udf.CIQ(InputTicker, "IQ_ANNU_DISTRIBUTION_UNIT",Input!J$2,Date,,,Ccy,Conv)</f>
        <v>0</v>
      </c>
      <c r="I124" s="4">
        <f>_xll.ciqfunctions.udf.CIQ(InputTicker, "IQ_ANNU_DISTRIBUTION_UNIT",Input!K$2,Date,,,Ccy,Conv)</f>
        <v>0</v>
      </c>
      <c r="J124" s="4">
        <f>_xll.ciqfunctions.udf.CIQ(InputTicker, "IQ_ANNU_DISTRIBUTION_UNIT",Input!L$2,Date,,,Ccy,Conv)</f>
        <v>0</v>
      </c>
      <c r="K124" s="4">
        <f>_xll.ciqfunctions.udf.CIQ(InputTicker, "IQ_ANNU_DISTRIBUTION_UNIT",Input!M$2,Date,,,Ccy,Conv)</f>
        <v>0</v>
      </c>
      <c r="L124" s="4">
        <f>_xll.ciqfunctions.udf.CIQ(InputTicker, "IQ_ANNU_DISTRIBUTION_UNIT",Input!N$2,Date,,,Ccy,Conv)</f>
        <v>0</v>
      </c>
      <c r="M124" s="4">
        <f>_xll.ciqfunctions.udf.CIQ(InputTicker, "IQ_ANNU_DISTRIBUTION_UNIT",Input!O$2,Date,,,Ccy,Conv)</f>
        <v>0</v>
      </c>
      <c r="N124" s="49"/>
      <c r="P124" s="46"/>
      <c r="Q124" s="46"/>
      <c r="R124" s="46"/>
      <c r="T124" s="42"/>
      <c r="U124" s="42"/>
      <c r="V124" s="46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</row>
    <row r="125" spans="1:66" ht="12.75" customHeight="1" x14ac:dyDescent="0.2">
      <c r="A125" s="1" t="s">
        <v>365</v>
      </c>
      <c r="B125" s="4">
        <f>_xll.ciqfunctions.udf.CIQ(InputTicker, "IQ_DISTRIBUTABLE_CASH_PAYOUT",Input!D$2,Date)</f>
        <v>0</v>
      </c>
      <c r="C125" s="4">
        <f>_xll.ciqfunctions.udf.CIQ(InputTicker, "IQ_DISTRIBUTABLE_CASH_PAYOUT",Input!E$2,Date)</f>
        <v>0</v>
      </c>
      <c r="D125" s="4">
        <f>_xll.ciqfunctions.udf.CIQ(InputTicker, "IQ_DISTRIBUTABLE_CASH_PAYOUT",Input!F$2,Date)</f>
        <v>0</v>
      </c>
      <c r="E125" s="4">
        <f>_xll.ciqfunctions.udf.CIQ(InputTicker, "IQ_DISTRIBUTABLE_CASH_PAYOUT",Input!G$2,Date)</f>
        <v>0</v>
      </c>
      <c r="F125" s="4">
        <f>_xll.ciqfunctions.udf.CIQ(InputTicker, "IQ_DISTRIBUTABLE_CASH_PAYOUT",Input!H$2,Date)</f>
        <v>0</v>
      </c>
      <c r="G125" s="4">
        <f>_xll.ciqfunctions.udf.CIQ(InputTicker, "IQ_DISTRIBUTABLE_CASH_PAYOUT",Input!I$2,Date)</f>
        <v>0</v>
      </c>
      <c r="H125" s="4">
        <f>_xll.ciqfunctions.udf.CIQ(InputTicker, "IQ_DISTRIBUTABLE_CASH_PAYOUT",Input!J$2,Date)</f>
        <v>0</v>
      </c>
      <c r="I125" s="4">
        <f>_xll.ciqfunctions.udf.CIQ(InputTicker, "IQ_DISTRIBUTABLE_CASH_PAYOUT",Input!K$2,Date)</f>
        <v>0</v>
      </c>
      <c r="J125" s="4">
        <f>_xll.ciqfunctions.udf.CIQ(InputTicker, "IQ_DISTRIBUTABLE_CASH_PAYOUT",Input!L$2,Date)</f>
        <v>0</v>
      </c>
      <c r="K125" s="4">
        <f>_xll.ciqfunctions.udf.CIQ(InputTicker, "IQ_DISTRIBUTABLE_CASH_PAYOUT",Input!M$2,Date)</f>
        <v>0</v>
      </c>
      <c r="L125" s="4">
        <f>_xll.ciqfunctions.udf.CIQ(InputTicker, "IQ_DISTRIBUTABLE_CASH_PAYOUT",Input!N$2,Date)</f>
        <v>0</v>
      </c>
      <c r="M125" s="4">
        <f>_xll.ciqfunctions.udf.CIQ(InputTicker, "IQ_DISTRIBUTABLE_CASH_PAYOUT",Input!O$2,Date)</f>
        <v>0</v>
      </c>
      <c r="N125" s="49"/>
      <c r="P125" s="46"/>
      <c r="Q125" s="46"/>
      <c r="R125" s="46"/>
      <c r="T125" s="42"/>
      <c r="U125" s="42"/>
      <c r="V125" s="46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</row>
    <row r="126" spans="1:66" ht="12.75" customHeight="1" x14ac:dyDescent="0.2">
      <c r="A126" s="1" t="s">
        <v>329</v>
      </c>
      <c r="B126" s="4">
        <f>_xll.ciqfunctions.udf.CIQ(InputTicker, "IQ_COMMON_DIV",Input!D$2,Date,,,Ccy,Conv)</f>
        <v>0</v>
      </c>
      <c r="C126" s="4">
        <f>_xll.ciqfunctions.udf.CIQ(InputTicker, "IQ_COMMON_DIV",Input!E$2,Date,,,Ccy,Conv)</f>
        <v>0</v>
      </c>
      <c r="D126" s="4">
        <f>_xll.ciqfunctions.udf.CIQ(InputTicker, "IQ_COMMON_DIV",Input!F$2,Date,,,Ccy,Conv)</f>
        <v>17.093</v>
      </c>
      <c r="E126" s="4">
        <f>_xll.ciqfunctions.udf.CIQ(InputTicker, "IQ_COMMON_DIV",Input!G$2,Date,,,Ccy,Conv)</f>
        <v>0</v>
      </c>
      <c r="F126" s="4">
        <f>_xll.ciqfunctions.udf.CIQ(InputTicker, "IQ_COMMON_DIV",Input!H$2,Date,,,Ccy,Conv)</f>
        <v>0</v>
      </c>
      <c r="G126" s="4">
        <f>_xll.ciqfunctions.udf.CIQ(InputTicker, "IQ_COMMON_DIV",Input!I$2,Date,,,Ccy,Conv)</f>
        <v>1.6519999999999999</v>
      </c>
      <c r="H126" s="4">
        <f>_xll.ciqfunctions.udf.CIQ(InputTicker, "IQ_COMMON_DIV",Input!J$2,Date,,,Ccy,Conv)</f>
        <v>42.773000000000003</v>
      </c>
      <c r="I126" s="4">
        <f>_xll.ciqfunctions.udf.CIQ(InputTicker, "IQ_COMMON_DIV",Input!K$2,Date,,,Ccy,Conv)</f>
        <v>252.76599999999999</v>
      </c>
      <c r="J126" s="4">
        <f>_xll.ciqfunctions.udf.CIQ(InputTicker, "IQ_COMMON_DIV",Input!L$2,Date,,,Ccy,Conv)</f>
        <v>92.605000000000004</v>
      </c>
      <c r="K126" s="4">
        <f>_xll.ciqfunctions.udf.CIQ(InputTicker, "IQ_COMMON_DIV",Input!M$2,Date,,,Ccy,Conv)</f>
        <v>406.68900000000002</v>
      </c>
      <c r="L126" s="4">
        <f>_xll.ciqfunctions.udf.CIQ(InputTicker, "IQ_COMMON_DIV",Input!N$2,Date,,,Ccy,Conv)</f>
        <v>117.502</v>
      </c>
      <c r="M126" s="4">
        <f>_xll.ciqfunctions.udf.CIQ(InputTicker, "IQ_COMMON_DIV",Input!O$2,Date,,,Ccy,Conv)</f>
        <v>117.502</v>
      </c>
      <c r="N126" s="49"/>
      <c r="P126" s="46"/>
      <c r="Q126" s="46"/>
      <c r="R126" s="46"/>
      <c r="T126" s="42"/>
      <c r="U126" s="42"/>
      <c r="V126" s="46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</row>
    <row r="127" spans="1:66" ht="12.75" customHeight="1" x14ac:dyDescent="0.2">
      <c r="A127" s="1" t="s">
        <v>282</v>
      </c>
      <c r="B127" s="4">
        <f>_xll.ciqfunctions.udf.CIQ(InputTicker, "IQ_EFFECT_TAX_RATE",Input!D$2,Date)</f>
        <v>34.725900000000003</v>
      </c>
      <c r="C127" s="4" t="str">
        <f>_xll.ciqfunctions.udf.CIQ(InputTicker, "IQ_EFFECT_TAX_RATE",Input!E$2,Date)</f>
        <v>NM</v>
      </c>
      <c r="D127" s="4" t="str">
        <f>_xll.ciqfunctions.udf.CIQ(InputTicker, "IQ_EFFECT_TAX_RATE",Input!F$2,Date)</f>
        <v>NM</v>
      </c>
      <c r="E127" s="4">
        <f>_xll.ciqfunctions.udf.CIQ(InputTicker, "IQ_EFFECT_TAX_RATE",Input!G$2,Date)</f>
        <v>22.234300000000001</v>
      </c>
      <c r="F127" s="4">
        <f>_xll.ciqfunctions.udf.CIQ(InputTicker, "IQ_EFFECT_TAX_RATE",Input!H$2,Date)</f>
        <v>8.6295000000000002</v>
      </c>
      <c r="G127" s="4" t="str">
        <f>_xll.ciqfunctions.udf.CIQ(InputTicker, "IQ_EFFECT_TAX_RATE",Input!I$2,Date)</f>
        <v>NM</v>
      </c>
      <c r="H127" s="4">
        <f>_xll.ciqfunctions.udf.CIQ(InputTicker, "IQ_EFFECT_TAX_RATE",Input!J$2,Date)</f>
        <v>20.223400000000002</v>
      </c>
      <c r="I127" s="4">
        <f>_xll.ciqfunctions.udf.CIQ(InputTicker, "IQ_EFFECT_TAX_RATE",Input!K$2,Date)</f>
        <v>24.216899999999999</v>
      </c>
      <c r="J127" s="4">
        <f>_xll.ciqfunctions.udf.CIQ(InputTicker, "IQ_EFFECT_TAX_RATE",Input!L$2,Date)</f>
        <v>23.248799999999999</v>
      </c>
      <c r="K127" s="4">
        <f>_xll.ciqfunctions.udf.CIQ(InputTicker, "IQ_EFFECT_TAX_RATE",Input!M$2,Date)</f>
        <v>24.009699999999999</v>
      </c>
      <c r="L127" s="4">
        <f>_xll.ciqfunctions.udf.CIQ(InputTicker, "IQ_EFFECT_TAX_RATE",Input!N$2,Date)</f>
        <v>22.601199999999999</v>
      </c>
      <c r="M127" s="4">
        <f>_xll.ciqfunctions.udf.CIQ(InputTicker, "IQ_EFFECT_TAX_RATE",Input!O$2,Date)</f>
        <v>22.601199999999999</v>
      </c>
      <c r="N127" s="49"/>
      <c r="P127" s="46"/>
      <c r="Q127" s="46"/>
      <c r="R127" s="46"/>
      <c r="T127" s="42"/>
      <c r="U127" s="42"/>
      <c r="V127" s="46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</row>
    <row r="128" spans="1:66" ht="12.75" customHeight="1" x14ac:dyDescent="0.2">
      <c r="A128" s="1" t="s">
        <v>283</v>
      </c>
      <c r="B128" s="4">
        <f>_xll.ciqfunctions.udf.CIQ(InputTicker, "IQ_PAYOUT_RATIO",Input!D$2,Date)</f>
        <v>38.267800000000001</v>
      </c>
      <c r="C128" s="4">
        <f>_xll.ciqfunctions.udf.CIQ(InputTicker, "IQ_PAYOUT_RATIO",Input!E$2,Date)</f>
        <v>0</v>
      </c>
      <c r="D128" s="4">
        <f>_xll.ciqfunctions.udf.CIQ(InputTicker, "IQ_PAYOUT_RATIO",Input!F$2,Date)</f>
        <v>0</v>
      </c>
      <c r="E128" s="4">
        <f>_xll.ciqfunctions.udf.CIQ(InputTicker, "IQ_PAYOUT_RATIO",Input!G$2,Date)</f>
        <v>76.92</v>
      </c>
      <c r="F128" s="4">
        <f>_xll.ciqfunctions.udf.CIQ(InputTicker, "IQ_PAYOUT_RATIO",Input!H$2,Date)</f>
        <v>0</v>
      </c>
      <c r="G128" s="4">
        <f>_xll.ciqfunctions.udf.CIQ(InputTicker, "IQ_PAYOUT_RATIO",Input!I$2,Date)</f>
        <v>80.194100000000006</v>
      </c>
      <c r="H128" s="4">
        <f>_xll.ciqfunctions.udf.CIQ(InputTicker, "IQ_PAYOUT_RATIO",Input!J$2,Date)</f>
        <v>4.6113</v>
      </c>
      <c r="I128" s="4">
        <f>_xll.ciqfunctions.udf.CIQ(InputTicker, "IQ_PAYOUT_RATIO",Input!K$2,Date)</f>
        <v>33.282800000000002</v>
      </c>
      <c r="J128" s="4">
        <f>_xll.ciqfunctions.udf.CIQ(InputTicker, "IQ_PAYOUT_RATIO",Input!L$2,Date)</f>
        <v>33.055</v>
      </c>
      <c r="K128" s="4">
        <f>_xll.ciqfunctions.udf.CIQ(InputTicker, "IQ_PAYOUT_RATIO",Input!M$2,Date)</f>
        <v>27.0718</v>
      </c>
      <c r="L128" s="4">
        <f>_xll.ciqfunctions.udf.CIQ(InputTicker, "IQ_PAYOUT_RATIO",Input!N$2,Date)</f>
        <v>73.140199999999993</v>
      </c>
      <c r="M128" s="4">
        <f>_xll.ciqfunctions.udf.CIQ(InputTicker, "IQ_PAYOUT_RATIO",Input!O$2,Date)</f>
        <v>73.140199999999993</v>
      </c>
      <c r="N128" s="49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</row>
    <row r="129" spans="1:66" ht="12.75" customHeight="1" x14ac:dyDescent="0.2">
      <c r="A129" s="1" t="s">
        <v>407</v>
      </c>
      <c r="B129" s="4">
        <f>_xll.ciqfunctions.udf.CIQ(InputTicker, "IQ_DIC",Input!D$2,Date,,,Ccy,Conv)</f>
        <v>0</v>
      </c>
      <c r="C129" s="4">
        <f>_xll.ciqfunctions.udf.CIQ(InputTicker, "IQ_DIC",Input!E$2,Date,,,Ccy,Conv)</f>
        <v>0</v>
      </c>
      <c r="D129" s="4">
        <f>_xll.ciqfunctions.udf.CIQ(InputTicker, "IQ_DIC",Input!F$2,Date,,,Ccy,Conv)</f>
        <v>0</v>
      </c>
      <c r="E129" s="4">
        <f>_xll.ciqfunctions.udf.CIQ(InputTicker, "IQ_DIC",Input!G$2,Date,,,Ccy,Conv)</f>
        <v>0</v>
      </c>
      <c r="F129" s="4">
        <f>_xll.ciqfunctions.udf.CIQ(InputTicker, "IQ_DIC",Input!H$2,Date,,,Ccy,Conv)</f>
        <v>0</v>
      </c>
      <c r="G129" s="4">
        <f>_xll.ciqfunctions.udf.CIQ(InputTicker, "IQ_DIC",Input!I$2,Date,,,Ccy,Conv)</f>
        <v>0</v>
      </c>
      <c r="H129" s="4">
        <f>_xll.ciqfunctions.udf.CIQ(InputTicker, "IQ_DIC",Input!J$2,Date,,,Ccy,Conv)</f>
        <v>0</v>
      </c>
      <c r="I129" s="4">
        <f>_xll.ciqfunctions.udf.CIQ(InputTicker, "IQ_DIC",Input!K$2,Date,,,Ccy,Conv)</f>
        <v>0</v>
      </c>
      <c r="J129" s="4">
        <f>_xll.ciqfunctions.udf.CIQ(InputTicker, "IQ_DIC",Input!L$2,Date,,,Ccy,Conv)</f>
        <v>0</v>
      </c>
      <c r="K129" s="4">
        <f>_xll.ciqfunctions.udf.CIQ(InputTicker, "IQ_DIC",Input!M$2,Date,,,Ccy,Conv)</f>
        <v>0</v>
      </c>
      <c r="L129" s="4">
        <f>_xll.ciqfunctions.udf.CIQ(InputTicker, "IQ_DIC",Input!N$2,Date,,,Ccy,Conv)</f>
        <v>0</v>
      </c>
      <c r="M129" s="4">
        <f>_xll.ciqfunctions.udf.CIQ(InputTicker, "IQ_DIC",Input!O$2,Date,,,Ccy,Conv)</f>
        <v>0</v>
      </c>
      <c r="N129" s="49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</row>
    <row r="130" spans="1:66" ht="12.75" customHeight="1" x14ac:dyDescent="0.2">
      <c r="A130" s="1" t="s">
        <v>347</v>
      </c>
      <c r="B130" s="15" t="str">
        <f>_xll.ciqfunctions.udf.CIQ(InputTicker, "IQ_FILING_CURRENCY",Input!D$2,Date)</f>
        <v>USD</v>
      </c>
      <c r="C130" s="15" t="str">
        <f>_xll.ciqfunctions.udf.CIQ(InputTicker, "IQ_FILING_CURRENCY",Input!E$2,Date)</f>
        <v>USD</v>
      </c>
      <c r="D130" s="15" t="str">
        <f>_xll.ciqfunctions.udf.CIQ(InputTicker, "IQ_FILING_CURRENCY",Input!F$2,Date)</f>
        <v>USD</v>
      </c>
      <c r="E130" s="15" t="str">
        <f>_xll.ciqfunctions.udf.CIQ(InputTicker, "IQ_FILING_CURRENCY",Input!G$2,Date)</f>
        <v>USD</v>
      </c>
      <c r="F130" s="15" t="str">
        <f>_xll.ciqfunctions.udf.CIQ(InputTicker, "IQ_FILING_CURRENCY",Input!H$2,Date)</f>
        <v>USD</v>
      </c>
      <c r="G130" s="15" t="str">
        <f>_xll.ciqfunctions.udf.CIQ(InputTicker, "IQ_FILING_CURRENCY",Input!I$2,Date)</f>
        <v>USD</v>
      </c>
      <c r="H130" s="15" t="str">
        <f>_xll.ciqfunctions.udf.CIQ(InputTicker, "IQ_FILING_CURRENCY",Input!J$2,Date)</f>
        <v>USD</v>
      </c>
      <c r="I130" s="15" t="str">
        <f>_xll.ciqfunctions.udf.CIQ(InputTicker, "IQ_FILING_CURRENCY",Input!K$2,Date)</f>
        <v>USD</v>
      </c>
      <c r="J130" s="15" t="str">
        <f>_xll.ciqfunctions.udf.CIQ(InputTicker, "IQ_FILING_CURRENCY",Input!L$2,Date)</f>
        <v>USD</v>
      </c>
      <c r="K130" s="15" t="str">
        <f>_xll.ciqfunctions.udf.CIQ(InputTicker, "IQ_FILING_CURRENCY",Input!M$2,Date)</f>
        <v>USD</v>
      </c>
      <c r="L130" s="15" t="str">
        <f>_xll.ciqfunctions.udf.CIQ(InputTicker, "IQ_FILING_CURRENCY",Input!N$2,Date)</f>
        <v>USD</v>
      </c>
      <c r="M130" s="15" t="str">
        <f>_xll.ciqfunctions.udf.CIQ(InputTicker, "IQ_FILING_CURRENCY",Input!O$2,Date)</f>
        <v>USD</v>
      </c>
      <c r="N130" s="49"/>
      <c r="P130" s="51"/>
      <c r="Q130" s="51"/>
      <c r="R130" s="51"/>
      <c r="T130" s="42"/>
      <c r="U130" s="42"/>
      <c r="V130" s="51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</row>
    <row r="131" spans="1:66" ht="12.75" customHeight="1" x14ac:dyDescent="0.2">
      <c r="A131" s="1" t="s">
        <v>345</v>
      </c>
      <c r="B131" s="15" t="str">
        <f>_xll.ciqfunctions.udf.CIQ(InputTicker, "IQ_RESTATEMENT_IS",Input!D$2,Date)</f>
        <v>NC</v>
      </c>
      <c r="C131" s="15" t="str">
        <f>_xll.ciqfunctions.udf.CIQ(InputTicker, "IQ_RESTATEMENT_IS",Input!E$2,Date)</f>
        <v>RC</v>
      </c>
      <c r="D131" s="15" t="str">
        <f>_xll.ciqfunctions.udf.CIQ(InputTicker, "IQ_RESTATEMENT_IS",Input!F$2,Date)</f>
        <v>RC</v>
      </c>
      <c r="E131" s="15" t="str">
        <f>_xll.ciqfunctions.udf.CIQ(InputTicker, "IQ_RESTATEMENT_IS",Input!G$2,Date)</f>
        <v>RC</v>
      </c>
      <c r="F131" s="15" t="str">
        <f>_xll.ciqfunctions.udf.CIQ(InputTicker, "IQ_RESTATEMENT_IS",Input!H$2,Date)</f>
        <v>RC</v>
      </c>
      <c r="G131" s="15" t="str">
        <f>_xll.ciqfunctions.udf.CIQ(InputTicker, "IQ_RESTATEMENT_IS",Input!I$2,Date)</f>
        <v>RC</v>
      </c>
      <c r="H131" s="15" t="str">
        <f>_xll.ciqfunctions.udf.CIQ(InputTicker, "IQ_RESTATEMENT_IS",Input!J$2,Date)</f>
        <v>NC</v>
      </c>
      <c r="I131" s="15" t="str">
        <f>_xll.ciqfunctions.udf.CIQ(InputTicker, "IQ_RESTATEMENT_IS",Input!K$2,Date)</f>
        <v>NC</v>
      </c>
      <c r="J131" s="15" t="str">
        <f>_xll.ciqfunctions.udf.CIQ(InputTicker, "IQ_RESTATEMENT_IS",Input!L$2,Date)</f>
        <v>RC</v>
      </c>
      <c r="K131" s="15" t="str">
        <f>_xll.ciqfunctions.udf.CIQ(InputTicker, "IQ_RESTATEMENT_IS",Input!M$2,Date)</f>
        <v>RC</v>
      </c>
      <c r="L131" s="15" t="str">
        <f>_xll.ciqfunctions.udf.CIQ(InputTicker, "IQ_RESTATEMENT_IS",Input!N$2,Date)</f>
        <v>O</v>
      </c>
      <c r="M131" s="15" t="str">
        <f>_xll.ciqfunctions.udf.CIQ(InputTicker, "IQ_RESTATEMENT_IS",Input!O$2,Date)</f>
        <v>O</v>
      </c>
      <c r="N131" s="49"/>
      <c r="P131" s="51"/>
      <c r="Q131" s="51"/>
      <c r="R131" s="51"/>
      <c r="T131" s="42"/>
      <c r="U131" s="42"/>
      <c r="V131" s="51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</row>
    <row r="132" spans="1:66" ht="12.75" customHeight="1" x14ac:dyDescent="0.2">
      <c r="A132" s="1" t="s">
        <v>346</v>
      </c>
      <c r="B132" s="15" t="str">
        <f>_xll.ciqfunctions.udf.CIQ(InputTicker, "IQ_CALC_TYPE_IS",Input!D$2,Date)</f>
        <v>REP</v>
      </c>
      <c r="C132" s="15" t="str">
        <f>_xll.ciqfunctions.udf.CIQ(InputTicker, "IQ_CALC_TYPE_IS",Input!E$2,Date)</f>
        <v>REP</v>
      </c>
      <c r="D132" s="15" t="str">
        <f>_xll.ciqfunctions.udf.CIQ(InputTicker, "IQ_CALC_TYPE_IS",Input!F$2,Date)</f>
        <v>REP</v>
      </c>
      <c r="E132" s="15" t="str">
        <f>_xll.ciqfunctions.udf.CIQ(InputTicker, "IQ_CALC_TYPE_IS",Input!G$2,Date)</f>
        <v>REP</v>
      </c>
      <c r="F132" s="15" t="str">
        <f>_xll.ciqfunctions.udf.CIQ(InputTicker, "IQ_CALC_TYPE_IS",Input!H$2,Date)</f>
        <v>REP</v>
      </c>
      <c r="G132" s="15" t="str">
        <f>_xll.ciqfunctions.udf.CIQ(InputTicker, "IQ_CALC_TYPE_IS",Input!I$2,Date)</f>
        <v>REP</v>
      </c>
      <c r="H132" s="15" t="str">
        <f>_xll.ciqfunctions.udf.CIQ(InputTicker, "IQ_CALC_TYPE_IS",Input!J$2,Date)</f>
        <v>REP</v>
      </c>
      <c r="I132" s="15" t="str">
        <f>_xll.ciqfunctions.udf.CIQ(InputTicker, "IQ_CALC_TYPE_IS",Input!K$2,Date)</f>
        <v>REP</v>
      </c>
      <c r="J132" s="15" t="str">
        <f>_xll.ciqfunctions.udf.CIQ(InputTicker, "IQ_CALC_TYPE_IS",Input!L$2,Date)</f>
        <v>REP</v>
      </c>
      <c r="K132" s="15" t="str">
        <f>_xll.ciqfunctions.udf.CIQ(InputTicker, "IQ_CALC_TYPE_IS",Input!M$2,Date)</f>
        <v>REP</v>
      </c>
      <c r="L132" s="15" t="str">
        <f>_xll.ciqfunctions.udf.CIQ(InputTicker, "IQ_CALC_TYPE_IS",Input!N$2,Date)</f>
        <v>REP</v>
      </c>
      <c r="M132" s="15" t="str">
        <f>_xll.ciqfunctions.udf.CIQ(InputTicker, "IQ_CALC_TYPE_IS",Input!O$2,Date)</f>
        <v>REP</v>
      </c>
      <c r="N132" s="49"/>
      <c r="P132" s="51"/>
      <c r="Q132" s="51"/>
      <c r="R132" s="51"/>
      <c r="T132" s="42"/>
      <c r="U132" s="42"/>
      <c r="V132" s="51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</row>
    <row r="133" spans="1:66" ht="12.75" customHeight="1" x14ac:dyDescent="0.2">
      <c r="A133" s="1" t="s">
        <v>376</v>
      </c>
      <c r="B133" s="15" t="str">
        <f>_xll.ciqfunctions.udf.CIQ(InputTicker, "IQ_GAAP_IS",Input!D$2,Date)</f>
        <v>US GAAP</v>
      </c>
      <c r="C133" s="15" t="str">
        <f>_xll.ciqfunctions.udf.CIQ(InputTicker, "IQ_GAAP_IS",Input!E$2,Date)</f>
        <v>US GAAP</v>
      </c>
      <c r="D133" s="15" t="str">
        <f>_xll.ciqfunctions.udf.CIQ(InputTicker, "IQ_GAAP_IS",Input!F$2,Date)</f>
        <v>US GAAP</v>
      </c>
      <c r="E133" s="15" t="str">
        <f>_xll.ciqfunctions.udf.CIQ(InputTicker, "IQ_GAAP_IS",Input!G$2,Date)</f>
        <v>US GAAP</v>
      </c>
      <c r="F133" s="15" t="str">
        <f>_xll.ciqfunctions.udf.CIQ(InputTicker, "IQ_GAAP_IS",Input!H$2,Date)</f>
        <v>US GAAP</v>
      </c>
      <c r="G133" s="15" t="str">
        <f>_xll.ciqfunctions.udf.CIQ(InputTicker, "IQ_GAAP_IS",Input!I$2,Date)</f>
        <v>US GAAP</v>
      </c>
      <c r="H133" s="15" t="str">
        <f>_xll.ciqfunctions.udf.CIQ(InputTicker, "IQ_GAAP_IS",Input!J$2,Date)</f>
        <v>US GAAP</v>
      </c>
      <c r="I133" s="15" t="str">
        <f>_xll.ciqfunctions.udf.CIQ(InputTicker, "IQ_GAAP_IS",Input!K$2,Date)</f>
        <v>US GAAP</v>
      </c>
      <c r="J133" s="15" t="str">
        <f>_xll.ciqfunctions.udf.CIQ(InputTicker, "IQ_GAAP_IS",Input!L$2,Date)</f>
        <v>US GAAP</v>
      </c>
      <c r="K133" s="15" t="str">
        <f>_xll.ciqfunctions.udf.CIQ(InputTicker, "IQ_GAAP_IS",Input!M$2,Date)</f>
        <v>US GAAP</v>
      </c>
      <c r="L133" s="15" t="str">
        <f>_xll.ciqfunctions.udf.CIQ(InputTicker, "IQ_GAAP_IS",Input!N$2,Date)</f>
        <v>US GAAP</v>
      </c>
      <c r="M133" s="15" t="str">
        <f>_xll.ciqfunctions.udf.CIQ(InputTicker, "IQ_GAAP_IS",Input!O$2,Date)</f>
        <v>US GAAP</v>
      </c>
      <c r="N133" s="42"/>
      <c r="P133" s="51"/>
      <c r="Q133" s="51"/>
      <c r="R133" s="51"/>
      <c r="T133" s="42"/>
      <c r="U133" s="42"/>
      <c r="V133" s="51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</row>
    <row r="134" spans="1:66" ht="12.75" customHeight="1" x14ac:dyDescent="0.2">
      <c r="A134" s="1" t="s">
        <v>366</v>
      </c>
      <c r="B134" s="4">
        <f>_xll.ciqfunctions.udf.CIQ(InputTicker,"IQ_ADVERTISING",Input!D$2,Date,,,Ccy,Conv)</f>
        <v>10.3</v>
      </c>
      <c r="C134" s="4">
        <f>_xll.ciqfunctions.udf.CIQ(InputTicker,"IQ_ADVERTISING",Input!E$2,Date,,,Ccy,Conv)</f>
        <v>10.3</v>
      </c>
      <c r="D134" s="4">
        <f>_xll.ciqfunctions.udf.CIQ(InputTicker,"IQ_ADVERTISING",Input!F$2,Date,,,Ccy,Conv)</f>
        <v>6.3</v>
      </c>
      <c r="E134" s="4">
        <f>_xll.ciqfunctions.udf.CIQ(InputTicker,"IQ_ADVERTISING",Input!G$2,Date,,,Ccy,Conv)</f>
        <v>7.3</v>
      </c>
      <c r="F134" s="4">
        <f>_xll.ciqfunctions.udf.CIQ(InputTicker,"IQ_ADVERTISING",Input!H$2,Date,,,Ccy,Conv)</f>
        <v>9</v>
      </c>
      <c r="G134" s="4">
        <f>_xll.ciqfunctions.udf.CIQ(InputTicker,"IQ_ADVERTISING",Input!I$2,Date,,,Ccy,Conv)</f>
        <v>11.7</v>
      </c>
      <c r="H134" s="4">
        <f>_xll.ciqfunctions.udf.CIQ(InputTicker,"IQ_ADVERTISING",Input!J$2,Date,,,Ccy,Conv)</f>
        <v>0</v>
      </c>
      <c r="I134" s="4">
        <f>_xll.ciqfunctions.udf.CIQ(InputTicker,"IQ_ADVERTISING",Input!K$2,Date,,,Ccy,Conv)</f>
        <v>0</v>
      </c>
      <c r="J134" s="4">
        <f>_xll.ciqfunctions.udf.CIQ(InputTicker,"IQ_ADVERTISING",Input!L$2,Date,,,Ccy,Conv)</f>
        <v>0</v>
      </c>
      <c r="K134" s="4">
        <f>_xll.ciqfunctions.udf.CIQ(InputTicker,"IQ_ADVERTISING",Input!M$2,Date,,,Ccy,Conv)</f>
        <v>0</v>
      </c>
      <c r="L134" s="4">
        <f>_xll.ciqfunctions.udf.CIQ(InputTicker,"IQ_ADVERTISING",Input!N$2,Date,,,Ccy,Conv)</f>
        <v>0</v>
      </c>
      <c r="M134" s="4">
        <f>_xll.ciqfunctions.udf.CIQ(InputTicker,"IQ_ADVERTISING",Input!O$2,Date,,,Ccy,Conv)</f>
        <v>0</v>
      </c>
      <c r="N134" s="49"/>
      <c r="P134" s="51"/>
      <c r="Q134" s="51"/>
      <c r="R134" s="51"/>
      <c r="T134" s="42"/>
      <c r="U134" s="42"/>
      <c r="V134" s="51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</row>
    <row r="135" spans="1:66" ht="12.75" customHeight="1" x14ac:dyDescent="0.2">
      <c r="A135" s="1" t="s">
        <v>330</v>
      </c>
      <c r="B135" s="4">
        <f>_xll.ciqfunctions.udf.CIQ(InputTicker,"IQ_MARKETING",Input!D$2,Date,,,Ccy,Conv)</f>
        <v>0</v>
      </c>
      <c r="C135" s="4">
        <f>_xll.ciqfunctions.udf.CIQ(InputTicker,"IQ_MARKETING",Input!E$2,Date,,,Ccy,Conv)</f>
        <v>0</v>
      </c>
      <c r="D135" s="4">
        <f>_xll.ciqfunctions.udf.CIQ(InputTicker,"IQ_MARKETING",Input!F$2,Date,,,Ccy,Conv)</f>
        <v>0</v>
      </c>
      <c r="E135" s="4">
        <f>_xll.ciqfunctions.udf.CIQ(InputTicker,"IQ_MARKETING",Input!G$2,Date,,,Ccy,Conv)</f>
        <v>0</v>
      </c>
      <c r="F135" s="4">
        <f>_xll.ciqfunctions.udf.CIQ(InputTicker,"IQ_MARKETING",Input!H$2,Date,,,Ccy,Conv)</f>
        <v>0</v>
      </c>
      <c r="G135" s="4">
        <f>_xll.ciqfunctions.udf.CIQ(InputTicker,"IQ_MARKETING",Input!I$2,Date,,,Ccy,Conv)</f>
        <v>0</v>
      </c>
      <c r="H135" s="4">
        <f>_xll.ciqfunctions.udf.CIQ(InputTicker,"IQ_MARKETING",Input!J$2,Date,,,Ccy,Conv)</f>
        <v>0</v>
      </c>
      <c r="I135" s="4">
        <f>_xll.ciqfunctions.udf.CIQ(InputTicker,"IQ_MARKETING",Input!K$2,Date,,,Ccy,Conv)</f>
        <v>0</v>
      </c>
      <c r="J135" s="4">
        <f>_xll.ciqfunctions.udf.CIQ(InputTicker,"IQ_MARKETING",Input!L$2,Date,,,Ccy,Conv)</f>
        <v>0</v>
      </c>
      <c r="K135" s="4">
        <f>_xll.ciqfunctions.udf.CIQ(InputTicker,"IQ_MARKETING",Input!M$2,Date,,,Ccy,Conv)</f>
        <v>0</v>
      </c>
      <c r="L135" s="4">
        <f>_xll.ciqfunctions.udf.CIQ(InputTicker,"IQ_MARKETING",Input!N$2,Date,,,Ccy,Conv)</f>
        <v>0</v>
      </c>
      <c r="M135" s="4">
        <f>_xll.ciqfunctions.udf.CIQ(InputTicker,"IQ_MARKETING",Input!O$2,Date,,,Ccy,Conv)</f>
        <v>0</v>
      </c>
      <c r="N135" s="49"/>
      <c r="P135" s="51"/>
      <c r="Q135" s="51"/>
      <c r="R135" s="51"/>
      <c r="T135" s="42"/>
      <c r="U135" s="42"/>
      <c r="V135" s="51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</row>
    <row r="136" spans="1:66" ht="12.75" customHeight="1" x14ac:dyDescent="0.2">
      <c r="A136" s="1" t="s">
        <v>331</v>
      </c>
      <c r="B136" s="4">
        <f>_xll.ciqfunctions.udf.CIQ(InputTicker,"IQ_SALES_MARKETING",Input!D$2,Date,,,Ccy,Conv)</f>
        <v>49.628999999999998</v>
      </c>
      <c r="C136" s="4">
        <f>_xll.ciqfunctions.udf.CIQ(InputTicker,"IQ_SALES_MARKETING",Input!E$2,Date,,,Ccy,Conv)</f>
        <v>0</v>
      </c>
      <c r="D136" s="4">
        <f>_xll.ciqfunctions.udf.CIQ(InputTicker,"IQ_SALES_MARKETING",Input!F$2,Date,,,Ccy,Conv)</f>
        <v>53.2</v>
      </c>
      <c r="E136" s="4">
        <f>_xll.ciqfunctions.udf.CIQ(InputTicker,"IQ_SALES_MARKETING",Input!G$2,Date,,,Ccy,Conv)</f>
        <v>0</v>
      </c>
      <c r="F136" s="4">
        <f>_xll.ciqfunctions.udf.CIQ(InputTicker,"IQ_SALES_MARKETING",Input!H$2,Date,,,Ccy,Conv)</f>
        <v>0</v>
      </c>
      <c r="G136" s="4">
        <f>_xll.ciqfunctions.udf.CIQ(InputTicker,"IQ_SALES_MARKETING",Input!I$2,Date,,,Ccy,Conv)</f>
        <v>0</v>
      </c>
      <c r="H136" s="4">
        <f>_xll.ciqfunctions.udf.CIQ(InputTicker,"IQ_SALES_MARKETING",Input!J$2,Date,,,Ccy,Conv)</f>
        <v>0</v>
      </c>
      <c r="I136" s="4">
        <f>_xll.ciqfunctions.udf.CIQ(InputTicker,"IQ_SALES_MARKETING",Input!K$2,Date,,,Ccy,Conv)</f>
        <v>0</v>
      </c>
      <c r="J136" s="4">
        <f>_xll.ciqfunctions.udf.CIQ(InputTicker,"IQ_SALES_MARKETING",Input!L$2,Date,,,Ccy,Conv)</f>
        <v>0</v>
      </c>
      <c r="K136" s="4">
        <f>_xll.ciqfunctions.udf.CIQ(InputTicker,"IQ_SALES_MARKETING",Input!M$2,Date,,,Ccy,Conv)</f>
        <v>0</v>
      </c>
      <c r="L136" s="4">
        <f>_xll.ciqfunctions.udf.CIQ(InputTicker,"IQ_SALES_MARKETING",Input!N$2,Date,,,Ccy,Conv)</f>
        <v>0</v>
      </c>
      <c r="M136" s="4">
        <f>_xll.ciqfunctions.udf.CIQ(InputTicker,"IQ_SALES_MARKETING",Input!O$2,Date,,,Ccy,Conv)</f>
        <v>0</v>
      </c>
      <c r="N136" s="49"/>
      <c r="P136" s="51"/>
      <c r="Q136" s="51"/>
      <c r="R136" s="51"/>
      <c r="T136" s="42"/>
      <c r="U136" s="42"/>
      <c r="V136" s="51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</row>
    <row r="137" spans="1:66" ht="12.75" customHeight="1" x14ac:dyDescent="0.2">
      <c r="A137" s="1" t="s">
        <v>332</v>
      </c>
      <c r="B137" s="4">
        <f>_xll.ciqfunctions.udf.CIQ(InputTicker,"IQ_GA_EXP",Input!D$2,Date,,,Ccy,Conv)</f>
        <v>0</v>
      </c>
      <c r="C137" s="4">
        <f>_xll.ciqfunctions.udf.CIQ(InputTicker,"IQ_GA_EXP",Input!E$2,Date,,,Ccy,Conv)</f>
        <v>0</v>
      </c>
      <c r="D137" s="4">
        <f>_xll.ciqfunctions.udf.CIQ(InputTicker,"IQ_GA_EXP",Input!F$2,Date,,,Ccy,Conv)</f>
        <v>0</v>
      </c>
      <c r="E137" s="4">
        <f>_xll.ciqfunctions.udf.CIQ(InputTicker,"IQ_GA_EXP",Input!G$2,Date,,,Ccy,Conv)</f>
        <v>0</v>
      </c>
      <c r="F137" s="4">
        <f>_xll.ciqfunctions.udf.CIQ(InputTicker,"IQ_GA_EXP",Input!H$2,Date,,,Ccy,Conv)</f>
        <v>0</v>
      </c>
      <c r="G137" s="4">
        <f>_xll.ciqfunctions.udf.CIQ(InputTicker,"IQ_GA_EXP",Input!I$2,Date,,,Ccy,Conv)</f>
        <v>0</v>
      </c>
      <c r="H137" s="4">
        <f>_xll.ciqfunctions.udf.CIQ(InputTicker,"IQ_GA_EXP",Input!J$2,Date,,,Ccy,Conv)</f>
        <v>0</v>
      </c>
      <c r="I137" s="4">
        <f>_xll.ciqfunctions.udf.CIQ(InputTicker,"IQ_GA_EXP",Input!K$2,Date,,,Ccy,Conv)</f>
        <v>0</v>
      </c>
      <c r="J137" s="4">
        <f>_xll.ciqfunctions.udf.CIQ(InputTicker,"IQ_GA_EXP",Input!L$2,Date,,,Ccy,Conv)</f>
        <v>0</v>
      </c>
      <c r="K137" s="4">
        <f>_xll.ciqfunctions.udf.CIQ(InputTicker,"IQ_GA_EXP",Input!M$2,Date,,,Ccy,Conv)</f>
        <v>0</v>
      </c>
      <c r="L137" s="4">
        <f>_xll.ciqfunctions.udf.CIQ(InputTicker,"IQ_GA_EXP",Input!N$2,Date,,,Ccy,Conv)</f>
        <v>0</v>
      </c>
      <c r="M137" s="4">
        <f>_xll.ciqfunctions.udf.CIQ(InputTicker,"IQ_GA_EXP",Input!O$2,Date,,,Ccy,Conv)</f>
        <v>0</v>
      </c>
      <c r="N137" s="49"/>
      <c r="P137" s="51"/>
      <c r="Q137" s="51"/>
      <c r="R137" s="51"/>
      <c r="T137" s="42"/>
      <c r="U137" s="42"/>
      <c r="V137" s="51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</row>
    <row r="138" spans="1:66" ht="12.75" customHeight="1" x14ac:dyDescent="0.2">
      <c r="A138" s="1" t="s">
        <v>369</v>
      </c>
      <c r="B138" s="4">
        <f>_xll.ciqfunctions.udf.CIQ(InputTicker, "IQ_RD_EXP_FN",Input!D$2,Date,,,Ccy,Conv)</f>
        <v>0</v>
      </c>
      <c r="C138" s="4">
        <f>_xll.ciqfunctions.udf.CIQ(InputTicker, "IQ_RD_EXP_FN",Input!E$2,Date,,,Ccy,Conv)</f>
        <v>0</v>
      </c>
      <c r="D138" s="4">
        <f>_xll.ciqfunctions.udf.CIQ(InputTicker, "IQ_RD_EXP_FN",Input!F$2,Date,,,Ccy,Conv)</f>
        <v>0</v>
      </c>
      <c r="E138" s="4">
        <f>_xll.ciqfunctions.udf.CIQ(InputTicker, "IQ_RD_EXP_FN",Input!G$2,Date,,,Ccy,Conv)</f>
        <v>0</v>
      </c>
      <c r="F138" s="4">
        <f>_xll.ciqfunctions.udf.CIQ(InputTicker, "IQ_RD_EXP_FN",Input!H$2,Date,,,Ccy,Conv)</f>
        <v>0</v>
      </c>
      <c r="G138" s="4">
        <f>_xll.ciqfunctions.udf.CIQ(InputTicker, "IQ_RD_EXP_FN",Input!I$2,Date,,,Ccy,Conv)</f>
        <v>0</v>
      </c>
      <c r="H138" s="4">
        <f>_xll.ciqfunctions.udf.CIQ(InputTicker, "IQ_RD_EXP_FN",Input!J$2,Date,,,Ccy,Conv)</f>
        <v>0</v>
      </c>
      <c r="I138" s="4">
        <f>_xll.ciqfunctions.udf.CIQ(InputTicker, "IQ_RD_EXP_FN",Input!K$2,Date,,,Ccy,Conv)</f>
        <v>0</v>
      </c>
      <c r="J138" s="4">
        <f>_xll.ciqfunctions.udf.CIQ(InputTicker, "IQ_RD_EXP_FN",Input!L$2,Date,,,Ccy,Conv)</f>
        <v>0</v>
      </c>
      <c r="K138" s="4">
        <f>_xll.ciqfunctions.udf.CIQ(InputTicker, "IQ_RD_EXP_FN",Input!M$2,Date,,,Ccy,Conv)</f>
        <v>0</v>
      </c>
      <c r="L138" s="4">
        <f>_xll.ciqfunctions.udf.CIQ(InputTicker, "IQ_RD_EXP_FN",Input!N$2,Date,,,Ccy,Conv)</f>
        <v>0</v>
      </c>
      <c r="M138" s="4">
        <f>_xll.ciqfunctions.udf.CIQ(InputTicker, "IQ_RD_EXP_FN",Input!O$2,Date,,,Ccy,Conv)</f>
        <v>0</v>
      </c>
      <c r="N138" s="49"/>
      <c r="P138" s="51"/>
      <c r="Q138" s="51"/>
      <c r="R138" s="51"/>
      <c r="T138" s="42"/>
      <c r="U138" s="42"/>
      <c r="V138" s="51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</row>
    <row r="139" spans="1:66" ht="12.75" customHeight="1" x14ac:dyDescent="0.2">
      <c r="A139" s="1" t="s">
        <v>36</v>
      </c>
      <c r="B139" s="4">
        <f>_xll.ciqfunctions.udf.CIQ(InputTicker, "IQ_NET_RENTAL_EXP_FN",Input!D$2,Date,,,Ccy,Conv)</f>
        <v>4.09</v>
      </c>
      <c r="C139" s="4">
        <f>_xll.ciqfunctions.udf.CIQ(InputTicker, "IQ_NET_RENTAL_EXP_FN",Input!E$2,Date,,,Ccy,Conv)</f>
        <v>3.9750000000000001</v>
      </c>
      <c r="D139" s="4">
        <f>_xll.ciqfunctions.udf.CIQ(InputTicker, "IQ_NET_RENTAL_EXP_FN",Input!F$2,Date,,,Ccy,Conv)</f>
        <v>0</v>
      </c>
      <c r="E139" s="4">
        <f>_xll.ciqfunctions.udf.CIQ(InputTicker, "IQ_NET_RENTAL_EXP_FN",Input!G$2,Date,,,Ccy,Conv)</f>
        <v>0</v>
      </c>
      <c r="F139" s="4">
        <f>_xll.ciqfunctions.udf.CIQ(InputTicker, "IQ_NET_RENTAL_EXP_FN",Input!H$2,Date,,,Ccy,Conv)</f>
        <v>0</v>
      </c>
      <c r="G139" s="4">
        <f>_xll.ciqfunctions.udf.CIQ(InputTicker, "IQ_NET_RENTAL_EXP_FN",Input!I$2,Date,,,Ccy,Conv)</f>
        <v>0</v>
      </c>
      <c r="H139" s="4">
        <f>_xll.ciqfunctions.udf.CIQ(InputTicker, "IQ_NET_RENTAL_EXP_FN",Input!J$2,Date,,,Ccy,Conv)</f>
        <v>0</v>
      </c>
      <c r="I139" s="4">
        <f>_xll.ciqfunctions.udf.CIQ(InputTicker, "IQ_NET_RENTAL_EXP_FN",Input!K$2,Date,,,Ccy,Conv)</f>
        <v>0</v>
      </c>
      <c r="J139" s="4">
        <f>_xll.ciqfunctions.udf.CIQ(InputTicker, "IQ_NET_RENTAL_EXP_FN",Input!L$2,Date,,,Ccy,Conv)</f>
        <v>0</v>
      </c>
      <c r="K139" s="4">
        <f>_xll.ciqfunctions.udf.CIQ(InputTicker, "IQ_NET_RENTAL_EXP_FN",Input!M$2,Date,,,Ccy,Conv)</f>
        <v>0</v>
      </c>
      <c r="L139" s="4">
        <f>_xll.ciqfunctions.udf.CIQ(InputTicker, "IQ_NET_RENTAL_EXP_FN",Input!N$2,Date,,,Ccy,Conv)</f>
        <v>0</v>
      </c>
      <c r="M139" s="4">
        <f>_xll.ciqfunctions.udf.CIQ(InputTicker, "IQ_NET_RENTAL_EXP_FN",Input!O$2,Date,,,Ccy,Conv)</f>
        <v>0</v>
      </c>
      <c r="N139" s="49"/>
      <c r="P139" s="51"/>
      <c r="Q139" s="51"/>
      <c r="R139" s="51"/>
      <c r="T139" s="42"/>
      <c r="U139" s="42"/>
      <c r="V139" s="51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</row>
    <row r="140" spans="1:66" ht="12.75" customHeight="1" x14ac:dyDescent="0.2">
      <c r="A140" s="1" t="s">
        <v>37</v>
      </c>
      <c r="B140" s="4">
        <f>_xll.ciqfunctions.udf.CIQ(InputTicker, "IQ_NET_RENTAL_EXP",Input!D$2,Date,,,Ccy,Conv)</f>
        <v>0</v>
      </c>
      <c r="C140" s="4">
        <f>_xll.ciqfunctions.udf.CIQ(InputTicker, "IQ_NET_RENTAL_EXP",Input!E$2,Date,,,Ccy,Conv)</f>
        <v>0</v>
      </c>
      <c r="D140" s="4">
        <f>_xll.ciqfunctions.udf.CIQ(InputTicker, "IQ_NET_RENTAL_EXP",Input!F$2,Date,,,Ccy,Conv)</f>
        <v>0</v>
      </c>
      <c r="E140" s="4">
        <f>_xll.ciqfunctions.udf.CIQ(InputTicker, "IQ_NET_RENTAL_EXP",Input!G$2,Date,,,Ccy,Conv)</f>
        <v>0</v>
      </c>
      <c r="F140" s="4">
        <f>_xll.ciqfunctions.udf.CIQ(InputTicker, "IQ_NET_RENTAL_EXP",Input!H$2,Date,,,Ccy,Conv)</f>
        <v>0</v>
      </c>
      <c r="G140" s="4">
        <f>_xll.ciqfunctions.udf.CIQ(InputTicker, "IQ_NET_RENTAL_EXP",Input!I$2,Date,,,Ccy,Conv)</f>
        <v>0</v>
      </c>
      <c r="H140" s="4">
        <f>_xll.ciqfunctions.udf.CIQ(InputTicker, "IQ_NET_RENTAL_EXP",Input!J$2,Date,,,Ccy,Conv)</f>
        <v>0</v>
      </c>
      <c r="I140" s="4">
        <f>_xll.ciqfunctions.udf.CIQ(InputTicker, "IQ_NET_RENTAL_EXP",Input!K$2,Date,,,Ccy,Conv)</f>
        <v>0</v>
      </c>
      <c r="J140" s="4">
        <f>_xll.ciqfunctions.udf.CIQ(InputTicker, "IQ_NET_RENTAL_EXP",Input!L$2,Date,,,Ccy,Conv)</f>
        <v>0</v>
      </c>
      <c r="K140" s="4">
        <f>_xll.ciqfunctions.udf.CIQ(InputTicker, "IQ_NET_RENTAL_EXP",Input!M$2,Date,,,Ccy,Conv)</f>
        <v>0</v>
      </c>
      <c r="L140" s="4">
        <f>_xll.ciqfunctions.udf.CIQ(InputTicker, "IQ_NET_RENTAL_EXP",Input!N$2,Date,,,Ccy,Conv)</f>
        <v>0</v>
      </c>
      <c r="M140" s="4">
        <f>_xll.ciqfunctions.udf.CIQ(InputTicker, "IQ_NET_RENTAL_EXP",Input!O$2,Date,,,Ccy,Conv)</f>
        <v>0</v>
      </c>
      <c r="N140" s="49"/>
      <c r="P140" s="51"/>
      <c r="Q140" s="51"/>
      <c r="R140" s="51"/>
      <c r="T140" s="42"/>
      <c r="U140" s="42"/>
      <c r="V140" s="51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</row>
    <row r="141" spans="1:66" ht="12.75" customHeight="1" x14ac:dyDescent="0.2">
      <c r="A141" s="1" t="s">
        <v>38</v>
      </c>
      <c r="B141" s="4">
        <f>_xll.ciqfunctions.udf.CIQ(InputTicker, "IQ_NET_RENTAL_EXP_SUPPLE",Input!D$2,Date,,,Ccy,Conv)</f>
        <v>4.09</v>
      </c>
      <c r="C141" s="4">
        <f>_xll.ciqfunctions.udf.CIQ(InputTicker, "IQ_NET_RENTAL_EXP_SUPPLE",Input!E$2,Date,,,Ccy,Conv)</f>
        <v>3.9750000000000001</v>
      </c>
      <c r="D141" s="4">
        <f>_xll.ciqfunctions.udf.CIQ(InputTicker, "IQ_NET_RENTAL_EXP_SUPPLE",Input!F$2,Date,,,Ccy,Conv)</f>
        <v>0</v>
      </c>
      <c r="E141" s="4">
        <f>_xll.ciqfunctions.udf.CIQ(InputTicker, "IQ_NET_RENTAL_EXP_SUPPLE",Input!G$2,Date,,,Ccy,Conv)</f>
        <v>0</v>
      </c>
      <c r="F141" s="4">
        <f>_xll.ciqfunctions.udf.CIQ(InputTicker, "IQ_NET_RENTAL_EXP_SUPPLE",Input!H$2,Date,,,Ccy,Conv)</f>
        <v>0</v>
      </c>
      <c r="G141" s="4">
        <f>_xll.ciqfunctions.udf.CIQ(InputTicker, "IQ_NET_RENTAL_EXP_SUPPLE",Input!I$2,Date,,,Ccy,Conv)</f>
        <v>0</v>
      </c>
      <c r="H141" s="4">
        <f>_xll.ciqfunctions.udf.CIQ(InputTicker, "IQ_NET_RENTAL_EXP_SUPPLE",Input!J$2,Date,,,Ccy,Conv)</f>
        <v>0</v>
      </c>
      <c r="I141" s="4">
        <f>_xll.ciqfunctions.udf.CIQ(InputTicker, "IQ_NET_RENTAL_EXP_SUPPLE",Input!K$2,Date,,,Ccy,Conv)</f>
        <v>0</v>
      </c>
      <c r="J141" s="4">
        <f>_xll.ciqfunctions.udf.CIQ(InputTicker, "IQ_NET_RENTAL_EXP_SUPPLE",Input!L$2,Date,,,Ccy,Conv)</f>
        <v>0</v>
      </c>
      <c r="K141" s="4">
        <f>_xll.ciqfunctions.udf.CIQ(InputTicker, "IQ_NET_RENTAL_EXP_SUPPLE",Input!M$2,Date,,,Ccy,Conv)</f>
        <v>0</v>
      </c>
      <c r="L141" s="4">
        <f>_xll.ciqfunctions.udf.CIQ(InputTicker, "IQ_NET_RENTAL_EXP_SUPPLE",Input!N$2,Date,,,Ccy,Conv)</f>
        <v>0</v>
      </c>
      <c r="M141" s="4">
        <f>_xll.ciqfunctions.udf.CIQ(InputTicker, "IQ_NET_RENTAL_EXP_SUPPLE",Input!O$2,Date,,,Ccy,Conv)</f>
        <v>0</v>
      </c>
      <c r="N141" s="49"/>
      <c r="P141" s="51"/>
      <c r="Q141" s="51"/>
      <c r="R141" s="51"/>
      <c r="T141" s="42"/>
      <c r="U141" s="42"/>
      <c r="V141" s="51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</row>
    <row r="142" spans="1:66" ht="12.75" customHeight="1" x14ac:dyDescent="0.2">
      <c r="A142" s="1" t="s">
        <v>7</v>
      </c>
      <c r="B142" s="4">
        <f>_xll.ciqfunctions.udf.CIQ(InputTicker, "IQ_CONTINGENT_RENTAL",Input!D$2,Date,,,Ccy,Conv)</f>
        <v>0</v>
      </c>
      <c r="C142" s="4">
        <f>_xll.ciqfunctions.udf.CIQ(InputTicker, "IQ_CONTINGENT_RENTAL",Input!E$2,Date,,,Ccy,Conv)</f>
        <v>0</v>
      </c>
      <c r="D142" s="4">
        <f>_xll.ciqfunctions.udf.CIQ(InputTicker, "IQ_CONTINGENT_RENTAL",Input!F$2,Date,,,Ccy,Conv)</f>
        <v>0</v>
      </c>
      <c r="E142" s="4">
        <f>_xll.ciqfunctions.udf.CIQ(InputTicker, "IQ_CONTINGENT_RENTAL",Input!G$2,Date,,,Ccy,Conv)</f>
        <v>0</v>
      </c>
      <c r="F142" s="4">
        <f>_xll.ciqfunctions.udf.CIQ(InputTicker, "IQ_CONTINGENT_RENTAL",Input!H$2,Date,,,Ccy,Conv)</f>
        <v>0</v>
      </c>
      <c r="G142" s="4">
        <f>_xll.ciqfunctions.udf.CIQ(InputTicker, "IQ_CONTINGENT_RENTAL",Input!I$2,Date,,,Ccy,Conv)</f>
        <v>0</v>
      </c>
      <c r="H142" s="4">
        <f>_xll.ciqfunctions.udf.CIQ(InputTicker, "IQ_CONTINGENT_RENTAL",Input!J$2,Date,,,Ccy,Conv)</f>
        <v>0</v>
      </c>
      <c r="I142" s="4">
        <f>_xll.ciqfunctions.udf.CIQ(InputTicker, "IQ_CONTINGENT_RENTAL",Input!K$2,Date,,,Ccy,Conv)</f>
        <v>0</v>
      </c>
      <c r="J142" s="4">
        <f>_xll.ciqfunctions.udf.CIQ(InputTicker, "IQ_CONTINGENT_RENTAL",Input!L$2,Date,,,Ccy,Conv)</f>
        <v>0</v>
      </c>
      <c r="K142" s="4">
        <f>_xll.ciqfunctions.udf.CIQ(InputTicker, "IQ_CONTINGENT_RENTAL",Input!M$2,Date,,,Ccy,Conv)</f>
        <v>0</v>
      </c>
      <c r="L142" s="4">
        <f>_xll.ciqfunctions.udf.CIQ(InputTicker, "IQ_CONTINGENT_RENTAL",Input!N$2,Date,,,Ccy,Conv)</f>
        <v>0</v>
      </c>
      <c r="M142" s="4">
        <f>_xll.ciqfunctions.udf.CIQ(InputTicker, "IQ_CONTINGENT_RENTAL",Input!O$2,Date,,,Ccy,Conv)</f>
        <v>0</v>
      </c>
      <c r="N142" s="49"/>
      <c r="P142" s="51"/>
      <c r="Q142" s="51"/>
      <c r="R142" s="51"/>
      <c r="T142" s="42"/>
      <c r="U142" s="42"/>
      <c r="V142" s="51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</row>
    <row r="143" spans="1:66" ht="12.75" customHeight="1" x14ac:dyDescent="0.2">
      <c r="A143" s="1" t="s">
        <v>29</v>
      </c>
      <c r="B143" s="4">
        <f>_xll.ciqfunctions.udf.CIQ(InputTicker, "IQ_MINIMUM_RENTAL",Input!D$2,Date,,,Ccy,Conv)</f>
        <v>0</v>
      </c>
      <c r="C143" s="4">
        <f>_xll.ciqfunctions.udf.CIQ(InputTicker, "IQ_MINIMUM_RENTAL",Input!E$2,Date,,,Ccy,Conv)</f>
        <v>0</v>
      </c>
      <c r="D143" s="4">
        <f>_xll.ciqfunctions.udf.CIQ(InputTicker, "IQ_MINIMUM_RENTAL",Input!F$2,Date,,,Ccy,Conv)</f>
        <v>0</v>
      </c>
      <c r="E143" s="4">
        <f>_xll.ciqfunctions.udf.CIQ(InputTicker, "IQ_MINIMUM_RENTAL",Input!G$2,Date,,,Ccy,Conv)</f>
        <v>0</v>
      </c>
      <c r="F143" s="4">
        <f>_xll.ciqfunctions.udf.CIQ(InputTicker, "IQ_MINIMUM_RENTAL",Input!H$2,Date,,,Ccy,Conv)</f>
        <v>0</v>
      </c>
      <c r="G143" s="4">
        <f>_xll.ciqfunctions.udf.CIQ(InputTicker, "IQ_MINIMUM_RENTAL",Input!I$2,Date,,,Ccy,Conv)</f>
        <v>0</v>
      </c>
      <c r="H143" s="4">
        <f>_xll.ciqfunctions.udf.CIQ(InputTicker, "IQ_MINIMUM_RENTAL",Input!J$2,Date,,,Ccy,Conv)</f>
        <v>0</v>
      </c>
      <c r="I143" s="4">
        <f>_xll.ciqfunctions.udf.CIQ(InputTicker, "IQ_MINIMUM_RENTAL",Input!K$2,Date,,,Ccy,Conv)</f>
        <v>0</v>
      </c>
      <c r="J143" s="4">
        <f>_xll.ciqfunctions.udf.CIQ(InputTicker, "IQ_MINIMUM_RENTAL",Input!L$2,Date,,,Ccy,Conv)</f>
        <v>0</v>
      </c>
      <c r="K143" s="4">
        <f>_xll.ciqfunctions.udf.CIQ(InputTicker, "IQ_MINIMUM_RENTAL",Input!M$2,Date,,,Ccy,Conv)</f>
        <v>0</v>
      </c>
      <c r="L143" s="4">
        <f>_xll.ciqfunctions.udf.CIQ(InputTicker, "IQ_MINIMUM_RENTAL",Input!N$2,Date,,,Ccy,Conv)</f>
        <v>0</v>
      </c>
      <c r="M143" s="4">
        <f>_xll.ciqfunctions.udf.CIQ(InputTicker, "IQ_MINIMUM_RENTAL",Input!O$2,Date,,,Ccy,Conv)</f>
        <v>0</v>
      </c>
      <c r="N143" s="49"/>
      <c r="P143" s="51"/>
      <c r="Q143" s="51"/>
      <c r="R143" s="51"/>
      <c r="T143" s="42"/>
      <c r="U143" s="42"/>
      <c r="V143" s="51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</row>
    <row r="144" spans="1:66" ht="12.75" customHeight="1" x14ac:dyDescent="0.2">
      <c r="A144" s="1" t="s">
        <v>30</v>
      </c>
      <c r="B144" s="4">
        <f>_xll.ciqfunctions.udf.CIQ(InputTicker, "IQ_OTHER_RENTAL",Input!D$2,Date,,,Ccy,Conv)</f>
        <v>0</v>
      </c>
      <c r="C144" s="4">
        <f>_xll.ciqfunctions.udf.CIQ(InputTicker, "IQ_OTHER_RENTAL",Input!E$2,Date,,,Ccy,Conv)</f>
        <v>0</v>
      </c>
      <c r="D144" s="4">
        <f>_xll.ciqfunctions.udf.CIQ(InputTicker, "IQ_OTHER_RENTAL",Input!F$2,Date,,,Ccy,Conv)</f>
        <v>0</v>
      </c>
      <c r="E144" s="4">
        <f>_xll.ciqfunctions.udf.CIQ(InputTicker, "IQ_OTHER_RENTAL",Input!G$2,Date,,,Ccy,Conv)</f>
        <v>0</v>
      </c>
      <c r="F144" s="4">
        <f>_xll.ciqfunctions.udf.CIQ(InputTicker, "IQ_OTHER_RENTAL",Input!H$2,Date,,,Ccy,Conv)</f>
        <v>0</v>
      </c>
      <c r="G144" s="4">
        <f>_xll.ciqfunctions.udf.CIQ(InputTicker, "IQ_OTHER_RENTAL",Input!I$2,Date,,,Ccy,Conv)</f>
        <v>0</v>
      </c>
      <c r="H144" s="4">
        <f>_xll.ciqfunctions.udf.CIQ(InputTicker, "IQ_OTHER_RENTAL",Input!J$2,Date,,,Ccy,Conv)</f>
        <v>0</v>
      </c>
      <c r="I144" s="4">
        <f>_xll.ciqfunctions.udf.CIQ(InputTicker, "IQ_OTHER_RENTAL",Input!K$2,Date,,,Ccy,Conv)</f>
        <v>0</v>
      </c>
      <c r="J144" s="4">
        <f>_xll.ciqfunctions.udf.CIQ(InputTicker, "IQ_OTHER_RENTAL",Input!L$2,Date,,,Ccy,Conv)</f>
        <v>0</v>
      </c>
      <c r="K144" s="4">
        <f>_xll.ciqfunctions.udf.CIQ(InputTicker, "IQ_OTHER_RENTAL",Input!M$2,Date,,,Ccy,Conv)</f>
        <v>0</v>
      </c>
      <c r="L144" s="4">
        <f>_xll.ciqfunctions.udf.CIQ(InputTicker, "IQ_OTHER_RENTAL",Input!N$2,Date,,,Ccy,Conv)</f>
        <v>0</v>
      </c>
      <c r="M144" s="4">
        <f>_xll.ciqfunctions.udf.CIQ(InputTicker, "IQ_OTHER_RENTAL",Input!O$2,Date,,,Ccy,Conv)</f>
        <v>0</v>
      </c>
      <c r="N144" s="49"/>
      <c r="P144" s="51"/>
      <c r="Q144" s="51"/>
      <c r="R144" s="51"/>
      <c r="T144" s="42"/>
      <c r="U144" s="42"/>
      <c r="V144" s="51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</row>
    <row r="145" spans="1:66" ht="12.75" customHeight="1" x14ac:dyDescent="0.2">
      <c r="A145" s="1" t="s">
        <v>17</v>
      </c>
      <c r="B145" s="4">
        <f>_xll.ciqfunctions.udf.CIQ(InputTicker, "IQ_AIRCRAFT_RENT",Input!D$2,Date,,,Ccy,Conv)</f>
        <v>0</v>
      </c>
      <c r="C145" s="4">
        <f>_xll.ciqfunctions.udf.CIQ(InputTicker, "IQ_AIRCRAFT_RENT",Input!E$2,Date,,,Ccy,Conv)</f>
        <v>0</v>
      </c>
      <c r="D145" s="4">
        <f>_xll.ciqfunctions.udf.CIQ(InputTicker, "IQ_AIRCRAFT_RENT",Input!F$2,Date,,,Ccy,Conv)</f>
        <v>0</v>
      </c>
      <c r="E145" s="4">
        <f>_xll.ciqfunctions.udf.CIQ(InputTicker, "IQ_AIRCRAFT_RENT",Input!G$2,Date,,,Ccy,Conv)</f>
        <v>0</v>
      </c>
      <c r="F145" s="4">
        <f>_xll.ciqfunctions.udf.CIQ(InputTicker, "IQ_AIRCRAFT_RENT",Input!H$2,Date,,,Ccy,Conv)</f>
        <v>0</v>
      </c>
      <c r="G145" s="4">
        <f>_xll.ciqfunctions.udf.CIQ(InputTicker, "IQ_AIRCRAFT_RENT",Input!I$2,Date,,,Ccy,Conv)</f>
        <v>0</v>
      </c>
      <c r="H145" s="4">
        <f>_xll.ciqfunctions.udf.CIQ(InputTicker, "IQ_AIRCRAFT_RENT",Input!J$2,Date,,,Ccy,Conv)</f>
        <v>0</v>
      </c>
      <c r="I145" s="4">
        <f>_xll.ciqfunctions.udf.CIQ(InputTicker, "IQ_AIRCRAFT_RENT",Input!K$2,Date,,,Ccy,Conv)</f>
        <v>0</v>
      </c>
      <c r="J145" s="4">
        <f>_xll.ciqfunctions.udf.CIQ(InputTicker, "IQ_AIRCRAFT_RENT",Input!L$2,Date,,,Ccy,Conv)</f>
        <v>0</v>
      </c>
      <c r="K145" s="4">
        <f>_xll.ciqfunctions.udf.CIQ(InputTicker, "IQ_AIRCRAFT_RENT",Input!M$2,Date,,,Ccy,Conv)</f>
        <v>0</v>
      </c>
      <c r="L145" s="4">
        <f>_xll.ciqfunctions.udf.CIQ(InputTicker, "IQ_AIRCRAFT_RENT",Input!N$2,Date,,,Ccy,Conv)</f>
        <v>0</v>
      </c>
      <c r="M145" s="4">
        <f>_xll.ciqfunctions.udf.CIQ(InputTicker, "IQ_AIRCRAFT_RENT",Input!O$2,Date,,,Ccy,Conv)</f>
        <v>0</v>
      </c>
      <c r="N145" s="49"/>
      <c r="P145" s="51"/>
      <c r="Q145" s="51"/>
      <c r="R145" s="51"/>
      <c r="T145" s="42"/>
      <c r="U145" s="42"/>
      <c r="V145" s="51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</row>
    <row r="146" spans="1:66" ht="12.75" customHeight="1" x14ac:dyDescent="0.2">
      <c r="A146" s="1" t="s">
        <v>31</v>
      </c>
      <c r="B146" s="4">
        <f>_xll.ciqfunctions.udf.CIQ(InputTicker, "IQ_DEPRECIATION_RENTAL_ASSETS",Input!D$2,Date,,,Ccy,Conv)</f>
        <v>0</v>
      </c>
      <c r="C146" s="4">
        <f>_xll.ciqfunctions.udf.CIQ(InputTicker, "IQ_DEPRECIATION_RENTAL_ASSETS",Input!E$2,Date,,,Ccy,Conv)</f>
        <v>0</v>
      </c>
      <c r="D146" s="4">
        <f>_xll.ciqfunctions.udf.CIQ(InputTicker, "IQ_DEPRECIATION_RENTAL_ASSETS",Input!F$2,Date,,,Ccy,Conv)</f>
        <v>0</v>
      </c>
      <c r="E146" s="4">
        <f>_xll.ciqfunctions.udf.CIQ(InputTicker, "IQ_DEPRECIATION_RENTAL_ASSETS",Input!G$2,Date,,,Ccy,Conv)</f>
        <v>0</v>
      </c>
      <c r="F146" s="4">
        <f>_xll.ciqfunctions.udf.CIQ(InputTicker, "IQ_DEPRECIATION_RENTAL_ASSETS",Input!H$2,Date,,,Ccy,Conv)</f>
        <v>0</v>
      </c>
      <c r="G146" s="4">
        <f>_xll.ciqfunctions.udf.CIQ(InputTicker, "IQ_DEPRECIATION_RENTAL_ASSETS",Input!I$2,Date,,,Ccy,Conv)</f>
        <v>0</v>
      </c>
      <c r="H146" s="4">
        <f>_xll.ciqfunctions.udf.CIQ(InputTicker, "IQ_DEPRECIATION_RENTAL_ASSETS",Input!J$2,Date,,,Ccy,Conv)</f>
        <v>0</v>
      </c>
      <c r="I146" s="4">
        <f>_xll.ciqfunctions.udf.CIQ(InputTicker, "IQ_DEPRECIATION_RENTAL_ASSETS",Input!K$2,Date,,,Ccy,Conv)</f>
        <v>0</v>
      </c>
      <c r="J146" s="4">
        <f>_xll.ciqfunctions.udf.CIQ(InputTicker, "IQ_DEPRECIATION_RENTAL_ASSETS",Input!L$2,Date,,,Ccy,Conv)</f>
        <v>0</v>
      </c>
      <c r="K146" s="4">
        <f>_xll.ciqfunctions.udf.CIQ(InputTicker, "IQ_DEPRECIATION_RENTAL_ASSETS",Input!M$2,Date,,,Ccy,Conv)</f>
        <v>0</v>
      </c>
      <c r="L146" s="4">
        <f>_xll.ciqfunctions.udf.CIQ(InputTicker, "IQ_DEPRECIATION_RENTAL_ASSETS",Input!N$2,Date,,,Ccy,Conv)</f>
        <v>0</v>
      </c>
      <c r="M146" s="4">
        <f>_xll.ciqfunctions.udf.CIQ(InputTicker, "IQ_DEPRECIATION_RENTAL_ASSETS",Input!O$2,Date,,,Ccy,Conv)</f>
        <v>0</v>
      </c>
      <c r="N146" s="49"/>
      <c r="P146" s="51"/>
      <c r="Q146" s="51"/>
      <c r="R146" s="51"/>
      <c r="T146" s="42"/>
      <c r="U146" s="42"/>
      <c r="V146" s="51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</row>
    <row r="147" spans="1:66" ht="12.75" customHeight="1" x14ac:dyDescent="0.2">
      <c r="A147" s="1" t="s">
        <v>406</v>
      </c>
      <c r="B147" s="4">
        <f>_xll.ciqfunctions.udf.CIQ(InputTicker, "IQ_EXPLORE_DRILL_EXP_TOTAL",Input!D$2,Date,,,Ccy,Conv)</f>
        <v>0</v>
      </c>
      <c r="C147" s="4">
        <f>_xll.ciqfunctions.udf.CIQ(InputTicker, "IQ_EXPLORE_DRILL_EXP_TOTAL",Input!E$2,Date,,,Ccy,Conv)</f>
        <v>0</v>
      </c>
      <c r="D147" s="4">
        <f>_xll.ciqfunctions.udf.CIQ(InputTicker, "IQ_EXPLORE_DRILL_EXP_TOTAL",Input!F$2,Date,,,Ccy,Conv)</f>
        <v>0</v>
      </c>
      <c r="E147" s="4">
        <f>_xll.ciqfunctions.udf.CIQ(InputTicker, "IQ_EXPLORE_DRILL_EXP_TOTAL",Input!G$2,Date,,,Ccy,Conv)</f>
        <v>0</v>
      </c>
      <c r="F147" s="4">
        <f>_xll.ciqfunctions.udf.CIQ(InputTicker, "IQ_EXPLORE_DRILL_EXP_TOTAL",Input!H$2,Date,,,Ccy,Conv)</f>
        <v>0</v>
      </c>
      <c r="G147" s="4">
        <f>_xll.ciqfunctions.udf.CIQ(InputTicker, "IQ_EXPLORE_DRILL_EXP_TOTAL",Input!I$2,Date,,,Ccy,Conv)</f>
        <v>0</v>
      </c>
      <c r="H147" s="4">
        <f>_xll.ciqfunctions.udf.CIQ(InputTicker, "IQ_EXPLORE_DRILL_EXP_TOTAL",Input!J$2,Date,,,Ccy,Conv)</f>
        <v>0</v>
      </c>
      <c r="I147" s="4">
        <f>_xll.ciqfunctions.udf.CIQ(InputTicker, "IQ_EXPLORE_DRILL_EXP_TOTAL",Input!K$2,Date,,,Ccy,Conv)</f>
        <v>0</v>
      </c>
      <c r="J147" s="4">
        <f>_xll.ciqfunctions.udf.CIQ(InputTicker, "IQ_EXPLORE_DRILL_EXP_TOTAL",Input!L$2,Date,,,Ccy,Conv)</f>
        <v>0</v>
      </c>
      <c r="K147" s="4">
        <f>_xll.ciqfunctions.udf.CIQ(InputTicker, "IQ_EXPLORE_DRILL_EXP_TOTAL",Input!M$2,Date,,,Ccy,Conv)</f>
        <v>0</v>
      </c>
      <c r="L147" s="4">
        <f>_xll.ciqfunctions.udf.CIQ(InputTicker, "IQ_EXPLORE_DRILL_EXP_TOTAL",Input!N$2,Date,,,Ccy,Conv)</f>
        <v>0</v>
      </c>
      <c r="M147" s="4">
        <f>_xll.ciqfunctions.udf.CIQ(InputTicker, "IQ_EXPLORE_DRILL_EXP_TOTAL",Input!O$2,Date,,,Ccy,Conv)</f>
        <v>0</v>
      </c>
      <c r="N147" s="49"/>
      <c r="P147" s="51"/>
      <c r="Q147" s="51"/>
      <c r="R147" s="51"/>
      <c r="T147" s="42"/>
      <c r="U147" s="42"/>
      <c r="V147" s="51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</row>
    <row r="148" spans="1:66" ht="12.75" customHeight="1" x14ac:dyDescent="0.2">
      <c r="A148" s="1" t="s">
        <v>333</v>
      </c>
      <c r="B148" s="4">
        <f>_xll.ciqfunctions.udf.CIQ(InputTicker, "IQ_MAINT_REPAIR",Input!D$2,Date,,,Ccy,Conv)</f>
        <v>0</v>
      </c>
      <c r="C148" s="4">
        <f>_xll.ciqfunctions.udf.CIQ(InputTicker, "IQ_MAINT_REPAIR",Input!E$2,Date,,,Ccy,Conv)</f>
        <v>0</v>
      </c>
      <c r="D148" s="4">
        <f>_xll.ciqfunctions.udf.CIQ(InputTicker, "IQ_MAINT_REPAIR",Input!F$2,Date,,,Ccy,Conv)</f>
        <v>0</v>
      </c>
      <c r="E148" s="4">
        <f>_xll.ciqfunctions.udf.CIQ(InputTicker, "IQ_MAINT_REPAIR",Input!G$2,Date,,,Ccy,Conv)</f>
        <v>0</v>
      </c>
      <c r="F148" s="4">
        <f>_xll.ciqfunctions.udf.CIQ(InputTicker, "IQ_MAINT_REPAIR",Input!H$2,Date,,,Ccy,Conv)</f>
        <v>0</v>
      </c>
      <c r="G148" s="4">
        <f>_xll.ciqfunctions.udf.CIQ(InputTicker, "IQ_MAINT_REPAIR",Input!I$2,Date,,,Ccy,Conv)</f>
        <v>0</v>
      </c>
      <c r="H148" s="4">
        <f>_xll.ciqfunctions.udf.CIQ(InputTicker, "IQ_MAINT_REPAIR",Input!J$2,Date,,,Ccy,Conv)</f>
        <v>0</v>
      </c>
      <c r="I148" s="4">
        <f>_xll.ciqfunctions.udf.CIQ(InputTicker, "IQ_MAINT_REPAIR",Input!K$2,Date,,,Ccy,Conv)</f>
        <v>0</v>
      </c>
      <c r="J148" s="4">
        <f>_xll.ciqfunctions.udf.CIQ(InputTicker, "IQ_MAINT_REPAIR",Input!L$2,Date,,,Ccy,Conv)</f>
        <v>0</v>
      </c>
      <c r="K148" s="4">
        <f>_xll.ciqfunctions.udf.CIQ(InputTicker, "IQ_MAINT_REPAIR",Input!M$2,Date,,,Ccy,Conv)</f>
        <v>0</v>
      </c>
      <c r="L148" s="4">
        <f>_xll.ciqfunctions.udf.CIQ(InputTicker, "IQ_MAINT_REPAIR",Input!N$2,Date,,,Ccy,Conv)</f>
        <v>0</v>
      </c>
      <c r="M148" s="4">
        <f>_xll.ciqfunctions.udf.CIQ(InputTicker, "IQ_MAINT_REPAIR",Input!O$2,Date,,,Ccy,Conv)</f>
        <v>0</v>
      </c>
      <c r="N148" s="49"/>
      <c r="P148" s="51"/>
      <c r="Q148" s="51"/>
      <c r="R148" s="51"/>
      <c r="T148" s="42"/>
      <c r="U148" s="42"/>
      <c r="V148" s="51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</row>
    <row r="149" spans="1:66" ht="12.75" customHeight="1" x14ac:dyDescent="0.2">
      <c r="A149" s="1" t="s">
        <v>334</v>
      </c>
      <c r="B149" s="4">
        <f>_xll.ciqfunctions.udf.CIQ(InputTicker, "IQ_IMPUT_OPER_LEASE_INT_EXP",Input!D$2,Date,,,Ccy,Conv)</f>
        <v>1.9315899999999999</v>
      </c>
      <c r="C149" s="4">
        <f>_xll.ciqfunctions.udf.CIQ(InputTicker, "IQ_IMPUT_OPER_LEASE_INT_EXP",Input!E$2,Date,,,Ccy,Conv)</f>
        <v>2.4701900000000001</v>
      </c>
      <c r="D149" s="4">
        <f>_xll.ciqfunctions.udf.CIQ(InputTicker, "IQ_IMPUT_OPER_LEASE_INT_EXP",Input!F$2,Date,,,Ccy,Conv)</f>
        <v>0</v>
      </c>
      <c r="E149" s="4">
        <f>_xll.ciqfunctions.udf.CIQ(InputTicker, "IQ_IMPUT_OPER_LEASE_INT_EXP",Input!G$2,Date,,,Ccy,Conv)</f>
        <v>0</v>
      </c>
      <c r="F149" s="4">
        <f>_xll.ciqfunctions.udf.CIQ(InputTicker, "IQ_IMPUT_OPER_LEASE_INT_EXP",Input!H$2,Date,,,Ccy,Conv)</f>
        <v>0</v>
      </c>
      <c r="G149" s="4">
        <f>_xll.ciqfunctions.udf.CIQ(InputTicker, "IQ_IMPUT_OPER_LEASE_INT_EXP",Input!I$2,Date,,,Ccy,Conv)</f>
        <v>0</v>
      </c>
      <c r="H149" s="4">
        <f>_xll.ciqfunctions.udf.CIQ(InputTicker, "IQ_IMPUT_OPER_LEASE_INT_EXP",Input!J$2,Date,,,Ccy,Conv)</f>
        <v>0</v>
      </c>
      <c r="I149" s="4">
        <f>_xll.ciqfunctions.udf.CIQ(InputTicker, "IQ_IMPUT_OPER_LEASE_INT_EXP",Input!K$2,Date,,,Ccy,Conv)</f>
        <v>0</v>
      </c>
      <c r="J149" s="4">
        <f>_xll.ciqfunctions.udf.CIQ(InputTicker, "IQ_IMPUT_OPER_LEASE_INT_EXP",Input!L$2,Date,,,Ccy,Conv)</f>
        <v>0</v>
      </c>
      <c r="K149" s="4">
        <f>_xll.ciqfunctions.udf.CIQ(InputTicker, "IQ_IMPUT_OPER_LEASE_INT_EXP",Input!M$2,Date,,,Ccy,Conv)</f>
        <v>0</v>
      </c>
      <c r="L149" s="4">
        <f>_xll.ciqfunctions.udf.CIQ(InputTicker, "IQ_IMPUT_OPER_LEASE_INT_EXP",Input!N$2,Date,,,Ccy,Conv)</f>
        <v>0</v>
      </c>
      <c r="M149" s="4">
        <f>_xll.ciqfunctions.udf.CIQ(InputTicker, "IQ_IMPUT_OPER_LEASE_INT_EXP",Input!O$2,Date,,,Ccy,Conv)</f>
        <v>0</v>
      </c>
      <c r="N149" s="49"/>
      <c r="P149" s="51"/>
      <c r="Q149" s="51"/>
      <c r="R149" s="51"/>
      <c r="T149" s="42"/>
      <c r="U149" s="42"/>
      <c r="V149" s="51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</row>
    <row r="150" spans="1:66" ht="12.75" customHeight="1" x14ac:dyDescent="0.2">
      <c r="A150" s="1" t="s">
        <v>335</v>
      </c>
      <c r="B150" s="4">
        <f>_xll.ciqfunctions.udf.CIQ(InputTicker, "IQ_IMPUT_OPER_LEASE_DEPR",Input!D$2,Date,,,Ccy,Conv)</f>
        <v>2.1584099999999999</v>
      </c>
      <c r="C150" s="4">
        <f>_xll.ciqfunctions.udf.CIQ(InputTicker, "IQ_IMPUT_OPER_LEASE_DEPR",Input!E$2,Date,,,Ccy,Conv)</f>
        <v>1.50481</v>
      </c>
      <c r="D150" s="4">
        <f>_xll.ciqfunctions.udf.CIQ(InputTicker, "IQ_IMPUT_OPER_LEASE_DEPR",Input!F$2,Date,,,Ccy,Conv)</f>
        <v>0</v>
      </c>
      <c r="E150" s="4">
        <f>_xll.ciqfunctions.udf.CIQ(InputTicker, "IQ_IMPUT_OPER_LEASE_DEPR",Input!G$2,Date,,,Ccy,Conv)</f>
        <v>0</v>
      </c>
      <c r="F150" s="4">
        <f>_xll.ciqfunctions.udf.CIQ(InputTicker, "IQ_IMPUT_OPER_LEASE_DEPR",Input!H$2,Date,,,Ccy,Conv)</f>
        <v>0</v>
      </c>
      <c r="G150" s="4">
        <f>_xll.ciqfunctions.udf.CIQ(InputTicker, "IQ_IMPUT_OPER_LEASE_DEPR",Input!I$2,Date,,,Ccy,Conv)</f>
        <v>0</v>
      </c>
      <c r="H150" s="4">
        <f>_xll.ciqfunctions.udf.CIQ(InputTicker, "IQ_IMPUT_OPER_LEASE_DEPR",Input!J$2,Date,,,Ccy,Conv)</f>
        <v>0</v>
      </c>
      <c r="I150" s="4">
        <f>_xll.ciqfunctions.udf.CIQ(InputTicker, "IQ_IMPUT_OPER_LEASE_DEPR",Input!K$2,Date,,,Ccy,Conv)</f>
        <v>0</v>
      </c>
      <c r="J150" s="4">
        <f>_xll.ciqfunctions.udf.CIQ(InputTicker, "IQ_IMPUT_OPER_LEASE_DEPR",Input!L$2,Date,,,Ccy,Conv)</f>
        <v>0</v>
      </c>
      <c r="K150" s="4">
        <f>_xll.ciqfunctions.udf.CIQ(InputTicker, "IQ_IMPUT_OPER_LEASE_DEPR",Input!M$2,Date,,,Ccy,Conv)</f>
        <v>0</v>
      </c>
      <c r="L150" s="4">
        <f>_xll.ciqfunctions.udf.CIQ(InputTicker, "IQ_IMPUT_OPER_LEASE_DEPR",Input!N$2,Date,,,Ccy,Conv)</f>
        <v>0</v>
      </c>
      <c r="M150" s="4">
        <f>_xll.ciqfunctions.udf.CIQ(InputTicker, "IQ_IMPUT_OPER_LEASE_DEPR",Input!O$2,Date,,,Ccy,Conv)</f>
        <v>0</v>
      </c>
      <c r="N150" s="49"/>
      <c r="P150" s="46"/>
      <c r="Q150" s="46"/>
      <c r="R150" s="46"/>
      <c r="T150" s="42"/>
      <c r="U150" s="42"/>
      <c r="V150" s="46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</row>
    <row r="151" spans="1:66" ht="12.75" customHeight="1" x14ac:dyDescent="0.2">
      <c r="A151" s="1" t="s">
        <v>392</v>
      </c>
      <c r="B151" s="4">
        <f>_xll.ciqfunctions.udf.CIQ(InputTicker, "IQ_SALARIES_OTHER_BENEFITS",Input!D$2,Date,,,Ccy,Conv)</f>
        <v>0</v>
      </c>
      <c r="C151" s="4">
        <f>_xll.ciqfunctions.udf.CIQ(InputTicker, "IQ_SALARIES_OTHER_BENEFITS",Input!E$2,Date,,,Ccy,Conv)</f>
        <v>0</v>
      </c>
      <c r="D151" s="4">
        <f>_xll.ciqfunctions.udf.CIQ(InputTicker, "IQ_SALARIES_OTHER_BENEFITS",Input!F$2,Date,,,Ccy,Conv)</f>
        <v>0</v>
      </c>
      <c r="E151" s="4">
        <f>_xll.ciqfunctions.udf.CIQ(InputTicker, "IQ_SALARIES_OTHER_BENEFITS",Input!G$2,Date,,,Ccy,Conv)</f>
        <v>0</v>
      </c>
      <c r="F151" s="4">
        <f>_xll.ciqfunctions.udf.CIQ(InputTicker, "IQ_SALARIES_OTHER_BENEFITS",Input!H$2,Date,,,Ccy,Conv)</f>
        <v>0</v>
      </c>
      <c r="G151" s="4">
        <f>_xll.ciqfunctions.udf.CIQ(InputTicker, "IQ_SALARIES_OTHER_BENEFITS",Input!I$2,Date,,,Ccy,Conv)</f>
        <v>0</v>
      </c>
      <c r="H151" s="4">
        <f>_xll.ciqfunctions.udf.CIQ(InputTicker, "IQ_SALARIES_OTHER_BENEFITS",Input!J$2,Date,,,Ccy,Conv)</f>
        <v>0</v>
      </c>
      <c r="I151" s="4">
        <f>_xll.ciqfunctions.udf.CIQ(InputTicker, "IQ_SALARIES_OTHER_BENEFITS",Input!K$2,Date,,,Ccy,Conv)</f>
        <v>0</v>
      </c>
      <c r="J151" s="4">
        <f>_xll.ciqfunctions.udf.CIQ(InputTicker, "IQ_SALARIES_OTHER_BENEFITS",Input!L$2,Date,,,Ccy,Conv)</f>
        <v>0</v>
      </c>
      <c r="K151" s="4">
        <f>_xll.ciqfunctions.udf.CIQ(InputTicker, "IQ_SALARIES_OTHER_BENEFITS",Input!M$2,Date,,,Ccy,Conv)</f>
        <v>0</v>
      </c>
      <c r="L151" s="4">
        <f>_xll.ciqfunctions.udf.CIQ(InputTicker, "IQ_SALARIES_OTHER_BENEFITS",Input!N$2,Date,,,Ccy,Conv)</f>
        <v>0</v>
      </c>
      <c r="M151" s="4">
        <f>_xll.ciqfunctions.udf.CIQ(InputTicker, "IQ_SALARIES_OTHER_BENEFITS",Input!O$2,Date,,,Ccy,Conv)</f>
        <v>0</v>
      </c>
      <c r="N151" s="49"/>
      <c r="P151" s="46"/>
      <c r="Q151" s="46"/>
      <c r="R151" s="46"/>
      <c r="T151" s="42"/>
      <c r="U151" s="42"/>
      <c r="V151" s="46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</row>
    <row r="152" spans="1:66" ht="12.75" customHeight="1" x14ac:dyDescent="0.2">
      <c r="A152" s="1" t="s">
        <v>411</v>
      </c>
      <c r="B152" s="4">
        <f>_xll.ciqfunctions.udf.CIQ(InputTicker,"IQ_RESTRUCTURE_SUPPLE",Input!D$2,Date,,,Ccy,Conv)</f>
        <v>0</v>
      </c>
      <c r="C152" s="4">
        <f>_xll.ciqfunctions.udf.CIQ(InputTicker,"IQ_RESTRUCTURE_SUPPLE",Input!E$2,Date,,,Ccy,Conv)</f>
        <v>0</v>
      </c>
      <c r="D152" s="4">
        <f>_xll.ciqfunctions.udf.CIQ(InputTicker,"IQ_RESTRUCTURE_SUPPLE",Input!F$2,Date,,,Ccy,Conv)</f>
        <v>0</v>
      </c>
      <c r="E152" s="4">
        <f>_xll.ciqfunctions.udf.CIQ(InputTicker,"IQ_RESTRUCTURE_SUPPLE",Input!G$2,Date,,,Ccy,Conv)</f>
        <v>0</v>
      </c>
      <c r="F152" s="4">
        <f>_xll.ciqfunctions.udf.CIQ(InputTicker,"IQ_RESTRUCTURE_SUPPLE",Input!H$2,Date,,,Ccy,Conv)</f>
        <v>0</v>
      </c>
      <c r="G152" s="4">
        <f>_xll.ciqfunctions.udf.CIQ(InputTicker,"IQ_RESTRUCTURE_SUPPLE",Input!I$2,Date,,,Ccy,Conv)</f>
        <v>0</v>
      </c>
      <c r="H152" s="4">
        <f>_xll.ciqfunctions.udf.CIQ(InputTicker,"IQ_RESTRUCTURE_SUPPLE",Input!J$2,Date,,,Ccy,Conv)</f>
        <v>0</v>
      </c>
      <c r="I152" s="4">
        <f>_xll.ciqfunctions.udf.CIQ(InputTicker,"IQ_RESTRUCTURE_SUPPLE",Input!K$2,Date,,,Ccy,Conv)</f>
        <v>0</v>
      </c>
      <c r="J152" s="4">
        <f>_xll.ciqfunctions.udf.CIQ(InputTicker,"IQ_RESTRUCTURE_SUPPLE",Input!L$2,Date,,,Ccy,Conv)</f>
        <v>0</v>
      </c>
      <c r="K152" s="4">
        <f>_xll.ciqfunctions.udf.CIQ(InputTicker,"IQ_RESTRUCTURE_SUPPLE",Input!M$2,Date,,,Ccy,Conv)</f>
        <v>0</v>
      </c>
      <c r="L152" s="4">
        <f>_xll.ciqfunctions.udf.CIQ(InputTicker,"IQ_RESTRUCTURE_SUPPLE",Input!N$2,Date,,,Ccy,Conv)</f>
        <v>0</v>
      </c>
      <c r="M152" s="4">
        <f>_xll.ciqfunctions.udf.CIQ(InputTicker,"IQ_RESTRUCTURE_SUPPLE",Input!O$2,Date,,,Ccy,Conv)</f>
        <v>0</v>
      </c>
      <c r="N152" s="49"/>
      <c r="P152" s="46"/>
      <c r="Q152" s="46"/>
      <c r="R152" s="46"/>
      <c r="T152" s="42"/>
      <c r="U152" s="42"/>
      <c r="V152" s="46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</row>
    <row r="153" spans="1:66" ht="12.75" customHeight="1" x14ac:dyDescent="0.2">
      <c r="A153" s="1" t="s">
        <v>412</v>
      </c>
      <c r="B153" s="4">
        <f>_xll.ciqfunctions.udf.CIQ(InputTicker,"IQ_MERGER_SUPPLE",Input!D$2,Date,,,Ccy,Conv)</f>
        <v>0</v>
      </c>
      <c r="C153" s="4">
        <f>_xll.ciqfunctions.udf.CIQ(InputTicker,"IQ_MERGER_SUPPLE",Input!E$2,Date,,,Ccy,Conv)</f>
        <v>0</v>
      </c>
      <c r="D153" s="4">
        <f>_xll.ciqfunctions.udf.CIQ(InputTicker,"IQ_MERGER_SUPPLE",Input!F$2,Date,,,Ccy,Conv)</f>
        <v>0</v>
      </c>
      <c r="E153" s="4">
        <f>_xll.ciqfunctions.udf.CIQ(InputTicker,"IQ_MERGER_SUPPLE",Input!G$2,Date,,,Ccy,Conv)</f>
        <v>0</v>
      </c>
      <c r="F153" s="4">
        <f>_xll.ciqfunctions.udf.CIQ(InputTicker,"IQ_MERGER_SUPPLE",Input!H$2,Date,,,Ccy,Conv)</f>
        <v>0</v>
      </c>
      <c r="G153" s="4">
        <f>_xll.ciqfunctions.udf.CIQ(InputTicker,"IQ_MERGER_SUPPLE",Input!I$2,Date,,,Ccy,Conv)</f>
        <v>0</v>
      </c>
      <c r="H153" s="4">
        <f>_xll.ciqfunctions.udf.CIQ(InputTicker,"IQ_MERGER_SUPPLE",Input!J$2,Date,,,Ccy,Conv)</f>
        <v>0</v>
      </c>
      <c r="I153" s="4">
        <f>_xll.ciqfunctions.udf.CIQ(InputTicker,"IQ_MERGER_SUPPLE",Input!K$2,Date,,,Ccy,Conv)</f>
        <v>0</v>
      </c>
      <c r="J153" s="4">
        <f>_xll.ciqfunctions.udf.CIQ(InputTicker,"IQ_MERGER_SUPPLE",Input!L$2,Date,,,Ccy,Conv)</f>
        <v>0</v>
      </c>
      <c r="K153" s="4">
        <f>_xll.ciqfunctions.udf.CIQ(InputTicker,"IQ_MERGER_SUPPLE",Input!M$2,Date,,,Ccy,Conv)</f>
        <v>0</v>
      </c>
      <c r="L153" s="4">
        <f>_xll.ciqfunctions.udf.CIQ(InputTicker,"IQ_MERGER_SUPPLE",Input!N$2,Date,,,Ccy,Conv)</f>
        <v>0</v>
      </c>
      <c r="M153" s="4">
        <f>_xll.ciqfunctions.udf.CIQ(InputTicker,"IQ_MERGER_SUPPLE",Input!O$2,Date,,,Ccy,Conv)</f>
        <v>0</v>
      </c>
      <c r="N153" s="49"/>
      <c r="P153" s="46"/>
      <c r="Q153" s="46"/>
      <c r="R153" s="46"/>
      <c r="T153" s="42"/>
      <c r="U153" s="42"/>
      <c r="V153" s="46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</row>
    <row r="154" spans="1:66" ht="12.75" customHeight="1" x14ac:dyDescent="0.2">
      <c r="A154" s="1" t="s">
        <v>413</v>
      </c>
      <c r="B154" s="4">
        <f>_xll.ciqfunctions.udf.CIQ(InputTicker,"IQ_IMPAIRMENT_GW_SUPPLE",Input!D$2,Date,,,Ccy,Conv)</f>
        <v>0</v>
      </c>
      <c r="C154" s="4">
        <f>_xll.ciqfunctions.udf.CIQ(InputTicker,"IQ_IMPAIRMENT_GW_SUPPLE",Input!E$2,Date,,,Ccy,Conv)</f>
        <v>0</v>
      </c>
      <c r="D154" s="4">
        <f>_xll.ciqfunctions.udf.CIQ(InputTicker,"IQ_IMPAIRMENT_GW_SUPPLE",Input!F$2,Date,,,Ccy,Conv)</f>
        <v>0</v>
      </c>
      <c r="E154" s="4">
        <f>_xll.ciqfunctions.udf.CIQ(InputTicker,"IQ_IMPAIRMENT_GW_SUPPLE",Input!G$2,Date,,,Ccy,Conv)</f>
        <v>0</v>
      </c>
      <c r="F154" s="4">
        <f>_xll.ciqfunctions.udf.CIQ(InputTicker,"IQ_IMPAIRMENT_GW_SUPPLE",Input!H$2,Date,,,Ccy,Conv)</f>
        <v>0</v>
      </c>
      <c r="G154" s="4">
        <f>_xll.ciqfunctions.udf.CIQ(InputTicker,"IQ_IMPAIRMENT_GW_SUPPLE",Input!I$2,Date,,,Ccy,Conv)</f>
        <v>0</v>
      </c>
      <c r="H154" s="4">
        <f>_xll.ciqfunctions.udf.CIQ(InputTicker,"IQ_IMPAIRMENT_GW_SUPPLE",Input!J$2,Date,,,Ccy,Conv)</f>
        <v>0</v>
      </c>
      <c r="I154" s="4">
        <f>_xll.ciqfunctions.udf.CIQ(InputTicker,"IQ_IMPAIRMENT_GW_SUPPLE",Input!K$2,Date,,,Ccy,Conv)</f>
        <v>0</v>
      </c>
      <c r="J154" s="4">
        <f>_xll.ciqfunctions.udf.CIQ(InputTicker,"IQ_IMPAIRMENT_GW_SUPPLE",Input!L$2,Date,,,Ccy,Conv)</f>
        <v>0</v>
      </c>
      <c r="K154" s="4">
        <f>_xll.ciqfunctions.udf.CIQ(InputTicker,"IQ_IMPAIRMENT_GW_SUPPLE",Input!M$2,Date,,,Ccy,Conv)</f>
        <v>0</v>
      </c>
      <c r="L154" s="4">
        <f>_xll.ciqfunctions.udf.CIQ(InputTicker,"IQ_IMPAIRMENT_GW_SUPPLE",Input!N$2,Date,,,Ccy,Conv)</f>
        <v>0</v>
      </c>
      <c r="M154" s="4">
        <f>_xll.ciqfunctions.udf.CIQ(InputTicker,"IQ_IMPAIRMENT_GW_SUPPLE",Input!O$2,Date,,,Ccy,Conv)</f>
        <v>0</v>
      </c>
      <c r="N154" s="49"/>
      <c r="P154" s="46"/>
      <c r="Q154" s="46"/>
      <c r="R154" s="46"/>
      <c r="T154" s="42"/>
      <c r="U154" s="42"/>
      <c r="V154" s="46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</row>
    <row r="155" spans="1:66" ht="12.75" customHeight="1" x14ac:dyDescent="0.2">
      <c r="A155" s="1" t="s">
        <v>414</v>
      </c>
      <c r="B155" s="4">
        <f>_xll.ciqfunctions.udf.CIQ(InputTicker,"IQ_ASSET_WRITEDOWN_SUPPLE",Input!D$2,Date,,,Ccy,Conv)</f>
        <v>0</v>
      </c>
      <c r="C155" s="4">
        <f>_xll.ciqfunctions.udf.CIQ(InputTicker,"IQ_ASSET_WRITEDOWN_SUPPLE",Input!E$2,Date,,,Ccy,Conv)</f>
        <v>0</v>
      </c>
      <c r="D155" s="4">
        <f>_xll.ciqfunctions.udf.CIQ(InputTicker,"IQ_ASSET_WRITEDOWN_SUPPLE",Input!F$2,Date,,,Ccy,Conv)</f>
        <v>0</v>
      </c>
      <c r="E155" s="4">
        <f>_xll.ciqfunctions.udf.CIQ(InputTicker,"IQ_ASSET_WRITEDOWN_SUPPLE",Input!G$2,Date,,,Ccy,Conv)</f>
        <v>0</v>
      </c>
      <c r="F155" s="4">
        <f>_xll.ciqfunctions.udf.CIQ(InputTicker,"IQ_ASSET_WRITEDOWN_SUPPLE",Input!H$2,Date,,,Ccy,Conv)</f>
        <v>-2.919</v>
      </c>
      <c r="G155" s="4">
        <f>_xll.ciqfunctions.udf.CIQ(InputTicker,"IQ_ASSET_WRITEDOWN_SUPPLE",Input!I$2,Date,,,Ccy,Conv)</f>
        <v>0</v>
      </c>
      <c r="H155" s="4">
        <f>_xll.ciqfunctions.udf.CIQ(InputTicker,"IQ_ASSET_WRITEDOWN_SUPPLE",Input!J$2,Date,,,Ccy,Conv)</f>
        <v>0</v>
      </c>
      <c r="I155" s="4">
        <f>_xll.ciqfunctions.udf.CIQ(InputTicker,"IQ_ASSET_WRITEDOWN_SUPPLE",Input!K$2,Date,,,Ccy,Conv)</f>
        <v>0</v>
      </c>
      <c r="J155" s="4">
        <f>_xll.ciqfunctions.udf.CIQ(InputTicker,"IQ_ASSET_WRITEDOWN_SUPPLE",Input!L$2,Date,,,Ccy,Conv)</f>
        <v>0</v>
      </c>
      <c r="K155" s="4">
        <f>_xll.ciqfunctions.udf.CIQ(InputTicker,"IQ_ASSET_WRITEDOWN_SUPPLE",Input!M$2,Date,,,Ccy,Conv)</f>
        <v>0</v>
      </c>
      <c r="L155" s="4">
        <f>_xll.ciqfunctions.udf.CIQ(InputTicker,"IQ_ASSET_WRITEDOWN_SUPPLE",Input!N$2,Date,,,Ccy,Conv)</f>
        <v>0</v>
      </c>
      <c r="M155" s="4">
        <f>_xll.ciqfunctions.udf.CIQ(InputTicker,"IQ_ASSET_WRITEDOWN_SUPPLE",Input!O$2,Date,,,Ccy,Conv)</f>
        <v>0</v>
      </c>
      <c r="N155" s="49"/>
      <c r="P155" s="46"/>
      <c r="Q155" s="46"/>
      <c r="R155" s="46"/>
      <c r="T155" s="42"/>
      <c r="U155" s="42"/>
      <c r="V155" s="46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</row>
    <row r="156" spans="1:66" ht="12.75" customHeight="1" x14ac:dyDescent="0.2">
      <c r="A156" s="1" t="s">
        <v>415</v>
      </c>
      <c r="B156" s="4">
        <f>_xll.ciqfunctions.udf.CIQ(InputTicker,"IQ_IPRD_SUPPLE",Input!D$2,Date,,,Ccy,Conv)</f>
        <v>0</v>
      </c>
      <c r="C156" s="4">
        <f>_xll.ciqfunctions.udf.CIQ(InputTicker,"IQ_IPRD_SUPPLE",Input!E$2,Date,,,Ccy,Conv)</f>
        <v>0</v>
      </c>
      <c r="D156" s="4">
        <f>_xll.ciqfunctions.udf.CIQ(InputTicker,"IQ_IPRD_SUPPLE",Input!F$2,Date,,,Ccy,Conv)</f>
        <v>0</v>
      </c>
      <c r="E156" s="4">
        <f>_xll.ciqfunctions.udf.CIQ(InputTicker,"IQ_IPRD_SUPPLE",Input!G$2,Date,,,Ccy,Conv)</f>
        <v>0</v>
      </c>
      <c r="F156" s="4">
        <f>_xll.ciqfunctions.udf.CIQ(InputTicker,"IQ_IPRD_SUPPLE",Input!H$2,Date,,,Ccy,Conv)</f>
        <v>0</v>
      </c>
      <c r="G156" s="4">
        <f>_xll.ciqfunctions.udf.CIQ(InputTicker,"IQ_IPRD_SUPPLE",Input!I$2,Date,,,Ccy,Conv)</f>
        <v>0</v>
      </c>
      <c r="H156" s="4">
        <f>_xll.ciqfunctions.udf.CIQ(InputTicker,"IQ_IPRD_SUPPLE",Input!J$2,Date,,,Ccy,Conv)</f>
        <v>0</v>
      </c>
      <c r="I156" s="4">
        <f>_xll.ciqfunctions.udf.CIQ(InputTicker,"IQ_IPRD_SUPPLE",Input!K$2,Date,,,Ccy,Conv)</f>
        <v>0</v>
      </c>
      <c r="J156" s="4">
        <f>_xll.ciqfunctions.udf.CIQ(InputTicker,"IQ_IPRD_SUPPLE",Input!L$2,Date,,,Ccy,Conv)</f>
        <v>0</v>
      </c>
      <c r="K156" s="4">
        <f>_xll.ciqfunctions.udf.CIQ(InputTicker,"IQ_IPRD_SUPPLE",Input!M$2,Date,,,Ccy,Conv)</f>
        <v>0</v>
      </c>
      <c r="L156" s="4">
        <f>_xll.ciqfunctions.udf.CIQ(InputTicker,"IQ_IPRD_SUPPLE",Input!N$2,Date,,,Ccy,Conv)</f>
        <v>0</v>
      </c>
      <c r="M156" s="4">
        <f>_xll.ciqfunctions.udf.CIQ(InputTicker,"IQ_IPRD_SUPPLE",Input!O$2,Date,,,Ccy,Conv)</f>
        <v>0</v>
      </c>
      <c r="N156" s="49"/>
      <c r="P156" s="46"/>
      <c r="Q156" s="46"/>
      <c r="R156" s="46"/>
      <c r="T156" s="42"/>
      <c r="U156" s="42"/>
      <c r="V156" s="46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</row>
    <row r="157" spans="1:66" ht="12.75" customHeight="1" x14ac:dyDescent="0.2">
      <c r="A157" s="1" t="s">
        <v>464</v>
      </c>
      <c r="B157" s="4">
        <f>_xll.ciqfunctions.udf.CIQ(InputTicker,"IQ_GAIN_BARGAIN_ACQ",Input!D$2,Date,,,Ccy,Conv)</f>
        <v>0</v>
      </c>
      <c r="C157" s="4">
        <f>_xll.ciqfunctions.udf.CIQ(InputTicker,"IQ_GAIN_BARGAIN_ACQ",Input!E$2,Date,,,Ccy,Conv)</f>
        <v>0</v>
      </c>
      <c r="D157" s="4">
        <f>_xll.ciqfunctions.udf.CIQ(InputTicker,"IQ_GAIN_BARGAIN_ACQ",Input!F$2,Date,,,Ccy,Conv)</f>
        <v>0</v>
      </c>
      <c r="E157" s="4">
        <f>_xll.ciqfunctions.udf.CIQ(InputTicker,"IQ_GAIN_BARGAIN_ACQ",Input!G$2,Date,,,Ccy,Conv)</f>
        <v>0</v>
      </c>
      <c r="F157" s="4">
        <f>_xll.ciqfunctions.udf.CIQ(InputTicker,"IQ_GAIN_BARGAIN_ACQ",Input!H$2,Date,,,Ccy,Conv)</f>
        <v>0</v>
      </c>
      <c r="G157" s="4">
        <f>_xll.ciqfunctions.udf.CIQ(InputTicker,"IQ_GAIN_BARGAIN_ACQ",Input!I$2,Date,,,Ccy,Conv)</f>
        <v>0</v>
      </c>
      <c r="H157" s="4">
        <f>_xll.ciqfunctions.udf.CIQ(InputTicker,"IQ_GAIN_BARGAIN_ACQ",Input!J$2,Date,,,Ccy,Conv)</f>
        <v>0</v>
      </c>
      <c r="I157" s="4">
        <f>_xll.ciqfunctions.udf.CIQ(InputTicker,"IQ_GAIN_BARGAIN_ACQ",Input!K$2,Date,,,Ccy,Conv)</f>
        <v>0</v>
      </c>
      <c r="J157" s="4">
        <f>_xll.ciqfunctions.udf.CIQ(InputTicker,"IQ_GAIN_BARGAIN_ACQ",Input!L$2,Date,,,Ccy,Conv)</f>
        <v>0</v>
      </c>
      <c r="K157" s="4">
        <f>_xll.ciqfunctions.udf.CIQ(InputTicker,"IQ_GAIN_BARGAIN_ACQ",Input!M$2,Date,,,Ccy,Conv)</f>
        <v>0</v>
      </c>
      <c r="L157" s="4">
        <f>_xll.ciqfunctions.udf.CIQ(InputTicker,"IQ_GAIN_BARGAIN_ACQ",Input!N$2,Date,,,Ccy,Conv)</f>
        <v>0</v>
      </c>
      <c r="M157" s="4">
        <f>_xll.ciqfunctions.udf.CIQ(InputTicker,"IQ_GAIN_BARGAIN_ACQ",Input!O$2,Date,,,Ccy,Conv)</f>
        <v>0</v>
      </c>
      <c r="N157" s="49"/>
      <c r="P157" s="46"/>
      <c r="Q157" s="46"/>
      <c r="R157" s="46"/>
      <c r="T157" s="42"/>
      <c r="U157" s="42"/>
      <c r="V157" s="46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</row>
    <row r="158" spans="1:66" ht="12.75" customHeight="1" x14ac:dyDescent="0.2">
      <c r="A158" s="1" t="s">
        <v>465</v>
      </c>
      <c r="B158" s="4">
        <f>_xll.ciqfunctions.udf.CIQ(InputTicker,"IQ_GAIN_BARGAIN_ACQ_SUPPLE",Input!D$2,Date,,,Ccy,Conv)</f>
        <v>0</v>
      </c>
      <c r="C158" s="4">
        <f>_xll.ciqfunctions.udf.CIQ(InputTicker,"IQ_GAIN_BARGAIN_ACQ_SUPPLE",Input!E$2,Date,,,Ccy,Conv)</f>
        <v>0</v>
      </c>
      <c r="D158" s="4">
        <f>_xll.ciqfunctions.udf.CIQ(InputTicker,"IQ_GAIN_BARGAIN_ACQ_SUPPLE",Input!F$2,Date,,,Ccy,Conv)</f>
        <v>0</v>
      </c>
      <c r="E158" s="4">
        <f>_xll.ciqfunctions.udf.CIQ(InputTicker,"IQ_GAIN_BARGAIN_ACQ_SUPPLE",Input!G$2,Date,,,Ccy,Conv)</f>
        <v>0</v>
      </c>
      <c r="F158" s="4">
        <f>_xll.ciqfunctions.udf.CIQ(InputTicker,"IQ_GAIN_BARGAIN_ACQ_SUPPLE",Input!H$2,Date,,,Ccy,Conv)</f>
        <v>0</v>
      </c>
      <c r="G158" s="4">
        <f>_xll.ciqfunctions.udf.CIQ(InputTicker,"IQ_GAIN_BARGAIN_ACQ_SUPPLE",Input!I$2,Date,,,Ccy,Conv)</f>
        <v>0</v>
      </c>
      <c r="H158" s="4">
        <f>_xll.ciqfunctions.udf.CIQ(InputTicker,"IQ_GAIN_BARGAIN_ACQ_SUPPLE",Input!J$2,Date,,,Ccy,Conv)</f>
        <v>0</v>
      </c>
      <c r="I158" s="4">
        <f>_xll.ciqfunctions.udf.CIQ(InputTicker,"IQ_GAIN_BARGAIN_ACQ_SUPPLE",Input!K$2,Date,,,Ccy,Conv)</f>
        <v>0</v>
      </c>
      <c r="J158" s="4">
        <f>_xll.ciqfunctions.udf.CIQ(InputTicker,"IQ_GAIN_BARGAIN_ACQ_SUPPLE",Input!L$2,Date,,,Ccy,Conv)</f>
        <v>0</v>
      </c>
      <c r="K158" s="4">
        <f>_xll.ciqfunctions.udf.CIQ(InputTicker,"IQ_GAIN_BARGAIN_ACQ_SUPPLE",Input!M$2,Date,,,Ccy,Conv)</f>
        <v>0</v>
      </c>
      <c r="L158" s="4">
        <f>_xll.ciqfunctions.udf.CIQ(InputTicker,"IQ_GAIN_BARGAIN_ACQ_SUPPLE",Input!N$2,Date,,,Ccy,Conv)</f>
        <v>0</v>
      </c>
      <c r="M158" s="4">
        <f>_xll.ciqfunctions.udf.CIQ(InputTicker,"IQ_GAIN_BARGAIN_ACQ_SUPPLE",Input!O$2,Date,,,Ccy,Conv)</f>
        <v>0</v>
      </c>
      <c r="N158" s="49"/>
      <c r="P158" s="46"/>
      <c r="Q158" s="46"/>
      <c r="R158" s="46"/>
      <c r="T158" s="42"/>
      <c r="U158" s="42"/>
      <c r="V158" s="46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</row>
    <row r="159" spans="1:66" ht="12.75" customHeight="1" x14ac:dyDescent="0.2">
      <c r="A159" s="1" t="s">
        <v>416</v>
      </c>
      <c r="B159" s="4">
        <f>_xll.ciqfunctions.udf.CIQ(InputTicker,"IQ_INS_SETTLE_SUPPLE",Input!D$2,Date,,,Ccy,Conv)</f>
        <v>0</v>
      </c>
      <c r="C159" s="4">
        <f>_xll.ciqfunctions.udf.CIQ(InputTicker,"IQ_INS_SETTLE_SUPPLE",Input!E$2,Date,,,Ccy,Conv)</f>
        <v>0</v>
      </c>
      <c r="D159" s="4">
        <f>_xll.ciqfunctions.udf.CIQ(InputTicker,"IQ_INS_SETTLE_SUPPLE",Input!F$2,Date,,,Ccy,Conv)</f>
        <v>0</v>
      </c>
      <c r="E159" s="4">
        <f>_xll.ciqfunctions.udf.CIQ(InputTicker,"IQ_INS_SETTLE_SUPPLE",Input!G$2,Date,,,Ccy,Conv)</f>
        <v>0</v>
      </c>
      <c r="F159" s="4">
        <f>_xll.ciqfunctions.udf.CIQ(InputTicker,"IQ_INS_SETTLE_SUPPLE",Input!H$2,Date,,,Ccy,Conv)</f>
        <v>0</v>
      </c>
      <c r="G159" s="4">
        <f>_xll.ciqfunctions.udf.CIQ(InputTicker,"IQ_INS_SETTLE_SUPPLE",Input!I$2,Date,,,Ccy,Conv)</f>
        <v>0</v>
      </c>
      <c r="H159" s="4">
        <f>_xll.ciqfunctions.udf.CIQ(InputTicker,"IQ_INS_SETTLE_SUPPLE",Input!J$2,Date,,,Ccy,Conv)</f>
        <v>0</v>
      </c>
      <c r="I159" s="4">
        <f>_xll.ciqfunctions.udf.CIQ(InputTicker,"IQ_INS_SETTLE_SUPPLE",Input!K$2,Date,,,Ccy,Conv)</f>
        <v>0</v>
      </c>
      <c r="J159" s="4">
        <f>_xll.ciqfunctions.udf.CIQ(InputTicker,"IQ_INS_SETTLE_SUPPLE",Input!L$2,Date,,,Ccy,Conv)</f>
        <v>0</v>
      </c>
      <c r="K159" s="4">
        <f>_xll.ciqfunctions.udf.CIQ(InputTicker,"IQ_INS_SETTLE_SUPPLE",Input!M$2,Date,,,Ccy,Conv)</f>
        <v>0</v>
      </c>
      <c r="L159" s="4">
        <f>_xll.ciqfunctions.udf.CIQ(InputTicker,"IQ_INS_SETTLE_SUPPLE",Input!N$2,Date,,,Ccy,Conv)</f>
        <v>0</v>
      </c>
      <c r="M159" s="4">
        <f>_xll.ciqfunctions.udf.CIQ(InputTicker,"IQ_INS_SETTLE_SUPPLE",Input!O$2,Date,,,Ccy,Conv)</f>
        <v>0</v>
      </c>
      <c r="N159" s="49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</row>
    <row r="160" spans="1:66" ht="12.75" customHeight="1" x14ac:dyDescent="0.2">
      <c r="A160" s="1" t="s">
        <v>417</v>
      </c>
      <c r="B160" s="4">
        <f>_xll.ciqfunctions.udf.CIQ(InputTicker,"IQ_LEGAL_SETTLE_SUPPLE",Input!D$2,Date,,,Ccy,Conv)</f>
        <v>0</v>
      </c>
      <c r="C160" s="4">
        <f>_xll.ciqfunctions.udf.CIQ(InputTicker,"IQ_LEGAL_SETTLE_SUPPLE",Input!E$2,Date,,,Ccy,Conv)</f>
        <v>0</v>
      </c>
      <c r="D160" s="4">
        <f>_xll.ciqfunctions.udf.CIQ(InputTicker,"IQ_LEGAL_SETTLE_SUPPLE",Input!F$2,Date,,,Ccy,Conv)</f>
        <v>0</v>
      </c>
      <c r="E160" s="4">
        <f>_xll.ciqfunctions.udf.CIQ(InputTicker,"IQ_LEGAL_SETTLE_SUPPLE",Input!G$2,Date,,,Ccy,Conv)</f>
        <v>0</v>
      </c>
      <c r="F160" s="4">
        <f>_xll.ciqfunctions.udf.CIQ(InputTicker,"IQ_LEGAL_SETTLE_SUPPLE",Input!H$2,Date,,,Ccy,Conv)</f>
        <v>0</v>
      </c>
      <c r="G160" s="4">
        <f>_xll.ciqfunctions.udf.CIQ(InputTicker,"IQ_LEGAL_SETTLE_SUPPLE",Input!I$2,Date,,,Ccy,Conv)</f>
        <v>0</v>
      </c>
      <c r="H160" s="4">
        <f>_xll.ciqfunctions.udf.CIQ(InputTicker,"IQ_LEGAL_SETTLE_SUPPLE",Input!J$2,Date,,,Ccy,Conv)</f>
        <v>0</v>
      </c>
      <c r="I160" s="4">
        <f>_xll.ciqfunctions.udf.CIQ(InputTicker,"IQ_LEGAL_SETTLE_SUPPLE",Input!K$2,Date,,,Ccy,Conv)</f>
        <v>0</v>
      </c>
      <c r="J160" s="4">
        <f>_xll.ciqfunctions.udf.CIQ(InputTicker,"IQ_LEGAL_SETTLE_SUPPLE",Input!L$2,Date,,,Ccy,Conv)</f>
        <v>0</v>
      </c>
      <c r="K160" s="4">
        <f>_xll.ciqfunctions.udf.CIQ(InputTicker,"IQ_LEGAL_SETTLE_SUPPLE",Input!M$2,Date,,,Ccy,Conv)</f>
        <v>0</v>
      </c>
      <c r="L160" s="4">
        <f>_xll.ciqfunctions.udf.CIQ(InputTicker,"IQ_LEGAL_SETTLE_SUPPLE",Input!N$2,Date,,,Ccy,Conv)</f>
        <v>0</v>
      </c>
      <c r="M160" s="4">
        <f>_xll.ciqfunctions.udf.CIQ(InputTicker,"IQ_LEGAL_SETTLE_SUPPLE",Input!O$2,Date,,,Ccy,Conv)</f>
        <v>0</v>
      </c>
      <c r="N160" s="49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</row>
    <row r="161" spans="1:66" ht="12.75" customHeight="1" x14ac:dyDescent="0.2">
      <c r="A161" s="1" t="s">
        <v>418</v>
      </c>
      <c r="B161" s="4">
        <f>_xll.ciqfunctions.udf.CIQ(InputTicker,"IQ_OTHER_UNUSUAL_SUPPLE",Input!D$2,Date,,,Ccy,Conv)</f>
        <v>0.79800000000000004</v>
      </c>
      <c r="C161" s="4">
        <f>_xll.ciqfunctions.udf.CIQ(InputTicker,"IQ_OTHER_UNUSUAL_SUPPLE",Input!E$2,Date,,,Ccy,Conv)</f>
        <v>0</v>
      </c>
      <c r="D161" s="4">
        <f>_xll.ciqfunctions.udf.CIQ(InputTicker,"IQ_OTHER_UNUSUAL_SUPPLE",Input!F$2,Date,,,Ccy,Conv)</f>
        <v>0</v>
      </c>
      <c r="E161" s="4">
        <f>_xll.ciqfunctions.udf.CIQ(InputTicker,"IQ_OTHER_UNUSUAL_SUPPLE",Input!G$2,Date,,,Ccy,Conv)</f>
        <v>0</v>
      </c>
      <c r="F161" s="4">
        <f>_xll.ciqfunctions.udf.CIQ(InputTicker,"IQ_OTHER_UNUSUAL_SUPPLE",Input!H$2,Date,,,Ccy,Conv)</f>
        <v>0</v>
      </c>
      <c r="G161" s="4">
        <f>_xll.ciqfunctions.udf.CIQ(InputTicker,"IQ_OTHER_UNUSUAL_SUPPLE",Input!I$2,Date,,,Ccy,Conv)</f>
        <v>0</v>
      </c>
      <c r="H161" s="4">
        <f>_xll.ciqfunctions.udf.CIQ(InputTicker,"IQ_OTHER_UNUSUAL_SUPPLE",Input!J$2,Date,,,Ccy,Conv)</f>
        <v>0</v>
      </c>
      <c r="I161" s="4">
        <f>_xll.ciqfunctions.udf.CIQ(InputTicker,"IQ_OTHER_UNUSUAL_SUPPLE",Input!K$2,Date,,,Ccy,Conv)</f>
        <v>0</v>
      </c>
      <c r="J161" s="4">
        <f>_xll.ciqfunctions.udf.CIQ(InputTicker,"IQ_OTHER_UNUSUAL_SUPPLE",Input!L$2,Date,,,Ccy,Conv)</f>
        <v>0</v>
      </c>
      <c r="K161" s="4">
        <f>_xll.ciqfunctions.udf.CIQ(InputTicker,"IQ_OTHER_UNUSUAL_SUPPLE",Input!M$2,Date,,,Ccy,Conv)</f>
        <v>0</v>
      </c>
      <c r="L161" s="4">
        <f>_xll.ciqfunctions.udf.CIQ(InputTicker,"IQ_OTHER_UNUSUAL_SUPPLE",Input!N$2,Date,,,Ccy,Conv)</f>
        <v>0</v>
      </c>
      <c r="M161" s="4">
        <f>_xll.ciqfunctions.udf.CIQ(InputTicker,"IQ_OTHER_UNUSUAL_SUPPLE",Input!O$2,Date,,,Ccy,Conv)</f>
        <v>0</v>
      </c>
      <c r="N161" s="49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</row>
    <row r="162" spans="1:66" ht="12.75" customHeight="1" x14ac:dyDescent="0.2">
      <c r="A162" s="1" t="s">
        <v>410</v>
      </c>
      <c r="B162" s="4">
        <f>_xll.ciqfunctions.udf.CIQ(InputTicker,"IQ_TOTAL_UNUSUAL_SUPPLE",Input!D$2,Date,,,Ccy,Conv)</f>
        <v>0.79800000000000004</v>
      </c>
      <c r="C162" s="4">
        <f>_xll.ciqfunctions.udf.CIQ(InputTicker,"IQ_TOTAL_UNUSUAL_SUPPLE",Input!E$2,Date,,,Ccy,Conv)</f>
        <v>0</v>
      </c>
      <c r="D162" s="4">
        <f>_xll.ciqfunctions.udf.CIQ(InputTicker,"IQ_TOTAL_UNUSUAL_SUPPLE",Input!F$2,Date,,,Ccy,Conv)</f>
        <v>0</v>
      </c>
      <c r="E162" s="4">
        <f>_xll.ciqfunctions.udf.CIQ(InputTicker,"IQ_TOTAL_UNUSUAL_SUPPLE",Input!G$2,Date,,,Ccy,Conv)</f>
        <v>0</v>
      </c>
      <c r="F162" s="4">
        <f>_xll.ciqfunctions.udf.CIQ(InputTicker,"IQ_TOTAL_UNUSUAL_SUPPLE",Input!H$2,Date,,,Ccy,Conv)</f>
        <v>-2.919</v>
      </c>
      <c r="G162" s="4">
        <f>_xll.ciqfunctions.udf.CIQ(InputTicker,"IQ_TOTAL_UNUSUAL_SUPPLE",Input!I$2,Date,,,Ccy,Conv)</f>
        <v>0</v>
      </c>
      <c r="H162" s="4">
        <f>_xll.ciqfunctions.udf.CIQ(InputTicker,"IQ_TOTAL_UNUSUAL_SUPPLE",Input!J$2,Date,,,Ccy,Conv)</f>
        <v>0</v>
      </c>
      <c r="I162" s="4">
        <f>_xll.ciqfunctions.udf.CIQ(InputTicker,"IQ_TOTAL_UNUSUAL_SUPPLE",Input!K$2,Date,,,Ccy,Conv)</f>
        <v>0</v>
      </c>
      <c r="J162" s="4">
        <f>_xll.ciqfunctions.udf.CIQ(InputTicker,"IQ_TOTAL_UNUSUAL_SUPPLE",Input!L$2,Date,,,Ccy,Conv)</f>
        <v>0</v>
      </c>
      <c r="K162" s="4">
        <f>_xll.ciqfunctions.udf.CIQ(InputTicker,"IQ_TOTAL_UNUSUAL_SUPPLE",Input!M$2,Date,,,Ccy,Conv)</f>
        <v>0</v>
      </c>
      <c r="L162" s="4">
        <f>_xll.ciqfunctions.udf.CIQ(InputTicker,"IQ_TOTAL_UNUSUAL_SUPPLE",Input!N$2,Date,,,Ccy,Conv)</f>
        <v>0</v>
      </c>
      <c r="M162" s="4">
        <f>_xll.ciqfunctions.udf.CIQ(InputTicker,"IQ_TOTAL_UNUSUAL_SUPPLE",Input!O$2,Date,,,Ccy,Conv)</f>
        <v>0</v>
      </c>
      <c r="N162" s="49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</row>
    <row r="163" spans="1:66" ht="12.75" customHeight="1" x14ac:dyDescent="0.2">
      <c r="A163" s="1" t="s">
        <v>40</v>
      </c>
      <c r="B163" s="4">
        <f>_xll.ciqfunctions.udf.CIQ(InputTicker,"IQ_NEGATIVE_GW_AMORT",Input!D$2,Date,,,Ccy,Conv)</f>
        <v>0</v>
      </c>
      <c r="C163" s="4">
        <f>_xll.ciqfunctions.udf.CIQ(InputTicker,"IQ_NEGATIVE_GW_AMORT",Input!E$2,Date,,,Ccy,Conv)</f>
        <v>0</v>
      </c>
      <c r="D163" s="4">
        <f>_xll.ciqfunctions.udf.CIQ(InputTicker,"IQ_NEGATIVE_GW_AMORT",Input!F$2,Date,,,Ccy,Conv)</f>
        <v>0</v>
      </c>
      <c r="E163" s="4">
        <f>_xll.ciqfunctions.udf.CIQ(InputTicker,"IQ_NEGATIVE_GW_AMORT",Input!G$2,Date,,,Ccy,Conv)</f>
        <v>0</v>
      </c>
      <c r="F163" s="4">
        <f>_xll.ciqfunctions.udf.CIQ(InputTicker,"IQ_NEGATIVE_GW_AMORT",Input!H$2,Date,,,Ccy,Conv)</f>
        <v>0</v>
      </c>
      <c r="G163" s="4">
        <f>_xll.ciqfunctions.udf.CIQ(InputTicker,"IQ_NEGATIVE_GW_AMORT",Input!I$2,Date,,,Ccy,Conv)</f>
        <v>0</v>
      </c>
      <c r="H163" s="4">
        <f>_xll.ciqfunctions.udf.CIQ(InputTicker,"IQ_NEGATIVE_GW_AMORT",Input!J$2,Date,,,Ccy,Conv)</f>
        <v>0</v>
      </c>
      <c r="I163" s="4">
        <f>_xll.ciqfunctions.udf.CIQ(InputTicker,"IQ_NEGATIVE_GW_AMORT",Input!K$2,Date,,,Ccy,Conv)</f>
        <v>0</v>
      </c>
      <c r="J163" s="4">
        <f>_xll.ciqfunctions.udf.CIQ(InputTicker,"IQ_NEGATIVE_GW_AMORT",Input!L$2,Date,,,Ccy,Conv)</f>
        <v>0</v>
      </c>
      <c r="K163" s="4">
        <f>_xll.ciqfunctions.udf.CIQ(InputTicker,"IQ_NEGATIVE_GW_AMORT",Input!M$2,Date,,,Ccy,Conv)</f>
        <v>0</v>
      </c>
      <c r="L163" s="4">
        <f>_xll.ciqfunctions.udf.CIQ(InputTicker,"IQ_NEGATIVE_GW_AMORT",Input!N$2,Date,,,Ccy,Conv)</f>
        <v>0</v>
      </c>
      <c r="M163" s="4">
        <f>_xll.ciqfunctions.udf.CIQ(InputTicker,"IQ_NEGATIVE_GW_AMORT",Input!O$2,Date,,,Ccy,Conv)</f>
        <v>0</v>
      </c>
      <c r="N163" s="49"/>
      <c r="P163" s="51"/>
      <c r="Q163" s="51"/>
      <c r="R163" s="51"/>
      <c r="T163" s="42"/>
      <c r="U163" s="42"/>
      <c r="V163" s="51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</row>
    <row r="164" spans="1:66" ht="12.75" customHeight="1" x14ac:dyDescent="0.2">
      <c r="A164" s="1" t="s">
        <v>41</v>
      </c>
      <c r="B164" s="4">
        <f>_xll.ciqfunctions.udf.CIQ(InputTicker,"IQ_NEGATIVE_GW_AMORT_AT",Input!D$2,Date,,,Ccy,Conv)</f>
        <v>0</v>
      </c>
      <c r="C164" s="4">
        <f>_xll.ciqfunctions.udf.CIQ(InputTicker,"IQ_NEGATIVE_GW_AMORT_AT",Input!E$2,Date,,,Ccy,Conv)</f>
        <v>0</v>
      </c>
      <c r="D164" s="4">
        <f>_xll.ciqfunctions.udf.CIQ(InputTicker,"IQ_NEGATIVE_GW_AMORT_AT",Input!F$2,Date,,,Ccy,Conv)</f>
        <v>0</v>
      </c>
      <c r="E164" s="4">
        <f>_xll.ciqfunctions.udf.CIQ(InputTicker,"IQ_NEGATIVE_GW_AMORT_AT",Input!G$2,Date,,,Ccy,Conv)</f>
        <v>0</v>
      </c>
      <c r="F164" s="4">
        <f>_xll.ciqfunctions.udf.CIQ(InputTicker,"IQ_NEGATIVE_GW_AMORT_AT",Input!H$2,Date,,,Ccy,Conv)</f>
        <v>0</v>
      </c>
      <c r="G164" s="4">
        <f>_xll.ciqfunctions.udf.CIQ(InputTicker,"IQ_NEGATIVE_GW_AMORT_AT",Input!I$2,Date,,,Ccy,Conv)</f>
        <v>0</v>
      </c>
      <c r="H164" s="4">
        <f>_xll.ciqfunctions.udf.CIQ(InputTicker,"IQ_NEGATIVE_GW_AMORT_AT",Input!J$2,Date,,,Ccy,Conv)</f>
        <v>0</v>
      </c>
      <c r="I164" s="4">
        <f>_xll.ciqfunctions.udf.CIQ(InputTicker,"IQ_NEGATIVE_GW_AMORT_AT",Input!K$2,Date,,,Ccy,Conv)</f>
        <v>0</v>
      </c>
      <c r="J164" s="4">
        <f>_xll.ciqfunctions.udf.CIQ(InputTicker,"IQ_NEGATIVE_GW_AMORT_AT",Input!L$2,Date,,,Ccy,Conv)</f>
        <v>0</v>
      </c>
      <c r="K164" s="4">
        <f>_xll.ciqfunctions.udf.CIQ(InputTicker,"IQ_NEGATIVE_GW_AMORT_AT",Input!M$2,Date,,,Ccy,Conv)</f>
        <v>0</v>
      </c>
      <c r="L164" s="4">
        <f>_xll.ciqfunctions.udf.CIQ(InputTicker,"IQ_NEGATIVE_GW_AMORT_AT",Input!N$2,Date,,,Ccy,Conv)</f>
        <v>0</v>
      </c>
      <c r="M164" s="4">
        <f>_xll.ciqfunctions.udf.CIQ(InputTicker,"IQ_NEGATIVE_GW_AMORT_AT",Input!O$2,Date,,,Ccy,Conv)</f>
        <v>0</v>
      </c>
      <c r="N164" s="49"/>
      <c r="P164" s="51"/>
      <c r="Q164" s="51"/>
      <c r="R164" s="51"/>
      <c r="T164" s="42"/>
      <c r="U164" s="42"/>
      <c r="V164" s="51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</row>
    <row r="165" spans="1:66" ht="12.75" customHeight="1" x14ac:dyDescent="0.2">
      <c r="A165" s="1" t="s">
        <v>336</v>
      </c>
      <c r="B165" s="4">
        <f>_xll.ciqfunctions.udf.CIQ(InputTicker, "IQ_STOCK_BASED_COGS",Input!D$2,Date,,,Ccy,Conv)</f>
        <v>0</v>
      </c>
      <c r="C165" s="4">
        <f>_xll.ciqfunctions.udf.CIQ(InputTicker, "IQ_STOCK_BASED_COGS",Input!E$2,Date,,,Ccy,Conv)</f>
        <v>0</v>
      </c>
      <c r="D165" s="4">
        <f>_xll.ciqfunctions.udf.CIQ(InputTicker, "IQ_STOCK_BASED_COGS",Input!F$2,Date,,,Ccy,Conv)</f>
        <v>0</v>
      </c>
      <c r="E165" s="4">
        <f>_xll.ciqfunctions.udf.CIQ(InputTicker, "IQ_STOCK_BASED_COGS",Input!G$2,Date,,,Ccy,Conv)</f>
        <v>0</v>
      </c>
      <c r="F165" s="4">
        <f>_xll.ciqfunctions.udf.CIQ(InputTicker, "IQ_STOCK_BASED_COGS",Input!H$2,Date,,,Ccy,Conv)</f>
        <v>0</v>
      </c>
      <c r="G165" s="4">
        <f>_xll.ciqfunctions.udf.CIQ(InputTicker, "IQ_STOCK_BASED_COGS",Input!I$2,Date,,,Ccy,Conv)</f>
        <v>0</v>
      </c>
      <c r="H165" s="4">
        <f>_xll.ciqfunctions.udf.CIQ(InputTicker, "IQ_STOCK_BASED_COGS",Input!J$2,Date,,,Ccy,Conv)</f>
        <v>0</v>
      </c>
      <c r="I165" s="4">
        <f>_xll.ciqfunctions.udf.CIQ(InputTicker, "IQ_STOCK_BASED_COGS",Input!K$2,Date,,,Ccy,Conv)</f>
        <v>0</v>
      </c>
      <c r="J165" s="4">
        <f>_xll.ciqfunctions.udf.CIQ(InputTicker, "IQ_STOCK_BASED_COGS",Input!L$2,Date,,,Ccy,Conv)</f>
        <v>0</v>
      </c>
      <c r="K165" s="4">
        <f>_xll.ciqfunctions.udf.CIQ(InputTicker, "IQ_STOCK_BASED_COGS",Input!M$2,Date,,,Ccy,Conv)</f>
        <v>0</v>
      </c>
      <c r="L165" s="4">
        <f>_xll.ciqfunctions.udf.CIQ(InputTicker, "IQ_STOCK_BASED_COGS",Input!N$2,Date,,,Ccy,Conv)</f>
        <v>0</v>
      </c>
      <c r="M165" s="4">
        <f>_xll.ciqfunctions.udf.CIQ(InputTicker, "IQ_STOCK_BASED_COGS",Input!O$2,Date,,,Ccy,Conv)</f>
        <v>0</v>
      </c>
      <c r="N165" s="49"/>
      <c r="P165" s="51"/>
      <c r="Q165" s="51"/>
      <c r="R165" s="51"/>
      <c r="T165" s="42"/>
      <c r="U165" s="42"/>
      <c r="V165" s="51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</row>
    <row r="166" spans="1:66" ht="12.75" customHeight="1" x14ac:dyDescent="0.2">
      <c r="A166" s="1" t="s">
        <v>337</v>
      </c>
      <c r="B166" s="4">
        <f>_xll.ciqfunctions.udf.CIQ(InputTicker, "IQ_STOCK_BASED_RD",Input!D$2,Date,,,Ccy,Conv)</f>
        <v>0</v>
      </c>
      <c r="C166" s="4">
        <f>_xll.ciqfunctions.udf.CIQ(InputTicker, "IQ_STOCK_BASED_RD",Input!E$2,Date,,,Ccy,Conv)</f>
        <v>0</v>
      </c>
      <c r="D166" s="4">
        <f>_xll.ciqfunctions.udf.CIQ(InputTicker, "IQ_STOCK_BASED_RD",Input!F$2,Date,,,Ccy,Conv)</f>
        <v>0</v>
      </c>
      <c r="E166" s="4">
        <f>_xll.ciqfunctions.udf.CIQ(InputTicker, "IQ_STOCK_BASED_RD",Input!G$2,Date,,,Ccy,Conv)</f>
        <v>0</v>
      </c>
      <c r="F166" s="4">
        <f>_xll.ciqfunctions.udf.CIQ(InputTicker, "IQ_STOCK_BASED_RD",Input!H$2,Date,,,Ccy,Conv)</f>
        <v>0</v>
      </c>
      <c r="G166" s="4">
        <f>_xll.ciqfunctions.udf.CIQ(InputTicker, "IQ_STOCK_BASED_RD",Input!I$2,Date,,,Ccy,Conv)</f>
        <v>0</v>
      </c>
      <c r="H166" s="4">
        <f>_xll.ciqfunctions.udf.CIQ(InputTicker, "IQ_STOCK_BASED_RD",Input!J$2,Date,,,Ccy,Conv)</f>
        <v>0</v>
      </c>
      <c r="I166" s="4">
        <f>_xll.ciqfunctions.udf.CIQ(InputTicker, "IQ_STOCK_BASED_RD",Input!K$2,Date,,,Ccy,Conv)</f>
        <v>0</v>
      </c>
      <c r="J166" s="4">
        <f>_xll.ciqfunctions.udf.CIQ(InputTicker, "IQ_STOCK_BASED_RD",Input!L$2,Date,,,Ccy,Conv)</f>
        <v>0</v>
      </c>
      <c r="K166" s="4">
        <f>_xll.ciqfunctions.udf.CIQ(InputTicker, "IQ_STOCK_BASED_RD",Input!M$2,Date,,,Ccy,Conv)</f>
        <v>0</v>
      </c>
      <c r="L166" s="4">
        <f>_xll.ciqfunctions.udf.CIQ(InputTicker, "IQ_STOCK_BASED_RD",Input!N$2,Date,,,Ccy,Conv)</f>
        <v>0</v>
      </c>
      <c r="M166" s="4">
        <f>_xll.ciqfunctions.udf.CIQ(InputTicker, "IQ_STOCK_BASED_RD",Input!O$2,Date,,,Ccy,Conv)</f>
        <v>0</v>
      </c>
      <c r="N166" s="49"/>
      <c r="P166" s="51"/>
      <c r="Q166" s="51"/>
      <c r="R166" s="51"/>
      <c r="T166" s="42"/>
      <c r="U166" s="42"/>
      <c r="V166" s="51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</row>
    <row r="167" spans="1:66" ht="12.75" customHeight="1" x14ac:dyDescent="0.2">
      <c r="A167" s="1" t="s">
        <v>338</v>
      </c>
      <c r="B167" s="4">
        <f>_xll.ciqfunctions.udf.CIQ(InputTicker, "IQ_STOCK_BASED_SM",Input!D$2,Date,,,Ccy,Conv)</f>
        <v>0</v>
      </c>
      <c r="C167" s="4">
        <f>_xll.ciqfunctions.udf.CIQ(InputTicker, "IQ_STOCK_BASED_SM",Input!E$2,Date,,,Ccy,Conv)</f>
        <v>0</v>
      </c>
      <c r="D167" s="4">
        <f>_xll.ciqfunctions.udf.CIQ(InputTicker, "IQ_STOCK_BASED_SM",Input!F$2,Date,,,Ccy,Conv)</f>
        <v>0</v>
      </c>
      <c r="E167" s="4">
        <f>_xll.ciqfunctions.udf.CIQ(InputTicker, "IQ_STOCK_BASED_SM",Input!G$2,Date,,,Ccy,Conv)</f>
        <v>0</v>
      </c>
      <c r="F167" s="4">
        <f>_xll.ciqfunctions.udf.CIQ(InputTicker, "IQ_STOCK_BASED_SM",Input!H$2,Date,,,Ccy,Conv)</f>
        <v>0</v>
      </c>
      <c r="G167" s="4">
        <f>_xll.ciqfunctions.udf.CIQ(InputTicker, "IQ_STOCK_BASED_SM",Input!I$2,Date,,,Ccy,Conv)</f>
        <v>0</v>
      </c>
      <c r="H167" s="4">
        <f>_xll.ciqfunctions.udf.CIQ(InputTicker, "IQ_STOCK_BASED_SM",Input!J$2,Date,,,Ccy,Conv)</f>
        <v>0</v>
      </c>
      <c r="I167" s="4">
        <f>_xll.ciqfunctions.udf.CIQ(InputTicker, "IQ_STOCK_BASED_SM",Input!K$2,Date,,,Ccy,Conv)</f>
        <v>0</v>
      </c>
      <c r="J167" s="4">
        <f>_xll.ciqfunctions.udf.CIQ(InputTicker, "IQ_STOCK_BASED_SM",Input!L$2,Date,,,Ccy,Conv)</f>
        <v>0</v>
      </c>
      <c r="K167" s="4">
        <f>_xll.ciqfunctions.udf.CIQ(InputTicker, "IQ_STOCK_BASED_SM",Input!M$2,Date,,,Ccy,Conv)</f>
        <v>0</v>
      </c>
      <c r="L167" s="4">
        <f>_xll.ciqfunctions.udf.CIQ(InputTicker, "IQ_STOCK_BASED_SM",Input!N$2,Date,,,Ccy,Conv)</f>
        <v>0</v>
      </c>
      <c r="M167" s="4">
        <f>_xll.ciqfunctions.udf.CIQ(InputTicker, "IQ_STOCK_BASED_SM",Input!O$2,Date,,,Ccy,Conv)</f>
        <v>0</v>
      </c>
      <c r="N167" s="49"/>
      <c r="P167" s="51"/>
      <c r="Q167" s="51"/>
      <c r="R167" s="51"/>
      <c r="T167" s="42"/>
      <c r="U167" s="42"/>
      <c r="V167" s="51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</row>
    <row r="168" spans="1:66" ht="12.75" customHeight="1" x14ac:dyDescent="0.2">
      <c r="A168" s="1" t="s">
        <v>339</v>
      </c>
      <c r="B168" s="4">
        <f>_xll.ciqfunctions.udf.CIQ(InputTicker, "IQ_STOCK_BASED_GA",Input!D$2,Date,,,Ccy,Conv)</f>
        <v>0</v>
      </c>
      <c r="C168" s="4">
        <f>_xll.ciqfunctions.udf.CIQ(InputTicker, "IQ_STOCK_BASED_GA",Input!E$2,Date,,,Ccy,Conv)</f>
        <v>0</v>
      </c>
      <c r="D168" s="4">
        <f>_xll.ciqfunctions.udf.CIQ(InputTicker, "IQ_STOCK_BASED_GA",Input!F$2,Date,,,Ccy,Conv)</f>
        <v>0</v>
      </c>
      <c r="E168" s="4">
        <f>_xll.ciqfunctions.udf.CIQ(InputTicker, "IQ_STOCK_BASED_GA",Input!G$2,Date,,,Ccy,Conv)</f>
        <v>0</v>
      </c>
      <c r="F168" s="4">
        <f>_xll.ciqfunctions.udf.CIQ(InputTicker, "IQ_STOCK_BASED_GA",Input!H$2,Date,,,Ccy,Conv)</f>
        <v>0</v>
      </c>
      <c r="G168" s="4">
        <f>_xll.ciqfunctions.udf.CIQ(InputTicker, "IQ_STOCK_BASED_GA",Input!I$2,Date,,,Ccy,Conv)</f>
        <v>0</v>
      </c>
      <c r="H168" s="4">
        <f>_xll.ciqfunctions.udf.CIQ(InputTicker, "IQ_STOCK_BASED_GA",Input!J$2,Date,,,Ccy,Conv)</f>
        <v>0</v>
      </c>
      <c r="I168" s="4">
        <f>_xll.ciqfunctions.udf.CIQ(InputTicker, "IQ_STOCK_BASED_GA",Input!K$2,Date,,,Ccy,Conv)</f>
        <v>0</v>
      </c>
      <c r="J168" s="4">
        <f>_xll.ciqfunctions.udf.CIQ(InputTicker, "IQ_STOCK_BASED_GA",Input!L$2,Date,,,Ccy,Conv)</f>
        <v>0</v>
      </c>
      <c r="K168" s="4">
        <f>_xll.ciqfunctions.udf.CIQ(InputTicker, "IQ_STOCK_BASED_GA",Input!M$2,Date,,,Ccy,Conv)</f>
        <v>0</v>
      </c>
      <c r="L168" s="4">
        <f>_xll.ciqfunctions.udf.CIQ(InputTicker, "IQ_STOCK_BASED_GA",Input!N$2,Date,,,Ccy,Conv)</f>
        <v>0</v>
      </c>
      <c r="M168" s="4">
        <f>_xll.ciqfunctions.udf.CIQ(InputTicker, "IQ_STOCK_BASED_GA",Input!O$2,Date,,,Ccy,Conv)</f>
        <v>0</v>
      </c>
      <c r="N168" s="49"/>
      <c r="P168" s="51"/>
      <c r="Q168" s="51"/>
      <c r="R168" s="51"/>
      <c r="T168" s="42"/>
      <c r="U168" s="42"/>
      <c r="V168" s="51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</row>
    <row r="169" spans="1:66" ht="12.75" customHeight="1" x14ac:dyDescent="0.2">
      <c r="A169" s="1" t="s">
        <v>340</v>
      </c>
      <c r="B169" s="4">
        <f>_xll.ciqfunctions.udf.CIQ(InputTicker, "IQ_STOCK_BASED_SGA",Input!D$2,Date,,,Ccy,Conv)</f>
        <v>3.0179999999999998</v>
      </c>
      <c r="C169" s="4">
        <f>_xll.ciqfunctions.udf.CIQ(InputTicker, "IQ_STOCK_BASED_SGA",Input!E$2,Date,,,Ccy,Conv)</f>
        <v>3.427</v>
      </c>
      <c r="D169" s="4">
        <f>_xll.ciqfunctions.udf.CIQ(InputTicker, "IQ_STOCK_BASED_SGA",Input!F$2,Date,,,Ccy,Conv)</f>
        <v>3.4670000000000001</v>
      </c>
      <c r="E169" s="4">
        <f>_xll.ciqfunctions.udf.CIQ(InputTicker, "IQ_STOCK_BASED_SGA",Input!G$2,Date,,,Ccy,Conv)</f>
        <v>3.6190000000000002</v>
      </c>
      <c r="F169" s="4">
        <f>_xll.ciqfunctions.udf.CIQ(InputTicker, "IQ_STOCK_BASED_SGA",Input!H$2,Date,,,Ccy,Conv)</f>
        <v>3.617</v>
      </c>
      <c r="G169" s="4">
        <f>_xll.ciqfunctions.udf.CIQ(InputTicker, "IQ_STOCK_BASED_SGA",Input!I$2,Date,,,Ccy,Conv)</f>
        <v>3.778</v>
      </c>
      <c r="H169" s="4">
        <f>_xll.ciqfunctions.udf.CIQ(InputTicker, "IQ_STOCK_BASED_SGA",Input!J$2,Date,,,Ccy,Conv)</f>
        <v>0</v>
      </c>
      <c r="I169" s="4">
        <f>_xll.ciqfunctions.udf.CIQ(InputTicker, "IQ_STOCK_BASED_SGA",Input!K$2,Date,,,Ccy,Conv)</f>
        <v>0</v>
      </c>
      <c r="J169" s="4">
        <f>_xll.ciqfunctions.udf.CIQ(InputTicker, "IQ_STOCK_BASED_SGA",Input!L$2,Date,,,Ccy,Conv)</f>
        <v>0</v>
      </c>
      <c r="K169" s="4">
        <f>_xll.ciqfunctions.udf.CIQ(InputTicker, "IQ_STOCK_BASED_SGA",Input!M$2,Date,,,Ccy,Conv)</f>
        <v>0</v>
      </c>
      <c r="L169" s="4">
        <f>_xll.ciqfunctions.udf.CIQ(InputTicker, "IQ_STOCK_BASED_SGA",Input!N$2,Date,,,Ccy,Conv)</f>
        <v>0</v>
      </c>
      <c r="M169" s="4">
        <f>_xll.ciqfunctions.udf.CIQ(InputTicker, "IQ_STOCK_BASED_SGA",Input!O$2,Date,,,Ccy,Conv)</f>
        <v>0</v>
      </c>
      <c r="N169" s="49"/>
      <c r="P169" s="51"/>
      <c r="Q169" s="51"/>
      <c r="R169" s="51"/>
      <c r="T169" s="42"/>
      <c r="U169" s="42"/>
      <c r="V169" s="51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</row>
    <row r="170" spans="1:66" ht="12.75" customHeight="1" x14ac:dyDescent="0.2">
      <c r="A170" s="1" t="s">
        <v>393</v>
      </c>
      <c r="B170" s="4">
        <f>_xll.ciqfunctions.udf.CIQ(InputTicker, "IQ_STOCK_BASED_EXPLORE_DRILL",Input!D$2,Date,,,Ccy,Conv)</f>
        <v>0</v>
      </c>
      <c r="C170" s="4">
        <f>_xll.ciqfunctions.udf.CIQ(InputTicker, "IQ_STOCK_BASED_EXPLORE_DRILL",Input!E$2,Date,,,Ccy,Conv)</f>
        <v>0</v>
      </c>
      <c r="D170" s="4">
        <f>_xll.ciqfunctions.udf.CIQ(InputTicker, "IQ_STOCK_BASED_EXPLORE_DRILL",Input!F$2,Date,,,Ccy,Conv)</f>
        <v>0</v>
      </c>
      <c r="E170" s="4">
        <f>_xll.ciqfunctions.udf.CIQ(InputTicker, "IQ_STOCK_BASED_EXPLORE_DRILL",Input!G$2,Date,,,Ccy,Conv)</f>
        <v>0</v>
      </c>
      <c r="F170" s="4">
        <f>_xll.ciqfunctions.udf.CIQ(InputTicker, "IQ_STOCK_BASED_EXPLORE_DRILL",Input!H$2,Date,,,Ccy,Conv)</f>
        <v>0</v>
      </c>
      <c r="G170" s="4">
        <f>_xll.ciqfunctions.udf.CIQ(InputTicker, "IQ_STOCK_BASED_EXPLORE_DRILL",Input!I$2,Date,,,Ccy,Conv)</f>
        <v>0</v>
      </c>
      <c r="H170" s="4">
        <f>_xll.ciqfunctions.udf.CIQ(InputTicker, "IQ_STOCK_BASED_EXPLORE_DRILL",Input!J$2,Date,,,Ccy,Conv)</f>
        <v>0</v>
      </c>
      <c r="I170" s="4">
        <f>_xll.ciqfunctions.udf.CIQ(InputTicker, "IQ_STOCK_BASED_EXPLORE_DRILL",Input!K$2,Date,,,Ccy,Conv)</f>
        <v>0</v>
      </c>
      <c r="J170" s="4">
        <f>_xll.ciqfunctions.udf.CIQ(InputTicker, "IQ_STOCK_BASED_EXPLORE_DRILL",Input!L$2,Date,,,Ccy,Conv)</f>
        <v>0</v>
      </c>
      <c r="K170" s="4">
        <f>_xll.ciqfunctions.udf.CIQ(InputTicker, "IQ_STOCK_BASED_EXPLORE_DRILL",Input!M$2,Date,,,Ccy,Conv)</f>
        <v>0</v>
      </c>
      <c r="L170" s="4">
        <f>_xll.ciqfunctions.udf.CIQ(InputTicker, "IQ_STOCK_BASED_EXPLORE_DRILL",Input!N$2,Date,,,Ccy,Conv)</f>
        <v>0</v>
      </c>
      <c r="M170" s="4">
        <f>_xll.ciqfunctions.udf.CIQ(InputTicker, "IQ_STOCK_BASED_EXPLORE_DRILL",Input!O$2,Date,,,Ccy,Conv)</f>
        <v>0</v>
      </c>
      <c r="N170" s="49"/>
      <c r="P170" s="51"/>
      <c r="Q170" s="51"/>
      <c r="R170" s="51"/>
      <c r="T170" s="42"/>
      <c r="U170" s="42"/>
      <c r="V170" s="51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</row>
    <row r="171" spans="1:66" ht="12.75" customHeight="1" x14ac:dyDescent="0.2">
      <c r="A171" s="1" t="s">
        <v>341</v>
      </c>
      <c r="B171" s="4">
        <f>_xll.ciqfunctions.udf.CIQ(InputTicker, "IQ_STOCK_BASED_OTHER",Input!D$2,Date,,,Ccy,Conv)</f>
        <v>5.2999999999999999E-2</v>
      </c>
      <c r="C171" s="4">
        <f>_xll.ciqfunctions.udf.CIQ(InputTicker, "IQ_STOCK_BASED_OTHER",Input!E$2,Date,,,Ccy,Conv)</f>
        <v>0</v>
      </c>
      <c r="D171" s="4">
        <f>_xll.ciqfunctions.udf.CIQ(InputTicker, "IQ_STOCK_BASED_OTHER",Input!F$2,Date,,,Ccy,Conv)</f>
        <v>0</v>
      </c>
      <c r="E171" s="4">
        <f>_xll.ciqfunctions.udf.CIQ(InputTicker, "IQ_STOCK_BASED_OTHER",Input!G$2,Date,,,Ccy,Conv)</f>
        <v>0</v>
      </c>
      <c r="F171" s="4">
        <f>_xll.ciqfunctions.udf.CIQ(InputTicker, "IQ_STOCK_BASED_OTHER",Input!H$2,Date,,,Ccy,Conv)</f>
        <v>0</v>
      </c>
      <c r="G171" s="4">
        <f>_xll.ciqfunctions.udf.CIQ(InputTicker, "IQ_STOCK_BASED_OTHER",Input!I$2,Date,,,Ccy,Conv)</f>
        <v>0</v>
      </c>
      <c r="H171" s="4">
        <f>_xll.ciqfunctions.udf.CIQ(InputTicker, "IQ_STOCK_BASED_OTHER",Input!J$2,Date,,,Ccy,Conv)</f>
        <v>4.0629999999999997</v>
      </c>
      <c r="I171" s="4">
        <f>_xll.ciqfunctions.udf.CIQ(InputTicker, "IQ_STOCK_BASED_OTHER",Input!K$2,Date,,,Ccy,Conv)</f>
        <v>4.2050000000000001</v>
      </c>
      <c r="J171" s="4">
        <f>_xll.ciqfunctions.udf.CIQ(InputTicker, "IQ_STOCK_BASED_OTHER",Input!L$2,Date,,,Ccy,Conv)</f>
        <v>4.3579999999999997</v>
      </c>
      <c r="K171" s="4">
        <f>_xll.ciqfunctions.udf.CIQ(InputTicker, "IQ_STOCK_BASED_OTHER",Input!M$2,Date,,,Ccy,Conv)</f>
        <v>4.5270000000000001</v>
      </c>
      <c r="L171" s="4">
        <f>_xll.ciqfunctions.udf.CIQ(InputTicker, "IQ_STOCK_BASED_OTHER",Input!N$2,Date,,,Ccy,Conv)</f>
        <v>5.7569999999999997</v>
      </c>
      <c r="M171" s="4">
        <f>_xll.ciqfunctions.udf.CIQ(InputTicker, "IQ_STOCK_BASED_OTHER",Input!O$2,Date,,,Ccy,Conv)</f>
        <v>5.7569999999999997</v>
      </c>
      <c r="N171" s="49"/>
      <c r="P171" s="51"/>
      <c r="Q171" s="51"/>
      <c r="R171" s="51"/>
      <c r="T171" s="42"/>
      <c r="U171" s="42"/>
      <c r="V171" s="51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</row>
    <row r="172" spans="1:66" ht="12.75" customHeight="1" x14ac:dyDescent="0.2">
      <c r="A172" s="1" t="s">
        <v>342</v>
      </c>
      <c r="B172" s="4">
        <f>_xll.ciqfunctions.udf.CIQ(InputTicker, "IQ_STOCK_BASED_AT",Input!D$2,Date,,,Ccy,Conv)</f>
        <v>0</v>
      </c>
      <c r="C172" s="4">
        <f>_xll.ciqfunctions.udf.CIQ(InputTicker, "IQ_STOCK_BASED_AT",Input!E$2,Date,,,Ccy,Conv)</f>
        <v>0</v>
      </c>
      <c r="D172" s="4">
        <f>_xll.ciqfunctions.udf.CIQ(InputTicker, "IQ_STOCK_BASED_AT",Input!F$2,Date,,,Ccy,Conv)</f>
        <v>0</v>
      </c>
      <c r="E172" s="4">
        <f>_xll.ciqfunctions.udf.CIQ(InputTicker, "IQ_STOCK_BASED_AT",Input!G$2,Date,,,Ccy,Conv)</f>
        <v>0</v>
      </c>
      <c r="F172" s="4">
        <f>_xll.ciqfunctions.udf.CIQ(InputTicker, "IQ_STOCK_BASED_AT",Input!H$2,Date,,,Ccy,Conv)</f>
        <v>0</v>
      </c>
      <c r="G172" s="4">
        <f>_xll.ciqfunctions.udf.CIQ(InputTicker, "IQ_STOCK_BASED_AT",Input!I$2,Date,,,Ccy,Conv)</f>
        <v>0</v>
      </c>
      <c r="H172" s="4">
        <f>_xll.ciqfunctions.udf.CIQ(InputTicker, "IQ_STOCK_BASED_AT",Input!J$2,Date,,,Ccy,Conv)</f>
        <v>0</v>
      </c>
      <c r="I172" s="4">
        <f>_xll.ciqfunctions.udf.CIQ(InputTicker, "IQ_STOCK_BASED_AT",Input!K$2,Date,,,Ccy,Conv)</f>
        <v>0</v>
      </c>
      <c r="J172" s="4">
        <f>_xll.ciqfunctions.udf.CIQ(InputTicker, "IQ_STOCK_BASED_AT",Input!L$2,Date,,,Ccy,Conv)</f>
        <v>0</v>
      </c>
      <c r="K172" s="4">
        <f>_xll.ciqfunctions.udf.CIQ(InputTicker, "IQ_STOCK_BASED_AT",Input!M$2,Date,,,Ccy,Conv)</f>
        <v>0</v>
      </c>
      <c r="L172" s="4">
        <f>_xll.ciqfunctions.udf.CIQ(InputTicker, "IQ_STOCK_BASED_AT",Input!N$2,Date,,,Ccy,Conv)</f>
        <v>0</v>
      </c>
      <c r="M172" s="4">
        <f>_xll.ciqfunctions.udf.CIQ(InputTicker, "IQ_STOCK_BASED_AT",Input!O$2,Date,,,Ccy,Conv)</f>
        <v>0</v>
      </c>
      <c r="N172" s="49"/>
      <c r="P172" s="51"/>
      <c r="Q172" s="51"/>
      <c r="R172" s="51"/>
      <c r="T172" s="42"/>
      <c r="U172" s="42"/>
      <c r="V172" s="51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</row>
    <row r="173" spans="1:66" ht="12.75" customHeight="1" x14ac:dyDescent="0.2">
      <c r="A173" s="1" t="s">
        <v>343</v>
      </c>
      <c r="B173" s="4">
        <f>_xll.ciqfunctions.udf.CIQ(InputTicker, "IQ_STOCK_BASED_TOTAL",Input!D$2,Date,,,Ccy,Conv)</f>
        <v>3.0710000000000002</v>
      </c>
      <c r="C173" s="4">
        <f>_xll.ciqfunctions.udf.CIQ(InputTicker, "IQ_STOCK_BASED_TOTAL",Input!E$2,Date,,,Ccy,Conv)</f>
        <v>3.427</v>
      </c>
      <c r="D173" s="4">
        <f>_xll.ciqfunctions.udf.CIQ(InputTicker, "IQ_STOCK_BASED_TOTAL",Input!F$2,Date,,,Ccy,Conv)</f>
        <v>3.4670000000000001</v>
      </c>
      <c r="E173" s="4">
        <f>_xll.ciqfunctions.udf.CIQ(InputTicker, "IQ_STOCK_BASED_TOTAL",Input!G$2,Date,,,Ccy,Conv)</f>
        <v>3.6190000000000002</v>
      </c>
      <c r="F173" s="4">
        <f>_xll.ciqfunctions.udf.CIQ(InputTicker, "IQ_STOCK_BASED_TOTAL",Input!H$2,Date,,,Ccy,Conv)</f>
        <v>3.617</v>
      </c>
      <c r="G173" s="4">
        <f>_xll.ciqfunctions.udf.CIQ(InputTicker, "IQ_STOCK_BASED_TOTAL",Input!I$2,Date,,,Ccy,Conv)</f>
        <v>3.778</v>
      </c>
      <c r="H173" s="4">
        <f>_xll.ciqfunctions.udf.CIQ(InputTicker, "IQ_STOCK_BASED_TOTAL",Input!J$2,Date,,,Ccy,Conv)</f>
        <v>4.0629999999999997</v>
      </c>
      <c r="I173" s="4">
        <f>_xll.ciqfunctions.udf.CIQ(InputTicker, "IQ_STOCK_BASED_TOTAL",Input!K$2,Date,,,Ccy,Conv)</f>
        <v>4.2050000000000001</v>
      </c>
      <c r="J173" s="4">
        <f>_xll.ciqfunctions.udf.CIQ(InputTicker, "IQ_STOCK_BASED_TOTAL",Input!L$2,Date,,,Ccy,Conv)</f>
        <v>4.3579999999999997</v>
      </c>
      <c r="K173" s="4">
        <f>_xll.ciqfunctions.udf.CIQ(InputTicker, "IQ_STOCK_BASED_TOTAL",Input!M$2,Date,,,Ccy,Conv)</f>
        <v>4.5270000000000001</v>
      </c>
      <c r="L173" s="4">
        <f>_xll.ciqfunctions.udf.CIQ(InputTicker, "IQ_STOCK_BASED_TOTAL",Input!N$2,Date,,,Ccy,Conv)</f>
        <v>5.7569999999999997</v>
      </c>
      <c r="M173" s="4">
        <f>_xll.ciqfunctions.udf.CIQ(InputTicker, "IQ_STOCK_BASED_TOTAL",Input!O$2,Date,,,Ccy,Conv)</f>
        <v>5.7569999999999997</v>
      </c>
      <c r="N173" s="49"/>
      <c r="P173" s="51"/>
      <c r="Q173" s="51"/>
      <c r="R173" s="51"/>
      <c r="T173" s="42"/>
      <c r="U173" s="42"/>
      <c r="V173" s="51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</row>
    <row r="174" spans="1:66" ht="12.75" customHeight="1" x14ac:dyDescent="0.2">
      <c r="A174" s="1" t="s">
        <v>298</v>
      </c>
      <c r="B174" s="4">
        <f>_xll.ciqfunctions.udf.CIQ(InputTicker,"IQ_RESTR_STOCK_COMP_PRETAX",Input!D$2,Date,,,Ccy,Conv)</f>
        <v>0</v>
      </c>
      <c r="C174" s="4">
        <f>_xll.ciqfunctions.udf.CIQ(InputTicker,"IQ_RESTR_STOCK_COMP_PRETAX",Input!E$2,Date,,,Ccy,Conv)</f>
        <v>0</v>
      </c>
      <c r="D174" s="4">
        <f>_xll.ciqfunctions.udf.CIQ(InputTicker,"IQ_RESTR_STOCK_COMP_PRETAX",Input!F$2,Date,,,Ccy,Conv)</f>
        <v>0</v>
      </c>
      <c r="E174" s="4">
        <f>_xll.ciqfunctions.udf.CIQ(InputTicker,"IQ_RESTR_STOCK_COMP_PRETAX",Input!G$2,Date,,,Ccy,Conv)</f>
        <v>0</v>
      </c>
      <c r="F174" s="4">
        <f>_xll.ciqfunctions.udf.CIQ(InputTicker,"IQ_RESTR_STOCK_COMP_PRETAX",Input!H$2,Date,,,Ccy,Conv)</f>
        <v>0</v>
      </c>
      <c r="G174" s="4">
        <f>_xll.ciqfunctions.udf.CIQ(InputTicker,"IQ_RESTR_STOCK_COMP_PRETAX",Input!I$2,Date,,,Ccy,Conv)</f>
        <v>0</v>
      </c>
      <c r="H174" s="4">
        <f>_xll.ciqfunctions.udf.CIQ(InputTicker,"IQ_RESTR_STOCK_COMP_PRETAX",Input!J$2,Date,,,Ccy,Conv)</f>
        <v>0</v>
      </c>
      <c r="I174" s="4">
        <f>_xll.ciqfunctions.udf.CIQ(InputTicker,"IQ_RESTR_STOCK_COMP_PRETAX",Input!K$2,Date,,,Ccy,Conv)</f>
        <v>0</v>
      </c>
      <c r="J174" s="4">
        <f>_xll.ciqfunctions.udf.CIQ(InputTicker,"IQ_RESTR_STOCK_COMP_PRETAX",Input!L$2,Date,,,Ccy,Conv)</f>
        <v>0</v>
      </c>
      <c r="K174" s="4">
        <f>_xll.ciqfunctions.udf.CIQ(InputTicker,"IQ_RESTR_STOCK_COMP_PRETAX",Input!M$2,Date,,,Ccy,Conv)</f>
        <v>0</v>
      </c>
      <c r="L174" s="4">
        <f>_xll.ciqfunctions.udf.CIQ(InputTicker,"IQ_RESTR_STOCK_COMP_PRETAX",Input!N$2,Date,,,Ccy,Conv)</f>
        <v>0</v>
      </c>
      <c r="M174" s="4">
        <f>_xll.ciqfunctions.udf.CIQ(InputTicker,"IQ_RESTR_STOCK_COMP_PRETAX",Input!O$2,Date,,,Ccy,Conv)</f>
        <v>0</v>
      </c>
      <c r="N174" s="49"/>
      <c r="P174" s="51"/>
      <c r="Q174" s="51"/>
      <c r="R174" s="51"/>
      <c r="T174" s="42"/>
      <c r="U174" s="42"/>
      <c r="V174" s="51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</row>
    <row r="175" spans="1:66" ht="12.75" customHeight="1" x14ac:dyDescent="0.2">
      <c r="A175" s="1" t="s">
        <v>299</v>
      </c>
      <c r="B175" s="4">
        <f>_xll.ciqfunctions.udf.CIQ(InputTicker,"IQ_RESTR_STOCK_COMP_TAX",Input!D$2,Date,,,Ccy,Conv)</f>
        <v>0</v>
      </c>
      <c r="C175" s="4">
        <f>_xll.ciqfunctions.udf.CIQ(InputTicker,"IQ_RESTR_STOCK_COMP_TAX",Input!E$2,Date,,,Ccy,Conv)</f>
        <v>0</v>
      </c>
      <c r="D175" s="4">
        <f>_xll.ciqfunctions.udf.CIQ(InputTicker,"IQ_RESTR_STOCK_COMP_TAX",Input!F$2,Date,,,Ccy,Conv)</f>
        <v>0</v>
      </c>
      <c r="E175" s="4">
        <f>_xll.ciqfunctions.udf.CIQ(InputTicker,"IQ_RESTR_STOCK_COMP_TAX",Input!G$2,Date,,,Ccy,Conv)</f>
        <v>0</v>
      </c>
      <c r="F175" s="4">
        <f>_xll.ciqfunctions.udf.CIQ(InputTicker,"IQ_RESTR_STOCK_COMP_TAX",Input!H$2,Date,,,Ccy,Conv)</f>
        <v>0</v>
      </c>
      <c r="G175" s="4">
        <f>_xll.ciqfunctions.udf.CIQ(InputTicker,"IQ_RESTR_STOCK_COMP_TAX",Input!I$2,Date,,,Ccy,Conv)</f>
        <v>0</v>
      </c>
      <c r="H175" s="4">
        <f>_xll.ciqfunctions.udf.CIQ(InputTicker,"IQ_RESTR_STOCK_COMP_TAX",Input!J$2,Date,,,Ccy,Conv)</f>
        <v>0</v>
      </c>
      <c r="I175" s="4">
        <f>_xll.ciqfunctions.udf.CIQ(InputTicker,"IQ_RESTR_STOCK_COMP_TAX",Input!K$2,Date,,,Ccy,Conv)</f>
        <v>0</v>
      </c>
      <c r="J175" s="4">
        <f>_xll.ciqfunctions.udf.CIQ(InputTicker,"IQ_RESTR_STOCK_COMP_TAX",Input!L$2,Date,,,Ccy,Conv)</f>
        <v>0</v>
      </c>
      <c r="K175" s="4">
        <f>_xll.ciqfunctions.udf.CIQ(InputTicker,"IQ_RESTR_STOCK_COMP_TAX",Input!M$2,Date,,,Ccy,Conv)</f>
        <v>0</v>
      </c>
      <c r="L175" s="4">
        <f>_xll.ciqfunctions.udf.CIQ(InputTicker,"IQ_RESTR_STOCK_COMP_TAX",Input!N$2,Date,,,Ccy,Conv)</f>
        <v>0</v>
      </c>
      <c r="M175" s="4">
        <f>_xll.ciqfunctions.udf.CIQ(InputTicker,"IQ_RESTR_STOCK_COMP_TAX",Input!O$2,Date,,,Ccy,Conv)</f>
        <v>0</v>
      </c>
      <c r="N175" s="49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</row>
    <row r="176" spans="1:66" ht="12.75" customHeight="1" x14ac:dyDescent="0.2">
      <c r="A176" s="1" t="s">
        <v>300</v>
      </c>
      <c r="B176" s="4">
        <f>_xll.ciqfunctions.udf.CIQ(InputTicker,"IQ_RESTR_STOCK_COMP",Input!D$2,Date,,,Ccy,Conv)</f>
        <v>0</v>
      </c>
      <c r="C176" s="4">
        <f>_xll.ciqfunctions.udf.CIQ(InputTicker,"IQ_RESTR_STOCK_COMP",Input!E$2,Date,,,Ccy,Conv)</f>
        <v>0</v>
      </c>
      <c r="D176" s="4">
        <f>_xll.ciqfunctions.udf.CIQ(InputTicker,"IQ_RESTR_STOCK_COMP",Input!F$2,Date,,,Ccy,Conv)</f>
        <v>0</v>
      </c>
      <c r="E176" s="4">
        <f>_xll.ciqfunctions.udf.CIQ(InputTicker,"IQ_RESTR_STOCK_COMP",Input!G$2,Date,,,Ccy,Conv)</f>
        <v>0</v>
      </c>
      <c r="F176" s="4">
        <f>_xll.ciqfunctions.udf.CIQ(InputTicker,"IQ_RESTR_STOCK_COMP",Input!H$2,Date,,,Ccy,Conv)</f>
        <v>0</v>
      </c>
      <c r="G176" s="4">
        <f>_xll.ciqfunctions.udf.CIQ(InputTicker,"IQ_RESTR_STOCK_COMP",Input!I$2,Date,,,Ccy,Conv)</f>
        <v>0</v>
      </c>
      <c r="H176" s="4">
        <f>_xll.ciqfunctions.udf.CIQ(InputTicker,"IQ_RESTR_STOCK_COMP",Input!J$2,Date,,,Ccy,Conv)</f>
        <v>0</v>
      </c>
      <c r="I176" s="4">
        <f>_xll.ciqfunctions.udf.CIQ(InputTicker,"IQ_RESTR_STOCK_COMP",Input!K$2,Date,,,Ccy,Conv)</f>
        <v>0</v>
      </c>
      <c r="J176" s="4">
        <f>_xll.ciqfunctions.udf.CIQ(InputTicker,"IQ_RESTR_STOCK_COMP",Input!L$2,Date,,,Ccy,Conv)</f>
        <v>0</v>
      </c>
      <c r="K176" s="4">
        <f>_xll.ciqfunctions.udf.CIQ(InputTicker,"IQ_RESTR_STOCK_COMP",Input!M$2,Date,,,Ccy,Conv)</f>
        <v>0</v>
      </c>
      <c r="L176" s="4">
        <f>_xll.ciqfunctions.udf.CIQ(InputTicker,"IQ_RESTR_STOCK_COMP",Input!N$2,Date,,,Ccy,Conv)</f>
        <v>0</v>
      </c>
      <c r="M176" s="4">
        <f>_xll.ciqfunctions.udf.CIQ(InputTicker,"IQ_RESTR_STOCK_COMP",Input!O$2,Date,,,Ccy,Conv)</f>
        <v>0</v>
      </c>
      <c r="N176" s="49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</row>
    <row r="177" spans="1:66" ht="12.75" customHeight="1" x14ac:dyDescent="0.2">
      <c r="A177" s="1" t="s">
        <v>301</v>
      </c>
      <c r="B177" s="4">
        <f>_xll.ciqfunctions.udf.CIQ(InputTicker,"IQ_STOCK_OPTIONS_COMP_PRETAX",Input!D$2,Date,,,Ccy,Conv)</f>
        <v>0</v>
      </c>
      <c r="C177" s="4">
        <f>_xll.ciqfunctions.udf.CIQ(InputTicker,"IQ_STOCK_OPTIONS_COMP_PRETAX",Input!E$2,Date,,,Ccy,Conv)</f>
        <v>0</v>
      </c>
      <c r="D177" s="4">
        <f>_xll.ciqfunctions.udf.CIQ(InputTicker,"IQ_STOCK_OPTIONS_COMP_PRETAX",Input!F$2,Date,,,Ccy,Conv)</f>
        <v>0</v>
      </c>
      <c r="E177" s="4">
        <f>_xll.ciqfunctions.udf.CIQ(InputTicker,"IQ_STOCK_OPTIONS_COMP_PRETAX",Input!G$2,Date,,,Ccy,Conv)</f>
        <v>0</v>
      </c>
      <c r="F177" s="4">
        <f>_xll.ciqfunctions.udf.CIQ(InputTicker,"IQ_STOCK_OPTIONS_COMP_PRETAX",Input!H$2,Date,,,Ccy,Conv)</f>
        <v>0</v>
      </c>
      <c r="G177" s="4">
        <f>_xll.ciqfunctions.udf.CIQ(InputTicker,"IQ_STOCK_OPTIONS_COMP_PRETAX",Input!I$2,Date,,,Ccy,Conv)</f>
        <v>0</v>
      </c>
      <c r="H177" s="4">
        <f>_xll.ciqfunctions.udf.CIQ(InputTicker,"IQ_STOCK_OPTIONS_COMP_PRETAX",Input!J$2,Date,,,Ccy,Conv)</f>
        <v>0</v>
      </c>
      <c r="I177" s="4">
        <f>_xll.ciqfunctions.udf.CIQ(InputTicker,"IQ_STOCK_OPTIONS_COMP_PRETAX",Input!K$2,Date,,,Ccy,Conv)</f>
        <v>0</v>
      </c>
      <c r="J177" s="4">
        <f>_xll.ciqfunctions.udf.CIQ(InputTicker,"IQ_STOCK_OPTIONS_COMP_PRETAX",Input!L$2,Date,,,Ccy,Conv)</f>
        <v>0</v>
      </c>
      <c r="K177" s="4">
        <f>_xll.ciqfunctions.udf.CIQ(InputTicker,"IQ_STOCK_OPTIONS_COMP_PRETAX",Input!M$2,Date,,,Ccy,Conv)</f>
        <v>0</v>
      </c>
      <c r="L177" s="4">
        <f>_xll.ciqfunctions.udf.CIQ(InputTicker,"IQ_STOCK_OPTIONS_COMP_PRETAX",Input!N$2,Date,,,Ccy,Conv)</f>
        <v>0</v>
      </c>
      <c r="M177" s="4">
        <f>_xll.ciqfunctions.udf.CIQ(InputTicker,"IQ_STOCK_OPTIONS_COMP_PRETAX",Input!O$2,Date,,,Ccy,Conv)</f>
        <v>0</v>
      </c>
      <c r="N177" s="49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</row>
    <row r="178" spans="1:66" ht="12.75" customHeight="1" x14ac:dyDescent="0.2">
      <c r="A178" s="1" t="s">
        <v>302</v>
      </c>
      <c r="B178" s="4">
        <f>_xll.ciqfunctions.udf.CIQ(InputTicker,"IQ_STOCK_OPTIONS_COMP_TAX",Input!D$2,Date,,,Ccy,Conv)</f>
        <v>0</v>
      </c>
      <c r="C178" s="4">
        <f>_xll.ciqfunctions.udf.CIQ(InputTicker,"IQ_STOCK_OPTIONS_COMP_TAX",Input!E$2,Date,,,Ccy,Conv)</f>
        <v>0</v>
      </c>
      <c r="D178" s="4">
        <f>_xll.ciqfunctions.udf.CIQ(InputTicker,"IQ_STOCK_OPTIONS_COMP_TAX",Input!F$2,Date,,,Ccy,Conv)</f>
        <v>0</v>
      </c>
      <c r="E178" s="4">
        <f>_xll.ciqfunctions.udf.CIQ(InputTicker,"IQ_STOCK_OPTIONS_COMP_TAX",Input!G$2,Date,,,Ccy,Conv)</f>
        <v>0</v>
      </c>
      <c r="F178" s="4">
        <f>_xll.ciqfunctions.udf.CIQ(InputTicker,"IQ_STOCK_OPTIONS_COMP_TAX",Input!H$2,Date,,,Ccy,Conv)</f>
        <v>0</v>
      </c>
      <c r="G178" s="4">
        <f>_xll.ciqfunctions.udf.CIQ(InputTicker,"IQ_STOCK_OPTIONS_COMP_TAX",Input!I$2,Date,,,Ccy,Conv)</f>
        <v>0</v>
      </c>
      <c r="H178" s="4">
        <f>_xll.ciqfunctions.udf.CIQ(InputTicker,"IQ_STOCK_OPTIONS_COMP_TAX",Input!J$2,Date,,,Ccy,Conv)</f>
        <v>0</v>
      </c>
      <c r="I178" s="4">
        <f>_xll.ciqfunctions.udf.CIQ(InputTicker,"IQ_STOCK_OPTIONS_COMP_TAX",Input!K$2,Date,,,Ccy,Conv)</f>
        <v>0</v>
      </c>
      <c r="J178" s="4">
        <f>_xll.ciqfunctions.udf.CIQ(InputTicker,"IQ_STOCK_OPTIONS_COMP_TAX",Input!L$2,Date,,,Ccy,Conv)</f>
        <v>0</v>
      </c>
      <c r="K178" s="4">
        <f>_xll.ciqfunctions.udf.CIQ(InputTicker,"IQ_STOCK_OPTIONS_COMP_TAX",Input!M$2,Date,,,Ccy,Conv)</f>
        <v>0</v>
      </c>
      <c r="L178" s="4">
        <f>_xll.ciqfunctions.udf.CIQ(InputTicker,"IQ_STOCK_OPTIONS_COMP_TAX",Input!N$2,Date,,,Ccy,Conv)</f>
        <v>0</v>
      </c>
      <c r="M178" s="4">
        <f>_xll.ciqfunctions.udf.CIQ(InputTicker,"IQ_STOCK_OPTIONS_COMP_TAX",Input!O$2,Date,,,Ccy,Conv)</f>
        <v>0</v>
      </c>
      <c r="N178" s="49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</row>
    <row r="179" spans="1:66" ht="12.75" customHeight="1" x14ac:dyDescent="0.2">
      <c r="A179" s="1" t="s">
        <v>303</v>
      </c>
      <c r="B179" s="4">
        <f>_xll.ciqfunctions.udf.CIQ(InputTicker,"IQ_STOCK_OPTIONS_COMP",Input!D$2,Date,,,Ccy,Conv)</f>
        <v>0</v>
      </c>
      <c r="C179" s="4">
        <f>_xll.ciqfunctions.udf.CIQ(InputTicker,"IQ_STOCK_OPTIONS_COMP",Input!E$2,Date,,,Ccy,Conv)</f>
        <v>0</v>
      </c>
      <c r="D179" s="4">
        <f>_xll.ciqfunctions.udf.CIQ(InputTicker,"IQ_STOCK_OPTIONS_COMP",Input!F$2,Date,,,Ccy,Conv)</f>
        <v>0</v>
      </c>
      <c r="E179" s="4">
        <f>_xll.ciqfunctions.udf.CIQ(InputTicker,"IQ_STOCK_OPTIONS_COMP",Input!G$2,Date,,,Ccy,Conv)</f>
        <v>0</v>
      </c>
      <c r="F179" s="4">
        <f>_xll.ciqfunctions.udf.CIQ(InputTicker,"IQ_STOCK_OPTIONS_COMP",Input!H$2,Date,,,Ccy,Conv)</f>
        <v>0</v>
      </c>
      <c r="G179" s="4">
        <f>_xll.ciqfunctions.udf.CIQ(InputTicker,"IQ_STOCK_OPTIONS_COMP",Input!I$2,Date,,,Ccy,Conv)</f>
        <v>0</v>
      </c>
      <c r="H179" s="4">
        <f>_xll.ciqfunctions.udf.CIQ(InputTicker,"IQ_STOCK_OPTIONS_COMP",Input!J$2,Date,,,Ccy,Conv)</f>
        <v>0</v>
      </c>
      <c r="I179" s="4">
        <f>_xll.ciqfunctions.udf.CIQ(InputTicker,"IQ_STOCK_OPTIONS_COMP",Input!K$2,Date,,,Ccy,Conv)</f>
        <v>0</v>
      </c>
      <c r="J179" s="4">
        <f>_xll.ciqfunctions.udf.CIQ(InputTicker,"IQ_STOCK_OPTIONS_COMP",Input!L$2,Date,,,Ccy,Conv)</f>
        <v>0</v>
      </c>
      <c r="K179" s="4">
        <f>_xll.ciqfunctions.udf.CIQ(InputTicker,"IQ_STOCK_OPTIONS_COMP",Input!M$2,Date,,,Ccy,Conv)</f>
        <v>0</v>
      </c>
      <c r="L179" s="4">
        <f>_xll.ciqfunctions.udf.CIQ(InputTicker,"IQ_STOCK_OPTIONS_COMP",Input!N$2,Date,,,Ccy,Conv)</f>
        <v>0</v>
      </c>
      <c r="M179" s="4">
        <f>_xll.ciqfunctions.udf.CIQ(InputTicker,"IQ_STOCK_OPTIONS_COMP",Input!O$2,Date,,,Ccy,Conv)</f>
        <v>0</v>
      </c>
      <c r="N179" s="49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</row>
    <row r="180" spans="1:66" ht="12.75" customHeight="1" x14ac:dyDescent="0.2">
      <c r="A180" s="1" t="s">
        <v>304</v>
      </c>
      <c r="B180" s="4">
        <f>_xll.ciqfunctions.udf.CIQ(InputTicker,"IQ_STOCK_BASED_COMP_PRETAX",Input!D$2,Date,,,Ccy,Conv)</f>
        <v>3.0710000000000002</v>
      </c>
      <c r="C180" s="4">
        <f>_xll.ciqfunctions.udf.CIQ(InputTicker,"IQ_STOCK_BASED_COMP_PRETAX",Input!E$2,Date,,,Ccy,Conv)</f>
        <v>3.427</v>
      </c>
      <c r="D180" s="4">
        <f>_xll.ciqfunctions.udf.CIQ(InputTicker,"IQ_STOCK_BASED_COMP_PRETAX",Input!F$2,Date,,,Ccy,Conv)</f>
        <v>3.4670000000000001</v>
      </c>
      <c r="E180" s="4">
        <f>_xll.ciqfunctions.udf.CIQ(InputTicker,"IQ_STOCK_BASED_COMP_PRETAX",Input!G$2,Date,,,Ccy,Conv)</f>
        <v>3.6190000000000002</v>
      </c>
      <c r="F180" s="4">
        <f>_xll.ciqfunctions.udf.CIQ(InputTicker,"IQ_STOCK_BASED_COMP_PRETAX",Input!H$2,Date,,,Ccy,Conv)</f>
        <v>3.617</v>
      </c>
      <c r="G180" s="4">
        <f>_xll.ciqfunctions.udf.CIQ(InputTicker,"IQ_STOCK_BASED_COMP_PRETAX",Input!I$2,Date,,,Ccy,Conv)</f>
        <v>3.778</v>
      </c>
      <c r="H180" s="4">
        <f>_xll.ciqfunctions.udf.CIQ(InputTicker,"IQ_STOCK_BASED_COMP_PRETAX",Input!J$2,Date,,,Ccy,Conv)</f>
        <v>4.0629999999999997</v>
      </c>
      <c r="I180" s="4">
        <f>_xll.ciqfunctions.udf.CIQ(InputTicker,"IQ_STOCK_BASED_COMP_PRETAX",Input!K$2,Date,,,Ccy,Conv)</f>
        <v>4.2050000000000001</v>
      </c>
      <c r="J180" s="4">
        <f>_xll.ciqfunctions.udf.CIQ(InputTicker,"IQ_STOCK_BASED_COMP_PRETAX",Input!L$2,Date,,,Ccy,Conv)</f>
        <v>4.3579999999999997</v>
      </c>
      <c r="K180" s="4">
        <f>_xll.ciqfunctions.udf.CIQ(InputTicker,"IQ_STOCK_BASED_COMP_PRETAX",Input!M$2,Date,,,Ccy,Conv)</f>
        <v>4.5270000000000001</v>
      </c>
      <c r="L180" s="4">
        <f>_xll.ciqfunctions.udf.CIQ(InputTicker,"IQ_STOCK_BASED_COMP_PRETAX",Input!N$2,Date,,,Ccy,Conv)</f>
        <v>5.7569999999999997</v>
      </c>
      <c r="M180" s="4">
        <f>_xll.ciqfunctions.udf.CIQ(InputTicker,"IQ_STOCK_BASED_COMP_PRETAX",Input!O$2,Date,,,Ccy,Conv)</f>
        <v>5.7569999999999997</v>
      </c>
      <c r="N180" s="49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</row>
    <row r="181" spans="1:66" ht="12.75" customHeight="1" x14ac:dyDescent="0.2">
      <c r="A181" s="1" t="s">
        <v>305</v>
      </c>
      <c r="B181" s="4">
        <f>_xll.ciqfunctions.udf.CIQ(InputTicker,"IQ_STOCK_BASED_COMP_TAX",Input!D$2,Date,,,Ccy,Conv)</f>
        <v>0</v>
      </c>
      <c r="C181" s="4">
        <f>_xll.ciqfunctions.udf.CIQ(InputTicker,"IQ_STOCK_BASED_COMP_TAX",Input!E$2,Date,,,Ccy,Conv)</f>
        <v>0</v>
      </c>
      <c r="D181" s="4">
        <f>_xll.ciqfunctions.udf.CIQ(InputTicker,"IQ_STOCK_BASED_COMP_TAX",Input!F$2,Date,,,Ccy,Conv)</f>
        <v>0</v>
      </c>
      <c r="E181" s="4">
        <f>_xll.ciqfunctions.udf.CIQ(InputTicker,"IQ_STOCK_BASED_COMP_TAX",Input!G$2,Date,,,Ccy,Conv)</f>
        <v>0</v>
      </c>
      <c r="F181" s="4">
        <f>_xll.ciqfunctions.udf.CIQ(InputTicker,"IQ_STOCK_BASED_COMP_TAX",Input!H$2,Date,,,Ccy,Conv)</f>
        <v>0</v>
      </c>
      <c r="G181" s="4">
        <f>_xll.ciqfunctions.udf.CIQ(InputTicker,"IQ_STOCK_BASED_COMP_TAX",Input!I$2,Date,,,Ccy,Conv)</f>
        <v>0</v>
      </c>
      <c r="H181" s="4">
        <f>_xll.ciqfunctions.udf.CIQ(InputTicker,"IQ_STOCK_BASED_COMP_TAX",Input!J$2,Date,,,Ccy,Conv)</f>
        <v>0</v>
      </c>
      <c r="I181" s="4">
        <f>_xll.ciqfunctions.udf.CIQ(InputTicker,"IQ_STOCK_BASED_COMP_TAX",Input!K$2,Date,,,Ccy,Conv)</f>
        <v>0</v>
      </c>
      <c r="J181" s="4">
        <f>_xll.ciqfunctions.udf.CIQ(InputTicker,"IQ_STOCK_BASED_COMP_TAX",Input!L$2,Date,,,Ccy,Conv)</f>
        <v>0</v>
      </c>
      <c r="K181" s="4">
        <f>_xll.ciqfunctions.udf.CIQ(InputTicker,"IQ_STOCK_BASED_COMP_TAX",Input!M$2,Date,,,Ccy,Conv)</f>
        <v>0</v>
      </c>
      <c r="L181" s="4">
        <f>_xll.ciqfunctions.udf.CIQ(InputTicker,"IQ_STOCK_BASED_COMP_TAX",Input!N$2,Date,,,Ccy,Conv)</f>
        <v>0</v>
      </c>
      <c r="M181" s="4">
        <f>_xll.ciqfunctions.udf.CIQ(InputTicker,"IQ_STOCK_BASED_COMP_TAX",Input!O$2,Date,,,Ccy,Conv)</f>
        <v>0</v>
      </c>
      <c r="N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</row>
    <row r="182" spans="1:66" ht="12.75" customHeight="1" x14ac:dyDescent="0.2">
      <c r="A182" s="1" t="s">
        <v>306</v>
      </c>
      <c r="B182" s="4">
        <f>_xll.ciqfunctions.udf.CIQ(InputTicker,"IQ_STOCK_BASED_COMP",Input!D$2,Date,,,Ccy,Conv)</f>
        <v>0</v>
      </c>
      <c r="C182" s="4">
        <f>_xll.ciqfunctions.udf.CIQ(InputTicker,"IQ_STOCK_BASED_COMP",Input!E$2,Date,,,Ccy,Conv)</f>
        <v>0</v>
      </c>
      <c r="D182" s="4">
        <f>_xll.ciqfunctions.udf.CIQ(InputTicker,"IQ_STOCK_BASED_COMP",Input!F$2,Date,,,Ccy,Conv)</f>
        <v>0</v>
      </c>
      <c r="E182" s="4">
        <f>_xll.ciqfunctions.udf.CIQ(InputTicker,"IQ_STOCK_BASED_COMP",Input!G$2,Date,,,Ccy,Conv)</f>
        <v>0</v>
      </c>
      <c r="F182" s="4">
        <f>_xll.ciqfunctions.udf.CIQ(InputTicker,"IQ_STOCK_BASED_COMP",Input!H$2,Date,,,Ccy,Conv)</f>
        <v>0</v>
      </c>
      <c r="G182" s="4">
        <f>_xll.ciqfunctions.udf.CIQ(InputTicker,"IQ_STOCK_BASED_COMP",Input!I$2,Date,,,Ccy,Conv)</f>
        <v>0</v>
      </c>
      <c r="H182" s="4">
        <f>_xll.ciqfunctions.udf.CIQ(InputTicker,"IQ_STOCK_BASED_COMP",Input!J$2,Date,,,Ccy,Conv)</f>
        <v>0</v>
      </c>
      <c r="I182" s="4">
        <f>_xll.ciqfunctions.udf.CIQ(InputTicker,"IQ_STOCK_BASED_COMP",Input!K$2,Date,,,Ccy,Conv)</f>
        <v>0</v>
      </c>
      <c r="J182" s="4">
        <f>_xll.ciqfunctions.udf.CIQ(InputTicker,"IQ_STOCK_BASED_COMP",Input!L$2,Date,,,Ccy,Conv)</f>
        <v>0</v>
      </c>
      <c r="K182" s="4">
        <f>_xll.ciqfunctions.udf.CIQ(InputTicker,"IQ_STOCK_BASED_COMP",Input!M$2,Date,,,Ccy,Conv)</f>
        <v>0</v>
      </c>
      <c r="L182" s="4">
        <f>_xll.ciqfunctions.udf.CIQ(InputTicker,"IQ_STOCK_BASED_COMP",Input!N$2,Date,,,Ccy,Conv)</f>
        <v>0</v>
      </c>
      <c r="M182" s="4">
        <f>_xll.ciqfunctions.udf.CIQ(InputTicker,"IQ_STOCK_BASED_COMP",Input!O$2,Date,,,Ccy,Conv)</f>
        <v>0</v>
      </c>
      <c r="N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</row>
    <row r="183" spans="1:66" ht="12.75" customHeight="1" x14ac:dyDescent="0.2">
      <c r="A183" s="3" t="s">
        <v>44</v>
      </c>
      <c r="B183" s="7">
        <f>_xll.ciqfunctions.udf.CIQ(InputTicker, "IQ_NI_CF",Input!D$2,Date,,,Ccy,Conv)</f>
        <v>316.041</v>
      </c>
      <c r="C183" s="7">
        <f>_xll.ciqfunctions.udf.CIQ(InputTicker, "IQ_NI_CF",Input!E$2,Date,,,Ccy,Conv)</f>
        <v>-74.278000000000006</v>
      </c>
      <c r="D183" s="7">
        <f>_xll.ciqfunctions.udf.CIQ(InputTicker, "IQ_NI_CF",Input!F$2,Date,,,Ccy,Conv)</f>
        <v>125.932</v>
      </c>
      <c r="E183" s="7">
        <f>_xll.ciqfunctions.udf.CIQ(InputTicker, "IQ_NI_CF",Input!G$2,Date,,,Ccy,Conv)</f>
        <v>54.228999999999999</v>
      </c>
      <c r="F183" s="7">
        <f>_xll.ciqfunctions.udf.CIQ(InputTicker, "IQ_NI_CF",Input!H$2,Date,,,Ccy,Conv)</f>
        <v>18.390999999999998</v>
      </c>
      <c r="G183" s="7">
        <f>_xll.ciqfunctions.udf.CIQ(InputTicker, "IQ_NI_CF",Input!I$2,Date,,,Ccy,Conv)</f>
        <v>2.06</v>
      </c>
      <c r="H183" s="7">
        <f>_xll.ciqfunctions.udf.CIQ(InputTicker, "IQ_NI_CF",Input!J$2,Date,,,Ccy,Conv)</f>
        <v>132.65</v>
      </c>
      <c r="I183" s="7">
        <f>_xll.ciqfunctions.udf.CIQ(InputTicker, "IQ_NI_CF",Input!K$2,Date,,,Ccy,Conv)</f>
        <v>758.024</v>
      </c>
      <c r="J183" s="7">
        <f>_xll.ciqfunctions.udf.CIQ(InputTicker, "IQ_NI_CF",Input!L$2,Date,,,Ccy,Conv)</f>
        <v>277.88799999999998</v>
      </c>
      <c r="K183" s="7">
        <f>_xll.ciqfunctions.udf.CIQ(InputTicker, "IQ_NI_CF",Input!M$2,Date,,,Ccy,Conv)</f>
        <v>1220.048</v>
      </c>
      <c r="L183" s="7">
        <f>_xll.ciqfunctions.udf.CIQ(InputTicker, "IQ_NI_CF",Input!N$2,Date,,,Ccy,Conv)</f>
        <v>316.68200000000002</v>
      </c>
      <c r="M183" s="7">
        <f>_xll.ciqfunctions.udf.CIQ(InputTicker, "IQ_NI_CF",Input!O$2,Date,,,Ccy,Conv)</f>
        <v>316.68200000000002</v>
      </c>
      <c r="N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</row>
    <row r="184" spans="1:66" ht="12.75" customHeight="1" x14ac:dyDescent="0.2">
      <c r="A184" s="1" t="s">
        <v>126</v>
      </c>
      <c r="B184" s="4">
        <f>_xll.ciqfunctions.udf.CIQ(InputTicker, "IQ_DA_SUPPL_CF",Input!D$2,Date,,,Ccy,Conv)</f>
        <v>41.991999999999997</v>
      </c>
      <c r="C184" s="4">
        <f>_xll.ciqfunctions.udf.CIQ(InputTicker, "IQ_DA_SUPPL_CF",Input!E$2,Date,,,Ccy,Conv)</f>
        <v>46.912999999999997</v>
      </c>
      <c r="D184" s="4">
        <f>_xll.ciqfunctions.udf.CIQ(InputTicker, "IQ_DA_SUPPL_CF",Input!F$2,Date,,,Ccy,Conv)</f>
        <v>51.225999999999999</v>
      </c>
      <c r="E184" s="4">
        <f>_xll.ciqfunctions.udf.CIQ(InputTicker, "IQ_DA_SUPPL_CF",Input!G$2,Date,,,Ccy,Conv)</f>
        <v>51.85</v>
      </c>
      <c r="F184" s="4">
        <f>_xll.ciqfunctions.udf.CIQ(InputTicker, "IQ_DA_SUPPL_CF",Input!H$2,Date,,,Ccy,Conv)</f>
        <v>55.203000000000003</v>
      </c>
      <c r="G184" s="4">
        <f>_xll.ciqfunctions.udf.CIQ(InputTicker, "IQ_DA_SUPPL_CF",Input!I$2,Date,,,Ccy,Conv)</f>
        <v>59.476999999999997</v>
      </c>
      <c r="H184" s="4">
        <f>_xll.ciqfunctions.udf.CIQ(InputTicker, "IQ_DA_SUPPL_CF",Input!J$2,Date,,,Ccy,Conv)</f>
        <v>68.394999999999996</v>
      </c>
      <c r="I184" s="4">
        <f>_xll.ciqfunctions.udf.CIQ(InputTicker, "IQ_DA_SUPPL_CF",Input!K$2,Date,,,Ccy,Conv)</f>
        <v>70</v>
      </c>
      <c r="J184" s="4">
        <f>_xll.ciqfunctions.udf.CIQ(InputTicker, "IQ_DA_SUPPL_CF",Input!L$2,Date,,,Ccy,Conv)</f>
        <v>78.067999999999998</v>
      </c>
      <c r="K184" s="4">
        <f>_xll.ciqfunctions.udf.CIQ(InputTicker, "IQ_DA_SUPPL_CF",Input!M$2,Date,,,Ccy,Conv)</f>
        <v>91.863</v>
      </c>
      <c r="L184" s="4">
        <f>_xll.ciqfunctions.udf.CIQ(InputTicker, "IQ_DA_SUPPL_CF",Input!N$2,Date,,,Ccy,Conv)</f>
        <v>117.577</v>
      </c>
      <c r="M184" s="4">
        <f>_xll.ciqfunctions.udf.CIQ(InputTicker, "IQ_DA_SUPPL_CF",Input!O$2,Date,,,Ccy,Conv)</f>
        <v>117.577</v>
      </c>
      <c r="N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</row>
    <row r="185" spans="1:66" ht="12.75" customHeight="1" x14ac:dyDescent="0.2">
      <c r="A185" s="1" t="s">
        <v>141</v>
      </c>
      <c r="B185" s="4">
        <f>_xll.ciqfunctions.udf.CIQ(InputTicker, "IQ_GW_INTAN_AMORT_CF",Input!D$2,Date,,,Ccy,Conv)</f>
        <v>2.6</v>
      </c>
      <c r="C185" s="4">
        <f>_xll.ciqfunctions.udf.CIQ(InputTicker, "IQ_GW_INTAN_AMORT_CF",Input!E$2,Date,,,Ccy,Conv)</f>
        <v>2.2000000000000002</v>
      </c>
      <c r="D185" s="4">
        <f>_xll.ciqfunctions.udf.CIQ(InputTicker, "IQ_GW_INTAN_AMORT_CF",Input!F$2,Date,,,Ccy,Conv)</f>
        <v>2.8</v>
      </c>
      <c r="E185" s="4">
        <f>_xll.ciqfunctions.udf.CIQ(InputTicker, "IQ_GW_INTAN_AMORT_CF",Input!G$2,Date,,,Ccy,Conv)</f>
        <v>2.8</v>
      </c>
      <c r="F185" s="4">
        <f>_xll.ciqfunctions.udf.CIQ(InputTicker, "IQ_GW_INTAN_AMORT_CF",Input!H$2,Date,,,Ccy,Conv)</f>
        <v>2.9</v>
      </c>
      <c r="G185" s="4">
        <f>_xll.ciqfunctions.udf.CIQ(InputTicker, "IQ_GW_INTAN_AMORT_CF",Input!I$2,Date,,,Ccy,Conv)</f>
        <v>0</v>
      </c>
      <c r="H185" s="4">
        <f>_xll.ciqfunctions.udf.CIQ(InputTicker, "IQ_GW_INTAN_AMORT_CF",Input!J$2,Date,,,Ccy,Conv)</f>
        <v>0</v>
      </c>
      <c r="I185" s="4">
        <f>_xll.ciqfunctions.udf.CIQ(InputTicker, "IQ_GW_INTAN_AMORT_CF",Input!K$2,Date,,,Ccy,Conv)</f>
        <v>2.234</v>
      </c>
      <c r="J185" s="4">
        <f>_xll.ciqfunctions.udf.CIQ(InputTicker, "IQ_GW_INTAN_AMORT_CF",Input!L$2,Date,,,Ccy,Conv)</f>
        <v>2.173</v>
      </c>
      <c r="K185" s="4">
        <f>_xll.ciqfunctions.udf.CIQ(InputTicker, "IQ_GW_INTAN_AMORT_CF",Input!M$2,Date,,,Ccy,Conv)</f>
        <v>2.1579999999999999</v>
      </c>
      <c r="L185" s="4">
        <f>_xll.ciqfunctions.udf.CIQ(InputTicker, "IQ_GW_INTAN_AMORT_CF",Input!N$2,Date,,,Ccy,Conv)</f>
        <v>6.7649999999999997</v>
      </c>
      <c r="M185" s="4">
        <f>_xll.ciqfunctions.udf.CIQ(InputTicker, "IQ_GW_INTAN_AMORT_CF",Input!O$2,Date,,,Ccy,Conv)</f>
        <v>6.7649999999999997</v>
      </c>
      <c r="N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</row>
    <row r="186" spans="1:66" ht="12.75" customHeight="1" x14ac:dyDescent="0.2">
      <c r="A186" s="1" t="s">
        <v>197</v>
      </c>
      <c r="B186" s="4">
        <f>_xll.ciqfunctions.udf.CIQ(InputTicker, "IQ_OIL_IMPAIR",Input!D$2,Date,,,Ccy,Conv)</f>
        <v>0</v>
      </c>
      <c r="C186" s="4">
        <f>_xll.ciqfunctions.udf.CIQ(InputTicker, "IQ_OIL_IMPAIR",Input!E$2,Date,,,Ccy,Conv)</f>
        <v>0</v>
      </c>
      <c r="D186" s="4">
        <f>_xll.ciqfunctions.udf.CIQ(InputTicker, "IQ_OIL_IMPAIR",Input!F$2,Date,,,Ccy,Conv)</f>
        <v>0</v>
      </c>
      <c r="E186" s="4">
        <f>_xll.ciqfunctions.udf.CIQ(InputTicker, "IQ_OIL_IMPAIR",Input!G$2,Date,,,Ccy,Conv)</f>
        <v>0</v>
      </c>
      <c r="F186" s="4">
        <f>_xll.ciqfunctions.udf.CIQ(InputTicker, "IQ_OIL_IMPAIR",Input!H$2,Date,,,Ccy,Conv)</f>
        <v>0</v>
      </c>
      <c r="G186" s="4">
        <f>_xll.ciqfunctions.udf.CIQ(InputTicker, "IQ_OIL_IMPAIR",Input!I$2,Date,,,Ccy,Conv)</f>
        <v>0</v>
      </c>
      <c r="H186" s="4">
        <f>_xll.ciqfunctions.udf.CIQ(InputTicker, "IQ_OIL_IMPAIR",Input!J$2,Date,,,Ccy,Conv)</f>
        <v>0</v>
      </c>
      <c r="I186" s="4">
        <f>_xll.ciqfunctions.udf.CIQ(InputTicker, "IQ_OIL_IMPAIR",Input!K$2,Date,,,Ccy,Conv)</f>
        <v>0</v>
      </c>
      <c r="J186" s="4">
        <f>_xll.ciqfunctions.udf.CIQ(InputTicker, "IQ_OIL_IMPAIR",Input!L$2,Date,,,Ccy,Conv)</f>
        <v>0</v>
      </c>
      <c r="K186" s="4">
        <f>_xll.ciqfunctions.udf.CIQ(InputTicker, "IQ_OIL_IMPAIR",Input!M$2,Date,,,Ccy,Conv)</f>
        <v>0</v>
      </c>
      <c r="L186" s="4">
        <f>_xll.ciqfunctions.udf.CIQ(InputTicker, "IQ_OIL_IMPAIR",Input!N$2,Date,,,Ccy,Conv)</f>
        <v>0</v>
      </c>
      <c r="M186" s="4">
        <f>_xll.ciqfunctions.udf.CIQ(InputTicker, "IQ_OIL_IMPAIR",Input!O$2,Date,,,Ccy,Conv)</f>
        <v>0</v>
      </c>
      <c r="N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</row>
    <row r="187" spans="1:66" ht="12.75" customHeight="1" x14ac:dyDescent="0.2">
      <c r="A187" s="5" t="s">
        <v>60</v>
      </c>
      <c r="B187" s="6">
        <f>_xll.ciqfunctions.udf.CIQ(InputTicker, "IQ_DA_CF",Input!D$2,Date,,,Ccy,Conv)</f>
        <v>44.591999999999999</v>
      </c>
      <c r="C187" s="6">
        <f>_xll.ciqfunctions.udf.CIQ(InputTicker, "IQ_DA_CF",Input!E$2,Date,,,Ccy,Conv)</f>
        <v>49.113</v>
      </c>
      <c r="D187" s="6">
        <f>_xll.ciqfunctions.udf.CIQ(InputTicker, "IQ_DA_CF",Input!F$2,Date,,,Ccy,Conv)</f>
        <v>54.026000000000003</v>
      </c>
      <c r="E187" s="6">
        <f>_xll.ciqfunctions.udf.CIQ(InputTicker, "IQ_DA_CF",Input!G$2,Date,,,Ccy,Conv)</f>
        <v>54.65</v>
      </c>
      <c r="F187" s="6">
        <f>_xll.ciqfunctions.udf.CIQ(InputTicker, "IQ_DA_CF",Input!H$2,Date,,,Ccy,Conv)</f>
        <v>58.103000000000002</v>
      </c>
      <c r="G187" s="6">
        <f>_xll.ciqfunctions.udf.CIQ(InputTicker, "IQ_DA_CF",Input!I$2,Date,,,Ccy,Conv)</f>
        <v>59.476999999999997</v>
      </c>
      <c r="H187" s="6">
        <f>_xll.ciqfunctions.udf.CIQ(InputTicker, "IQ_DA_CF",Input!J$2,Date,,,Ccy,Conv)</f>
        <v>68.394999999999996</v>
      </c>
      <c r="I187" s="6">
        <f>_xll.ciqfunctions.udf.CIQ(InputTicker, "IQ_DA_CF",Input!K$2,Date,,,Ccy,Conv)</f>
        <v>72.233999999999995</v>
      </c>
      <c r="J187" s="6">
        <f>_xll.ciqfunctions.udf.CIQ(InputTicker, "IQ_DA_CF",Input!L$2,Date,,,Ccy,Conv)</f>
        <v>80.241</v>
      </c>
      <c r="K187" s="6">
        <f>_xll.ciqfunctions.udf.CIQ(InputTicker, "IQ_DA_CF",Input!M$2,Date,,,Ccy,Conv)</f>
        <v>94.021000000000001</v>
      </c>
      <c r="L187" s="6">
        <f>_xll.ciqfunctions.udf.CIQ(InputTicker, "IQ_DA_CF",Input!N$2,Date,,,Ccy,Conv)</f>
        <v>124.342</v>
      </c>
      <c r="M187" s="6">
        <f>_xll.ciqfunctions.udf.CIQ(InputTicker, "IQ_DA_CF",Input!O$2,Date,,,Ccy,Conv)</f>
        <v>124.342</v>
      </c>
      <c r="N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</row>
    <row r="188" spans="1:66" ht="12.75" customHeight="1" x14ac:dyDescent="0.2">
      <c r="A188" s="1" t="s">
        <v>424</v>
      </c>
      <c r="B188" s="4">
        <f>_xll.ciqfunctions.udf.CIQ(InputTicker, "IQ_OTHER_AMORT",Input!D$2,Date,,,Ccy,Conv)</f>
        <v>0</v>
      </c>
      <c r="C188" s="4">
        <f>_xll.ciqfunctions.udf.CIQ(InputTicker, "IQ_OTHER_AMORT",Input!E$2,Date,,,Ccy,Conv)</f>
        <v>0</v>
      </c>
      <c r="D188" s="4">
        <f>_xll.ciqfunctions.udf.CIQ(InputTicker, "IQ_OTHER_AMORT",Input!F$2,Date,,,Ccy,Conv)</f>
        <v>0</v>
      </c>
      <c r="E188" s="4">
        <f>_xll.ciqfunctions.udf.CIQ(InputTicker, "IQ_OTHER_AMORT",Input!G$2,Date,,,Ccy,Conv)</f>
        <v>0</v>
      </c>
      <c r="F188" s="4">
        <f>_xll.ciqfunctions.udf.CIQ(InputTicker, "IQ_OTHER_AMORT",Input!H$2,Date,,,Ccy,Conv)</f>
        <v>0</v>
      </c>
      <c r="G188" s="4">
        <f>_xll.ciqfunctions.udf.CIQ(InputTicker, "IQ_OTHER_AMORT",Input!I$2,Date,,,Ccy,Conv)</f>
        <v>0</v>
      </c>
      <c r="H188" s="4">
        <f>_xll.ciqfunctions.udf.CIQ(InputTicker, "IQ_OTHER_AMORT",Input!J$2,Date,,,Ccy,Conv)</f>
        <v>0</v>
      </c>
      <c r="I188" s="4">
        <f>_xll.ciqfunctions.udf.CIQ(InputTicker, "IQ_OTHER_AMORT",Input!K$2,Date,,,Ccy,Conv)</f>
        <v>0</v>
      </c>
      <c r="J188" s="4">
        <f>_xll.ciqfunctions.udf.CIQ(InputTicker, "IQ_OTHER_AMORT",Input!L$2,Date,,,Ccy,Conv)</f>
        <v>0</v>
      </c>
      <c r="K188" s="4">
        <f>_xll.ciqfunctions.udf.CIQ(InputTicker, "IQ_OTHER_AMORT",Input!M$2,Date,,,Ccy,Conv)</f>
        <v>0</v>
      </c>
      <c r="L188" s="4">
        <f>_xll.ciqfunctions.udf.CIQ(InputTicker, "IQ_OTHER_AMORT",Input!N$2,Date,,,Ccy,Conv)</f>
        <v>0</v>
      </c>
      <c r="M188" s="4">
        <f>_xll.ciqfunctions.udf.CIQ(InputTicker, "IQ_OTHER_AMORT",Input!O$2,Date,,,Ccy,Conv)</f>
        <v>0</v>
      </c>
      <c r="N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</row>
    <row r="189" spans="1:66" ht="12.75" customHeight="1" x14ac:dyDescent="0.2">
      <c r="A189" s="1" t="s">
        <v>169</v>
      </c>
      <c r="B189" s="4">
        <f>_xll.ciqfunctions.udf.CIQ(InputTicker, "IQ_MINORITY_INTEREST_CF",Input!D$2,Date,,,Ccy,Conv)</f>
        <v>0</v>
      </c>
      <c r="C189" s="4">
        <f>_xll.ciqfunctions.udf.CIQ(InputTicker, "IQ_MINORITY_INTEREST_CF",Input!E$2,Date,,,Ccy,Conv)</f>
        <v>0</v>
      </c>
      <c r="D189" s="4">
        <f>_xll.ciqfunctions.udf.CIQ(InputTicker, "IQ_MINORITY_INTEREST_CF",Input!F$2,Date,,,Ccy,Conv)</f>
        <v>0</v>
      </c>
      <c r="E189" s="4">
        <f>_xll.ciqfunctions.udf.CIQ(InputTicker, "IQ_MINORITY_INTEREST_CF",Input!G$2,Date,,,Ccy,Conv)</f>
        <v>0</v>
      </c>
      <c r="F189" s="4">
        <f>_xll.ciqfunctions.udf.CIQ(InputTicker, "IQ_MINORITY_INTEREST_CF",Input!H$2,Date,,,Ccy,Conv)</f>
        <v>0</v>
      </c>
      <c r="G189" s="4">
        <f>_xll.ciqfunctions.udf.CIQ(InputTicker, "IQ_MINORITY_INTEREST_CF",Input!I$2,Date,,,Ccy,Conv)</f>
        <v>0</v>
      </c>
      <c r="H189" s="4">
        <f>_xll.ciqfunctions.udf.CIQ(InputTicker, "IQ_MINORITY_INTEREST_CF",Input!J$2,Date,,,Ccy,Conv)</f>
        <v>0</v>
      </c>
      <c r="I189" s="4">
        <f>_xll.ciqfunctions.udf.CIQ(InputTicker, "IQ_MINORITY_INTEREST_CF",Input!K$2,Date,,,Ccy,Conv)</f>
        <v>0</v>
      </c>
      <c r="J189" s="4">
        <f>_xll.ciqfunctions.udf.CIQ(InputTicker, "IQ_MINORITY_INTEREST_CF",Input!L$2,Date,,,Ccy,Conv)</f>
        <v>0</v>
      </c>
      <c r="K189" s="4">
        <f>_xll.ciqfunctions.udf.CIQ(InputTicker, "IQ_MINORITY_INTEREST_CF",Input!M$2,Date,,,Ccy,Conv)</f>
        <v>0</v>
      </c>
      <c r="L189" s="4">
        <f>_xll.ciqfunctions.udf.CIQ(InputTicker, "IQ_MINORITY_INTEREST_CF",Input!N$2,Date,,,Ccy,Conv)</f>
        <v>0</v>
      </c>
      <c r="M189" s="4">
        <f>_xll.ciqfunctions.udf.CIQ(InputTicker, "IQ_MINORITY_INTEREST_CF",Input!O$2,Date,,,Ccy,Conv)</f>
        <v>0</v>
      </c>
      <c r="N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</row>
    <row r="190" spans="1:66" ht="12.75" customHeight="1" x14ac:dyDescent="0.2">
      <c r="A190" s="1" t="s">
        <v>198</v>
      </c>
      <c r="B190" s="4">
        <f>_xll.ciqfunctions.udf.CIQ(InputTicker, "IQ_GAIN_ASSETS_CF",Input!D$2,Date,,,Ccy,Conv)</f>
        <v>-1.5629999999999999</v>
      </c>
      <c r="C190" s="4">
        <f>_xll.ciqfunctions.udf.CIQ(InputTicker, "IQ_GAIN_ASSETS_CF",Input!E$2,Date,,,Ccy,Conv)</f>
        <v>3.6640000000000001</v>
      </c>
      <c r="D190" s="4">
        <f>_xll.ciqfunctions.udf.CIQ(InputTicker, "IQ_GAIN_ASSETS_CF",Input!F$2,Date,,,Ccy,Conv)</f>
        <v>0.47299999999999998</v>
      </c>
      <c r="E190" s="4">
        <f>_xll.ciqfunctions.udf.CIQ(InputTicker, "IQ_GAIN_ASSETS_CF",Input!G$2,Date,,,Ccy,Conv)</f>
        <v>3.3000000000000002E-2</v>
      </c>
      <c r="F190" s="4">
        <f>_xll.ciqfunctions.udf.CIQ(InputTicker, "IQ_GAIN_ASSETS_CF",Input!H$2,Date,,,Ccy,Conv)</f>
        <v>8.2000000000000003E-2</v>
      </c>
      <c r="G190" s="4">
        <f>_xll.ciqfunctions.udf.CIQ(InputTicker, "IQ_GAIN_ASSETS_CF",Input!I$2,Date,,,Ccy,Conv)</f>
        <v>2.9820000000000002</v>
      </c>
      <c r="H190" s="4">
        <f>_xll.ciqfunctions.udf.CIQ(InputTicker, "IQ_GAIN_ASSETS_CF",Input!J$2,Date,,,Ccy,Conv)</f>
        <v>0</v>
      </c>
      <c r="I190" s="4">
        <f>_xll.ciqfunctions.udf.CIQ(InputTicker, "IQ_GAIN_ASSETS_CF",Input!K$2,Date,,,Ccy,Conv)</f>
        <v>0</v>
      </c>
      <c r="J190" s="4">
        <f>_xll.ciqfunctions.udf.CIQ(InputTicker, "IQ_GAIN_ASSETS_CF",Input!L$2,Date,,,Ccy,Conv)</f>
        <v>0</v>
      </c>
      <c r="K190" s="4">
        <f>_xll.ciqfunctions.udf.CIQ(InputTicker, "IQ_GAIN_ASSETS_CF",Input!M$2,Date,,,Ccy,Conv)</f>
        <v>0</v>
      </c>
      <c r="L190" s="4">
        <f>_xll.ciqfunctions.udf.CIQ(InputTicker, "IQ_GAIN_ASSETS_CF",Input!N$2,Date,,,Ccy,Conv)</f>
        <v>0</v>
      </c>
      <c r="M190" s="4">
        <f>_xll.ciqfunctions.udf.CIQ(InputTicker, "IQ_GAIN_ASSETS_CF",Input!O$2,Date,,,Ccy,Conv)</f>
        <v>0</v>
      </c>
      <c r="N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</row>
    <row r="191" spans="1:66" ht="12.75" customHeight="1" x14ac:dyDescent="0.2">
      <c r="A191" s="1" t="s">
        <v>142</v>
      </c>
      <c r="B191" s="4">
        <f>_xll.ciqfunctions.udf.CIQ(InputTicker, "IQ_GAIN_INVEST_CF",Input!D$2,Date,,,Ccy,Conv)</f>
        <v>6.5990000000000002</v>
      </c>
      <c r="C191" s="4">
        <f>_xll.ciqfunctions.udf.CIQ(InputTicker, "IQ_GAIN_INVEST_CF",Input!E$2,Date,,,Ccy,Conv)</f>
        <v>3.3980000000000001</v>
      </c>
      <c r="D191" s="4">
        <f>_xll.ciqfunctions.udf.CIQ(InputTicker, "IQ_GAIN_INVEST_CF",Input!F$2,Date,,,Ccy,Conv)</f>
        <v>1.68</v>
      </c>
      <c r="E191" s="4">
        <f>_xll.ciqfunctions.udf.CIQ(InputTicker, "IQ_GAIN_INVEST_CF",Input!G$2,Date,,,Ccy,Conv)</f>
        <v>0.96199999999999997</v>
      </c>
      <c r="F191" s="4">
        <f>_xll.ciqfunctions.udf.CIQ(InputTicker, "IQ_GAIN_INVEST_CF",Input!H$2,Date,,,Ccy,Conv)</f>
        <v>0.44900000000000001</v>
      </c>
      <c r="G191" s="4">
        <f>_xll.ciqfunctions.udf.CIQ(InputTicker, "IQ_GAIN_INVEST_CF",Input!I$2,Date,,,Ccy,Conv)</f>
        <v>2.6779999999999999</v>
      </c>
      <c r="H191" s="4">
        <f>_xll.ciqfunctions.udf.CIQ(InputTicker, "IQ_GAIN_INVEST_CF",Input!J$2,Date,,,Ccy,Conv)</f>
        <v>0</v>
      </c>
      <c r="I191" s="4">
        <f>_xll.ciqfunctions.udf.CIQ(InputTicker, "IQ_GAIN_INVEST_CF",Input!K$2,Date,,,Ccy,Conv)</f>
        <v>0</v>
      </c>
      <c r="J191" s="4">
        <f>_xll.ciqfunctions.udf.CIQ(InputTicker, "IQ_GAIN_INVEST_CF",Input!L$2,Date,,,Ccy,Conv)</f>
        <v>0</v>
      </c>
      <c r="K191" s="4">
        <f>_xll.ciqfunctions.udf.CIQ(InputTicker, "IQ_GAIN_INVEST_CF",Input!M$2,Date,,,Ccy,Conv)</f>
        <v>0</v>
      </c>
      <c r="L191" s="4">
        <f>_xll.ciqfunctions.udf.CIQ(InputTicker, "IQ_GAIN_INVEST_CF",Input!N$2,Date,,,Ccy,Conv)</f>
        <v>0</v>
      </c>
      <c r="M191" s="4">
        <f>_xll.ciqfunctions.udf.CIQ(InputTicker, "IQ_GAIN_INVEST_CF",Input!O$2,Date,,,Ccy,Conv)</f>
        <v>0</v>
      </c>
      <c r="N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</row>
    <row r="192" spans="1:66" ht="12.75" customHeight="1" x14ac:dyDescent="0.2">
      <c r="A192" s="1" t="s">
        <v>199</v>
      </c>
      <c r="B192" s="4">
        <f>_xll.ciqfunctions.udf.CIQ(InputTicker, "IQ_ASSET_WRITEDOWN_CF",Input!D$2,Date,,,Ccy,Conv)</f>
        <v>0</v>
      </c>
      <c r="C192" s="4">
        <f>_xll.ciqfunctions.udf.CIQ(InputTicker, "IQ_ASSET_WRITEDOWN_CF",Input!E$2,Date,,,Ccy,Conv)</f>
        <v>0</v>
      </c>
      <c r="D192" s="4">
        <f>_xll.ciqfunctions.udf.CIQ(InputTicker, "IQ_ASSET_WRITEDOWN_CF",Input!F$2,Date,,,Ccy,Conv)</f>
        <v>0</v>
      </c>
      <c r="E192" s="4">
        <f>_xll.ciqfunctions.udf.CIQ(InputTicker, "IQ_ASSET_WRITEDOWN_CF",Input!G$2,Date,,,Ccy,Conv)</f>
        <v>0</v>
      </c>
      <c r="F192" s="4">
        <f>_xll.ciqfunctions.udf.CIQ(InputTicker, "IQ_ASSET_WRITEDOWN_CF",Input!H$2,Date,,,Ccy,Conv)</f>
        <v>2.919</v>
      </c>
      <c r="G192" s="4">
        <f>_xll.ciqfunctions.udf.CIQ(InputTicker, "IQ_ASSET_WRITEDOWN_CF",Input!I$2,Date,,,Ccy,Conv)</f>
        <v>0</v>
      </c>
      <c r="H192" s="4">
        <f>_xll.ciqfunctions.udf.CIQ(InputTicker, "IQ_ASSET_WRITEDOWN_CF",Input!J$2,Date,,,Ccy,Conv)</f>
        <v>0</v>
      </c>
      <c r="I192" s="4">
        <f>_xll.ciqfunctions.udf.CIQ(InputTicker, "IQ_ASSET_WRITEDOWN_CF",Input!K$2,Date,,,Ccy,Conv)</f>
        <v>0</v>
      </c>
      <c r="J192" s="4">
        <f>_xll.ciqfunctions.udf.CIQ(InputTicker, "IQ_ASSET_WRITEDOWN_CF",Input!L$2,Date,,,Ccy,Conv)</f>
        <v>0</v>
      </c>
      <c r="K192" s="4">
        <f>_xll.ciqfunctions.udf.CIQ(InputTicker, "IQ_ASSET_WRITEDOWN_CF",Input!M$2,Date,,,Ccy,Conv)</f>
        <v>0</v>
      </c>
      <c r="L192" s="4">
        <f>_xll.ciqfunctions.udf.CIQ(InputTicker, "IQ_ASSET_WRITEDOWN_CF",Input!N$2,Date,,,Ccy,Conv)</f>
        <v>0</v>
      </c>
      <c r="M192" s="4">
        <f>_xll.ciqfunctions.udf.CIQ(InputTicker, "IQ_ASSET_WRITEDOWN_CF",Input!O$2,Date,,,Ccy,Conv)</f>
        <v>0</v>
      </c>
      <c r="N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</row>
    <row r="193" spans="1:66" ht="12.75" customHeight="1" x14ac:dyDescent="0.2">
      <c r="A193" s="1" t="s">
        <v>200</v>
      </c>
      <c r="B193" s="4">
        <f>_xll.ciqfunctions.udf.CIQ(InputTicker, "IQ_LOANS_CF",Input!D$2,Date,,,Ccy,Conv)</f>
        <v>0</v>
      </c>
      <c r="C193" s="4">
        <f>_xll.ciqfunctions.udf.CIQ(InputTicker, "IQ_LOANS_CF",Input!E$2,Date,,,Ccy,Conv)</f>
        <v>0</v>
      </c>
      <c r="D193" s="4">
        <f>_xll.ciqfunctions.udf.CIQ(InputTicker, "IQ_LOANS_CF",Input!F$2,Date,,,Ccy,Conv)</f>
        <v>0</v>
      </c>
      <c r="E193" s="4">
        <f>_xll.ciqfunctions.udf.CIQ(InputTicker, "IQ_LOANS_CF",Input!G$2,Date,,,Ccy,Conv)</f>
        <v>0</v>
      </c>
      <c r="F193" s="4">
        <f>_xll.ciqfunctions.udf.CIQ(InputTicker, "IQ_LOANS_CF",Input!H$2,Date,,,Ccy,Conv)</f>
        <v>0</v>
      </c>
      <c r="G193" s="4">
        <f>_xll.ciqfunctions.udf.CIQ(InputTicker, "IQ_LOANS_CF",Input!I$2,Date,,,Ccy,Conv)</f>
        <v>0</v>
      </c>
      <c r="H193" s="4">
        <f>_xll.ciqfunctions.udf.CIQ(InputTicker, "IQ_LOANS_CF",Input!J$2,Date,,,Ccy,Conv)</f>
        <v>0</v>
      </c>
      <c r="I193" s="4">
        <f>_xll.ciqfunctions.udf.CIQ(InputTicker, "IQ_LOANS_CF",Input!K$2,Date,,,Ccy,Conv)</f>
        <v>0</v>
      </c>
      <c r="J193" s="4">
        <f>_xll.ciqfunctions.udf.CIQ(InputTicker, "IQ_LOANS_CF",Input!L$2,Date,,,Ccy,Conv)</f>
        <v>0</v>
      </c>
      <c r="K193" s="4">
        <f>_xll.ciqfunctions.udf.CIQ(InputTicker, "IQ_LOANS_CF",Input!M$2,Date,,,Ccy,Conv)</f>
        <v>0</v>
      </c>
      <c r="L193" s="4">
        <f>_xll.ciqfunctions.udf.CIQ(InputTicker, "IQ_LOANS_CF",Input!N$2,Date,,,Ccy,Conv)</f>
        <v>0</v>
      </c>
      <c r="M193" s="4">
        <f>_xll.ciqfunctions.udf.CIQ(InputTicker, "IQ_LOANS_CF",Input!O$2,Date,,,Ccy,Conv)</f>
        <v>0</v>
      </c>
      <c r="N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</row>
    <row r="194" spans="1:66" ht="12.75" customHeight="1" x14ac:dyDescent="0.2">
      <c r="A194" s="1" t="s">
        <v>201</v>
      </c>
      <c r="B194" s="4">
        <f>_xll.ciqfunctions.udf.CIQ(InputTicker, "IQ_CREDIT_LOSS_CF",Input!D$2,Date,,,Ccy,Conv)</f>
        <v>0</v>
      </c>
      <c r="C194" s="4">
        <f>_xll.ciqfunctions.udf.CIQ(InputTicker, "IQ_CREDIT_LOSS_CF",Input!E$2,Date,,,Ccy,Conv)</f>
        <v>0</v>
      </c>
      <c r="D194" s="4">
        <f>_xll.ciqfunctions.udf.CIQ(InputTicker, "IQ_CREDIT_LOSS_CF",Input!F$2,Date,,,Ccy,Conv)</f>
        <v>0</v>
      </c>
      <c r="E194" s="4">
        <f>_xll.ciqfunctions.udf.CIQ(InputTicker, "IQ_CREDIT_LOSS_CF",Input!G$2,Date,,,Ccy,Conv)</f>
        <v>0</v>
      </c>
      <c r="F194" s="4">
        <f>_xll.ciqfunctions.udf.CIQ(InputTicker, "IQ_CREDIT_LOSS_CF",Input!H$2,Date,,,Ccy,Conv)</f>
        <v>0</v>
      </c>
      <c r="G194" s="4">
        <f>_xll.ciqfunctions.udf.CIQ(InputTicker, "IQ_CREDIT_LOSS_CF",Input!I$2,Date,,,Ccy,Conv)</f>
        <v>0</v>
      </c>
      <c r="H194" s="4">
        <f>_xll.ciqfunctions.udf.CIQ(InputTicker, "IQ_CREDIT_LOSS_CF",Input!J$2,Date,,,Ccy,Conv)</f>
        <v>0</v>
      </c>
      <c r="I194" s="4">
        <f>_xll.ciqfunctions.udf.CIQ(InputTicker, "IQ_CREDIT_LOSS_CF",Input!K$2,Date,,,Ccy,Conv)</f>
        <v>0</v>
      </c>
      <c r="J194" s="4">
        <f>_xll.ciqfunctions.udf.CIQ(InputTicker, "IQ_CREDIT_LOSS_CF",Input!L$2,Date,,,Ccy,Conv)</f>
        <v>0</v>
      </c>
      <c r="K194" s="4">
        <f>_xll.ciqfunctions.udf.CIQ(InputTicker, "IQ_CREDIT_LOSS_CF",Input!M$2,Date,,,Ccy,Conv)</f>
        <v>0</v>
      </c>
      <c r="L194" s="4">
        <f>_xll.ciqfunctions.udf.CIQ(InputTicker, "IQ_CREDIT_LOSS_CF",Input!N$2,Date,,,Ccy,Conv)</f>
        <v>0</v>
      </c>
      <c r="M194" s="4">
        <f>_xll.ciqfunctions.udf.CIQ(InputTicker, "IQ_CREDIT_LOSS_CF",Input!O$2,Date,,,Ccy,Conv)</f>
        <v>0</v>
      </c>
      <c r="N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</row>
    <row r="195" spans="1:66" ht="12.75" customHeight="1" x14ac:dyDescent="0.2">
      <c r="A195" s="1" t="s">
        <v>202</v>
      </c>
      <c r="B195" s="4">
        <f>_xll.ciqfunctions.udf.CIQ(InputTicker, "IQ_INC_EQUITY_CF",Input!D$2,Date,,,Ccy,Conv)</f>
        <v>-5.016</v>
      </c>
      <c r="C195" s="4">
        <f>_xll.ciqfunctions.udf.CIQ(InputTicker, "IQ_INC_EQUITY_CF",Input!E$2,Date,,,Ccy,Conv)</f>
        <v>-1.39</v>
      </c>
      <c r="D195" s="4">
        <f>_xll.ciqfunctions.udf.CIQ(InputTicker, "IQ_INC_EQUITY_CF",Input!F$2,Date,,,Ccy,Conv)</f>
        <v>-3.5169999999999999</v>
      </c>
      <c r="E195" s="4">
        <f>_xll.ciqfunctions.udf.CIQ(InputTicker, "IQ_INC_EQUITY_CF",Input!G$2,Date,,,Ccy,Conv)</f>
        <v>-4.7759999999999998</v>
      </c>
      <c r="F195" s="4">
        <f>_xll.ciqfunctions.udf.CIQ(InputTicker, "IQ_INC_EQUITY_CF",Input!H$2,Date,,,Ccy,Conv)</f>
        <v>-0.53400000000000003</v>
      </c>
      <c r="G195" s="4">
        <f>_xll.ciqfunctions.udf.CIQ(InputTicker, "IQ_INC_EQUITY_CF",Input!I$2,Date,,,Ccy,Conv)</f>
        <v>-0.622</v>
      </c>
      <c r="H195" s="4">
        <f>_xll.ciqfunctions.udf.CIQ(InputTicker, "IQ_INC_EQUITY_CF",Input!J$2,Date,,,Ccy,Conv)</f>
        <v>0</v>
      </c>
      <c r="I195" s="4">
        <f>_xll.ciqfunctions.udf.CIQ(InputTicker, "IQ_INC_EQUITY_CF",Input!K$2,Date,,,Ccy,Conv)</f>
        <v>0</v>
      </c>
      <c r="J195" s="4">
        <f>_xll.ciqfunctions.udf.CIQ(InputTicker, "IQ_INC_EQUITY_CF",Input!L$2,Date,,,Ccy,Conv)</f>
        <v>0</v>
      </c>
      <c r="K195" s="4">
        <f>_xll.ciqfunctions.udf.CIQ(InputTicker, "IQ_INC_EQUITY_CF",Input!M$2,Date,,,Ccy,Conv)</f>
        <v>0</v>
      </c>
      <c r="L195" s="4">
        <f>_xll.ciqfunctions.udf.CIQ(InputTicker, "IQ_INC_EQUITY_CF",Input!N$2,Date,,,Ccy,Conv)</f>
        <v>0</v>
      </c>
      <c r="M195" s="4">
        <f>_xll.ciqfunctions.udf.CIQ(InputTicker, "IQ_INC_EQUITY_CF",Input!O$2,Date,,,Ccy,Conv)</f>
        <v>0</v>
      </c>
      <c r="N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</row>
    <row r="196" spans="1:66" ht="12.75" customHeight="1" x14ac:dyDescent="0.2">
      <c r="A196" s="1" t="s">
        <v>203</v>
      </c>
      <c r="B196" s="4">
        <f>_xll.ciqfunctions.udf.CIQ(InputTicker, "IQ_STOCK_BASED_CF",Input!D$2,Date,,,Ccy,Conv)</f>
        <v>3.0710000000000002</v>
      </c>
      <c r="C196" s="4">
        <f>_xll.ciqfunctions.udf.CIQ(InputTicker, "IQ_STOCK_BASED_CF",Input!E$2,Date,,,Ccy,Conv)</f>
        <v>3.427</v>
      </c>
      <c r="D196" s="4">
        <f>_xll.ciqfunctions.udf.CIQ(InputTicker, "IQ_STOCK_BASED_CF",Input!F$2,Date,,,Ccy,Conv)</f>
        <v>3.4670000000000001</v>
      </c>
      <c r="E196" s="4">
        <f>_xll.ciqfunctions.udf.CIQ(InputTicker, "IQ_STOCK_BASED_CF",Input!G$2,Date,,,Ccy,Conv)</f>
        <v>3.6190000000000002</v>
      </c>
      <c r="F196" s="4">
        <f>_xll.ciqfunctions.udf.CIQ(InputTicker, "IQ_STOCK_BASED_CF",Input!H$2,Date,,,Ccy,Conv)</f>
        <v>3.617</v>
      </c>
      <c r="G196" s="4">
        <f>_xll.ciqfunctions.udf.CIQ(InputTicker, "IQ_STOCK_BASED_CF",Input!I$2,Date,,,Ccy,Conv)</f>
        <v>3.778</v>
      </c>
      <c r="H196" s="4">
        <f>_xll.ciqfunctions.udf.CIQ(InputTicker, "IQ_STOCK_BASED_CF",Input!J$2,Date,,,Ccy,Conv)</f>
        <v>4.0629999999999997</v>
      </c>
      <c r="I196" s="4">
        <f>_xll.ciqfunctions.udf.CIQ(InputTicker, "IQ_STOCK_BASED_CF",Input!K$2,Date,,,Ccy,Conv)</f>
        <v>4.2050000000000001</v>
      </c>
      <c r="J196" s="4">
        <f>_xll.ciqfunctions.udf.CIQ(InputTicker, "IQ_STOCK_BASED_CF",Input!L$2,Date,,,Ccy,Conv)</f>
        <v>4.3579999999999997</v>
      </c>
      <c r="K196" s="4">
        <f>_xll.ciqfunctions.udf.CIQ(InputTicker, "IQ_STOCK_BASED_CF",Input!M$2,Date,,,Ccy,Conv)</f>
        <v>4.5270000000000001</v>
      </c>
      <c r="L196" s="4">
        <f>_xll.ciqfunctions.udf.CIQ(InputTicker, "IQ_STOCK_BASED_CF",Input!N$2,Date,,,Ccy,Conv)</f>
        <v>5.7569999999999997</v>
      </c>
      <c r="M196" s="4">
        <f>_xll.ciqfunctions.udf.CIQ(InputTicker, "IQ_STOCK_BASED_CF",Input!O$2,Date,,,Ccy,Conv)</f>
        <v>5.7569999999999997</v>
      </c>
      <c r="N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</row>
    <row r="197" spans="1:66" ht="12.75" customHeight="1" x14ac:dyDescent="0.2">
      <c r="A197" s="1" t="s">
        <v>143</v>
      </c>
      <c r="B197" s="4">
        <f>_xll.ciqfunctions.udf.CIQ(InputTicker, "IQ_TAX_BENEFIT_OPTIONS",Input!D$2,Date,,,Ccy,Conv)</f>
        <v>0</v>
      </c>
      <c r="C197" s="4">
        <f>_xll.ciqfunctions.udf.CIQ(InputTicker, "IQ_TAX_BENEFIT_OPTIONS",Input!E$2,Date,,,Ccy,Conv)</f>
        <v>0</v>
      </c>
      <c r="D197" s="4">
        <f>_xll.ciqfunctions.udf.CIQ(InputTicker, "IQ_TAX_BENEFIT_OPTIONS",Input!F$2,Date,,,Ccy,Conv)</f>
        <v>0</v>
      </c>
      <c r="E197" s="4">
        <f>_xll.ciqfunctions.udf.CIQ(InputTicker, "IQ_TAX_BENEFIT_OPTIONS",Input!G$2,Date,,,Ccy,Conv)</f>
        <v>0</v>
      </c>
      <c r="F197" s="4">
        <f>_xll.ciqfunctions.udf.CIQ(InputTicker, "IQ_TAX_BENEFIT_OPTIONS",Input!H$2,Date,,,Ccy,Conv)</f>
        <v>0</v>
      </c>
      <c r="G197" s="4">
        <f>_xll.ciqfunctions.udf.CIQ(InputTicker, "IQ_TAX_BENEFIT_OPTIONS",Input!I$2,Date,,,Ccy,Conv)</f>
        <v>0</v>
      </c>
      <c r="H197" s="4">
        <f>_xll.ciqfunctions.udf.CIQ(InputTicker, "IQ_TAX_BENEFIT_OPTIONS",Input!J$2,Date,,,Ccy,Conv)</f>
        <v>0</v>
      </c>
      <c r="I197" s="4">
        <f>_xll.ciqfunctions.udf.CIQ(InputTicker, "IQ_TAX_BENEFIT_OPTIONS",Input!K$2,Date,,,Ccy,Conv)</f>
        <v>0</v>
      </c>
      <c r="J197" s="4">
        <f>_xll.ciqfunctions.udf.CIQ(InputTicker, "IQ_TAX_BENEFIT_OPTIONS",Input!L$2,Date,,,Ccy,Conv)</f>
        <v>0</v>
      </c>
      <c r="K197" s="4">
        <f>_xll.ciqfunctions.udf.CIQ(InputTicker, "IQ_TAX_BENEFIT_OPTIONS",Input!M$2,Date,,,Ccy,Conv)</f>
        <v>0</v>
      </c>
      <c r="L197" s="4">
        <f>_xll.ciqfunctions.udf.CIQ(InputTicker, "IQ_TAX_BENEFIT_OPTIONS",Input!N$2,Date,,,Ccy,Conv)</f>
        <v>0</v>
      </c>
      <c r="M197" s="4">
        <f>_xll.ciqfunctions.udf.CIQ(InputTicker, "IQ_TAX_BENEFIT_OPTIONS",Input!O$2,Date,,,Ccy,Conv)</f>
        <v>0</v>
      </c>
      <c r="N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</row>
    <row r="198" spans="1:66" ht="12.75" customHeight="1" x14ac:dyDescent="0.2">
      <c r="A198" s="1" t="s">
        <v>204</v>
      </c>
      <c r="B198" s="4">
        <f>_xll.ciqfunctions.udf.CIQ(InputTicker, "IQ_PROV_BAD_DEBTS_CF",Input!D$2,Date,,,Ccy,Conv)</f>
        <v>0</v>
      </c>
      <c r="C198" s="4">
        <f>_xll.ciqfunctions.udf.CIQ(InputTicker, "IQ_PROV_BAD_DEBTS_CF",Input!E$2,Date,,,Ccy,Conv)</f>
        <v>0</v>
      </c>
      <c r="D198" s="4">
        <f>_xll.ciqfunctions.udf.CIQ(InputTicker, "IQ_PROV_BAD_DEBTS_CF",Input!F$2,Date,,,Ccy,Conv)</f>
        <v>0</v>
      </c>
      <c r="E198" s="4">
        <f>_xll.ciqfunctions.udf.CIQ(InputTicker, "IQ_PROV_BAD_DEBTS_CF",Input!G$2,Date,,,Ccy,Conv)</f>
        <v>0</v>
      </c>
      <c r="F198" s="4">
        <f>_xll.ciqfunctions.udf.CIQ(InputTicker, "IQ_PROV_BAD_DEBTS_CF",Input!H$2,Date,,,Ccy,Conv)</f>
        <v>0</v>
      </c>
      <c r="G198" s="4">
        <f>_xll.ciqfunctions.udf.CIQ(InputTicker, "IQ_PROV_BAD_DEBTS_CF",Input!I$2,Date,,,Ccy,Conv)</f>
        <v>0</v>
      </c>
      <c r="H198" s="4">
        <f>_xll.ciqfunctions.udf.CIQ(InputTicker, "IQ_PROV_BAD_DEBTS_CF",Input!J$2,Date,,,Ccy,Conv)</f>
        <v>0</v>
      </c>
      <c r="I198" s="4">
        <f>_xll.ciqfunctions.udf.CIQ(InputTicker, "IQ_PROV_BAD_DEBTS_CF",Input!K$2,Date,,,Ccy,Conv)</f>
        <v>0</v>
      </c>
      <c r="J198" s="4">
        <f>_xll.ciqfunctions.udf.CIQ(InputTicker, "IQ_PROV_BAD_DEBTS_CF",Input!L$2,Date,,,Ccy,Conv)</f>
        <v>0</v>
      </c>
      <c r="K198" s="4">
        <f>_xll.ciqfunctions.udf.CIQ(InputTicker, "IQ_PROV_BAD_DEBTS_CF",Input!M$2,Date,,,Ccy,Conv)</f>
        <v>0</v>
      </c>
      <c r="L198" s="4">
        <f>_xll.ciqfunctions.udf.CIQ(InputTicker, "IQ_PROV_BAD_DEBTS_CF",Input!N$2,Date,,,Ccy,Conv)</f>
        <v>0</v>
      </c>
      <c r="M198" s="4">
        <f>_xll.ciqfunctions.udf.CIQ(InputTicker, "IQ_PROV_BAD_DEBTS_CF",Input!O$2,Date,,,Ccy,Conv)</f>
        <v>0</v>
      </c>
      <c r="N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</row>
    <row r="199" spans="1:66" ht="12.75" customHeight="1" x14ac:dyDescent="0.2">
      <c r="A199" s="1" t="s">
        <v>205</v>
      </c>
      <c r="B199" s="4">
        <f>_xll.ciqfunctions.udf.CIQ(InputTicker, "IQ_DO_CF",Input!D$2,Date,,,Ccy,Conv)</f>
        <v>0</v>
      </c>
      <c r="C199" s="4">
        <f>_xll.ciqfunctions.udf.CIQ(InputTicker, "IQ_DO_CF",Input!E$2,Date,,,Ccy,Conv)</f>
        <v>0</v>
      </c>
      <c r="D199" s="4">
        <f>_xll.ciqfunctions.udf.CIQ(InputTicker, "IQ_DO_CF",Input!F$2,Date,,,Ccy,Conv)</f>
        <v>0</v>
      </c>
      <c r="E199" s="4">
        <f>_xll.ciqfunctions.udf.CIQ(InputTicker, "IQ_DO_CF",Input!G$2,Date,,,Ccy,Conv)</f>
        <v>0</v>
      </c>
      <c r="F199" s="4">
        <f>_xll.ciqfunctions.udf.CIQ(InputTicker, "IQ_DO_CF",Input!H$2,Date,,,Ccy,Conv)</f>
        <v>0</v>
      </c>
      <c r="G199" s="4">
        <f>_xll.ciqfunctions.udf.CIQ(InputTicker, "IQ_DO_CF",Input!I$2,Date,,,Ccy,Conv)</f>
        <v>0</v>
      </c>
      <c r="H199" s="4">
        <f>_xll.ciqfunctions.udf.CIQ(InputTicker, "IQ_DO_CF",Input!J$2,Date,,,Ccy,Conv)</f>
        <v>0</v>
      </c>
      <c r="I199" s="4">
        <f>_xll.ciqfunctions.udf.CIQ(InputTicker, "IQ_DO_CF",Input!K$2,Date,,,Ccy,Conv)</f>
        <v>0</v>
      </c>
      <c r="J199" s="4">
        <f>_xll.ciqfunctions.udf.CIQ(InputTicker, "IQ_DO_CF",Input!L$2,Date,,,Ccy,Conv)</f>
        <v>0</v>
      </c>
      <c r="K199" s="4">
        <f>_xll.ciqfunctions.udf.CIQ(InputTicker, "IQ_DO_CF",Input!M$2,Date,,,Ccy,Conv)</f>
        <v>0</v>
      </c>
      <c r="L199" s="4">
        <f>_xll.ciqfunctions.udf.CIQ(InputTicker, "IQ_DO_CF",Input!N$2,Date,,,Ccy,Conv)</f>
        <v>0</v>
      </c>
      <c r="M199" s="4">
        <f>_xll.ciqfunctions.udf.CIQ(InputTicker, "IQ_DO_CF",Input!O$2,Date,,,Ccy,Conv)</f>
        <v>0</v>
      </c>
      <c r="N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</row>
    <row r="200" spans="1:66" ht="12.75" customHeight="1" x14ac:dyDescent="0.2">
      <c r="A200" s="1" t="s">
        <v>206</v>
      </c>
      <c r="B200" s="4">
        <f>_xll.ciqfunctions.udf.CIQ(InputTicker, "IQ_OTHER_OPER_ACT",Input!D$2,Date,,,Ccy,Conv)</f>
        <v>20.6</v>
      </c>
      <c r="C200" s="4">
        <f>_xll.ciqfunctions.udf.CIQ(InputTicker, "IQ_OTHER_OPER_ACT",Input!E$2,Date,,,Ccy,Conv)</f>
        <v>14.475</v>
      </c>
      <c r="D200" s="4">
        <f>_xll.ciqfunctions.udf.CIQ(InputTicker, "IQ_OTHER_OPER_ACT",Input!F$2,Date,,,Ccy,Conv)</f>
        <v>-33.473999999999997</v>
      </c>
      <c r="E200" s="4">
        <f>_xll.ciqfunctions.udf.CIQ(InputTicker, "IQ_OTHER_OPER_ACT",Input!G$2,Date,,,Ccy,Conv)</f>
        <v>6.9790000000000001</v>
      </c>
      <c r="F200" s="4">
        <f>_xll.ciqfunctions.udf.CIQ(InputTicker, "IQ_OTHER_OPER_ACT",Input!H$2,Date,,,Ccy,Conv)</f>
        <v>10.907</v>
      </c>
      <c r="G200" s="4">
        <f>_xll.ciqfunctions.udf.CIQ(InputTicker, "IQ_OTHER_OPER_ACT",Input!I$2,Date,,,Ccy,Conv)</f>
        <v>21.841000000000001</v>
      </c>
      <c r="H200" s="4">
        <f>_xll.ciqfunctions.udf.CIQ(InputTicker, "IQ_OTHER_OPER_ACT",Input!J$2,Date,,,Ccy,Conv)</f>
        <v>-3.6320000000000001</v>
      </c>
      <c r="I200" s="4">
        <f>_xll.ciqfunctions.udf.CIQ(InputTicker, "IQ_OTHER_OPER_ACT",Input!K$2,Date,,,Ccy,Conv)</f>
        <v>21.684000000000001</v>
      </c>
      <c r="J200" s="4">
        <f>_xll.ciqfunctions.udf.CIQ(InputTicker, "IQ_OTHER_OPER_ACT",Input!L$2,Date,,,Ccy,Conv)</f>
        <v>-12.686</v>
      </c>
      <c r="K200" s="4">
        <f>_xll.ciqfunctions.udf.CIQ(InputTicker, "IQ_OTHER_OPER_ACT",Input!M$2,Date,,,Ccy,Conv)</f>
        <v>9.3279999999999994</v>
      </c>
      <c r="L200" s="4">
        <f>_xll.ciqfunctions.udf.CIQ(InputTicker, "IQ_OTHER_OPER_ACT",Input!N$2,Date,,,Ccy,Conv)</f>
        <v>64.367999999999995</v>
      </c>
      <c r="M200" s="4">
        <f>_xll.ciqfunctions.udf.CIQ(InputTicker, "IQ_OTHER_OPER_ACT",Input!O$2,Date,,,Ccy,Conv)</f>
        <v>64.367999999999995</v>
      </c>
      <c r="N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</row>
    <row r="201" spans="1:66" ht="12.75" customHeight="1" x14ac:dyDescent="0.2">
      <c r="A201" s="1" t="s">
        <v>207</v>
      </c>
      <c r="B201" s="4">
        <f>_xll.ciqfunctions.udf.CIQ(InputTicker, "IQ_CHANGE_TRADING_ASSETS",Input!D$2,Date,,,Ccy,Conv)</f>
        <v>0</v>
      </c>
      <c r="C201" s="4">
        <f>_xll.ciqfunctions.udf.CIQ(InputTicker, "IQ_CHANGE_TRADING_ASSETS",Input!E$2,Date,,,Ccy,Conv)</f>
        <v>0</v>
      </c>
      <c r="D201" s="4">
        <f>_xll.ciqfunctions.udf.CIQ(InputTicker, "IQ_CHANGE_TRADING_ASSETS",Input!F$2,Date,,,Ccy,Conv)</f>
        <v>0</v>
      </c>
      <c r="E201" s="4">
        <f>_xll.ciqfunctions.udf.CIQ(InputTicker, "IQ_CHANGE_TRADING_ASSETS",Input!G$2,Date,,,Ccy,Conv)</f>
        <v>0</v>
      </c>
      <c r="F201" s="4">
        <f>_xll.ciqfunctions.udf.CIQ(InputTicker, "IQ_CHANGE_TRADING_ASSETS",Input!H$2,Date,,,Ccy,Conv)</f>
        <v>0</v>
      </c>
      <c r="G201" s="4">
        <f>_xll.ciqfunctions.udf.CIQ(InputTicker, "IQ_CHANGE_TRADING_ASSETS",Input!I$2,Date,,,Ccy,Conv)</f>
        <v>0</v>
      </c>
      <c r="H201" s="4">
        <f>_xll.ciqfunctions.udf.CIQ(InputTicker, "IQ_CHANGE_TRADING_ASSETS",Input!J$2,Date,,,Ccy,Conv)</f>
        <v>0</v>
      </c>
      <c r="I201" s="4">
        <f>_xll.ciqfunctions.udf.CIQ(InputTicker, "IQ_CHANGE_TRADING_ASSETS",Input!K$2,Date,,,Ccy,Conv)</f>
        <v>0</v>
      </c>
      <c r="J201" s="4">
        <f>_xll.ciqfunctions.udf.CIQ(InputTicker, "IQ_CHANGE_TRADING_ASSETS",Input!L$2,Date,,,Ccy,Conv)</f>
        <v>0</v>
      </c>
      <c r="K201" s="4">
        <f>_xll.ciqfunctions.udf.CIQ(InputTicker, "IQ_CHANGE_TRADING_ASSETS",Input!M$2,Date,,,Ccy,Conv)</f>
        <v>0</v>
      </c>
      <c r="L201" s="4">
        <f>_xll.ciqfunctions.udf.CIQ(InputTicker, "IQ_CHANGE_TRADING_ASSETS",Input!N$2,Date,,,Ccy,Conv)</f>
        <v>0</v>
      </c>
      <c r="M201" s="4">
        <f>_xll.ciqfunctions.udf.CIQ(InputTicker, "IQ_CHANGE_TRADING_ASSETS",Input!O$2,Date,,,Ccy,Conv)</f>
        <v>0</v>
      </c>
      <c r="N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</row>
    <row r="202" spans="1:66" ht="12.75" customHeight="1" x14ac:dyDescent="0.2">
      <c r="A202" s="1" t="s">
        <v>144</v>
      </c>
      <c r="B202" s="4">
        <f>_xll.ciqfunctions.udf.CIQ(InputTicker, "IQ_CHANGE_AR",Input!D$2,Date,,,Ccy,Conv)</f>
        <v>21.16</v>
      </c>
      <c r="C202" s="4">
        <f>_xll.ciqfunctions.udf.CIQ(InputTicker, "IQ_CHANGE_AR",Input!E$2,Date,,,Ccy,Conv)</f>
        <v>-37.222000000000001</v>
      </c>
      <c r="D202" s="4">
        <f>_xll.ciqfunctions.udf.CIQ(InputTicker, "IQ_CHANGE_AR",Input!F$2,Date,,,Ccy,Conv)</f>
        <v>31.402000000000001</v>
      </c>
      <c r="E202" s="4">
        <f>_xll.ciqfunctions.udf.CIQ(InputTicker, "IQ_CHANGE_AR",Input!G$2,Date,,,Ccy,Conv)</f>
        <v>16.012</v>
      </c>
      <c r="F202" s="4">
        <f>_xll.ciqfunctions.udf.CIQ(InputTicker, "IQ_CHANGE_AR",Input!H$2,Date,,,Ccy,Conv)</f>
        <v>-28.3</v>
      </c>
      <c r="G202" s="4">
        <f>_xll.ciqfunctions.udf.CIQ(InputTicker, "IQ_CHANGE_AR",Input!I$2,Date,,,Ccy,Conv)</f>
        <v>-33.487000000000002</v>
      </c>
      <c r="H202" s="4">
        <f>_xll.ciqfunctions.udf.CIQ(InputTicker, "IQ_CHANGE_AR",Input!J$2,Date,,,Ccy,Conv)</f>
        <v>-88.063000000000002</v>
      </c>
      <c r="I202" s="4">
        <f>_xll.ciqfunctions.udf.CIQ(InputTicker, "IQ_CHANGE_AR",Input!K$2,Date,,,Ccy,Conv)</f>
        <v>58.128999999999998</v>
      </c>
      <c r="J202" s="4">
        <f>_xll.ciqfunctions.udf.CIQ(InputTicker, "IQ_CHANGE_AR",Input!L$2,Date,,,Ccy,Conv)</f>
        <v>-27.57</v>
      </c>
      <c r="K202" s="4">
        <f>_xll.ciqfunctions.udf.CIQ(InputTicker, "IQ_CHANGE_AR",Input!M$2,Date,,,Ccy,Conv)</f>
        <v>-104.997</v>
      </c>
      <c r="L202" s="4">
        <f>_xll.ciqfunctions.udf.CIQ(InputTicker, "IQ_CHANGE_AR",Input!N$2,Date,,,Ccy,Conv)</f>
        <v>139.75299999999999</v>
      </c>
      <c r="M202" s="4">
        <f>_xll.ciqfunctions.udf.CIQ(InputTicker, "IQ_CHANGE_AR",Input!O$2,Date,,,Ccy,Conv)</f>
        <v>139.75299999999999</v>
      </c>
      <c r="N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</row>
    <row r="203" spans="1:66" ht="12.75" customHeight="1" x14ac:dyDescent="0.2">
      <c r="A203" s="1" t="s">
        <v>145</v>
      </c>
      <c r="B203" s="4">
        <f>_xll.ciqfunctions.udf.CIQ(InputTicker, "IQ_CHANGE_INVENTORY",Input!D$2,Date,,,Ccy,Conv)</f>
        <v>-8.5389999999999997</v>
      </c>
      <c r="C203" s="4">
        <f>_xll.ciqfunctions.udf.CIQ(InputTicker, "IQ_CHANGE_INVENTORY",Input!E$2,Date,,,Ccy,Conv)</f>
        <v>2.3860000000000001</v>
      </c>
      <c r="D203" s="4">
        <f>_xll.ciqfunctions.udf.CIQ(InputTicker, "IQ_CHANGE_INVENTORY",Input!F$2,Date,,,Ccy,Conv)</f>
        <v>-7.952</v>
      </c>
      <c r="E203" s="4">
        <f>_xll.ciqfunctions.udf.CIQ(InputTicker, "IQ_CHANGE_INVENTORY",Input!G$2,Date,,,Ccy,Conv)</f>
        <v>-2.2850000000000001</v>
      </c>
      <c r="F203" s="4">
        <f>_xll.ciqfunctions.udf.CIQ(InputTicker, "IQ_CHANGE_INVENTORY",Input!H$2,Date,,,Ccy,Conv)</f>
        <v>-9.7040000000000006</v>
      </c>
      <c r="G203" s="4">
        <f>_xll.ciqfunctions.udf.CIQ(InputTicker, "IQ_CHANGE_INVENTORY",Input!I$2,Date,,,Ccy,Conv)</f>
        <v>-31.158999999999999</v>
      </c>
      <c r="H203" s="4">
        <f>_xll.ciqfunctions.udf.CIQ(InputTicker, "IQ_CHANGE_INVENTORY",Input!J$2,Date,,,Ccy,Conv)</f>
        <v>-36.152000000000001</v>
      </c>
      <c r="I203" s="4">
        <f>_xll.ciqfunctions.udf.CIQ(InputTicker, "IQ_CHANGE_INVENTORY",Input!K$2,Date,,,Ccy,Conv)</f>
        <v>-21.102</v>
      </c>
      <c r="J203" s="4">
        <f>_xll.ciqfunctions.udf.CIQ(InputTicker, "IQ_CHANGE_INVENTORY",Input!L$2,Date,,,Ccy,Conv)</f>
        <v>28.8</v>
      </c>
      <c r="K203" s="4">
        <f>_xll.ciqfunctions.udf.CIQ(InputTicker, "IQ_CHANGE_INVENTORY",Input!M$2,Date,,,Ccy,Conv)</f>
        <v>-12.224</v>
      </c>
      <c r="L203" s="4">
        <f>_xll.ciqfunctions.udf.CIQ(InputTicker, "IQ_CHANGE_INVENTORY",Input!N$2,Date,,,Ccy,Conv)</f>
        <v>-34.978000000000002</v>
      </c>
      <c r="M203" s="4">
        <f>_xll.ciqfunctions.udf.CIQ(InputTicker, "IQ_CHANGE_INVENTORY",Input!O$2,Date,,,Ccy,Conv)</f>
        <v>-34.978000000000002</v>
      </c>
      <c r="N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</row>
    <row r="204" spans="1:66" ht="12.75" customHeight="1" x14ac:dyDescent="0.2">
      <c r="A204" s="1" t="s">
        <v>146</v>
      </c>
      <c r="B204" s="4">
        <f>_xll.ciqfunctions.udf.CIQ(InputTicker, "IQ_CHANGE_AP",Input!D$2,Date,,,Ccy,Conv)</f>
        <v>-8.5079999999999991</v>
      </c>
      <c r="C204" s="4">
        <f>_xll.ciqfunctions.udf.CIQ(InputTicker, "IQ_CHANGE_AP",Input!E$2,Date,,,Ccy,Conv)</f>
        <v>-9.4909999999999997</v>
      </c>
      <c r="D204" s="4">
        <f>_xll.ciqfunctions.udf.CIQ(InputTicker, "IQ_CHANGE_AP",Input!F$2,Date,,,Ccy,Conv)</f>
        <v>28.378</v>
      </c>
      <c r="E204" s="4">
        <f>_xll.ciqfunctions.udf.CIQ(InputTicker, "IQ_CHANGE_AP",Input!G$2,Date,,,Ccy,Conv)</f>
        <v>-14.337999999999999</v>
      </c>
      <c r="F204" s="4">
        <f>_xll.ciqfunctions.udf.CIQ(InputTicker, "IQ_CHANGE_AP",Input!H$2,Date,,,Ccy,Conv)</f>
        <v>17.678999999999998</v>
      </c>
      <c r="G204" s="4">
        <f>_xll.ciqfunctions.udf.CIQ(InputTicker, "IQ_CHANGE_AP",Input!I$2,Date,,,Ccy,Conv)</f>
        <v>-1.4119999999999999</v>
      </c>
      <c r="H204" s="4">
        <f>_xll.ciqfunctions.udf.CIQ(InputTicker, "IQ_CHANGE_AP",Input!J$2,Date,,,Ccy,Conv)</f>
        <v>29.992999999999999</v>
      </c>
      <c r="I204" s="4">
        <f>_xll.ciqfunctions.udf.CIQ(InputTicker, "IQ_CHANGE_AP",Input!K$2,Date,,,Ccy,Conv)</f>
        <v>14.944000000000001</v>
      </c>
      <c r="J204" s="4">
        <f>_xll.ciqfunctions.udf.CIQ(InputTicker, "IQ_CHANGE_AP",Input!L$2,Date,,,Ccy,Conv)</f>
        <v>9.3529999999999998</v>
      </c>
      <c r="K204" s="4">
        <f>_xll.ciqfunctions.udf.CIQ(InputTicker, "IQ_CHANGE_AP",Input!M$2,Date,,,Ccy,Conv)</f>
        <v>65.311000000000007</v>
      </c>
      <c r="L204" s="4">
        <f>_xll.ciqfunctions.udf.CIQ(InputTicker, "IQ_CHANGE_AP",Input!N$2,Date,,,Ccy,Conv)</f>
        <v>-8.3379999999999992</v>
      </c>
      <c r="M204" s="4">
        <f>_xll.ciqfunctions.udf.CIQ(InputTicker, "IQ_CHANGE_AP",Input!O$2,Date,,,Ccy,Conv)</f>
        <v>-8.3379999999999992</v>
      </c>
      <c r="N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/>
    </row>
    <row r="205" spans="1:66" ht="12.75" customHeight="1" x14ac:dyDescent="0.2">
      <c r="A205" s="1" t="s">
        <v>147</v>
      </c>
      <c r="B205" s="4">
        <f>_xll.ciqfunctions.udf.CIQ(InputTicker, "IQ_CHANGE_UNEARN_REV",Input!D$2,Date,,,Ccy,Conv)</f>
        <v>0</v>
      </c>
      <c r="C205" s="4">
        <f>_xll.ciqfunctions.udf.CIQ(InputTicker, "IQ_CHANGE_UNEARN_REV",Input!E$2,Date,,,Ccy,Conv)</f>
        <v>0</v>
      </c>
      <c r="D205" s="4">
        <f>_xll.ciqfunctions.udf.CIQ(InputTicker, "IQ_CHANGE_UNEARN_REV",Input!F$2,Date,,,Ccy,Conv)</f>
        <v>0</v>
      </c>
      <c r="E205" s="4">
        <f>_xll.ciqfunctions.udf.CIQ(InputTicker, "IQ_CHANGE_UNEARN_REV",Input!G$2,Date,,,Ccy,Conv)</f>
        <v>0</v>
      </c>
      <c r="F205" s="4">
        <f>_xll.ciqfunctions.udf.CIQ(InputTicker, "IQ_CHANGE_UNEARN_REV",Input!H$2,Date,,,Ccy,Conv)</f>
        <v>0</v>
      </c>
      <c r="G205" s="4">
        <f>_xll.ciqfunctions.udf.CIQ(InputTicker, "IQ_CHANGE_UNEARN_REV",Input!I$2,Date,,,Ccy,Conv)</f>
        <v>0</v>
      </c>
      <c r="H205" s="4">
        <f>_xll.ciqfunctions.udf.CIQ(InputTicker, "IQ_CHANGE_UNEARN_REV",Input!J$2,Date,,,Ccy,Conv)</f>
        <v>0</v>
      </c>
      <c r="I205" s="4">
        <f>_xll.ciqfunctions.udf.CIQ(InputTicker, "IQ_CHANGE_UNEARN_REV",Input!K$2,Date,,,Ccy,Conv)</f>
        <v>0</v>
      </c>
      <c r="J205" s="4">
        <f>_xll.ciqfunctions.udf.CIQ(InputTicker, "IQ_CHANGE_UNEARN_REV",Input!L$2,Date,,,Ccy,Conv)</f>
        <v>0</v>
      </c>
      <c r="K205" s="4">
        <f>_xll.ciqfunctions.udf.CIQ(InputTicker, "IQ_CHANGE_UNEARN_REV",Input!M$2,Date,,,Ccy,Conv)</f>
        <v>0</v>
      </c>
      <c r="L205" s="4">
        <f>_xll.ciqfunctions.udf.CIQ(InputTicker, "IQ_CHANGE_UNEARN_REV",Input!N$2,Date,,,Ccy,Conv)</f>
        <v>0</v>
      </c>
      <c r="M205" s="4">
        <f>_xll.ciqfunctions.udf.CIQ(InputTicker, "IQ_CHANGE_UNEARN_REV",Input!O$2,Date,,,Ccy,Conv)</f>
        <v>0</v>
      </c>
      <c r="N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  <c r="BN205" s="42"/>
    </row>
    <row r="206" spans="1:66" ht="12.75" customHeight="1" x14ac:dyDescent="0.2">
      <c r="A206" s="1" t="s">
        <v>208</v>
      </c>
      <c r="B206" s="4">
        <f>_xll.ciqfunctions.udf.CIQ(InputTicker, "IQ_CHANGE_INC_TAX",Input!D$2,Date,,,Ccy,Conv)</f>
        <v>0</v>
      </c>
      <c r="C206" s="4">
        <f>_xll.ciqfunctions.udf.CIQ(InputTicker, "IQ_CHANGE_INC_TAX",Input!E$2,Date,,,Ccy,Conv)</f>
        <v>0</v>
      </c>
      <c r="D206" s="4">
        <f>_xll.ciqfunctions.udf.CIQ(InputTicker, "IQ_CHANGE_INC_TAX",Input!F$2,Date,,,Ccy,Conv)</f>
        <v>0</v>
      </c>
      <c r="E206" s="4">
        <f>_xll.ciqfunctions.udf.CIQ(InputTicker, "IQ_CHANGE_INC_TAX",Input!G$2,Date,,,Ccy,Conv)</f>
        <v>0</v>
      </c>
      <c r="F206" s="4">
        <f>_xll.ciqfunctions.udf.CIQ(InputTicker, "IQ_CHANGE_INC_TAX",Input!H$2,Date,,,Ccy,Conv)</f>
        <v>0</v>
      </c>
      <c r="G206" s="4">
        <f>_xll.ciqfunctions.udf.CIQ(InputTicker, "IQ_CHANGE_INC_TAX",Input!I$2,Date,,,Ccy,Conv)</f>
        <v>0</v>
      </c>
      <c r="H206" s="4">
        <f>_xll.ciqfunctions.udf.CIQ(InputTicker, "IQ_CHANGE_INC_TAX",Input!J$2,Date,,,Ccy,Conv)</f>
        <v>26.056000000000001</v>
      </c>
      <c r="I206" s="4">
        <f>_xll.ciqfunctions.udf.CIQ(InputTicker, "IQ_CHANGE_INC_TAX",Input!K$2,Date,,,Ccy,Conv)</f>
        <v>-42.218000000000004</v>
      </c>
      <c r="J206" s="4">
        <f>_xll.ciqfunctions.udf.CIQ(InputTicker, "IQ_CHANGE_INC_TAX",Input!L$2,Date,,,Ccy,Conv)</f>
        <v>91.566999999999993</v>
      </c>
      <c r="K206" s="4">
        <f>_xll.ciqfunctions.udf.CIQ(InputTicker, "IQ_CHANGE_INC_TAX",Input!M$2,Date,,,Ccy,Conv)</f>
        <v>-45.945999999999998</v>
      </c>
      <c r="L206" s="4">
        <f>_xll.ciqfunctions.udf.CIQ(InputTicker, "IQ_CHANGE_INC_TAX",Input!N$2,Date,,,Ccy,Conv)</f>
        <v>-94.81</v>
      </c>
      <c r="M206" s="4">
        <f>_xll.ciqfunctions.udf.CIQ(InputTicker, "IQ_CHANGE_INC_TAX",Input!O$2,Date,,,Ccy,Conv)</f>
        <v>-94.81</v>
      </c>
      <c r="N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/>
    </row>
    <row r="207" spans="1:66" ht="12.75" customHeight="1" x14ac:dyDescent="0.2">
      <c r="A207" s="1" t="s">
        <v>148</v>
      </c>
      <c r="B207" s="4">
        <f>_xll.ciqfunctions.udf.CIQ(InputTicker, "IQ_CHANGE_DEF_TAX",Input!D$2,Date,,,Ccy,Conv)</f>
        <v>0</v>
      </c>
      <c r="C207" s="4">
        <f>_xll.ciqfunctions.udf.CIQ(InputTicker, "IQ_CHANGE_DEF_TAX",Input!E$2,Date,,,Ccy,Conv)</f>
        <v>0</v>
      </c>
      <c r="D207" s="4">
        <f>_xll.ciqfunctions.udf.CIQ(InputTicker, "IQ_CHANGE_DEF_TAX",Input!F$2,Date,,,Ccy,Conv)</f>
        <v>0</v>
      </c>
      <c r="E207" s="4">
        <f>_xll.ciqfunctions.udf.CIQ(InputTicker, "IQ_CHANGE_DEF_TAX",Input!G$2,Date,,,Ccy,Conv)</f>
        <v>0</v>
      </c>
      <c r="F207" s="4">
        <f>_xll.ciqfunctions.udf.CIQ(InputTicker, "IQ_CHANGE_DEF_TAX",Input!H$2,Date,,,Ccy,Conv)</f>
        <v>0</v>
      </c>
      <c r="G207" s="4">
        <f>_xll.ciqfunctions.udf.CIQ(InputTicker, "IQ_CHANGE_DEF_TAX",Input!I$2,Date,,,Ccy,Conv)</f>
        <v>0</v>
      </c>
      <c r="H207" s="4">
        <f>_xll.ciqfunctions.udf.CIQ(InputTicker, "IQ_CHANGE_DEF_TAX",Input!J$2,Date,,,Ccy,Conv)</f>
        <v>0</v>
      </c>
      <c r="I207" s="4">
        <f>_xll.ciqfunctions.udf.CIQ(InputTicker, "IQ_CHANGE_DEF_TAX",Input!K$2,Date,,,Ccy,Conv)</f>
        <v>0</v>
      </c>
      <c r="J207" s="4">
        <f>_xll.ciqfunctions.udf.CIQ(InputTicker, "IQ_CHANGE_DEF_TAX",Input!L$2,Date,,,Ccy,Conv)</f>
        <v>0</v>
      </c>
      <c r="K207" s="4">
        <f>_xll.ciqfunctions.udf.CIQ(InputTicker, "IQ_CHANGE_DEF_TAX",Input!M$2,Date,,,Ccy,Conv)</f>
        <v>0</v>
      </c>
      <c r="L207" s="4">
        <f>_xll.ciqfunctions.udf.CIQ(InputTicker, "IQ_CHANGE_DEF_TAX",Input!N$2,Date,,,Ccy,Conv)</f>
        <v>0</v>
      </c>
      <c r="M207" s="4">
        <f>_xll.ciqfunctions.udf.CIQ(InputTicker, "IQ_CHANGE_DEF_TAX",Input!O$2,Date,,,Ccy,Conv)</f>
        <v>0</v>
      </c>
      <c r="N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</row>
    <row r="208" spans="1:66" ht="12.75" customHeight="1" x14ac:dyDescent="0.2">
      <c r="A208" s="1" t="s">
        <v>370</v>
      </c>
      <c r="B208" s="4">
        <f>_xll.ciqfunctions.udf.CIQ(InputTicker, "IQ_CHANGE_OTHER_NET_OPER_ASSETS",Input!D$2,Date,,,Ccy,Conv)</f>
        <v>0</v>
      </c>
      <c r="C208" s="4">
        <f>_xll.ciqfunctions.udf.CIQ(InputTicker, "IQ_CHANGE_OTHER_NET_OPER_ASSETS",Input!E$2,Date,,,Ccy,Conv)</f>
        <v>0</v>
      </c>
      <c r="D208" s="4">
        <f>_xll.ciqfunctions.udf.CIQ(InputTicker, "IQ_CHANGE_OTHER_NET_OPER_ASSETS",Input!F$2,Date,,,Ccy,Conv)</f>
        <v>0</v>
      </c>
      <c r="E208" s="4">
        <f>_xll.ciqfunctions.udf.CIQ(InputTicker, "IQ_CHANGE_OTHER_NET_OPER_ASSETS",Input!G$2,Date,,,Ccy,Conv)</f>
        <v>0</v>
      </c>
      <c r="F208" s="4">
        <f>_xll.ciqfunctions.udf.CIQ(InputTicker, "IQ_CHANGE_OTHER_NET_OPER_ASSETS",Input!H$2,Date,,,Ccy,Conv)</f>
        <v>0</v>
      </c>
      <c r="G208" s="4">
        <f>_xll.ciqfunctions.udf.CIQ(InputTicker, "IQ_CHANGE_OTHER_NET_OPER_ASSETS",Input!I$2,Date,,,Ccy,Conv)</f>
        <v>0</v>
      </c>
      <c r="H208" s="4">
        <f>_xll.ciqfunctions.udf.CIQ(InputTicker, "IQ_CHANGE_OTHER_NET_OPER_ASSETS",Input!J$2,Date,,,Ccy,Conv)</f>
        <v>-7.101</v>
      </c>
      <c r="I208" s="4">
        <f>_xll.ciqfunctions.udf.CIQ(InputTicker, "IQ_CHANGE_OTHER_NET_OPER_ASSETS",Input!K$2,Date,,,Ccy,Conv)</f>
        <v>-2.89</v>
      </c>
      <c r="J208" s="4">
        <f>_xll.ciqfunctions.udf.CIQ(InputTicker, "IQ_CHANGE_OTHER_NET_OPER_ASSETS",Input!L$2,Date,,,Ccy,Conv)</f>
        <v>-0.55300000000000005</v>
      </c>
      <c r="K208" s="4">
        <f>_xll.ciqfunctions.udf.CIQ(InputTicker, "IQ_CHANGE_OTHER_NET_OPER_ASSETS",Input!M$2,Date,,,Ccy,Conv)</f>
        <v>-5.3339999999999996</v>
      </c>
      <c r="L208" s="4">
        <f>_xll.ciqfunctions.udf.CIQ(InputTicker, "IQ_CHANGE_OTHER_NET_OPER_ASSETS",Input!N$2,Date,,,Ccy,Conv)</f>
        <v>-33.023000000000003</v>
      </c>
      <c r="M208" s="4">
        <f>_xll.ciqfunctions.udf.CIQ(InputTicker, "IQ_CHANGE_OTHER_NET_OPER_ASSETS",Input!O$2,Date,,,Ccy,Conv)</f>
        <v>-33.023000000000003</v>
      </c>
      <c r="N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</row>
    <row r="209" spans="1:66" ht="12.75" customHeight="1" thickBot="1" x14ac:dyDescent="0.25">
      <c r="A209" s="5" t="s">
        <v>103</v>
      </c>
      <c r="B209" s="9">
        <f>_xll.ciqfunctions.udf.CIQ(InputTicker, "IQ_CASH_OPER",Input!D$2,Date,,,Ccy,Conv)</f>
        <v>388.43700000000001</v>
      </c>
      <c r="C209" s="9">
        <f>_xll.ciqfunctions.udf.CIQ(InputTicker, "IQ_CASH_OPER",Input!E$2,Date,,,Ccy,Conv)</f>
        <v>-45.917999999999999</v>
      </c>
      <c r="D209" s="9">
        <f>_xll.ciqfunctions.udf.CIQ(InputTicker, "IQ_CASH_OPER",Input!F$2,Date,,,Ccy,Conv)</f>
        <v>200.41499999999999</v>
      </c>
      <c r="E209" s="9">
        <f>_xll.ciqfunctions.udf.CIQ(InputTicker, "IQ_CASH_OPER",Input!G$2,Date,,,Ccy,Conv)</f>
        <v>115.08499999999999</v>
      </c>
      <c r="F209" s="9">
        <f>_xll.ciqfunctions.udf.CIQ(InputTicker, "IQ_CASH_OPER",Input!H$2,Date,,,Ccy,Conv)</f>
        <v>73.608999999999995</v>
      </c>
      <c r="G209" s="9">
        <f>_xll.ciqfunctions.udf.CIQ(InputTicker, "IQ_CASH_OPER",Input!I$2,Date,,,Ccy,Conv)</f>
        <v>26.135999999999999</v>
      </c>
      <c r="H209" s="9">
        <f>_xll.ciqfunctions.udf.CIQ(InputTicker, "IQ_CASH_OPER",Input!J$2,Date,,,Ccy,Conv)</f>
        <v>126.209</v>
      </c>
      <c r="I209" s="9">
        <f>_xll.ciqfunctions.udf.CIQ(InputTicker, "IQ_CASH_OPER",Input!K$2,Date,,,Ccy,Conv)</f>
        <v>863.01</v>
      </c>
      <c r="J209" s="9">
        <f>_xll.ciqfunctions.udf.CIQ(InputTicker, "IQ_CASH_OPER",Input!L$2,Date,,,Ccy,Conv)</f>
        <v>451.39800000000002</v>
      </c>
      <c r="K209" s="9">
        <f>_xll.ciqfunctions.udf.CIQ(InputTicker, "IQ_CASH_OPER",Input!M$2,Date,,,Ccy,Conv)</f>
        <v>1224.7339999999999</v>
      </c>
      <c r="L209" s="9">
        <f>_xll.ciqfunctions.udf.CIQ(InputTicker, "IQ_CASH_OPER",Input!N$2,Date,,,Ccy,Conv)</f>
        <v>479.75299999999999</v>
      </c>
      <c r="M209" s="9">
        <f>_xll.ciqfunctions.udf.CIQ(InputTicker, "IQ_CASH_OPER",Input!O$2,Date,,,Ccy,Conv)</f>
        <v>479.75299999999999</v>
      </c>
      <c r="N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</row>
    <row r="210" spans="1:66" ht="12.75" customHeight="1" thickTop="1" x14ac:dyDescent="0.2">
      <c r="A210" s="1" t="s">
        <v>104</v>
      </c>
      <c r="B210" s="4">
        <f>_xll.ciqfunctions.udf.CIQ(InputTicker, "IQ_CAPEX",Input!D$2,Date,,,Ccy,Conv)</f>
        <v>-76.125</v>
      </c>
      <c r="C210" s="4">
        <f>_xll.ciqfunctions.udf.CIQ(InputTicker, "IQ_CAPEX",Input!E$2,Date,,,Ccy,Conv)</f>
        <v>-66.656999999999996</v>
      </c>
      <c r="D210" s="4">
        <f>_xll.ciqfunctions.udf.CIQ(InputTicker, "IQ_CAPEX",Input!F$2,Date,,,Ccy,Conv)</f>
        <v>-19.670999999999999</v>
      </c>
      <c r="E210" s="4">
        <f>_xll.ciqfunctions.udf.CIQ(InputTicker, "IQ_CAPEX",Input!G$2,Date,,,Ccy,Conv)</f>
        <v>-67.989000000000004</v>
      </c>
      <c r="F210" s="4">
        <f>_xll.ciqfunctions.udf.CIQ(InputTicker, "IQ_CAPEX",Input!H$2,Date,,,Ccy,Conv)</f>
        <v>-124.178</v>
      </c>
      <c r="G210" s="4">
        <f>_xll.ciqfunctions.udf.CIQ(InputTicker, "IQ_CAPEX",Input!I$2,Date,,,Ccy,Conv)</f>
        <v>-95.069000000000003</v>
      </c>
      <c r="H210" s="4">
        <f>_xll.ciqfunctions.udf.CIQ(InputTicker, "IQ_CAPEX",Input!J$2,Date,,,Ccy,Conv)</f>
        <v>-72.399000000000001</v>
      </c>
      <c r="I210" s="4">
        <f>_xll.ciqfunctions.udf.CIQ(InputTicker, "IQ_CAPEX",Input!K$2,Date,,,Ccy,Conv)</f>
        <v>-136.56899999999999</v>
      </c>
      <c r="J210" s="4">
        <f>_xll.ciqfunctions.udf.CIQ(InputTicker, "IQ_CAPEX",Input!L$2,Date,,,Ccy,Conv)</f>
        <v>-147.11600000000001</v>
      </c>
      <c r="K210" s="4">
        <f>_xll.ciqfunctions.udf.CIQ(InputTicker, "IQ_CAPEX",Input!M$2,Date,,,Ccy,Conv)</f>
        <v>-161.255</v>
      </c>
      <c r="L210" s="4">
        <f>_xll.ciqfunctions.udf.CIQ(InputTicker, "IQ_CAPEX",Input!N$2,Date,,,Ccy,Conv)</f>
        <v>-151.22</v>
      </c>
      <c r="M210" s="4">
        <f>_xll.ciqfunctions.udf.CIQ(InputTicker, "IQ_CAPEX",Input!O$2,Date,,,Ccy,Conv)</f>
        <v>-151.22</v>
      </c>
      <c r="N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</row>
    <row r="211" spans="1:66" ht="12.75" customHeight="1" x14ac:dyDescent="0.2">
      <c r="A211" s="1" t="s">
        <v>105</v>
      </c>
      <c r="B211" s="4">
        <f>_xll.ciqfunctions.udf.CIQ(InputTicker, "IQ_SALE_PPE_CF",Input!D$2,Date,,,Ccy,Conv)</f>
        <v>2.86</v>
      </c>
      <c r="C211" s="4">
        <f>_xll.ciqfunctions.udf.CIQ(InputTicker, "IQ_SALE_PPE_CF",Input!E$2,Date,,,Ccy,Conv)</f>
        <v>8.4000000000000005E-2</v>
      </c>
      <c r="D211" s="4">
        <f>_xll.ciqfunctions.udf.CIQ(InputTicker, "IQ_SALE_PPE_CF",Input!F$2,Date,,,Ccy,Conv)</f>
        <v>0.96299999999999997</v>
      </c>
      <c r="E211" s="4">
        <f>_xll.ciqfunctions.udf.CIQ(InputTicker, "IQ_SALE_PPE_CF",Input!G$2,Date,,,Ccy,Conv)</f>
        <v>1.575</v>
      </c>
      <c r="F211" s="4">
        <f>_xll.ciqfunctions.udf.CIQ(InputTicker, "IQ_SALE_PPE_CF",Input!H$2,Date,,,Ccy,Conv)</f>
        <v>3.306</v>
      </c>
      <c r="G211" s="4">
        <f>_xll.ciqfunctions.udf.CIQ(InputTicker, "IQ_SALE_PPE_CF",Input!I$2,Date,,,Ccy,Conv)</f>
        <v>3.39</v>
      </c>
      <c r="H211" s="4">
        <f>_xll.ciqfunctions.udf.CIQ(InputTicker, "IQ_SALE_PPE_CF",Input!J$2,Date,,,Ccy,Conv)</f>
        <v>0.68600000000000005</v>
      </c>
      <c r="I211" s="4">
        <f>_xll.ciqfunctions.udf.CIQ(InputTicker, "IQ_SALE_PPE_CF",Input!K$2,Date,,,Ccy,Conv)</f>
        <v>0.57999999999999996</v>
      </c>
      <c r="J211" s="4">
        <f>_xll.ciqfunctions.udf.CIQ(InputTicker, "IQ_SALE_PPE_CF",Input!L$2,Date,,,Ccy,Conv)</f>
        <v>0.27200000000000002</v>
      </c>
      <c r="K211" s="4">
        <f>_xll.ciqfunctions.udf.CIQ(InputTicker, "IQ_SALE_PPE_CF",Input!M$2,Date,,,Ccy,Conv)</f>
        <v>3.8820000000000001</v>
      </c>
      <c r="L211" s="4">
        <f>_xll.ciqfunctions.udf.CIQ(InputTicker, "IQ_SALE_PPE_CF",Input!N$2,Date,,,Ccy,Conv)</f>
        <v>0.32800000000000001</v>
      </c>
      <c r="M211" s="4">
        <f>_xll.ciqfunctions.udf.CIQ(InputTicker, "IQ_SALE_PPE_CF",Input!O$2,Date,,,Ccy,Conv)</f>
        <v>0.32800000000000001</v>
      </c>
      <c r="N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</row>
    <row r="212" spans="1:66" ht="12.75" customHeight="1" x14ac:dyDescent="0.2">
      <c r="A212" s="1" t="s">
        <v>106</v>
      </c>
      <c r="B212" s="4">
        <f>_xll.ciqfunctions.udf.CIQ(InputTicker, "IQ_CASH_ACQUIRE_CF",Input!D$2,Date,,,Ccy,Conv)</f>
        <v>0</v>
      </c>
      <c r="C212" s="4">
        <f>_xll.ciqfunctions.udf.CIQ(InputTicker, "IQ_CASH_ACQUIRE_CF",Input!E$2,Date,,,Ccy,Conv)</f>
        <v>-85.822000000000003</v>
      </c>
      <c r="D212" s="4">
        <f>_xll.ciqfunctions.udf.CIQ(InputTicker, "IQ_CASH_ACQUIRE_CF",Input!F$2,Date,,,Ccy,Conv)</f>
        <v>0</v>
      </c>
      <c r="E212" s="4">
        <f>_xll.ciqfunctions.udf.CIQ(InputTicker, "IQ_CASH_ACQUIRE_CF",Input!G$2,Date,,,Ccy,Conv)</f>
        <v>-17.888999999999999</v>
      </c>
      <c r="F212" s="4">
        <f>_xll.ciqfunctions.udf.CIQ(InputTicker, "IQ_CASH_ACQUIRE_CF",Input!H$2,Date,,,Ccy,Conv)</f>
        <v>-44.65</v>
      </c>
      <c r="G212" s="4">
        <f>_xll.ciqfunctions.udf.CIQ(InputTicker, "IQ_CASH_ACQUIRE_CF",Input!I$2,Date,,,Ccy,Conv)</f>
        <v>0</v>
      </c>
      <c r="H212" s="4">
        <f>_xll.ciqfunctions.udf.CIQ(InputTicker, "IQ_CASH_ACQUIRE_CF",Input!J$2,Date,,,Ccy,Conv)</f>
        <v>-44.823</v>
      </c>
      <c r="I212" s="4">
        <f>_xll.ciqfunctions.udf.CIQ(InputTicker, "IQ_CASH_ACQUIRE_CF",Input!K$2,Date,,,Ccy,Conv)</f>
        <v>0</v>
      </c>
      <c r="J212" s="4">
        <f>_xll.ciqfunctions.udf.CIQ(InputTicker, "IQ_CASH_ACQUIRE_CF",Input!L$2,Date,,,Ccy,Conv)</f>
        <v>-53.746000000000002</v>
      </c>
      <c r="K212" s="4">
        <f>_xll.ciqfunctions.udf.CIQ(InputTicker, "IQ_CASH_ACQUIRE_CF",Input!M$2,Date,,,Ccy,Conv)</f>
        <v>-116.193</v>
      </c>
      <c r="L212" s="4">
        <f>_xll.ciqfunctions.udf.CIQ(InputTicker, "IQ_CASH_ACQUIRE_CF",Input!N$2,Date,,,Ccy,Conv)</f>
        <v>-452.57</v>
      </c>
      <c r="M212" s="4">
        <f>_xll.ciqfunctions.udf.CIQ(InputTicker, "IQ_CASH_ACQUIRE_CF",Input!O$2,Date,,,Ccy,Conv)</f>
        <v>-452.57</v>
      </c>
      <c r="N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</row>
    <row r="213" spans="1:66" ht="12.75" customHeight="1" x14ac:dyDescent="0.2">
      <c r="A213" s="1" t="s">
        <v>107</v>
      </c>
      <c r="B213" s="4">
        <f>_xll.ciqfunctions.udf.CIQ(InputTicker, "IQ_DIVEST_CF",Input!D$2,Date,,,Ccy,Conv)</f>
        <v>0</v>
      </c>
      <c r="C213" s="4">
        <f>_xll.ciqfunctions.udf.CIQ(InputTicker, "IQ_DIVEST_CF",Input!E$2,Date,,,Ccy,Conv)</f>
        <v>0</v>
      </c>
      <c r="D213" s="4">
        <f>_xll.ciqfunctions.udf.CIQ(InputTicker, "IQ_DIVEST_CF",Input!F$2,Date,,,Ccy,Conv)</f>
        <v>0</v>
      </c>
      <c r="E213" s="4">
        <f>_xll.ciqfunctions.udf.CIQ(InputTicker, "IQ_DIVEST_CF",Input!G$2,Date,,,Ccy,Conv)</f>
        <v>0</v>
      </c>
      <c r="F213" s="4">
        <f>_xll.ciqfunctions.udf.CIQ(InputTicker, "IQ_DIVEST_CF",Input!H$2,Date,,,Ccy,Conv)</f>
        <v>0</v>
      </c>
      <c r="G213" s="4">
        <f>_xll.ciqfunctions.udf.CIQ(InputTicker, "IQ_DIVEST_CF",Input!I$2,Date,,,Ccy,Conv)</f>
        <v>0</v>
      </c>
      <c r="H213" s="4">
        <f>_xll.ciqfunctions.udf.CIQ(InputTicker, "IQ_DIVEST_CF",Input!J$2,Date,,,Ccy,Conv)</f>
        <v>0</v>
      </c>
      <c r="I213" s="4">
        <f>_xll.ciqfunctions.udf.CIQ(InputTicker, "IQ_DIVEST_CF",Input!K$2,Date,,,Ccy,Conv)</f>
        <v>0</v>
      </c>
      <c r="J213" s="4">
        <f>_xll.ciqfunctions.udf.CIQ(InputTicker, "IQ_DIVEST_CF",Input!L$2,Date,,,Ccy,Conv)</f>
        <v>0</v>
      </c>
      <c r="K213" s="4">
        <f>_xll.ciqfunctions.udf.CIQ(InputTicker, "IQ_DIVEST_CF",Input!M$2,Date,,,Ccy,Conv)</f>
        <v>0</v>
      </c>
      <c r="L213" s="4">
        <f>_xll.ciqfunctions.udf.CIQ(InputTicker, "IQ_DIVEST_CF",Input!N$2,Date,,,Ccy,Conv)</f>
        <v>0</v>
      </c>
      <c r="M213" s="4">
        <f>_xll.ciqfunctions.udf.CIQ(InputTicker, "IQ_DIVEST_CF",Input!O$2,Date,,,Ccy,Conv)</f>
        <v>0</v>
      </c>
      <c r="N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</row>
    <row r="214" spans="1:66" ht="12.75" customHeight="1" x14ac:dyDescent="0.2">
      <c r="A214" s="1" t="s">
        <v>279</v>
      </c>
      <c r="B214" s="4">
        <f>_xll.ciqfunctions.udf.CIQ(InputTicker, "IQ_SALE_REAL_ESTATE_CF",Input!D$2,Date,,,Ccy,Conv)</f>
        <v>0</v>
      </c>
      <c r="C214" s="4">
        <f>_xll.ciqfunctions.udf.CIQ(InputTicker, "IQ_SALE_REAL_ESTATE_CF",Input!E$2,Date,,,Ccy,Conv)</f>
        <v>0</v>
      </c>
      <c r="D214" s="4">
        <f>_xll.ciqfunctions.udf.CIQ(InputTicker, "IQ_SALE_REAL_ESTATE_CF",Input!F$2,Date,,,Ccy,Conv)</f>
        <v>0</v>
      </c>
      <c r="E214" s="4">
        <f>_xll.ciqfunctions.udf.CIQ(InputTicker, "IQ_SALE_REAL_ESTATE_CF",Input!G$2,Date,,,Ccy,Conv)</f>
        <v>0</v>
      </c>
      <c r="F214" s="4">
        <f>_xll.ciqfunctions.udf.CIQ(InputTicker, "IQ_SALE_REAL_ESTATE_CF",Input!H$2,Date,,,Ccy,Conv)</f>
        <v>0</v>
      </c>
      <c r="G214" s="4">
        <f>_xll.ciqfunctions.udf.CIQ(InputTicker, "IQ_SALE_REAL_ESTATE_CF",Input!I$2,Date,,,Ccy,Conv)</f>
        <v>0</v>
      </c>
      <c r="H214" s="4">
        <f>_xll.ciqfunctions.udf.CIQ(InputTicker, "IQ_SALE_REAL_ESTATE_CF",Input!J$2,Date,,,Ccy,Conv)</f>
        <v>0</v>
      </c>
      <c r="I214" s="4">
        <f>_xll.ciqfunctions.udf.CIQ(InputTicker, "IQ_SALE_REAL_ESTATE_CF",Input!K$2,Date,,,Ccy,Conv)</f>
        <v>0</v>
      </c>
      <c r="J214" s="4">
        <f>_xll.ciqfunctions.udf.CIQ(InputTicker, "IQ_SALE_REAL_ESTATE_CF",Input!L$2,Date,,,Ccy,Conv)</f>
        <v>0</v>
      </c>
      <c r="K214" s="4">
        <f>_xll.ciqfunctions.udf.CIQ(InputTicker, "IQ_SALE_REAL_ESTATE_CF",Input!M$2,Date,,,Ccy,Conv)</f>
        <v>0</v>
      </c>
      <c r="L214" s="4">
        <f>_xll.ciqfunctions.udf.CIQ(InputTicker, "IQ_SALE_REAL_ESTATE_CF",Input!N$2,Date,,,Ccy,Conv)</f>
        <v>0</v>
      </c>
      <c r="M214" s="4">
        <f>_xll.ciqfunctions.udf.CIQ(InputTicker, "IQ_SALE_REAL_ESTATE_CF",Input!O$2,Date,,,Ccy,Conv)</f>
        <v>0</v>
      </c>
      <c r="N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</row>
    <row r="215" spans="1:66" ht="12.75" customHeight="1" x14ac:dyDescent="0.2">
      <c r="A215" s="1" t="s">
        <v>280</v>
      </c>
      <c r="B215" s="4">
        <f>_xll.ciqfunctions.udf.CIQ(InputTicker, "IQ_SALE_INTAN_CF",Input!D$2,Date,,,Ccy,Conv)</f>
        <v>0</v>
      </c>
      <c r="C215" s="4">
        <f>_xll.ciqfunctions.udf.CIQ(InputTicker, "IQ_SALE_INTAN_CF",Input!E$2,Date,,,Ccy,Conv)</f>
        <v>0</v>
      </c>
      <c r="D215" s="4">
        <f>_xll.ciqfunctions.udf.CIQ(InputTicker, "IQ_SALE_INTAN_CF",Input!F$2,Date,,,Ccy,Conv)</f>
        <v>0</v>
      </c>
      <c r="E215" s="4">
        <f>_xll.ciqfunctions.udf.CIQ(InputTicker, "IQ_SALE_INTAN_CF",Input!G$2,Date,,,Ccy,Conv)</f>
        <v>0</v>
      </c>
      <c r="F215" s="4">
        <f>_xll.ciqfunctions.udf.CIQ(InputTicker, "IQ_SALE_INTAN_CF",Input!H$2,Date,,,Ccy,Conv)</f>
        <v>0</v>
      </c>
      <c r="G215" s="4">
        <f>_xll.ciqfunctions.udf.CIQ(InputTicker, "IQ_SALE_INTAN_CF",Input!I$2,Date,,,Ccy,Conv)</f>
        <v>0</v>
      </c>
      <c r="H215" s="4">
        <f>_xll.ciqfunctions.udf.CIQ(InputTicker, "IQ_SALE_INTAN_CF",Input!J$2,Date,,,Ccy,Conv)</f>
        <v>0</v>
      </c>
      <c r="I215" s="4">
        <f>_xll.ciqfunctions.udf.CIQ(InputTicker, "IQ_SALE_INTAN_CF",Input!K$2,Date,,,Ccy,Conv)</f>
        <v>0</v>
      </c>
      <c r="J215" s="4">
        <f>_xll.ciqfunctions.udf.CIQ(InputTicker, "IQ_SALE_INTAN_CF",Input!L$2,Date,,,Ccy,Conv)</f>
        <v>0</v>
      </c>
      <c r="K215" s="4">
        <f>_xll.ciqfunctions.udf.CIQ(InputTicker, "IQ_SALE_INTAN_CF",Input!M$2,Date,,,Ccy,Conv)</f>
        <v>0</v>
      </c>
      <c r="L215" s="4">
        <f>_xll.ciqfunctions.udf.CIQ(InputTicker, "IQ_SALE_INTAN_CF",Input!N$2,Date,,,Ccy,Conv)</f>
        <v>0</v>
      </c>
      <c r="M215" s="4">
        <f>_xll.ciqfunctions.udf.CIQ(InputTicker, "IQ_SALE_INTAN_CF",Input!O$2,Date,,,Ccy,Conv)</f>
        <v>0</v>
      </c>
      <c r="N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</row>
    <row r="216" spans="1:66" ht="12.75" customHeight="1" x14ac:dyDescent="0.2">
      <c r="A216" s="1" t="s">
        <v>281</v>
      </c>
      <c r="B216" s="4">
        <f>_xll.ciqfunctions.udf.CIQ(InputTicker, "IQ_INVEST_SECURITY_CF",Input!D$2,Date,,,Ccy,Conv)</f>
        <v>-151.31</v>
      </c>
      <c r="C216" s="4">
        <f>_xll.ciqfunctions.udf.CIQ(InputTicker, "IQ_INVEST_SECURITY_CF",Input!E$2,Date,,,Ccy,Conv)</f>
        <v>198.54300000000001</v>
      </c>
      <c r="D216" s="4">
        <f>_xll.ciqfunctions.udf.CIQ(InputTicker, "IQ_INVEST_SECURITY_CF",Input!F$2,Date,,,Ccy,Conv)</f>
        <v>-145.142</v>
      </c>
      <c r="E216" s="4">
        <f>_xll.ciqfunctions.udf.CIQ(InputTicker, "IQ_INVEST_SECURITY_CF",Input!G$2,Date,,,Ccy,Conv)</f>
        <v>36.485999999999997</v>
      </c>
      <c r="F216" s="4">
        <f>_xll.ciqfunctions.udf.CIQ(InputTicker, "IQ_INVEST_SECURITY_CF",Input!H$2,Date,,,Ccy,Conv)</f>
        <v>104.157</v>
      </c>
      <c r="G216" s="4">
        <f>_xll.ciqfunctions.udf.CIQ(InputTicker, "IQ_INVEST_SECURITY_CF",Input!I$2,Date,,,Ccy,Conv)</f>
        <v>47.488</v>
      </c>
      <c r="H216" s="4">
        <f>_xll.ciqfunctions.udf.CIQ(InputTicker, "IQ_INVEST_SECURITY_CF",Input!J$2,Date,,,Ccy,Conv)</f>
        <v>-8.14</v>
      </c>
      <c r="I216" s="4">
        <f>_xll.ciqfunctions.udf.CIQ(InputTicker, "IQ_INVEST_SECURITY_CF",Input!K$2,Date,,,Ccy,Conv)</f>
        <v>-239.12200000000001</v>
      </c>
      <c r="J216" s="4">
        <f>_xll.ciqfunctions.udf.CIQ(InputTicker, "IQ_INVEST_SECURITY_CF",Input!L$2,Date,,,Ccy,Conv)</f>
        <v>-211.99600000000001</v>
      </c>
      <c r="K216" s="4">
        <f>_xll.ciqfunctions.udf.CIQ(InputTicker, "IQ_INVEST_SECURITY_CF",Input!M$2,Date,,,Ccy,Conv)</f>
        <v>-301.90300000000002</v>
      </c>
      <c r="L216" s="4">
        <f>_xll.ciqfunctions.udf.CIQ(InputTicker, "IQ_INVEST_SECURITY_CF",Input!N$2,Date,,,Ccy,Conv)</f>
        <v>99.578000000000003</v>
      </c>
      <c r="M216" s="4">
        <f>_xll.ciqfunctions.udf.CIQ(InputTicker, "IQ_INVEST_SECURITY_CF",Input!O$2,Date,,,Ccy,Conv)</f>
        <v>99.578000000000003</v>
      </c>
      <c r="N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</row>
    <row r="217" spans="1:66" ht="12.75" customHeight="1" x14ac:dyDescent="0.2">
      <c r="A217" s="1" t="s">
        <v>149</v>
      </c>
      <c r="B217" s="4">
        <f>_xll.ciqfunctions.udf.CIQ(InputTicker, "IQ_INVEST_LOANS_CF",Input!D$2,Date,,,Ccy,Conv)</f>
        <v>0</v>
      </c>
      <c r="C217" s="4">
        <f>_xll.ciqfunctions.udf.CIQ(InputTicker, "IQ_INVEST_LOANS_CF",Input!E$2,Date,,,Ccy,Conv)</f>
        <v>0</v>
      </c>
      <c r="D217" s="4">
        <f>_xll.ciqfunctions.udf.CIQ(InputTicker, "IQ_INVEST_LOANS_CF",Input!F$2,Date,,,Ccy,Conv)</f>
        <v>0</v>
      </c>
      <c r="E217" s="4">
        <f>_xll.ciqfunctions.udf.CIQ(InputTicker, "IQ_INVEST_LOANS_CF",Input!G$2,Date,,,Ccy,Conv)</f>
        <v>0</v>
      </c>
      <c r="F217" s="4">
        <f>_xll.ciqfunctions.udf.CIQ(InputTicker, "IQ_INVEST_LOANS_CF",Input!H$2,Date,,,Ccy,Conv)</f>
        <v>0</v>
      </c>
      <c r="G217" s="4">
        <f>_xll.ciqfunctions.udf.CIQ(InputTicker, "IQ_INVEST_LOANS_CF",Input!I$2,Date,,,Ccy,Conv)</f>
        <v>0</v>
      </c>
      <c r="H217" s="4">
        <f>_xll.ciqfunctions.udf.CIQ(InputTicker, "IQ_INVEST_LOANS_CF",Input!J$2,Date,,,Ccy,Conv)</f>
        <v>0</v>
      </c>
      <c r="I217" s="4">
        <f>_xll.ciqfunctions.udf.CIQ(InputTicker, "IQ_INVEST_LOANS_CF",Input!K$2,Date,,,Ccy,Conv)</f>
        <v>0</v>
      </c>
      <c r="J217" s="4">
        <f>_xll.ciqfunctions.udf.CIQ(InputTicker, "IQ_INVEST_LOANS_CF",Input!L$2,Date,,,Ccy,Conv)</f>
        <v>0</v>
      </c>
      <c r="K217" s="4">
        <f>_xll.ciqfunctions.udf.CIQ(InputTicker, "IQ_INVEST_LOANS_CF",Input!M$2,Date,,,Ccy,Conv)</f>
        <v>0</v>
      </c>
      <c r="L217" s="4">
        <f>_xll.ciqfunctions.udf.CIQ(InputTicker, "IQ_INVEST_LOANS_CF",Input!N$2,Date,,,Ccy,Conv)</f>
        <v>0</v>
      </c>
      <c r="M217" s="4">
        <f>_xll.ciqfunctions.udf.CIQ(InputTicker, "IQ_INVEST_LOANS_CF",Input!O$2,Date,,,Ccy,Conv)</f>
        <v>0</v>
      </c>
      <c r="N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2"/>
    </row>
    <row r="218" spans="1:66" ht="12.75" customHeight="1" x14ac:dyDescent="0.2">
      <c r="A218" s="1" t="s">
        <v>150</v>
      </c>
      <c r="B218" s="4">
        <f>_xll.ciqfunctions.udf.CIQ(InputTicker, "IQ_OTHER_INVEST_ACT_SUPPL",Input!D$2,Date,,,Ccy,Conv)</f>
        <v>5.4269999999999996</v>
      </c>
      <c r="C218" s="4">
        <f>_xll.ciqfunctions.udf.CIQ(InputTicker, "IQ_OTHER_INVEST_ACT_SUPPL",Input!E$2,Date,,,Ccy,Conv)</f>
        <v>6.5860000000000003</v>
      </c>
      <c r="D218" s="4">
        <f>_xll.ciqfunctions.udf.CIQ(InputTicker, "IQ_OTHER_INVEST_ACT_SUPPL",Input!F$2,Date,,,Ccy,Conv)</f>
        <v>0</v>
      </c>
      <c r="E218" s="4">
        <f>_xll.ciqfunctions.udf.CIQ(InputTicker, "IQ_OTHER_INVEST_ACT_SUPPL",Input!G$2,Date,,,Ccy,Conv)</f>
        <v>0</v>
      </c>
      <c r="F218" s="4">
        <f>_xll.ciqfunctions.udf.CIQ(InputTicker, "IQ_OTHER_INVEST_ACT_SUPPL",Input!H$2,Date,,,Ccy,Conv)</f>
        <v>0</v>
      </c>
      <c r="G218" s="4">
        <f>_xll.ciqfunctions.udf.CIQ(InputTicker, "IQ_OTHER_INVEST_ACT_SUPPL",Input!I$2,Date,,,Ccy,Conv)</f>
        <v>0</v>
      </c>
      <c r="H218" s="4">
        <f>_xll.ciqfunctions.udf.CIQ(InputTicker, "IQ_OTHER_INVEST_ACT_SUPPL",Input!J$2,Date,,,Ccy,Conv)</f>
        <v>7.6550000000000002</v>
      </c>
      <c r="I218" s="4">
        <f>_xll.ciqfunctions.udf.CIQ(InputTicker, "IQ_OTHER_INVEST_ACT_SUPPL",Input!K$2,Date,,,Ccy,Conv)</f>
        <v>0</v>
      </c>
      <c r="J218" s="4">
        <f>_xll.ciqfunctions.udf.CIQ(InputTicker, "IQ_OTHER_INVEST_ACT_SUPPL",Input!L$2,Date,,,Ccy,Conv)</f>
        <v>0</v>
      </c>
      <c r="K218" s="4">
        <f>_xll.ciqfunctions.udf.CIQ(InputTicker, "IQ_OTHER_INVEST_ACT_SUPPL",Input!M$2,Date,,,Ccy,Conv)</f>
        <v>0</v>
      </c>
      <c r="L218" s="4">
        <f>_xll.ciqfunctions.udf.CIQ(InputTicker, "IQ_OTHER_INVEST_ACT_SUPPL",Input!N$2,Date,,,Ccy,Conv)</f>
        <v>0</v>
      </c>
      <c r="M218" s="4">
        <f>_xll.ciqfunctions.udf.CIQ(InputTicker, "IQ_OTHER_INVEST_ACT_SUPPL",Input!O$2,Date,,,Ccy,Conv)</f>
        <v>0</v>
      </c>
      <c r="N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</row>
    <row r="219" spans="1:66" ht="12.75" customHeight="1" thickBot="1" x14ac:dyDescent="0.25">
      <c r="A219" s="5" t="s">
        <v>108</v>
      </c>
      <c r="B219" s="9">
        <f>_xll.ciqfunctions.udf.CIQ(InputTicker, "IQ_CASH_INVEST",Input!D$2,Date,,,Ccy,Conv)</f>
        <v>-219.148</v>
      </c>
      <c r="C219" s="9">
        <f>_xll.ciqfunctions.udf.CIQ(InputTicker, "IQ_CASH_INVEST",Input!E$2,Date,,,Ccy,Conv)</f>
        <v>52.734000000000002</v>
      </c>
      <c r="D219" s="9">
        <f>_xll.ciqfunctions.udf.CIQ(InputTicker, "IQ_CASH_INVEST",Input!F$2,Date,,,Ccy,Conv)</f>
        <v>-163.85</v>
      </c>
      <c r="E219" s="9">
        <f>_xll.ciqfunctions.udf.CIQ(InputTicker, "IQ_CASH_INVEST",Input!G$2,Date,,,Ccy,Conv)</f>
        <v>-47.817</v>
      </c>
      <c r="F219" s="9">
        <f>_xll.ciqfunctions.udf.CIQ(InputTicker, "IQ_CASH_INVEST",Input!H$2,Date,,,Ccy,Conv)</f>
        <v>-61.365000000000002</v>
      </c>
      <c r="G219" s="9">
        <f>_xll.ciqfunctions.udf.CIQ(InputTicker, "IQ_CASH_INVEST",Input!I$2,Date,,,Ccy,Conv)</f>
        <v>-44.191000000000003</v>
      </c>
      <c r="H219" s="9">
        <f>_xll.ciqfunctions.udf.CIQ(InputTicker, "IQ_CASH_INVEST",Input!J$2,Date,,,Ccy,Conv)</f>
        <v>-117.021</v>
      </c>
      <c r="I219" s="9">
        <f>_xll.ciqfunctions.udf.CIQ(InputTicker, "IQ_CASH_INVEST",Input!K$2,Date,,,Ccy,Conv)</f>
        <v>-375.11099999999999</v>
      </c>
      <c r="J219" s="9">
        <f>_xll.ciqfunctions.udf.CIQ(InputTicker, "IQ_CASH_INVEST",Input!L$2,Date,,,Ccy,Conv)</f>
        <v>-412.58600000000001</v>
      </c>
      <c r="K219" s="9">
        <f>_xll.ciqfunctions.udf.CIQ(InputTicker, "IQ_CASH_INVEST",Input!M$2,Date,,,Ccy,Conv)</f>
        <v>-575.46900000000005</v>
      </c>
      <c r="L219" s="9">
        <f>_xll.ciqfunctions.udf.CIQ(InputTicker, "IQ_CASH_INVEST",Input!N$2,Date,,,Ccy,Conv)</f>
        <v>-503.88400000000001</v>
      </c>
      <c r="M219" s="9">
        <f>_xll.ciqfunctions.udf.CIQ(InputTicker, "IQ_CASH_INVEST",Input!O$2,Date,,,Ccy,Conv)</f>
        <v>-503.88400000000001</v>
      </c>
      <c r="N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</row>
    <row r="220" spans="1:66" ht="12.75" customHeight="1" thickTop="1" x14ac:dyDescent="0.2">
      <c r="A220" s="1" t="s">
        <v>109</v>
      </c>
      <c r="B220" s="4">
        <f>_xll.ciqfunctions.udf.CIQ(InputTicker, "IQ_ST_DEBT_ISSUED",Input!D$2,Date,,,Ccy,Conv)</f>
        <v>0</v>
      </c>
      <c r="C220" s="4">
        <f>_xll.ciqfunctions.udf.CIQ(InputTicker, "IQ_ST_DEBT_ISSUED",Input!E$2,Date,,,Ccy,Conv)</f>
        <v>0</v>
      </c>
      <c r="D220" s="4">
        <f>_xll.ciqfunctions.udf.CIQ(InputTicker, "IQ_ST_DEBT_ISSUED",Input!F$2,Date,,,Ccy,Conv)</f>
        <v>0</v>
      </c>
      <c r="E220" s="4">
        <f>_xll.ciqfunctions.udf.CIQ(InputTicker, "IQ_ST_DEBT_ISSUED",Input!G$2,Date,,,Ccy,Conv)</f>
        <v>0</v>
      </c>
      <c r="F220" s="4">
        <f>_xll.ciqfunctions.udf.CIQ(InputTicker, "IQ_ST_DEBT_ISSUED",Input!H$2,Date,,,Ccy,Conv)</f>
        <v>0</v>
      </c>
      <c r="G220" s="4">
        <f>_xll.ciqfunctions.udf.CIQ(InputTicker, "IQ_ST_DEBT_ISSUED",Input!I$2,Date,,,Ccy,Conv)</f>
        <v>0</v>
      </c>
      <c r="H220" s="4">
        <f>_xll.ciqfunctions.udf.CIQ(InputTicker, "IQ_ST_DEBT_ISSUED",Input!J$2,Date,,,Ccy,Conv)</f>
        <v>0</v>
      </c>
      <c r="I220" s="4">
        <f>_xll.ciqfunctions.udf.CIQ(InputTicker, "IQ_ST_DEBT_ISSUED",Input!K$2,Date,,,Ccy,Conv)</f>
        <v>0</v>
      </c>
      <c r="J220" s="4">
        <f>_xll.ciqfunctions.udf.CIQ(InputTicker, "IQ_ST_DEBT_ISSUED",Input!L$2,Date,,,Ccy,Conv)</f>
        <v>0</v>
      </c>
      <c r="K220" s="4">
        <f>_xll.ciqfunctions.udf.CIQ(InputTicker, "IQ_ST_DEBT_ISSUED",Input!M$2,Date,,,Ccy,Conv)</f>
        <v>0</v>
      </c>
      <c r="L220" s="4">
        <f>_xll.ciqfunctions.udf.CIQ(InputTicker, "IQ_ST_DEBT_ISSUED",Input!N$2,Date,,,Ccy,Conv)</f>
        <v>0</v>
      </c>
      <c r="M220" s="4">
        <f>_xll.ciqfunctions.udf.CIQ(InputTicker, "IQ_ST_DEBT_ISSUED",Input!O$2,Date,,,Ccy,Conv)</f>
        <v>0</v>
      </c>
      <c r="N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</row>
    <row r="221" spans="1:66" ht="12.75" customHeight="1" x14ac:dyDescent="0.2">
      <c r="A221" s="1" t="s">
        <v>110</v>
      </c>
      <c r="B221" s="4">
        <f>_xll.ciqfunctions.udf.CIQ(InputTicker, "IQ_LT_DEBT_ISSUED",Input!D$2,Date,,,Ccy,Conv)</f>
        <v>0</v>
      </c>
      <c r="C221" s="4">
        <f>_xll.ciqfunctions.udf.CIQ(InputTicker, "IQ_LT_DEBT_ISSUED",Input!E$2,Date,,,Ccy,Conv)</f>
        <v>0</v>
      </c>
      <c r="D221" s="4">
        <f>_xll.ciqfunctions.udf.CIQ(InputTicker, "IQ_LT_DEBT_ISSUED",Input!F$2,Date,,,Ccy,Conv)</f>
        <v>0</v>
      </c>
      <c r="E221" s="4">
        <f>_xll.ciqfunctions.udf.CIQ(InputTicker, "IQ_LT_DEBT_ISSUED",Input!G$2,Date,,,Ccy,Conv)</f>
        <v>0</v>
      </c>
      <c r="F221" s="4">
        <f>_xll.ciqfunctions.udf.CIQ(InputTicker, "IQ_LT_DEBT_ISSUED",Input!H$2,Date,,,Ccy,Conv)</f>
        <v>0</v>
      </c>
      <c r="G221" s="4">
        <f>_xll.ciqfunctions.udf.CIQ(InputTicker, "IQ_LT_DEBT_ISSUED",Input!I$2,Date,,,Ccy,Conv)</f>
        <v>0</v>
      </c>
      <c r="H221" s="4">
        <f>_xll.ciqfunctions.udf.CIQ(InputTicker, "IQ_LT_DEBT_ISSUED",Input!J$2,Date,,,Ccy,Conv)</f>
        <v>0</v>
      </c>
      <c r="I221" s="4">
        <f>_xll.ciqfunctions.udf.CIQ(InputTicker, "IQ_LT_DEBT_ISSUED",Input!K$2,Date,,,Ccy,Conv)</f>
        <v>0</v>
      </c>
      <c r="J221" s="4">
        <f>_xll.ciqfunctions.udf.CIQ(InputTicker, "IQ_LT_DEBT_ISSUED",Input!L$2,Date,,,Ccy,Conv)</f>
        <v>0</v>
      </c>
      <c r="K221" s="4">
        <f>_xll.ciqfunctions.udf.CIQ(InputTicker, "IQ_LT_DEBT_ISSUED",Input!M$2,Date,,,Ccy,Conv)</f>
        <v>0</v>
      </c>
      <c r="L221" s="4">
        <f>_xll.ciqfunctions.udf.CIQ(InputTicker, "IQ_LT_DEBT_ISSUED",Input!N$2,Date,,,Ccy,Conv)</f>
        <v>0</v>
      </c>
      <c r="M221" s="4">
        <f>_xll.ciqfunctions.udf.CIQ(InputTicker, "IQ_LT_DEBT_ISSUED",Input!O$2,Date,,,Ccy,Conv)</f>
        <v>0</v>
      </c>
      <c r="N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</row>
    <row r="222" spans="1:66" ht="12.75" customHeight="1" x14ac:dyDescent="0.2">
      <c r="A222" s="5" t="s">
        <v>111</v>
      </c>
      <c r="B222" s="6">
        <f>_xll.ciqfunctions.udf.CIQ(InputTicker, "IQ_TOTAL_DEBT_ISSUED",Input!D$2,Date,,,Ccy,Conv)</f>
        <v>0</v>
      </c>
      <c r="C222" s="6">
        <f>_xll.ciqfunctions.udf.CIQ(InputTicker, "IQ_TOTAL_DEBT_ISSUED",Input!E$2,Date,,,Ccy,Conv)</f>
        <v>0</v>
      </c>
      <c r="D222" s="6">
        <f>_xll.ciqfunctions.udf.CIQ(InputTicker, "IQ_TOTAL_DEBT_ISSUED",Input!F$2,Date,,,Ccy,Conv)</f>
        <v>0</v>
      </c>
      <c r="E222" s="6">
        <f>_xll.ciqfunctions.udf.CIQ(InputTicker, "IQ_TOTAL_DEBT_ISSUED",Input!G$2,Date,,,Ccy,Conv)</f>
        <v>0</v>
      </c>
      <c r="F222" s="6">
        <f>_xll.ciqfunctions.udf.CIQ(InputTicker, "IQ_TOTAL_DEBT_ISSUED",Input!H$2,Date,,,Ccy,Conv)</f>
        <v>0</v>
      </c>
      <c r="G222" s="6">
        <f>_xll.ciqfunctions.udf.CIQ(InputTicker, "IQ_TOTAL_DEBT_ISSUED",Input!I$2,Date,,,Ccy,Conv)</f>
        <v>0</v>
      </c>
      <c r="H222" s="6">
        <f>_xll.ciqfunctions.udf.CIQ(InputTicker, "IQ_TOTAL_DEBT_ISSUED",Input!J$2,Date,,,Ccy,Conv)</f>
        <v>0</v>
      </c>
      <c r="I222" s="6">
        <f>_xll.ciqfunctions.udf.CIQ(InputTicker, "IQ_TOTAL_DEBT_ISSUED",Input!K$2,Date,,,Ccy,Conv)</f>
        <v>0</v>
      </c>
      <c r="J222" s="6">
        <f>_xll.ciqfunctions.udf.CIQ(InputTicker, "IQ_TOTAL_DEBT_ISSUED",Input!L$2,Date,,,Ccy,Conv)</f>
        <v>0</v>
      </c>
      <c r="K222" s="6">
        <f>_xll.ciqfunctions.udf.CIQ(InputTicker, "IQ_TOTAL_DEBT_ISSUED",Input!M$2,Date,,,Ccy,Conv)</f>
        <v>0</v>
      </c>
      <c r="L222" s="6">
        <f>_xll.ciqfunctions.udf.CIQ(InputTicker, "IQ_TOTAL_DEBT_ISSUED",Input!N$2,Date,,,Ccy,Conv)</f>
        <v>0</v>
      </c>
      <c r="M222" s="6">
        <f>_xll.ciqfunctions.udf.CIQ(InputTicker, "IQ_TOTAL_DEBT_ISSUED",Input!O$2,Date,,,Ccy,Conv)</f>
        <v>0</v>
      </c>
      <c r="N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  <c r="BN222" s="42"/>
    </row>
    <row r="223" spans="1:66" ht="12.75" customHeight="1" x14ac:dyDescent="0.2">
      <c r="A223" s="1" t="s">
        <v>112</v>
      </c>
      <c r="B223" s="4">
        <f>_xll.ciqfunctions.udf.CIQ(InputTicker, "IQ_ST_DEBT_REPAID",Input!D$2,Date,,,Ccy,Conv)</f>
        <v>0</v>
      </c>
      <c r="C223" s="4">
        <f>_xll.ciqfunctions.udf.CIQ(InputTicker, "IQ_ST_DEBT_REPAID",Input!E$2,Date,,,Ccy,Conv)</f>
        <v>0</v>
      </c>
      <c r="D223" s="4">
        <f>_xll.ciqfunctions.udf.CIQ(InputTicker, "IQ_ST_DEBT_REPAID",Input!F$2,Date,,,Ccy,Conv)</f>
        <v>0</v>
      </c>
      <c r="E223" s="4">
        <f>_xll.ciqfunctions.udf.CIQ(InputTicker, "IQ_ST_DEBT_REPAID",Input!G$2,Date,,,Ccy,Conv)</f>
        <v>0</v>
      </c>
      <c r="F223" s="4">
        <f>_xll.ciqfunctions.udf.CIQ(InputTicker, "IQ_ST_DEBT_REPAID",Input!H$2,Date,,,Ccy,Conv)</f>
        <v>0</v>
      </c>
      <c r="G223" s="4">
        <f>_xll.ciqfunctions.udf.CIQ(InputTicker, "IQ_ST_DEBT_REPAID",Input!I$2,Date,,,Ccy,Conv)</f>
        <v>0</v>
      </c>
      <c r="H223" s="4">
        <f>_xll.ciqfunctions.udf.CIQ(InputTicker, "IQ_ST_DEBT_REPAID",Input!J$2,Date,,,Ccy,Conv)</f>
        <v>0</v>
      </c>
      <c r="I223" s="4">
        <f>_xll.ciqfunctions.udf.CIQ(InputTicker, "IQ_ST_DEBT_REPAID",Input!K$2,Date,,,Ccy,Conv)</f>
        <v>0</v>
      </c>
      <c r="J223" s="4">
        <f>_xll.ciqfunctions.udf.CIQ(InputTicker, "IQ_ST_DEBT_REPAID",Input!L$2,Date,,,Ccy,Conv)</f>
        <v>0</v>
      </c>
      <c r="K223" s="4">
        <f>_xll.ciqfunctions.udf.CIQ(InputTicker, "IQ_ST_DEBT_REPAID",Input!M$2,Date,,,Ccy,Conv)</f>
        <v>0</v>
      </c>
      <c r="L223" s="4">
        <f>_xll.ciqfunctions.udf.CIQ(InputTicker, "IQ_ST_DEBT_REPAID",Input!N$2,Date,,,Ccy,Conv)</f>
        <v>0</v>
      </c>
      <c r="M223" s="4">
        <f>_xll.ciqfunctions.udf.CIQ(InputTicker, "IQ_ST_DEBT_REPAID",Input!O$2,Date,,,Ccy,Conv)</f>
        <v>0</v>
      </c>
      <c r="N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  <c r="BN223" s="42"/>
    </row>
    <row r="224" spans="1:66" ht="12.75" customHeight="1" x14ac:dyDescent="0.2">
      <c r="A224" s="1" t="s">
        <v>113</v>
      </c>
      <c r="B224" s="4">
        <f>_xll.ciqfunctions.udf.CIQ(InputTicker, "IQ_LT_DEBT_REPAID",Input!D$2,Date,,,Ccy,Conv)</f>
        <v>-25.29</v>
      </c>
      <c r="C224" s="4">
        <f>_xll.ciqfunctions.udf.CIQ(InputTicker, "IQ_LT_DEBT_REPAID",Input!E$2,Date,,,Ccy,Conv)</f>
        <v>-16.510000000000002</v>
      </c>
      <c r="D224" s="4">
        <f>_xll.ciqfunctions.udf.CIQ(InputTicker, "IQ_LT_DEBT_REPAID",Input!F$2,Date,,,Ccy,Conv)</f>
        <v>-4.8490000000000002</v>
      </c>
      <c r="E224" s="4">
        <f>_xll.ciqfunctions.udf.CIQ(InputTicker, "IQ_LT_DEBT_REPAID",Input!G$2,Date,,,Ccy,Conv)</f>
        <v>-3.754</v>
      </c>
      <c r="F224" s="4">
        <f>_xll.ciqfunctions.udf.CIQ(InputTicker, "IQ_LT_DEBT_REPAID",Input!H$2,Date,,,Ccy,Conv)</f>
        <v>-1.696</v>
      </c>
      <c r="G224" s="4">
        <f>_xll.ciqfunctions.udf.CIQ(InputTicker, "IQ_LT_DEBT_REPAID",Input!I$2,Date,,,Ccy,Conv)</f>
        <v>-0.20499999999999999</v>
      </c>
      <c r="H224" s="4">
        <f>_xll.ciqfunctions.udf.CIQ(InputTicker, "IQ_LT_DEBT_REPAID",Input!J$2,Date,,,Ccy,Conv)</f>
        <v>-0.215</v>
      </c>
      <c r="I224" s="4">
        <f>_xll.ciqfunctions.udf.CIQ(InputTicker, "IQ_LT_DEBT_REPAID",Input!K$2,Date,,,Ccy,Conv)</f>
        <v>-0.224</v>
      </c>
      <c r="J224" s="4">
        <f>_xll.ciqfunctions.udf.CIQ(InputTicker, "IQ_LT_DEBT_REPAID",Input!L$2,Date,,,Ccy,Conv)</f>
        <v>-0.214</v>
      </c>
      <c r="K224" s="4">
        <f>_xll.ciqfunctions.udf.CIQ(InputTicker, "IQ_LT_DEBT_REPAID",Input!M$2,Date,,,Ccy,Conv)</f>
        <v>-2.4809999999999999</v>
      </c>
      <c r="L224" s="4">
        <f>_xll.ciqfunctions.udf.CIQ(InputTicker, "IQ_LT_DEBT_REPAID",Input!N$2,Date,,,Ccy,Conv)</f>
        <v>0</v>
      </c>
      <c r="M224" s="4">
        <f>_xll.ciqfunctions.udf.CIQ(InputTicker, "IQ_LT_DEBT_REPAID",Input!O$2,Date,,,Ccy,Conv)</f>
        <v>0</v>
      </c>
      <c r="N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/>
      <c r="BN224" s="42"/>
    </row>
    <row r="225" spans="1:66" ht="12.75" customHeight="1" x14ac:dyDescent="0.2">
      <c r="A225" s="5" t="s">
        <v>114</v>
      </c>
      <c r="B225" s="6">
        <f>_xll.ciqfunctions.udf.CIQ(InputTicker, "IQ_TOTAL_DEBT_REPAID",Input!D$2,Date,,,Ccy,Conv)</f>
        <v>-25.29</v>
      </c>
      <c r="C225" s="6">
        <f>_xll.ciqfunctions.udf.CIQ(InputTicker, "IQ_TOTAL_DEBT_REPAID",Input!E$2,Date,,,Ccy,Conv)</f>
        <v>-16.510000000000002</v>
      </c>
      <c r="D225" s="6">
        <f>_xll.ciqfunctions.udf.CIQ(InputTicker, "IQ_TOTAL_DEBT_REPAID",Input!F$2,Date,,,Ccy,Conv)</f>
        <v>-4.8490000000000002</v>
      </c>
      <c r="E225" s="6">
        <f>_xll.ciqfunctions.udf.CIQ(InputTicker, "IQ_TOTAL_DEBT_REPAID",Input!G$2,Date,,,Ccy,Conv)</f>
        <v>-3.754</v>
      </c>
      <c r="F225" s="6">
        <f>_xll.ciqfunctions.udf.CIQ(InputTicker, "IQ_TOTAL_DEBT_REPAID",Input!H$2,Date,,,Ccy,Conv)</f>
        <v>-1.696</v>
      </c>
      <c r="G225" s="6">
        <f>_xll.ciqfunctions.udf.CIQ(InputTicker, "IQ_TOTAL_DEBT_REPAID",Input!I$2,Date,,,Ccy,Conv)</f>
        <v>-0.20499999999999999</v>
      </c>
      <c r="H225" s="6">
        <f>_xll.ciqfunctions.udf.CIQ(InputTicker, "IQ_TOTAL_DEBT_REPAID",Input!J$2,Date,,,Ccy,Conv)</f>
        <v>-0.215</v>
      </c>
      <c r="I225" s="6">
        <f>_xll.ciqfunctions.udf.CIQ(InputTicker, "IQ_TOTAL_DEBT_REPAID",Input!K$2,Date,,,Ccy,Conv)</f>
        <v>-0.224</v>
      </c>
      <c r="J225" s="6">
        <f>_xll.ciqfunctions.udf.CIQ(InputTicker, "IQ_TOTAL_DEBT_REPAID",Input!L$2,Date,,,Ccy,Conv)</f>
        <v>-0.214</v>
      </c>
      <c r="K225" s="6">
        <f>_xll.ciqfunctions.udf.CIQ(InputTicker, "IQ_TOTAL_DEBT_REPAID",Input!M$2,Date,,,Ccy,Conv)</f>
        <v>-2.4809999999999999</v>
      </c>
      <c r="L225" s="6">
        <f>_xll.ciqfunctions.udf.CIQ(InputTicker, "IQ_TOTAL_DEBT_REPAID",Input!N$2,Date,,,Ccy,Conv)</f>
        <v>0</v>
      </c>
      <c r="M225" s="6">
        <f>_xll.ciqfunctions.udf.CIQ(InputTicker, "IQ_TOTAL_DEBT_REPAID",Input!O$2,Date,,,Ccy,Conv)</f>
        <v>0</v>
      </c>
      <c r="N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</row>
    <row r="226" spans="1:66" ht="12.75" customHeight="1" x14ac:dyDescent="0.2">
      <c r="A226" s="1" t="s">
        <v>115</v>
      </c>
      <c r="B226" s="4">
        <f>_xll.ciqfunctions.udf.CIQ(InputTicker, "IQ_COMMON_ISSUED",Input!D$2,Date,,,Ccy,Conv)</f>
        <v>0</v>
      </c>
      <c r="C226" s="4">
        <f>_xll.ciqfunctions.udf.CIQ(InputTicker, "IQ_COMMON_ISSUED",Input!E$2,Date,,,Ccy,Conv)</f>
        <v>0</v>
      </c>
      <c r="D226" s="4">
        <f>_xll.ciqfunctions.udf.CIQ(InputTicker, "IQ_COMMON_ISSUED",Input!F$2,Date,,,Ccy,Conv)</f>
        <v>0</v>
      </c>
      <c r="E226" s="4">
        <f>_xll.ciqfunctions.udf.CIQ(InputTicker, "IQ_COMMON_ISSUED",Input!G$2,Date,,,Ccy,Conv)</f>
        <v>0</v>
      </c>
      <c r="F226" s="4">
        <f>_xll.ciqfunctions.udf.CIQ(InputTicker, "IQ_COMMON_ISSUED",Input!H$2,Date,,,Ccy,Conv)</f>
        <v>0</v>
      </c>
      <c r="G226" s="4">
        <f>_xll.ciqfunctions.udf.CIQ(InputTicker, "IQ_COMMON_ISSUED",Input!I$2,Date,,,Ccy,Conv)</f>
        <v>5.0000000000000001E-3</v>
      </c>
      <c r="H226" s="4">
        <f>_xll.ciqfunctions.udf.CIQ(InputTicker, "IQ_COMMON_ISSUED",Input!J$2,Date,,,Ccy,Conv)</f>
        <v>3.0000000000000001E-3</v>
      </c>
      <c r="I226" s="4">
        <f>_xll.ciqfunctions.udf.CIQ(InputTicker, "IQ_COMMON_ISSUED",Input!K$2,Date,,,Ccy,Conv)</f>
        <v>0</v>
      </c>
      <c r="J226" s="4">
        <f>_xll.ciqfunctions.udf.CIQ(InputTicker, "IQ_COMMON_ISSUED",Input!L$2,Date,,,Ccy,Conv)</f>
        <v>0</v>
      </c>
      <c r="K226" s="4">
        <f>_xll.ciqfunctions.udf.CIQ(InputTicker, "IQ_COMMON_ISSUED",Input!M$2,Date,,,Ccy,Conv)</f>
        <v>0</v>
      </c>
      <c r="L226" s="4">
        <f>_xll.ciqfunctions.udf.CIQ(InputTicker, "IQ_COMMON_ISSUED",Input!N$2,Date,,,Ccy,Conv)</f>
        <v>0</v>
      </c>
      <c r="M226" s="4">
        <f>_xll.ciqfunctions.udf.CIQ(InputTicker, "IQ_COMMON_ISSUED",Input!O$2,Date,,,Ccy,Conv)</f>
        <v>0</v>
      </c>
      <c r="N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</row>
    <row r="227" spans="1:66" ht="12.75" customHeight="1" x14ac:dyDescent="0.2">
      <c r="A227" s="1" t="s">
        <v>116</v>
      </c>
      <c r="B227" s="4">
        <f>_xll.ciqfunctions.udf.CIQ(InputTicker, "IQ_COMMON_REP",Input!D$2,Date,,,Ccy,Conv)</f>
        <v>-1.847</v>
      </c>
      <c r="C227" s="4">
        <f>_xll.ciqfunctions.udf.CIQ(InputTicker, "IQ_COMMON_REP",Input!E$2,Date,,,Ccy,Conv)</f>
        <v>-1.7150000000000001</v>
      </c>
      <c r="D227" s="4">
        <f>_xll.ciqfunctions.udf.CIQ(InputTicker, "IQ_COMMON_REP",Input!F$2,Date,,,Ccy,Conv)</f>
        <v>-1.1279999999999999</v>
      </c>
      <c r="E227" s="4">
        <f>_xll.ciqfunctions.udf.CIQ(InputTicker, "IQ_COMMON_REP",Input!G$2,Date,,,Ccy,Conv)</f>
        <v>-0.98499999999999999</v>
      </c>
      <c r="F227" s="4">
        <f>_xll.ciqfunctions.udf.CIQ(InputTicker, "IQ_COMMON_REP",Input!H$2,Date,,,Ccy,Conv)</f>
        <v>-0.91</v>
      </c>
      <c r="G227" s="4">
        <f>_xll.ciqfunctions.udf.CIQ(InputTicker, "IQ_COMMON_REP",Input!I$2,Date,,,Ccy,Conv)</f>
        <v>-0.871</v>
      </c>
      <c r="H227" s="4">
        <f>_xll.ciqfunctions.udf.CIQ(InputTicker, "IQ_COMMON_REP",Input!J$2,Date,,,Ccy,Conv)</f>
        <v>-1.127</v>
      </c>
      <c r="I227" s="4">
        <f>_xll.ciqfunctions.udf.CIQ(InputTicker, "IQ_COMMON_REP",Input!K$2,Date,,,Ccy,Conv)</f>
        <v>-1.643</v>
      </c>
      <c r="J227" s="4">
        <f>_xll.ciqfunctions.udf.CIQ(InputTicker, "IQ_COMMON_REP",Input!L$2,Date,,,Ccy,Conv)</f>
        <v>-1.6879999999999999</v>
      </c>
      <c r="K227" s="4">
        <f>_xll.ciqfunctions.udf.CIQ(InputTicker, "IQ_COMMON_REP",Input!M$2,Date,,,Ccy,Conv)</f>
        <v>-53.953000000000003</v>
      </c>
      <c r="L227" s="4">
        <f>_xll.ciqfunctions.udf.CIQ(InputTicker, "IQ_COMMON_REP",Input!N$2,Date,,,Ccy,Conv)</f>
        <v>-131.124</v>
      </c>
      <c r="M227" s="4">
        <f>_xll.ciqfunctions.udf.CIQ(InputTicker, "IQ_COMMON_REP",Input!O$2,Date,,,Ccy,Conv)</f>
        <v>-131.124</v>
      </c>
      <c r="N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</row>
    <row r="228" spans="1:66" ht="12.75" customHeight="1" x14ac:dyDescent="0.2">
      <c r="A228" s="1" t="s">
        <v>117</v>
      </c>
      <c r="B228" s="4">
        <f>_xll.ciqfunctions.udf.CIQ(InputTicker, "IQ_PREF_ISSUED",Input!D$2,Date,,,Ccy,Conv)</f>
        <v>0</v>
      </c>
      <c r="C228" s="4">
        <f>_xll.ciqfunctions.udf.CIQ(InputTicker, "IQ_PREF_ISSUED",Input!E$2,Date,,,Ccy,Conv)</f>
        <v>0</v>
      </c>
      <c r="D228" s="4">
        <f>_xll.ciqfunctions.udf.CIQ(InputTicker, "IQ_PREF_ISSUED",Input!F$2,Date,,,Ccy,Conv)</f>
        <v>0</v>
      </c>
      <c r="E228" s="4">
        <f>_xll.ciqfunctions.udf.CIQ(InputTicker, "IQ_PREF_ISSUED",Input!G$2,Date,,,Ccy,Conv)</f>
        <v>0</v>
      </c>
      <c r="F228" s="4">
        <f>_xll.ciqfunctions.udf.CIQ(InputTicker, "IQ_PREF_ISSUED",Input!H$2,Date,,,Ccy,Conv)</f>
        <v>0</v>
      </c>
      <c r="G228" s="4">
        <f>_xll.ciqfunctions.udf.CIQ(InputTicker, "IQ_PREF_ISSUED",Input!I$2,Date,,,Ccy,Conv)</f>
        <v>0</v>
      </c>
      <c r="H228" s="4">
        <f>_xll.ciqfunctions.udf.CIQ(InputTicker, "IQ_PREF_ISSUED",Input!J$2,Date,,,Ccy,Conv)</f>
        <v>0</v>
      </c>
      <c r="I228" s="4">
        <f>_xll.ciqfunctions.udf.CIQ(InputTicker, "IQ_PREF_ISSUED",Input!K$2,Date,,,Ccy,Conv)</f>
        <v>0</v>
      </c>
      <c r="J228" s="4">
        <f>_xll.ciqfunctions.udf.CIQ(InputTicker, "IQ_PREF_ISSUED",Input!L$2,Date,,,Ccy,Conv)</f>
        <v>0</v>
      </c>
      <c r="K228" s="4">
        <f>_xll.ciqfunctions.udf.CIQ(InputTicker, "IQ_PREF_ISSUED",Input!M$2,Date,,,Ccy,Conv)</f>
        <v>0</v>
      </c>
      <c r="L228" s="4">
        <f>_xll.ciqfunctions.udf.CIQ(InputTicker, "IQ_PREF_ISSUED",Input!N$2,Date,,,Ccy,Conv)</f>
        <v>0</v>
      </c>
      <c r="M228" s="4">
        <f>_xll.ciqfunctions.udf.CIQ(InputTicker, "IQ_PREF_ISSUED",Input!O$2,Date,,,Ccy,Conv)</f>
        <v>0</v>
      </c>
      <c r="N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</row>
    <row r="229" spans="1:66" ht="12.75" customHeight="1" x14ac:dyDescent="0.2">
      <c r="A229" s="1" t="s">
        <v>118</v>
      </c>
      <c r="B229" s="4">
        <f>_xll.ciqfunctions.udf.CIQ(InputTicker, "IQ_PREF_REP",Input!D$2,Date,,,Ccy,Conv)</f>
        <v>0</v>
      </c>
      <c r="C229" s="4">
        <f>_xll.ciqfunctions.udf.CIQ(InputTicker, "IQ_PREF_REP",Input!E$2,Date,,,Ccy,Conv)</f>
        <v>0</v>
      </c>
      <c r="D229" s="4">
        <f>_xll.ciqfunctions.udf.CIQ(InputTicker, "IQ_PREF_REP",Input!F$2,Date,,,Ccy,Conv)</f>
        <v>0</v>
      </c>
      <c r="E229" s="4">
        <f>_xll.ciqfunctions.udf.CIQ(InputTicker, "IQ_PREF_REP",Input!G$2,Date,,,Ccy,Conv)</f>
        <v>0</v>
      </c>
      <c r="F229" s="4">
        <f>_xll.ciqfunctions.udf.CIQ(InputTicker, "IQ_PREF_REP",Input!H$2,Date,,,Ccy,Conv)</f>
        <v>0</v>
      </c>
      <c r="G229" s="4">
        <f>_xll.ciqfunctions.udf.CIQ(InputTicker, "IQ_PREF_REP",Input!I$2,Date,,,Ccy,Conv)</f>
        <v>0</v>
      </c>
      <c r="H229" s="4">
        <f>_xll.ciqfunctions.udf.CIQ(InputTicker, "IQ_PREF_REP",Input!J$2,Date,,,Ccy,Conv)</f>
        <v>0</v>
      </c>
      <c r="I229" s="4">
        <f>_xll.ciqfunctions.udf.CIQ(InputTicker, "IQ_PREF_REP",Input!K$2,Date,,,Ccy,Conv)</f>
        <v>0</v>
      </c>
      <c r="J229" s="4">
        <f>_xll.ciqfunctions.udf.CIQ(InputTicker, "IQ_PREF_REP",Input!L$2,Date,,,Ccy,Conv)</f>
        <v>0</v>
      </c>
      <c r="K229" s="4">
        <f>_xll.ciqfunctions.udf.CIQ(InputTicker, "IQ_PREF_REP",Input!M$2,Date,,,Ccy,Conv)</f>
        <v>0</v>
      </c>
      <c r="L229" s="4">
        <f>_xll.ciqfunctions.udf.CIQ(InputTicker, "IQ_PREF_REP",Input!N$2,Date,,,Ccy,Conv)</f>
        <v>0</v>
      </c>
      <c r="M229" s="4">
        <f>_xll.ciqfunctions.udf.CIQ(InputTicker, "IQ_PREF_REP",Input!O$2,Date,,,Ccy,Conv)</f>
        <v>0</v>
      </c>
      <c r="N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</row>
    <row r="230" spans="1:66" ht="12.75" customHeight="1" x14ac:dyDescent="0.2">
      <c r="A230" s="1" t="s">
        <v>151</v>
      </c>
      <c r="B230" s="4">
        <f>_xll.ciqfunctions.udf.CIQ(InputTicker, "IQ_COMMON_DIV_CF",Input!D$2,Date,,,Ccy,Conv)</f>
        <v>-120.94199999999999</v>
      </c>
      <c r="C230" s="4">
        <f>_xll.ciqfunctions.udf.CIQ(InputTicker, "IQ_COMMON_DIV_CF",Input!E$2,Date,,,Ccy,Conv)</f>
        <v>0</v>
      </c>
      <c r="D230" s="4">
        <f>_xll.ciqfunctions.udf.CIQ(InputTicker, "IQ_COMMON_DIV_CF",Input!F$2,Date,,,Ccy,Conv)</f>
        <v>0</v>
      </c>
      <c r="E230" s="4">
        <f>_xll.ciqfunctions.udf.CIQ(InputTicker, "IQ_COMMON_DIV_CF",Input!G$2,Date,,,Ccy,Conv)</f>
        <v>-41.713000000000001</v>
      </c>
      <c r="F230" s="4">
        <f>_xll.ciqfunctions.udf.CIQ(InputTicker, "IQ_COMMON_DIV_CF",Input!H$2,Date,,,Ccy,Conv)</f>
        <v>0</v>
      </c>
      <c r="G230" s="4">
        <f>_xll.ciqfunctions.udf.CIQ(InputTicker, "IQ_COMMON_DIV_CF",Input!I$2,Date,,,Ccy,Conv)</f>
        <v>-1.6519999999999999</v>
      </c>
      <c r="H230" s="4">
        <f>_xll.ciqfunctions.udf.CIQ(InputTicker, "IQ_COMMON_DIV_CF",Input!J$2,Date,,,Ccy,Conv)</f>
        <v>-6.117</v>
      </c>
      <c r="I230" s="4">
        <f>_xll.ciqfunctions.udf.CIQ(InputTicker, "IQ_COMMON_DIV_CF",Input!K$2,Date,,,Ccy,Conv)</f>
        <v>-252.292</v>
      </c>
      <c r="J230" s="4">
        <f>_xll.ciqfunctions.udf.CIQ(InputTicker, "IQ_COMMON_DIV_CF",Input!L$2,Date,,,Ccy,Conv)</f>
        <v>-91.855999999999995</v>
      </c>
      <c r="K230" s="4">
        <f>_xll.ciqfunctions.udf.CIQ(InputTicker, "IQ_COMMON_DIV_CF",Input!M$2,Date,,,Ccy,Conv)</f>
        <v>-330.29</v>
      </c>
      <c r="L230" s="4">
        <f>_xll.ciqfunctions.udf.CIQ(InputTicker, "IQ_COMMON_DIV_CF",Input!N$2,Date,,,Ccy,Conv)</f>
        <v>-231.62200000000001</v>
      </c>
      <c r="M230" s="4">
        <f>_xll.ciqfunctions.udf.CIQ(InputTicker, "IQ_COMMON_DIV_CF",Input!O$2,Date,,,Ccy,Conv)</f>
        <v>-231.62200000000001</v>
      </c>
      <c r="N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</row>
    <row r="231" spans="1:66" ht="12.75" customHeight="1" x14ac:dyDescent="0.2">
      <c r="A231" s="1" t="s">
        <v>152</v>
      </c>
      <c r="B231" s="4">
        <f>_xll.ciqfunctions.udf.CIQ(InputTicker, "IQ_PREF_DIV_CF",Input!D$2,Date,,,Ccy,Conv)</f>
        <v>0</v>
      </c>
      <c r="C231" s="4">
        <f>_xll.ciqfunctions.udf.CIQ(InputTicker, "IQ_PREF_DIV_CF",Input!E$2,Date,,,Ccy,Conv)</f>
        <v>0</v>
      </c>
      <c r="D231" s="4">
        <f>_xll.ciqfunctions.udf.CIQ(InputTicker, "IQ_PREF_DIV_CF",Input!F$2,Date,,,Ccy,Conv)</f>
        <v>0</v>
      </c>
      <c r="E231" s="4">
        <f>_xll.ciqfunctions.udf.CIQ(InputTicker, "IQ_PREF_DIV_CF",Input!G$2,Date,,,Ccy,Conv)</f>
        <v>0</v>
      </c>
      <c r="F231" s="4">
        <f>_xll.ciqfunctions.udf.CIQ(InputTicker, "IQ_PREF_DIV_CF",Input!H$2,Date,,,Ccy,Conv)</f>
        <v>0</v>
      </c>
      <c r="G231" s="4">
        <f>_xll.ciqfunctions.udf.CIQ(InputTicker, "IQ_PREF_DIV_CF",Input!I$2,Date,,,Ccy,Conv)</f>
        <v>0</v>
      </c>
      <c r="H231" s="4">
        <f>_xll.ciqfunctions.udf.CIQ(InputTicker, "IQ_PREF_DIV_CF",Input!J$2,Date,,,Ccy,Conv)</f>
        <v>0</v>
      </c>
      <c r="I231" s="4">
        <f>_xll.ciqfunctions.udf.CIQ(InputTicker, "IQ_PREF_DIV_CF",Input!K$2,Date,,,Ccy,Conv)</f>
        <v>0</v>
      </c>
      <c r="J231" s="4">
        <f>_xll.ciqfunctions.udf.CIQ(InputTicker, "IQ_PREF_DIV_CF",Input!L$2,Date,,,Ccy,Conv)</f>
        <v>0</v>
      </c>
      <c r="K231" s="4">
        <f>_xll.ciqfunctions.udf.CIQ(InputTicker, "IQ_PREF_DIV_CF",Input!M$2,Date,,,Ccy,Conv)</f>
        <v>0</v>
      </c>
      <c r="L231" s="4">
        <f>_xll.ciqfunctions.udf.CIQ(InputTicker, "IQ_PREF_DIV_CF",Input!N$2,Date,,,Ccy,Conv)</f>
        <v>0</v>
      </c>
      <c r="M231" s="4">
        <f>_xll.ciqfunctions.udf.CIQ(InputTicker, "IQ_PREF_DIV_CF",Input!O$2,Date,,,Ccy,Conv)</f>
        <v>0</v>
      </c>
      <c r="N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</row>
    <row r="232" spans="1:66" ht="12.75" customHeight="1" x14ac:dyDescent="0.2">
      <c r="A232" s="1" t="s">
        <v>153</v>
      </c>
      <c r="B232" s="4">
        <f>_xll.ciqfunctions.udf.CIQ(InputTicker, "IQ_COMMON_PREF_DIV_CF",Input!D$2,Date,,,Ccy,Conv)</f>
        <v>0</v>
      </c>
      <c r="C232" s="4">
        <f>_xll.ciqfunctions.udf.CIQ(InputTicker, "IQ_COMMON_PREF_DIV_CF",Input!E$2,Date,,,Ccy,Conv)</f>
        <v>0</v>
      </c>
      <c r="D232" s="4">
        <f>_xll.ciqfunctions.udf.CIQ(InputTicker, "IQ_COMMON_PREF_DIV_CF",Input!F$2,Date,,,Ccy,Conv)</f>
        <v>0</v>
      </c>
      <c r="E232" s="4">
        <f>_xll.ciqfunctions.udf.CIQ(InputTicker, "IQ_COMMON_PREF_DIV_CF",Input!G$2,Date,,,Ccy,Conv)</f>
        <v>0</v>
      </c>
      <c r="F232" s="4">
        <f>_xll.ciqfunctions.udf.CIQ(InputTicker, "IQ_COMMON_PREF_DIV_CF",Input!H$2,Date,,,Ccy,Conv)</f>
        <v>0</v>
      </c>
      <c r="G232" s="4">
        <f>_xll.ciqfunctions.udf.CIQ(InputTicker, "IQ_COMMON_PREF_DIV_CF",Input!I$2,Date,,,Ccy,Conv)</f>
        <v>0</v>
      </c>
      <c r="H232" s="4">
        <f>_xll.ciqfunctions.udf.CIQ(InputTicker, "IQ_COMMON_PREF_DIV_CF",Input!J$2,Date,,,Ccy,Conv)</f>
        <v>0</v>
      </c>
      <c r="I232" s="4">
        <f>_xll.ciqfunctions.udf.CIQ(InputTicker, "IQ_COMMON_PREF_DIV_CF",Input!K$2,Date,,,Ccy,Conv)</f>
        <v>0</v>
      </c>
      <c r="J232" s="4">
        <f>_xll.ciqfunctions.udf.CIQ(InputTicker, "IQ_COMMON_PREF_DIV_CF",Input!L$2,Date,,,Ccy,Conv)</f>
        <v>0</v>
      </c>
      <c r="K232" s="4">
        <f>_xll.ciqfunctions.udf.CIQ(InputTicker, "IQ_COMMON_PREF_DIV_CF",Input!M$2,Date,,,Ccy,Conv)</f>
        <v>0</v>
      </c>
      <c r="L232" s="4">
        <f>_xll.ciqfunctions.udf.CIQ(InputTicker, "IQ_COMMON_PREF_DIV_CF",Input!N$2,Date,,,Ccy,Conv)</f>
        <v>0</v>
      </c>
      <c r="M232" s="4">
        <f>_xll.ciqfunctions.udf.CIQ(InputTicker, "IQ_COMMON_PREF_DIV_CF",Input!O$2,Date,,,Ccy,Conv)</f>
        <v>0</v>
      </c>
      <c r="N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</row>
    <row r="233" spans="1:66" ht="12.75" customHeight="1" x14ac:dyDescent="0.2">
      <c r="A233" s="1" t="s">
        <v>119</v>
      </c>
      <c r="B233" s="6">
        <f>_xll.ciqfunctions.udf.CIQ(InputTicker, "IQ_TOTAL_DIV_PAID_CF",Input!D$2,Date,,,Ccy,Conv)</f>
        <v>-120.94199999999999</v>
      </c>
      <c r="C233" s="6">
        <f>_xll.ciqfunctions.udf.CIQ(InputTicker, "IQ_TOTAL_DIV_PAID_CF",Input!E$2,Date,,,Ccy,Conv)</f>
        <v>0</v>
      </c>
      <c r="D233" s="6">
        <f>_xll.ciqfunctions.udf.CIQ(InputTicker, "IQ_TOTAL_DIV_PAID_CF",Input!F$2,Date,,,Ccy,Conv)</f>
        <v>0</v>
      </c>
      <c r="E233" s="6">
        <f>_xll.ciqfunctions.udf.CIQ(InputTicker, "IQ_TOTAL_DIV_PAID_CF",Input!G$2,Date,,,Ccy,Conv)</f>
        <v>-41.713000000000001</v>
      </c>
      <c r="F233" s="6">
        <f>_xll.ciqfunctions.udf.CIQ(InputTicker, "IQ_TOTAL_DIV_PAID_CF",Input!H$2,Date,,,Ccy,Conv)</f>
        <v>0</v>
      </c>
      <c r="G233" s="6">
        <f>_xll.ciqfunctions.udf.CIQ(InputTicker, "IQ_TOTAL_DIV_PAID_CF",Input!I$2,Date,,,Ccy,Conv)</f>
        <v>-1.6519999999999999</v>
      </c>
      <c r="H233" s="6">
        <f>_xll.ciqfunctions.udf.CIQ(InputTicker, "IQ_TOTAL_DIV_PAID_CF",Input!J$2,Date,,,Ccy,Conv)</f>
        <v>-6.117</v>
      </c>
      <c r="I233" s="6">
        <f>_xll.ciqfunctions.udf.CIQ(InputTicker, "IQ_TOTAL_DIV_PAID_CF",Input!K$2,Date,,,Ccy,Conv)</f>
        <v>-252.292</v>
      </c>
      <c r="J233" s="6">
        <f>_xll.ciqfunctions.udf.CIQ(InputTicker, "IQ_TOTAL_DIV_PAID_CF",Input!L$2,Date,,,Ccy,Conv)</f>
        <v>-91.855999999999995</v>
      </c>
      <c r="K233" s="6">
        <f>_xll.ciqfunctions.udf.CIQ(InputTicker, "IQ_TOTAL_DIV_PAID_CF",Input!M$2,Date,,,Ccy,Conv)</f>
        <v>-330.29</v>
      </c>
      <c r="L233" s="6">
        <f>_xll.ciqfunctions.udf.CIQ(InputTicker, "IQ_TOTAL_DIV_PAID_CF",Input!N$2,Date,,,Ccy,Conv)</f>
        <v>-231.62200000000001</v>
      </c>
      <c r="M233" s="6">
        <f>_xll.ciqfunctions.udf.CIQ(InputTicker, "IQ_TOTAL_DIV_PAID_CF",Input!O$2,Date,,,Ccy,Conv)</f>
        <v>-231.62200000000001</v>
      </c>
      <c r="N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</row>
    <row r="234" spans="1:66" ht="12.75" customHeight="1" x14ac:dyDescent="0.2">
      <c r="A234" s="1" t="s">
        <v>154</v>
      </c>
      <c r="B234" s="4">
        <f>_xll.ciqfunctions.udf.CIQ(InputTicker, "IQ_SPECIAL_DIV_CF",Input!D$2,Date,,,Ccy,Conv)</f>
        <v>0</v>
      </c>
      <c r="C234" s="4">
        <f>_xll.ciqfunctions.udf.CIQ(InputTicker, "IQ_SPECIAL_DIV_CF",Input!E$2,Date,,,Ccy,Conv)</f>
        <v>0</v>
      </c>
      <c r="D234" s="4">
        <f>_xll.ciqfunctions.udf.CIQ(InputTicker, "IQ_SPECIAL_DIV_CF",Input!F$2,Date,,,Ccy,Conv)</f>
        <v>0</v>
      </c>
      <c r="E234" s="4">
        <f>_xll.ciqfunctions.udf.CIQ(InputTicker, "IQ_SPECIAL_DIV_CF",Input!G$2,Date,,,Ccy,Conv)</f>
        <v>0</v>
      </c>
      <c r="F234" s="4">
        <f>_xll.ciqfunctions.udf.CIQ(InputTicker, "IQ_SPECIAL_DIV_CF",Input!H$2,Date,,,Ccy,Conv)</f>
        <v>0</v>
      </c>
      <c r="G234" s="4">
        <f>_xll.ciqfunctions.udf.CIQ(InputTicker, "IQ_SPECIAL_DIV_CF",Input!I$2,Date,,,Ccy,Conv)</f>
        <v>0</v>
      </c>
      <c r="H234" s="4">
        <f>_xll.ciqfunctions.udf.CIQ(InputTicker, "IQ_SPECIAL_DIV_CF",Input!J$2,Date,,,Ccy,Conv)</f>
        <v>0</v>
      </c>
      <c r="I234" s="4">
        <f>_xll.ciqfunctions.udf.CIQ(InputTicker, "IQ_SPECIAL_DIV_CF",Input!K$2,Date,,,Ccy,Conv)</f>
        <v>0</v>
      </c>
      <c r="J234" s="4">
        <f>_xll.ciqfunctions.udf.CIQ(InputTicker, "IQ_SPECIAL_DIV_CF",Input!L$2,Date,,,Ccy,Conv)</f>
        <v>0</v>
      </c>
      <c r="K234" s="4">
        <f>_xll.ciqfunctions.udf.CIQ(InputTicker, "IQ_SPECIAL_DIV_CF",Input!M$2,Date,,,Ccy,Conv)</f>
        <v>0</v>
      </c>
      <c r="L234" s="4">
        <f>_xll.ciqfunctions.udf.CIQ(InputTicker, "IQ_SPECIAL_DIV_CF",Input!N$2,Date,,,Ccy,Conv)</f>
        <v>0</v>
      </c>
      <c r="M234" s="4">
        <f>_xll.ciqfunctions.udf.CIQ(InputTicker, "IQ_SPECIAL_DIV_CF",Input!O$2,Date,,,Ccy,Conv)</f>
        <v>0</v>
      </c>
      <c r="N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  <c r="BN234" s="42"/>
    </row>
    <row r="235" spans="1:66" ht="12.75" customHeight="1" x14ac:dyDescent="0.2">
      <c r="A235" s="1" t="s">
        <v>155</v>
      </c>
      <c r="B235" s="4">
        <f>_xll.ciqfunctions.udf.CIQ(InputTicker, "IQ_OTHER_FINANCE_ACT_SUPPL",Input!D$2,Date,,,Ccy,Conv)</f>
        <v>-0.83099999999999996</v>
      </c>
      <c r="C235" s="4">
        <f>_xll.ciqfunctions.udf.CIQ(InputTicker, "IQ_OTHER_FINANCE_ACT_SUPPL",Input!E$2,Date,,,Ccy,Conv)</f>
        <v>-7.2999999999999995E-2</v>
      </c>
      <c r="D235" s="4">
        <f>_xll.ciqfunctions.udf.CIQ(InputTicker, "IQ_OTHER_FINANCE_ACT_SUPPL",Input!F$2,Date,,,Ccy,Conv)</f>
        <v>0.27900000000000003</v>
      </c>
      <c r="E235" s="4">
        <f>_xll.ciqfunctions.udf.CIQ(InputTicker, "IQ_OTHER_FINANCE_ACT_SUPPL",Input!G$2,Date,,,Ccy,Conv)</f>
        <v>0</v>
      </c>
      <c r="F235" s="4">
        <f>_xll.ciqfunctions.udf.CIQ(InputTicker, "IQ_OTHER_FINANCE_ACT_SUPPL",Input!H$2,Date,,,Ccy,Conv)</f>
        <v>-0.755</v>
      </c>
      <c r="G235" s="4">
        <f>_xll.ciqfunctions.udf.CIQ(InputTicker, "IQ_OTHER_FINANCE_ACT_SUPPL",Input!I$2,Date,,,Ccy,Conv)</f>
        <v>0</v>
      </c>
      <c r="H235" s="4">
        <f>_xll.ciqfunctions.udf.CIQ(InputTicker, "IQ_OTHER_FINANCE_ACT_SUPPL",Input!J$2,Date,,,Ccy,Conv)</f>
        <v>0</v>
      </c>
      <c r="I235" s="4">
        <f>_xll.ciqfunctions.udf.CIQ(InputTicker, "IQ_OTHER_FINANCE_ACT_SUPPL",Input!K$2,Date,,,Ccy,Conv)</f>
        <v>0</v>
      </c>
      <c r="J235" s="4">
        <f>_xll.ciqfunctions.udf.CIQ(InputTicker, "IQ_OTHER_FINANCE_ACT_SUPPL",Input!L$2,Date,,,Ccy,Conv)</f>
        <v>0</v>
      </c>
      <c r="K235" s="4">
        <f>_xll.ciqfunctions.udf.CIQ(InputTicker, "IQ_OTHER_FINANCE_ACT_SUPPL",Input!M$2,Date,,,Ccy,Conv)</f>
        <v>0</v>
      </c>
      <c r="L235" s="4">
        <f>_xll.ciqfunctions.udf.CIQ(InputTicker, "IQ_OTHER_FINANCE_ACT_SUPPL",Input!N$2,Date,,,Ccy,Conv)</f>
        <v>0</v>
      </c>
      <c r="M235" s="4">
        <f>_xll.ciqfunctions.udf.CIQ(InputTicker, "IQ_OTHER_FINANCE_ACT_SUPPL",Input!O$2,Date,,,Ccy,Conv)</f>
        <v>0</v>
      </c>
      <c r="N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  <c r="BN235" s="42"/>
    </row>
    <row r="236" spans="1:66" ht="12.75" customHeight="1" thickBot="1" x14ac:dyDescent="0.25">
      <c r="A236" s="5" t="s">
        <v>120</v>
      </c>
      <c r="B236" s="9">
        <f>_xll.ciqfunctions.udf.CIQ(InputTicker, "IQ_CASH_FINAN",Input!D$2,Date,,,Ccy,Conv)</f>
        <v>-148.91</v>
      </c>
      <c r="C236" s="9">
        <f>_xll.ciqfunctions.udf.CIQ(InputTicker, "IQ_CASH_FINAN",Input!E$2,Date,,,Ccy,Conv)</f>
        <v>-18.297999999999998</v>
      </c>
      <c r="D236" s="9">
        <f>_xll.ciqfunctions.udf.CIQ(InputTicker, "IQ_CASH_FINAN",Input!F$2,Date,,,Ccy,Conv)</f>
        <v>-5.6980000000000004</v>
      </c>
      <c r="E236" s="9">
        <f>_xll.ciqfunctions.udf.CIQ(InputTicker, "IQ_CASH_FINAN",Input!G$2,Date,,,Ccy,Conv)</f>
        <v>-46.451999999999998</v>
      </c>
      <c r="F236" s="9">
        <f>_xll.ciqfunctions.udf.CIQ(InputTicker, "IQ_CASH_FINAN",Input!H$2,Date,,,Ccy,Conv)</f>
        <v>-3.3610000000000002</v>
      </c>
      <c r="G236" s="9">
        <f>_xll.ciqfunctions.udf.CIQ(InputTicker, "IQ_CASH_FINAN",Input!I$2,Date,,,Ccy,Conv)</f>
        <v>-2.7229999999999999</v>
      </c>
      <c r="H236" s="9">
        <f>_xll.ciqfunctions.udf.CIQ(InputTicker, "IQ_CASH_FINAN",Input!J$2,Date,,,Ccy,Conv)</f>
        <v>-7.4560000000000004</v>
      </c>
      <c r="I236" s="9">
        <f>_xll.ciqfunctions.udf.CIQ(InputTicker, "IQ_CASH_FINAN",Input!K$2,Date,,,Ccy,Conv)</f>
        <v>-254.15899999999999</v>
      </c>
      <c r="J236" s="9">
        <f>_xll.ciqfunctions.udf.CIQ(InputTicker, "IQ_CASH_FINAN",Input!L$2,Date,,,Ccy,Conv)</f>
        <v>-93.757999999999996</v>
      </c>
      <c r="K236" s="9">
        <f>_xll.ciqfunctions.udf.CIQ(InputTicker, "IQ_CASH_FINAN",Input!M$2,Date,,,Ccy,Conv)</f>
        <v>-386.72399999999999</v>
      </c>
      <c r="L236" s="9">
        <f>_xll.ciqfunctions.udf.CIQ(InputTicker, "IQ_CASH_FINAN",Input!N$2,Date,,,Ccy,Conv)</f>
        <v>-362.74599999999998</v>
      </c>
      <c r="M236" s="9">
        <f>_xll.ciqfunctions.udf.CIQ(InputTicker, "IQ_CASH_FINAN",Input!O$2,Date,,,Ccy,Conv)</f>
        <v>-362.74599999999998</v>
      </c>
      <c r="N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</row>
    <row r="237" spans="1:66" ht="12.75" customHeight="1" thickTop="1" x14ac:dyDescent="0.2">
      <c r="A237" s="1" t="s">
        <v>156</v>
      </c>
      <c r="B237" s="4">
        <f>_xll.ciqfunctions.udf.CIQ(InputTicker, "IQ_FX",Input!D$2,Date,,,Ccy,Conv)</f>
        <v>0</v>
      </c>
      <c r="C237" s="4">
        <f>_xll.ciqfunctions.udf.CIQ(InputTicker, "IQ_FX",Input!E$2,Date,,,Ccy,Conv)</f>
        <v>0</v>
      </c>
      <c r="D237" s="4">
        <f>_xll.ciqfunctions.udf.CIQ(InputTicker, "IQ_FX",Input!F$2,Date,,,Ccy,Conv)</f>
        <v>0</v>
      </c>
      <c r="E237" s="4">
        <f>_xll.ciqfunctions.udf.CIQ(InputTicker, "IQ_FX",Input!G$2,Date,,,Ccy,Conv)</f>
        <v>0</v>
      </c>
      <c r="F237" s="4">
        <f>_xll.ciqfunctions.udf.CIQ(InputTicker, "IQ_FX",Input!H$2,Date,,,Ccy,Conv)</f>
        <v>0</v>
      </c>
      <c r="G237" s="4">
        <f>_xll.ciqfunctions.udf.CIQ(InputTicker, "IQ_FX",Input!I$2,Date,,,Ccy,Conv)</f>
        <v>0</v>
      </c>
      <c r="H237" s="4">
        <f>_xll.ciqfunctions.udf.CIQ(InputTicker, "IQ_FX",Input!J$2,Date,,,Ccy,Conv)</f>
        <v>0</v>
      </c>
      <c r="I237" s="4">
        <f>_xll.ciqfunctions.udf.CIQ(InputTicker, "IQ_FX",Input!K$2,Date,,,Ccy,Conv)</f>
        <v>0</v>
      </c>
      <c r="J237" s="4">
        <f>_xll.ciqfunctions.udf.CIQ(InputTicker, "IQ_FX",Input!L$2,Date,,,Ccy,Conv)</f>
        <v>0</v>
      </c>
      <c r="K237" s="4">
        <f>_xll.ciqfunctions.udf.CIQ(InputTicker, "IQ_FX",Input!M$2,Date,,,Ccy,Conv)</f>
        <v>0</v>
      </c>
      <c r="L237" s="4">
        <f>_xll.ciqfunctions.udf.CIQ(InputTicker, "IQ_FX",Input!N$2,Date,,,Ccy,Conv)</f>
        <v>0</v>
      </c>
      <c r="M237" s="4">
        <f>_xll.ciqfunctions.udf.CIQ(InputTicker, "IQ_FX",Input!O$2,Date,,,Ccy,Conv)</f>
        <v>0</v>
      </c>
      <c r="N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  <c r="BN237" s="42"/>
    </row>
    <row r="238" spans="1:66" ht="12.75" customHeight="1" x14ac:dyDescent="0.2">
      <c r="A238" s="1" t="s">
        <v>212</v>
      </c>
      <c r="B238" s="4">
        <f>_xll.ciqfunctions.udf.CIQ(InputTicker, "IQ_MISC_ADJUST_CF",Input!D$2,Date,,,Ccy,Conv)</f>
        <v>0</v>
      </c>
      <c r="C238" s="4">
        <f>_xll.ciqfunctions.udf.CIQ(InputTicker, "IQ_MISC_ADJUST_CF",Input!E$2,Date,,,Ccy,Conv)</f>
        <v>0</v>
      </c>
      <c r="D238" s="4">
        <f>_xll.ciqfunctions.udf.CIQ(InputTicker, "IQ_MISC_ADJUST_CF",Input!F$2,Date,,,Ccy,Conv)</f>
        <v>0</v>
      </c>
      <c r="E238" s="4">
        <f>_xll.ciqfunctions.udf.CIQ(InputTicker, "IQ_MISC_ADJUST_CF",Input!G$2,Date,,,Ccy,Conv)</f>
        <v>0</v>
      </c>
      <c r="F238" s="4">
        <f>_xll.ciqfunctions.udf.CIQ(InputTicker, "IQ_MISC_ADJUST_CF",Input!H$2,Date,,,Ccy,Conv)</f>
        <v>0</v>
      </c>
      <c r="G238" s="4">
        <f>_xll.ciqfunctions.udf.CIQ(InputTicker, "IQ_MISC_ADJUST_CF",Input!I$2,Date,,,Ccy,Conv)</f>
        <v>0</v>
      </c>
      <c r="H238" s="4">
        <f>_xll.ciqfunctions.udf.CIQ(InputTicker, "IQ_MISC_ADJUST_CF",Input!J$2,Date,,,Ccy,Conv)</f>
        <v>0</v>
      </c>
      <c r="I238" s="4">
        <f>_xll.ciqfunctions.udf.CIQ(InputTicker, "IQ_MISC_ADJUST_CF",Input!K$2,Date,,,Ccy,Conv)</f>
        <v>0</v>
      </c>
      <c r="J238" s="4">
        <f>_xll.ciqfunctions.udf.CIQ(InputTicker, "IQ_MISC_ADJUST_CF",Input!L$2,Date,,,Ccy,Conv)</f>
        <v>0</v>
      </c>
      <c r="K238" s="4">
        <f>_xll.ciqfunctions.udf.CIQ(InputTicker, "IQ_MISC_ADJUST_CF",Input!M$2,Date,,,Ccy,Conv)</f>
        <v>0</v>
      </c>
      <c r="L238" s="4">
        <f>_xll.ciqfunctions.udf.CIQ(InputTicker, "IQ_MISC_ADJUST_CF",Input!N$2,Date,,,Ccy,Conv)</f>
        <v>0</v>
      </c>
      <c r="M238" s="4">
        <f>_xll.ciqfunctions.udf.CIQ(InputTicker, "IQ_MISC_ADJUST_CF",Input!O$2,Date,,,Ccy,Conv)</f>
        <v>0</v>
      </c>
      <c r="N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  <c r="BN238" s="42"/>
    </row>
    <row r="239" spans="1:66" ht="12.75" customHeight="1" thickBot="1" x14ac:dyDescent="0.25">
      <c r="A239" s="5" t="s">
        <v>121</v>
      </c>
      <c r="B239" s="9">
        <f>_xll.ciqfunctions.udf.CIQ(InputTicker, "IQ_NET_CHANGE",Input!D$2,Date,,,Ccy,Conv)</f>
        <v>20.379000000000001</v>
      </c>
      <c r="C239" s="9">
        <f>_xll.ciqfunctions.udf.CIQ(InputTicker, "IQ_NET_CHANGE",Input!E$2,Date,,,Ccy,Conv)</f>
        <v>-11.481999999999999</v>
      </c>
      <c r="D239" s="9">
        <f>_xll.ciqfunctions.udf.CIQ(InputTicker, "IQ_NET_CHANGE",Input!F$2,Date,,,Ccy,Conv)</f>
        <v>30.867000000000001</v>
      </c>
      <c r="E239" s="9">
        <f>_xll.ciqfunctions.udf.CIQ(InputTicker, "IQ_NET_CHANGE",Input!G$2,Date,,,Ccy,Conv)</f>
        <v>20.815999999999999</v>
      </c>
      <c r="F239" s="9">
        <f>_xll.ciqfunctions.udf.CIQ(InputTicker, "IQ_NET_CHANGE",Input!H$2,Date,,,Ccy,Conv)</f>
        <v>8.8829999999999991</v>
      </c>
      <c r="G239" s="9">
        <f>_xll.ciqfunctions.udf.CIQ(InputTicker, "IQ_NET_CHANGE",Input!I$2,Date,,,Ccy,Conv)</f>
        <v>-20.777999999999999</v>
      </c>
      <c r="H239" s="9">
        <f>_xll.ciqfunctions.udf.CIQ(InputTicker, "IQ_NET_CHANGE",Input!J$2,Date,,,Ccy,Conv)</f>
        <v>1.732</v>
      </c>
      <c r="I239" s="9">
        <f>_xll.ciqfunctions.udf.CIQ(InputTicker, "IQ_NET_CHANGE",Input!K$2,Date,,,Ccy,Conv)</f>
        <v>233.74</v>
      </c>
      <c r="J239" s="9">
        <f>_xll.ciqfunctions.udf.CIQ(InputTicker, "IQ_NET_CHANGE",Input!L$2,Date,,,Ccy,Conv)</f>
        <v>-54.945999999999998</v>
      </c>
      <c r="K239" s="9">
        <f>_xll.ciqfunctions.udf.CIQ(InputTicker, "IQ_NET_CHANGE",Input!M$2,Date,,,Ccy,Conv)</f>
        <v>262.541</v>
      </c>
      <c r="L239" s="9">
        <f>_xll.ciqfunctions.udf.CIQ(InputTicker, "IQ_NET_CHANGE",Input!N$2,Date,,,Ccy,Conv)</f>
        <v>-386.87700000000001</v>
      </c>
      <c r="M239" s="9">
        <f>_xll.ciqfunctions.udf.CIQ(InputTicker, "IQ_NET_CHANGE",Input!O$2,Date,,,Ccy,Conv)</f>
        <v>-386.87700000000001</v>
      </c>
      <c r="N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</row>
    <row r="240" spans="1:66" ht="12.75" customHeight="1" thickTop="1" x14ac:dyDescent="0.2">
      <c r="A240" s="1" t="s">
        <v>317</v>
      </c>
      <c r="B240" s="18">
        <f>_xll.ciqfunctions.udf.CIQ(InputTicker,"IQ_PERIODLENGTH_CF",Input!D$2,Date)</f>
        <v>12</v>
      </c>
      <c r="C240" s="18">
        <f>_xll.ciqfunctions.udf.CIQ(InputTicker,"IQ_PERIODLENGTH_CF",Input!E$2,Date)</f>
        <v>12</v>
      </c>
      <c r="D240" s="18">
        <f>_xll.ciqfunctions.udf.CIQ(InputTicker,"IQ_PERIODLENGTH_CF",Input!F$2,Date)</f>
        <v>12</v>
      </c>
      <c r="E240" s="18">
        <f>_xll.ciqfunctions.udf.CIQ(InputTicker,"IQ_PERIODLENGTH_CF",Input!G$2,Date)</f>
        <v>12</v>
      </c>
      <c r="F240" s="18">
        <f>_xll.ciqfunctions.udf.CIQ(InputTicker,"IQ_PERIODLENGTH_CF",Input!H$2,Date)</f>
        <v>12</v>
      </c>
      <c r="G240" s="18">
        <f>_xll.ciqfunctions.udf.CIQ(InputTicker,"IQ_PERIODLENGTH_CF",Input!I$2,Date)</f>
        <v>12</v>
      </c>
      <c r="H240" s="18">
        <f>_xll.ciqfunctions.udf.CIQ(InputTicker,"IQ_PERIODLENGTH_CF",Input!J$2,Date)</f>
        <v>12</v>
      </c>
      <c r="I240" s="18">
        <f>_xll.ciqfunctions.udf.CIQ(InputTicker,"IQ_PERIODLENGTH_CF",Input!K$2,Date)</f>
        <v>12</v>
      </c>
      <c r="J240" s="18">
        <f>_xll.ciqfunctions.udf.CIQ(InputTicker,"IQ_PERIODLENGTH_CF",Input!L$2,Date)</f>
        <v>12</v>
      </c>
      <c r="K240" s="18">
        <f>_xll.ciqfunctions.udf.CIQ(InputTicker,"IQ_PERIODLENGTH_CF",Input!M$2,Date)</f>
        <v>12</v>
      </c>
      <c r="L240" s="18">
        <f>_xll.ciqfunctions.udf.CIQ(InputTicker,"IQ_PERIODLENGTH_CF",Input!N$2,Date)</f>
        <v>12</v>
      </c>
      <c r="M240" s="18">
        <f>_xll.ciqfunctions.udf.CIQ(InputTicker,"IQ_PERIODLENGTH_CF",Input!O$2,Date)</f>
        <v>12</v>
      </c>
      <c r="N240" s="49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  <c r="BM240" s="42"/>
      <c r="BN240" s="42"/>
    </row>
    <row r="241" spans="1:66" ht="12.75" customHeight="1" x14ac:dyDescent="0.2">
      <c r="A241" s="1" t="s">
        <v>5</v>
      </c>
      <c r="B241" s="4">
        <f>_xll.ciqfunctions.udf.CIQ(InputTicker, "IQ_DA_SUPPL_PARTIAL_CF",Input!D$2,Date,,,Ccy,Conv)</f>
        <v>0</v>
      </c>
      <c r="C241" s="4">
        <f>_xll.ciqfunctions.udf.CIQ(InputTicker, "IQ_DA_SUPPL_PARTIAL_CF",Input!E$2,Date,,,Ccy,Conv)</f>
        <v>0</v>
      </c>
      <c r="D241" s="4">
        <f>_xll.ciqfunctions.udf.CIQ(InputTicker, "IQ_DA_SUPPL_PARTIAL_CF",Input!F$2,Date,,,Ccy,Conv)</f>
        <v>0</v>
      </c>
      <c r="E241" s="4">
        <f>_xll.ciqfunctions.udf.CIQ(InputTicker, "IQ_DA_SUPPL_PARTIAL_CF",Input!G$2,Date,,,Ccy,Conv)</f>
        <v>0</v>
      </c>
      <c r="F241" s="4">
        <f>_xll.ciqfunctions.udf.CIQ(InputTicker, "IQ_DA_SUPPL_PARTIAL_CF",Input!H$2,Date,,,Ccy,Conv)</f>
        <v>0</v>
      </c>
      <c r="G241" s="4">
        <f>_xll.ciqfunctions.udf.CIQ(InputTicker, "IQ_DA_SUPPL_PARTIAL_CF",Input!I$2,Date,,,Ccy,Conv)</f>
        <v>0</v>
      </c>
      <c r="H241" s="4">
        <f>_xll.ciqfunctions.udf.CIQ(InputTicker, "IQ_DA_SUPPL_PARTIAL_CF",Input!J$2,Date,,,Ccy,Conv)</f>
        <v>0</v>
      </c>
      <c r="I241" s="4">
        <f>_xll.ciqfunctions.udf.CIQ(InputTicker, "IQ_DA_SUPPL_PARTIAL_CF",Input!K$2,Date,,,Ccy,Conv)</f>
        <v>0</v>
      </c>
      <c r="J241" s="4">
        <f>_xll.ciqfunctions.udf.CIQ(InputTicker, "IQ_DA_SUPPL_PARTIAL_CF",Input!L$2,Date,,,Ccy,Conv)</f>
        <v>0</v>
      </c>
      <c r="K241" s="4">
        <f>_xll.ciqfunctions.udf.CIQ(InputTicker, "IQ_DA_SUPPL_PARTIAL_CF",Input!M$2,Date,,,Ccy,Conv)</f>
        <v>0</v>
      </c>
      <c r="L241" s="4">
        <f>_xll.ciqfunctions.udf.CIQ(InputTicker, "IQ_DA_SUPPL_PARTIAL_CF",Input!N$2,Date,,,Ccy,Conv)</f>
        <v>0</v>
      </c>
      <c r="M241" s="4">
        <f>_xll.ciqfunctions.udf.CIQ(InputTicker, "IQ_DA_SUPPL_PARTIAL_CF",Input!O$2,Date,,,Ccy,Conv)</f>
        <v>0</v>
      </c>
      <c r="N241" s="49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  <c r="BN241" s="42"/>
    </row>
    <row r="242" spans="1:66" ht="12.75" customHeight="1" x14ac:dyDescent="0.2">
      <c r="A242" s="1" t="s">
        <v>6</v>
      </c>
      <c r="B242" s="4">
        <f>_xll.ciqfunctions.udf.CIQ(InputTicker, "IQ_GW_INTAN_AMORT_PARTIAL_CF",Input!D$2,Date,,,Ccy,Conv)</f>
        <v>0</v>
      </c>
      <c r="C242" s="4">
        <f>_xll.ciqfunctions.udf.CIQ(InputTicker, "IQ_GW_INTAN_AMORT_PARTIAL_CF",Input!E$2,Date,,,Ccy,Conv)</f>
        <v>0</v>
      </c>
      <c r="D242" s="4">
        <f>_xll.ciqfunctions.udf.CIQ(InputTicker, "IQ_GW_INTAN_AMORT_PARTIAL_CF",Input!F$2,Date,,,Ccy,Conv)</f>
        <v>0</v>
      </c>
      <c r="E242" s="4">
        <f>_xll.ciqfunctions.udf.CIQ(InputTicker, "IQ_GW_INTAN_AMORT_PARTIAL_CF",Input!G$2,Date,,,Ccy,Conv)</f>
        <v>0</v>
      </c>
      <c r="F242" s="4">
        <f>_xll.ciqfunctions.udf.CIQ(InputTicker, "IQ_GW_INTAN_AMORT_PARTIAL_CF",Input!H$2,Date,,,Ccy,Conv)</f>
        <v>0</v>
      </c>
      <c r="G242" s="4">
        <f>_xll.ciqfunctions.udf.CIQ(InputTicker, "IQ_GW_INTAN_AMORT_PARTIAL_CF",Input!I$2,Date,,,Ccy,Conv)</f>
        <v>0</v>
      </c>
      <c r="H242" s="4">
        <f>_xll.ciqfunctions.udf.CIQ(InputTicker, "IQ_GW_INTAN_AMORT_PARTIAL_CF",Input!J$2,Date,,,Ccy,Conv)</f>
        <v>0</v>
      </c>
      <c r="I242" s="4">
        <f>_xll.ciqfunctions.udf.CIQ(InputTicker, "IQ_GW_INTAN_AMORT_PARTIAL_CF",Input!K$2,Date,,,Ccy,Conv)</f>
        <v>0</v>
      </c>
      <c r="J242" s="4">
        <f>_xll.ciqfunctions.udf.CIQ(InputTicker, "IQ_GW_INTAN_AMORT_PARTIAL_CF",Input!L$2,Date,,,Ccy,Conv)</f>
        <v>0</v>
      </c>
      <c r="K242" s="4">
        <f>_xll.ciqfunctions.udf.CIQ(InputTicker, "IQ_GW_INTAN_AMORT_PARTIAL_CF",Input!M$2,Date,,,Ccy,Conv)</f>
        <v>0</v>
      </c>
      <c r="L242" s="4">
        <f>_xll.ciqfunctions.udf.CIQ(InputTicker, "IQ_GW_INTAN_AMORT_PARTIAL_CF",Input!N$2,Date,,,Ccy,Conv)</f>
        <v>0</v>
      </c>
      <c r="M242" s="4">
        <f>_xll.ciqfunctions.udf.CIQ(InputTicker, "IQ_GW_INTAN_AMORT_PARTIAL_CF",Input!O$2,Date,,,Ccy,Conv)</f>
        <v>0</v>
      </c>
      <c r="N242" s="49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  <c r="BM242" s="42"/>
      <c r="BN242" s="42"/>
    </row>
    <row r="243" spans="1:66" ht="12.75" customHeight="1" x14ac:dyDescent="0.2">
      <c r="A243" s="1" t="s">
        <v>349</v>
      </c>
      <c r="B243" s="4">
        <f>_xll.ciqfunctions.udf.CIQ(InputTicker, "IQ_DEPRE_SUPP",Input!D$2,Date,,,Ccy,Conv)</f>
        <v>41.4</v>
      </c>
      <c r="C243" s="4">
        <f>_xll.ciqfunctions.udf.CIQ(InputTicker, "IQ_DEPRE_SUPP",Input!E$2,Date,,,Ccy,Conv)</f>
        <v>48.8</v>
      </c>
      <c r="D243" s="4">
        <f>_xll.ciqfunctions.udf.CIQ(InputTicker, "IQ_DEPRE_SUPP",Input!F$2,Date,,,Ccy,Conv)</f>
        <v>51.1</v>
      </c>
      <c r="E243" s="4">
        <f>_xll.ciqfunctions.udf.CIQ(InputTicker, "IQ_DEPRE_SUPP",Input!G$2,Date,,,Ccy,Conv)</f>
        <v>0</v>
      </c>
      <c r="F243" s="4">
        <f>_xll.ciqfunctions.udf.CIQ(InputTicker, "IQ_DEPRE_SUPP",Input!H$2,Date,,,Ccy,Conv)</f>
        <v>0</v>
      </c>
      <c r="G243" s="4">
        <f>_xll.ciqfunctions.udf.CIQ(InputTicker, "IQ_DEPRE_SUPP",Input!I$2,Date,,,Ccy,Conv)</f>
        <v>56.5</v>
      </c>
      <c r="H243" s="4">
        <f>_xll.ciqfunctions.udf.CIQ(InputTicker, "IQ_DEPRE_SUPP",Input!J$2,Date,,,Ccy,Conv)</f>
        <v>65.8</v>
      </c>
      <c r="I243" s="4">
        <f>_xll.ciqfunctions.udf.CIQ(InputTicker, "IQ_DEPRE_SUPP",Input!K$2,Date,,,Ccy,Conv)</f>
        <v>69.400000000000006</v>
      </c>
      <c r="J243" s="4">
        <f>_xll.ciqfunctions.udf.CIQ(InputTicker, "IQ_DEPRE_SUPP",Input!L$2,Date,,,Ccy,Conv)</f>
        <v>77.2</v>
      </c>
      <c r="K243" s="4">
        <f>_xll.ciqfunctions.udf.CIQ(InputTicker, "IQ_DEPRE_SUPP",Input!M$2,Date,,,Ccy,Conv)</f>
        <v>91.1</v>
      </c>
      <c r="L243" s="4">
        <f>_xll.ciqfunctions.udf.CIQ(InputTicker, "IQ_DEPRE_SUPP",Input!N$2,Date,,,Ccy,Conv)</f>
        <v>116.6</v>
      </c>
      <c r="M243" s="4">
        <f>_xll.ciqfunctions.udf.CIQ(InputTicker, "IQ_DEPRE_SUPP",Input!O$2,Date,,,Ccy,Conv)</f>
        <v>116.6</v>
      </c>
      <c r="N243" s="49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  <c r="BN243" s="42"/>
    </row>
    <row r="244" spans="1:66" ht="12.75" customHeight="1" x14ac:dyDescent="0.2">
      <c r="A244" s="1" t="s">
        <v>31</v>
      </c>
      <c r="B244" s="4">
        <f>_xll.ciqfunctions.udf.CIQ(InputTicker, "IQ_DEPRECIATION_RENTAL_ASSETS_CF",Input!D$2,Date,,,Ccy,Conv)</f>
        <v>0</v>
      </c>
      <c r="C244" s="4">
        <f>_xll.ciqfunctions.udf.CIQ(InputTicker, "IQ_DEPRECIATION_RENTAL_ASSETS_CF",Input!E$2,Date,,,Ccy,Conv)</f>
        <v>0</v>
      </c>
      <c r="D244" s="4">
        <f>_xll.ciqfunctions.udf.CIQ(InputTicker, "IQ_DEPRECIATION_RENTAL_ASSETS_CF",Input!F$2,Date,,,Ccy,Conv)</f>
        <v>0</v>
      </c>
      <c r="E244" s="4">
        <f>_xll.ciqfunctions.udf.CIQ(InputTicker, "IQ_DEPRECIATION_RENTAL_ASSETS_CF",Input!G$2,Date,,,Ccy,Conv)</f>
        <v>0</v>
      </c>
      <c r="F244" s="4">
        <f>_xll.ciqfunctions.udf.CIQ(InputTicker, "IQ_DEPRECIATION_RENTAL_ASSETS_CF",Input!H$2,Date,,,Ccy,Conv)</f>
        <v>0</v>
      </c>
      <c r="G244" s="4">
        <f>_xll.ciqfunctions.udf.CIQ(InputTicker, "IQ_DEPRECIATION_RENTAL_ASSETS_CF",Input!I$2,Date,,,Ccy,Conv)</f>
        <v>0</v>
      </c>
      <c r="H244" s="4">
        <f>_xll.ciqfunctions.udf.CIQ(InputTicker, "IQ_DEPRECIATION_RENTAL_ASSETS_CF",Input!J$2,Date,,,Ccy,Conv)</f>
        <v>0</v>
      </c>
      <c r="I244" s="4">
        <f>_xll.ciqfunctions.udf.CIQ(InputTicker, "IQ_DEPRECIATION_RENTAL_ASSETS_CF",Input!K$2,Date,,,Ccy,Conv)</f>
        <v>0</v>
      </c>
      <c r="J244" s="4">
        <f>_xll.ciqfunctions.udf.CIQ(InputTicker, "IQ_DEPRECIATION_RENTAL_ASSETS_CF",Input!L$2,Date,,,Ccy,Conv)</f>
        <v>0</v>
      </c>
      <c r="K244" s="4">
        <f>_xll.ciqfunctions.udf.CIQ(InputTicker, "IQ_DEPRECIATION_RENTAL_ASSETS_CF",Input!M$2,Date,,,Ccy,Conv)</f>
        <v>0</v>
      </c>
      <c r="L244" s="4">
        <f>_xll.ciqfunctions.udf.CIQ(InputTicker, "IQ_DEPRECIATION_RENTAL_ASSETS_CF",Input!N$2,Date,,,Ccy,Conv)</f>
        <v>0</v>
      </c>
      <c r="M244" s="4">
        <f>_xll.ciqfunctions.udf.CIQ(InputTicker, "IQ_DEPRECIATION_RENTAL_ASSETS_CF",Input!O$2,Date,,,Ccy,Conv)</f>
        <v>0</v>
      </c>
      <c r="N244" s="49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  <c r="BM244" s="42"/>
      <c r="BN244" s="42"/>
    </row>
    <row r="245" spans="1:66" ht="12.75" customHeight="1" x14ac:dyDescent="0.2">
      <c r="A245" s="1" t="s">
        <v>445</v>
      </c>
      <c r="B245" s="4">
        <f>_xll.ciqfunctions.udf.CIQ(InputTicker, "IQ_DEP_RUA",Input!D$2,Date,,,Ccy,Conv)</f>
        <v>0</v>
      </c>
      <c r="C245" s="4">
        <f>_xll.ciqfunctions.udf.CIQ(InputTicker, "IQ_DEP_RUA",Input!E$2,Date,,,Ccy,Conv)</f>
        <v>0</v>
      </c>
      <c r="D245" s="4">
        <f>_xll.ciqfunctions.udf.CIQ(InputTicker, "IQ_DEP_RUA",Input!F$2,Date,,,Ccy,Conv)</f>
        <v>0</v>
      </c>
      <c r="E245" s="4">
        <f>_xll.ciqfunctions.udf.CIQ(InputTicker, "IQ_DEP_RUA",Input!G$2,Date,,,Ccy,Conv)</f>
        <v>0</v>
      </c>
      <c r="F245" s="4">
        <f>_xll.ciqfunctions.udf.CIQ(InputTicker, "IQ_DEP_RUA",Input!H$2,Date,,,Ccy,Conv)</f>
        <v>0</v>
      </c>
      <c r="G245" s="4">
        <f>_xll.ciqfunctions.udf.CIQ(InputTicker, "IQ_DEP_RUA",Input!I$2,Date,,,Ccy,Conv)</f>
        <v>0</v>
      </c>
      <c r="H245" s="4">
        <f>_xll.ciqfunctions.udf.CIQ(InputTicker, "IQ_DEP_RUA",Input!J$2,Date,,,Ccy,Conv)</f>
        <v>0</v>
      </c>
      <c r="I245" s="4">
        <f>_xll.ciqfunctions.udf.CIQ(InputTicker, "IQ_DEP_RUA",Input!K$2,Date,,,Ccy,Conv)</f>
        <v>0</v>
      </c>
      <c r="J245" s="4">
        <f>_xll.ciqfunctions.udf.CIQ(InputTicker, "IQ_DEP_RUA",Input!L$2,Date,,,Ccy,Conv)</f>
        <v>0</v>
      </c>
      <c r="K245" s="4">
        <f>_xll.ciqfunctions.udf.CIQ(InputTicker, "IQ_DEP_RUA",Input!M$2,Date,,,Ccy,Conv)</f>
        <v>0</v>
      </c>
      <c r="L245" s="4">
        <f>_xll.ciqfunctions.udf.CIQ(InputTicker, "IQ_DEP_RUA",Input!N$2,Date,,,Ccy,Conv)</f>
        <v>0</v>
      </c>
      <c r="M245" s="4">
        <f>_xll.ciqfunctions.udf.CIQ(InputTicker, "IQ_DEP_RUA",Input!O$2,Date,,,Ccy,Conv)</f>
        <v>0</v>
      </c>
      <c r="N245" s="49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  <c r="BM245" s="42"/>
      <c r="BN245" s="42"/>
    </row>
    <row r="246" spans="1:66" ht="12.75" customHeight="1" x14ac:dyDescent="0.2">
      <c r="A246" s="1" t="s">
        <v>466</v>
      </c>
      <c r="B246" s="4">
        <f>_xll.ciqfunctions.udf.CIQ(InputTicker, "IQ_DA_SUPPL_CF_EXCL_OPER_LEASES",Input!D$2,Date,,,Ccy,Conv)</f>
        <v>41.991999999999997</v>
      </c>
      <c r="C246" s="4">
        <f>_xll.ciqfunctions.udf.CIQ(InputTicker, "IQ_DA_SUPPL_CF_EXCL_OPER_LEASES",Input!E$2,Date,,,Ccy,Conv)</f>
        <v>46.912999999999997</v>
      </c>
      <c r="D246" s="4">
        <f>_xll.ciqfunctions.udf.CIQ(InputTicker, "IQ_DA_SUPPL_CF_EXCL_OPER_LEASES",Input!F$2,Date,,,Ccy,Conv)</f>
        <v>51.225999999999999</v>
      </c>
      <c r="E246" s="4">
        <f>_xll.ciqfunctions.udf.CIQ(InputTicker, "IQ_DA_SUPPL_CF_EXCL_OPER_LEASES",Input!G$2,Date,,,Ccy,Conv)</f>
        <v>51.85</v>
      </c>
      <c r="F246" s="4">
        <f>_xll.ciqfunctions.udf.CIQ(InputTicker, "IQ_DA_SUPPL_CF_EXCL_OPER_LEASES",Input!H$2,Date,,,Ccy,Conv)</f>
        <v>55.203000000000003</v>
      </c>
      <c r="G246" s="4">
        <f>_xll.ciqfunctions.udf.CIQ(InputTicker, "IQ_DA_SUPPL_CF_EXCL_OPER_LEASES",Input!I$2,Date,,,Ccy,Conv)</f>
        <v>59.476999999999997</v>
      </c>
      <c r="H246" s="4">
        <f>_xll.ciqfunctions.udf.CIQ(InputTicker, "IQ_DA_SUPPL_CF_EXCL_OPER_LEASES",Input!J$2,Date,,,Ccy,Conv)</f>
        <v>68.394999999999996</v>
      </c>
      <c r="I246" s="4">
        <f>_xll.ciqfunctions.udf.CIQ(InputTicker, "IQ_DA_SUPPL_CF_EXCL_OPER_LEASES",Input!K$2,Date,,,Ccy,Conv)</f>
        <v>70</v>
      </c>
      <c r="J246" s="4">
        <f>_xll.ciqfunctions.udf.CIQ(InputTicker, "IQ_DA_SUPPL_CF_EXCL_OPER_LEASES",Input!L$2,Date,,,Ccy,Conv)</f>
        <v>78.067999999999998</v>
      </c>
      <c r="K246" s="4">
        <f>_xll.ciqfunctions.udf.CIQ(InputTicker, "IQ_DA_SUPPL_CF_EXCL_OPER_LEASES",Input!M$2,Date,,,Ccy,Conv)</f>
        <v>91.863</v>
      </c>
      <c r="L246" s="4">
        <f>_xll.ciqfunctions.udf.CIQ(InputTicker, "IQ_DA_SUPPL_CF_EXCL_OPER_LEASES",Input!N$2,Date,,,Ccy,Conv)</f>
        <v>117.577</v>
      </c>
      <c r="M246" s="4">
        <f>_xll.ciqfunctions.udf.CIQ(InputTicker, "IQ_DA_SUPPL_CF_EXCL_OPER_LEASES",Input!O$2,Date,,,Ccy,Conv)</f>
        <v>117.577</v>
      </c>
      <c r="N246" s="49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  <c r="BM246" s="42"/>
      <c r="BN246" s="42"/>
    </row>
    <row r="247" spans="1:66" ht="12.75" customHeight="1" x14ac:dyDescent="0.2">
      <c r="A247" s="1" t="s">
        <v>467</v>
      </c>
      <c r="B247" s="4">
        <f>_xll.ciqfunctions.udf.CIQ(InputTicker, "IQ_DA_CF_EXCL_OPER_LEASES",Input!D$2,Date,,,Ccy,Conv)</f>
        <v>44.591999999999999</v>
      </c>
      <c r="C247" s="4">
        <f>_xll.ciqfunctions.udf.CIQ(InputTicker, "IQ_DA_CF_EXCL_OPER_LEASES",Input!E$2,Date,,,Ccy,Conv)</f>
        <v>49.113</v>
      </c>
      <c r="D247" s="4">
        <f>_xll.ciqfunctions.udf.CIQ(InputTicker, "IQ_DA_CF_EXCL_OPER_LEASES",Input!F$2,Date,,,Ccy,Conv)</f>
        <v>54.026000000000003</v>
      </c>
      <c r="E247" s="4">
        <f>_xll.ciqfunctions.udf.CIQ(InputTicker, "IQ_DA_CF_EXCL_OPER_LEASES",Input!G$2,Date,,,Ccy,Conv)</f>
        <v>54.65</v>
      </c>
      <c r="F247" s="4">
        <f>_xll.ciqfunctions.udf.CIQ(InputTicker, "IQ_DA_CF_EXCL_OPER_LEASES",Input!H$2,Date,,,Ccy,Conv)</f>
        <v>58.103000000000002</v>
      </c>
      <c r="G247" s="4">
        <f>_xll.ciqfunctions.udf.CIQ(InputTicker, "IQ_DA_CF_EXCL_OPER_LEASES",Input!I$2,Date,,,Ccy,Conv)</f>
        <v>59.476999999999997</v>
      </c>
      <c r="H247" s="4">
        <f>_xll.ciqfunctions.udf.CIQ(InputTicker, "IQ_DA_CF_EXCL_OPER_LEASES",Input!J$2,Date,,,Ccy,Conv)</f>
        <v>68.394999999999996</v>
      </c>
      <c r="I247" s="4">
        <f>_xll.ciqfunctions.udf.CIQ(InputTicker, "IQ_DA_CF_EXCL_OPER_LEASES",Input!K$2,Date,,,Ccy,Conv)</f>
        <v>72.233999999999995</v>
      </c>
      <c r="J247" s="4">
        <f>_xll.ciqfunctions.udf.CIQ(InputTicker, "IQ_DA_CF_EXCL_OPER_LEASES",Input!L$2,Date,,,Ccy,Conv)</f>
        <v>80.241</v>
      </c>
      <c r="K247" s="4">
        <f>_xll.ciqfunctions.udf.CIQ(InputTicker, "IQ_DA_CF_EXCL_OPER_LEASES",Input!M$2,Date,,,Ccy,Conv)</f>
        <v>94.021000000000001</v>
      </c>
      <c r="L247" s="4">
        <f>_xll.ciqfunctions.udf.CIQ(InputTicker, "IQ_DA_CF_EXCL_OPER_LEASES",Input!N$2,Date,,,Ccy,Conv)</f>
        <v>124.342</v>
      </c>
      <c r="M247" s="4">
        <f>_xll.ciqfunctions.udf.CIQ(InputTicker, "IQ_DA_CF_EXCL_OPER_LEASES",Input!O$2,Date,,,Ccy,Conv)</f>
        <v>124.342</v>
      </c>
      <c r="N247" s="49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  <c r="BM247" s="42"/>
      <c r="BN247" s="42"/>
    </row>
    <row r="248" spans="1:66" ht="12.75" customHeight="1" x14ac:dyDescent="0.2">
      <c r="A248" s="1" t="s">
        <v>40</v>
      </c>
      <c r="B248" s="4">
        <f>_xll.ciqfunctions.udf.CIQ(InputTicker, "IQ_NEGATIVE_GW_AMORT_CF",Input!D$2,Date,,,Ccy,Conv)</f>
        <v>0</v>
      </c>
      <c r="C248" s="4">
        <f>_xll.ciqfunctions.udf.CIQ(InputTicker, "IQ_NEGATIVE_GW_AMORT_CF",Input!E$2,Date,,,Ccy,Conv)</f>
        <v>0</v>
      </c>
      <c r="D248" s="4">
        <f>_xll.ciqfunctions.udf.CIQ(InputTicker, "IQ_NEGATIVE_GW_AMORT_CF",Input!F$2,Date,,,Ccy,Conv)</f>
        <v>0</v>
      </c>
      <c r="E248" s="4">
        <f>_xll.ciqfunctions.udf.CIQ(InputTicker, "IQ_NEGATIVE_GW_AMORT_CF",Input!G$2,Date,,,Ccy,Conv)</f>
        <v>0</v>
      </c>
      <c r="F248" s="4">
        <f>_xll.ciqfunctions.udf.CIQ(InputTicker, "IQ_NEGATIVE_GW_AMORT_CF",Input!H$2,Date,,,Ccy,Conv)</f>
        <v>0</v>
      </c>
      <c r="G248" s="4">
        <f>_xll.ciqfunctions.udf.CIQ(InputTicker, "IQ_NEGATIVE_GW_AMORT_CF",Input!I$2,Date,,,Ccy,Conv)</f>
        <v>0</v>
      </c>
      <c r="H248" s="4">
        <f>_xll.ciqfunctions.udf.CIQ(InputTicker, "IQ_NEGATIVE_GW_AMORT_CF",Input!J$2,Date,,,Ccy,Conv)</f>
        <v>0</v>
      </c>
      <c r="I248" s="4">
        <f>_xll.ciqfunctions.udf.CIQ(InputTicker, "IQ_NEGATIVE_GW_AMORT_CF",Input!K$2,Date,,,Ccy,Conv)</f>
        <v>0</v>
      </c>
      <c r="J248" s="4">
        <f>_xll.ciqfunctions.udf.CIQ(InputTicker, "IQ_NEGATIVE_GW_AMORT_CF",Input!L$2,Date,,,Ccy,Conv)</f>
        <v>0</v>
      </c>
      <c r="K248" s="4">
        <f>_xll.ciqfunctions.udf.CIQ(InputTicker, "IQ_NEGATIVE_GW_AMORT_CF",Input!M$2,Date,,,Ccy,Conv)</f>
        <v>0</v>
      </c>
      <c r="L248" s="4">
        <f>_xll.ciqfunctions.udf.CIQ(InputTicker, "IQ_NEGATIVE_GW_AMORT_CF",Input!N$2,Date,,,Ccy,Conv)</f>
        <v>0</v>
      </c>
      <c r="M248" s="4">
        <f>_xll.ciqfunctions.udf.CIQ(InputTicker, "IQ_NEGATIVE_GW_AMORT_CF",Input!O$2,Date,,,Ccy,Conv)</f>
        <v>0</v>
      </c>
      <c r="N248" s="49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  <c r="BN248" s="42"/>
    </row>
    <row r="249" spans="1:66" ht="12.75" customHeight="1" x14ac:dyDescent="0.2">
      <c r="A249" s="1" t="s">
        <v>439</v>
      </c>
      <c r="B249" s="4">
        <f>_xll.ciqfunctions.udf.CIQ(InputTicker, "IQ_AMORT_DIC_CF",Input!D$2,Date,,,Ccy,Conv)</f>
        <v>0</v>
      </c>
      <c r="C249" s="4">
        <f>_xll.ciqfunctions.udf.CIQ(InputTicker, "IQ_AMORT_DIC_CF",Input!E$2,Date,,,Ccy,Conv)</f>
        <v>0</v>
      </c>
      <c r="D249" s="4">
        <f>_xll.ciqfunctions.udf.CIQ(InputTicker, "IQ_AMORT_DIC_CF",Input!F$2,Date,,,Ccy,Conv)</f>
        <v>0</v>
      </c>
      <c r="E249" s="4">
        <f>_xll.ciqfunctions.udf.CIQ(InputTicker, "IQ_AMORT_DIC_CF",Input!G$2,Date,,,Ccy,Conv)</f>
        <v>0</v>
      </c>
      <c r="F249" s="4">
        <f>_xll.ciqfunctions.udf.CIQ(InputTicker, "IQ_AMORT_DIC_CF",Input!H$2,Date,,,Ccy,Conv)</f>
        <v>0</v>
      </c>
      <c r="G249" s="4">
        <f>_xll.ciqfunctions.udf.CIQ(InputTicker, "IQ_AMORT_DIC_CF",Input!I$2,Date,,,Ccy,Conv)</f>
        <v>0</v>
      </c>
      <c r="H249" s="4">
        <f>_xll.ciqfunctions.udf.CIQ(InputTicker, "IQ_AMORT_DIC_CF",Input!J$2,Date,,,Ccy,Conv)</f>
        <v>0</v>
      </c>
      <c r="I249" s="4">
        <f>_xll.ciqfunctions.udf.CIQ(InputTicker, "IQ_AMORT_DIC_CF",Input!K$2,Date,,,Ccy,Conv)</f>
        <v>0</v>
      </c>
      <c r="J249" s="4">
        <f>_xll.ciqfunctions.udf.CIQ(InputTicker, "IQ_AMORT_DIC_CF",Input!L$2,Date,,,Ccy,Conv)</f>
        <v>0</v>
      </c>
      <c r="K249" s="4">
        <f>_xll.ciqfunctions.udf.CIQ(InputTicker, "IQ_AMORT_DIC_CF",Input!M$2,Date,,,Ccy,Conv)</f>
        <v>0</v>
      </c>
      <c r="L249" s="4">
        <f>_xll.ciqfunctions.udf.CIQ(InputTicker, "IQ_AMORT_DIC_CF",Input!N$2,Date,,,Ccy,Conv)</f>
        <v>0</v>
      </c>
      <c r="M249" s="4">
        <f>_xll.ciqfunctions.udf.CIQ(InputTicker, "IQ_AMORT_DIC_CF",Input!O$2,Date,,,Ccy,Conv)</f>
        <v>0</v>
      </c>
      <c r="N249" s="49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  <c r="BM249" s="42"/>
      <c r="BN249" s="42"/>
    </row>
    <row r="250" spans="1:66" ht="12.75" customHeight="1" x14ac:dyDescent="0.2">
      <c r="A250" s="1" t="s">
        <v>440</v>
      </c>
      <c r="B250" s="4">
        <f>_xll.ciqfunctions.udf.CIQ(InputTicker, "IQ_AMORT_SOFTWARE_ASSETS_CF",Input!D$2,Date,,,Ccy,Conv)</f>
        <v>0</v>
      </c>
      <c r="C250" s="4">
        <f>_xll.ciqfunctions.udf.CIQ(InputTicker, "IQ_AMORT_SOFTWARE_ASSETS_CF",Input!E$2,Date,,,Ccy,Conv)</f>
        <v>0</v>
      </c>
      <c r="D250" s="4">
        <f>_xll.ciqfunctions.udf.CIQ(InputTicker, "IQ_AMORT_SOFTWARE_ASSETS_CF",Input!F$2,Date,,,Ccy,Conv)</f>
        <v>0</v>
      </c>
      <c r="E250" s="4">
        <f>_xll.ciqfunctions.udf.CIQ(InputTicker, "IQ_AMORT_SOFTWARE_ASSETS_CF",Input!G$2,Date,,,Ccy,Conv)</f>
        <v>0</v>
      </c>
      <c r="F250" s="4">
        <f>_xll.ciqfunctions.udf.CIQ(InputTicker, "IQ_AMORT_SOFTWARE_ASSETS_CF",Input!H$2,Date,,,Ccy,Conv)</f>
        <v>0</v>
      </c>
      <c r="G250" s="4">
        <f>_xll.ciqfunctions.udf.CIQ(InputTicker, "IQ_AMORT_SOFTWARE_ASSETS_CF",Input!I$2,Date,,,Ccy,Conv)</f>
        <v>0</v>
      </c>
      <c r="H250" s="4">
        <f>_xll.ciqfunctions.udf.CIQ(InputTicker, "IQ_AMORT_SOFTWARE_ASSETS_CF",Input!J$2,Date,,,Ccy,Conv)</f>
        <v>0</v>
      </c>
      <c r="I250" s="4">
        <f>_xll.ciqfunctions.udf.CIQ(InputTicker, "IQ_AMORT_SOFTWARE_ASSETS_CF",Input!K$2,Date,,,Ccy,Conv)</f>
        <v>0</v>
      </c>
      <c r="J250" s="4">
        <f>_xll.ciqfunctions.udf.CIQ(InputTicker, "IQ_AMORT_SOFTWARE_ASSETS_CF",Input!L$2,Date,,,Ccy,Conv)</f>
        <v>0</v>
      </c>
      <c r="K250" s="4">
        <f>_xll.ciqfunctions.udf.CIQ(InputTicker, "IQ_AMORT_SOFTWARE_ASSETS_CF",Input!M$2,Date,,,Ccy,Conv)</f>
        <v>0</v>
      </c>
      <c r="L250" s="4">
        <f>_xll.ciqfunctions.udf.CIQ(InputTicker, "IQ_AMORT_SOFTWARE_ASSETS_CF",Input!N$2,Date,,,Ccy,Conv)</f>
        <v>0</v>
      </c>
      <c r="M250" s="4">
        <f>_xll.ciqfunctions.udf.CIQ(InputTicker, "IQ_AMORT_SOFTWARE_ASSETS_CF",Input!O$2,Date,,,Ccy,Conv)</f>
        <v>0</v>
      </c>
      <c r="N250" s="49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</row>
    <row r="251" spans="1:66" ht="12.75" customHeight="1" x14ac:dyDescent="0.2">
      <c r="A251" s="1" t="s">
        <v>32</v>
      </c>
      <c r="B251" s="4">
        <f>_xll.ciqfunctions.udf.CIQ(InputTicker, "IQ_SALE_PROCEEDS_RENTAL_ASSETS",Input!D$2,Date,,,Ccy,Conv)</f>
        <v>0</v>
      </c>
      <c r="C251" s="4">
        <f>_xll.ciqfunctions.udf.CIQ(InputTicker, "IQ_SALE_PROCEEDS_RENTAL_ASSETS",Input!E$2,Date,,,Ccy,Conv)</f>
        <v>0</v>
      </c>
      <c r="D251" s="4">
        <f>_xll.ciqfunctions.udf.CIQ(InputTicker, "IQ_SALE_PROCEEDS_RENTAL_ASSETS",Input!F$2,Date,,,Ccy,Conv)</f>
        <v>0</v>
      </c>
      <c r="E251" s="4">
        <f>_xll.ciqfunctions.udf.CIQ(InputTicker, "IQ_SALE_PROCEEDS_RENTAL_ASSETS",Input!G$2,Date,,,Ccy,Conv)</f>
        <v>0</v>
      </c>
      <c r="F251" s="4">
        <f>_xll.ciqfunctions.udf.CIQ(InputTicker, "IQ_SALE_PROCEEDS_RENTAL_ASSETS",Input!H$2,Date,,,Ccy,Conv)</f>
        <v>0</v>
      </c>
      <c r="G251" s="4">
        <f>_xll.ciqfunctions.udf.CIQ(InputTicker, "IQ_SALE_PROCEEDS_RENTAL_ASSETS",Input!I$2,Date,,,Ccy,Conv)</f>
        <v>0</v>
      </c>
      <c r="H251" s="4">
        <f>_xll.ciqfunctions.udf.CIQ(InputTicker, "IQ_SALE_PROCEEDS_RENTAL_ASSETS",Input!J$2,Date,,,Ccy,Conv)</f>
        <v>0</v>
      </c>
      <c r="I251" s="4">
        <f>_xll.ciqfunctions.udf.CIQ(InputTicker, "IQ_SALE_PROCEEDS_RENTAL_ASSETS",Input!K$2,Date,,,Ccy,Conv)</f>
        <v>0</v>
      </c>
      <c r="J251" s="4">
        <f>_xll.ciqfunctions.udf.CIQ(InputTicker, "IQ_SALE_PROCEEDS_RENTAL_ASSETS",Input!L$2,Date,,,Ccy,Conv)</f>
        <v>0</v>
      </c>
      <c r="K251" s="4">
        <f>_xll.ciqfunctions.udf.CIQ(InputTicker, "IQ_SALE_PROCEEDS_RENTAL_ASSETS",Input!M$2,Date,,,Ccy,Conv)</f>
        <v>0</v>
      </c>
      <c r="L251" s="4">
        <f>_xll.ciqfunctions.udf.CIQ(InputTicker, "IQ_SALE_PROCEEDS_RENTAL_ASSETS",Input!N$2,Date,,,Ccy,Conv)</f>
        <v>0</v>
      </c>
      <c r="M251" s="4">
        <f>_xll.ciqfunctions.udf.CIQ(InputTicker, "IQ_SALE_PROCEEDS_RENTAL_ASSETS",Input!O$2,Date,,,Ccy,Conv)</f>
        <v>0</v>
      </c>
      <c r="N251" s="49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  <c r="BN251" s="42"/>
    </row>
    <row r="252" spans="1:66" ht="12.75" customHeight="1" x14ac:dyDescent="0.2">
      <c r="A252" s="1" t="s">
        <v>48</v>
      </c>
      <c r="B252" s="4">
        <f>_xll.ciqfunctions.udf.CIQ(InputTicker, "IQ_CASH_INTEREST",Input!D$2,Date,,,Ccy,Conv)</f>
        <v>1.0669999999999999</v>
      </c>
      <c r="C252" s="4">
        <f>_xll.ciqfunctions.udf.CIQ(InputTicker, "IQ_CASH_INTEREST",Input!E$2,Date,,,Ccy,Conv)</f>
        <v>0.317</v>
      </c>
      <c r="D252" s="4">
        <f>_xll.ciqfunctions.udf.CIQ(InputTicker, "IQ_CASH_INTEREST",Input!F$2,Date,,,Ccy,Conv)</f>
        <v>0.26500000000000001</v>
      </c>
      <c r="E252" s="4">
        <f>_xll.ciqfunctions.udf.CIQ(InputTicker, "IQ_CASH_INTEREST",Input!G$2,Date,,,Ccy,Conv)</f>
        <v>0.64400000000000002</v>
      </c>
      <c r="F252" s="4">
        <f>_xll.ciqfunctions.udf.CIQ(InputTicker, "IQ_CASH_INTEREST",Input!H$2,Date,,,Ccy,Conv)</f>
        <v>0.498</v>
      </c>
      <c r="G252" s="4">
        <f>_xll.ciqfunctions.udf.CIQ(InputTicker, "IQ_CASH_INTEREST",Input!I$2,Date,,,Ccy,Conv)</f>
        <v>0.50800000000000001</v>
      </c>
      <c r="H252" s="4">
        <f>_xll.ciqfunctions.udf.CIQ(InputTicker, "IQ_CASH_INTEREST",Input!J$2,Date,,,Ccy,Conv)</f>
        <v>0</v>
      </c>
      <c r="I252" s="4">
        <f>_xll.ciqfunctions.udf.CIQ(InputTicker, "IQ_CASH_INTEREST",Input!K$2,Date,,,Ccy,Conv)</f>
        <v>0</v>
      </c>
      <c r="J252" s="4">
        <f>_xll.ciqfunctions.udf.CIQ(InputTicker, "IQ_CASH_INTEREST",Input!L$2,Date,,,Ccy,Conv)</f>
        <v>0</v>
      </c>
      <c r="K252" s="4">
        <f>_xll.ciqfunctions.udf.CIQ(InputTicker, "IQ_CASH_INTEREST",Input!M$2,Date,,,Ccy,Conv)</f>
        <v>0</v>
      </c>
      <c r="L252" s="4">
        <f>_xll.ciqfunctions.udf.CIQ(InputTicker, "IQ_CASH_INTEREST",Input!N$2,Date,,,Ccy,Conv)</f>
        <v>0</v>
      </c>
      <c r="M252" s="4">
        <f>_xll.ciqfunctions.udf.CIQ(InputTicker, "IQ_CASH_INTEREST",Input!O$2,Date,,,Ccy,Conv)</f>
        <v>0</v>
      </c>
      <c r="N252" s="49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  <c r="BM252" s="42"/>
      <c r="BN252" s="42"/>
    </row>
    <row r="253" spans="1:66" ht="12.75" customHeight="1" x14ac:dyDescent="0.2">
      <c r="A253" s="1" t="s">
        <v>409</v>
      </c>
      <c r="B253" s="4">
        <f>_xll.ciqfunctions.udf.CIQ(InputTicker, "IQ_CASH_INTEREST_NET",Input!D$2,Date,,,Ccy,Conv)</f>
        <v>0</v>
      </c>
      <c r="C253" s="4">
        <f>_xll.ciqfunctions.udf.CIQ(InputTicker, "IQ_CASH_INTEREST_NET",Input!E$2,Date,,,Ccy,Conv)</f>
        <v>0</v>
      </c>
      <c r="D253" s="4">
        <f>_xll.ciqfunctions.udf.CIQ(InputTicker, "IQ_CASH_INTEREST_NET",Input!F$2,Date,,,Ccy,Conv)</f>
        <v>0</v>
      </c>
      <c r="E253" s="4">
        <f>_xll.ciqfunctions.udf.CIQ(InputTicker, "IQ_CASH_INTEREST_NET",Input!G$2,Date,,,Ccy,Conv)</f>
        <v>0</v>
      </c>
      <c r="F253" s="4">
        <f>_xll.ciqfunctions.udf.CIQ(InputTicker, "IQ_CASH_INTEREST_NET",Input!H$2,Date,,,Ccy,Conv)</f>
        <v>0</v>
      </c>
      <c r="G253" s="4">
        <f>_xll.ciqfunctions.udf.CIQ(InputTicker, "IQ_CASH_INTEREST_NET",Input!I$2,Date,,,Ccy,Conv)</f>
        <v>0</v>
      </c>
      <c r="H253" s="4">
        <f>_xll.ciqfunctions.udf.CIQ(InputTicker, "IQ_CASH_INTEREST_NET",Input!J$2,Date,,,Ccy,Conv)</f>
        <v>0</v>
      </c>
      <c r="I253" s="4">
        <f>_xll.ciqfunctions.udf.CIQ(InputTicker, "IQ_CASH_INTEREST_NET",Input!K$2,Date,,,Ccy,Conv)</f>
        <v>0</v>
      </c>
      <c r="J253" s="4">
        <f>_xll.ciqfunctions.udf.CIQ(InputTicker, "IQ_CASH_INTEREST_NET",Input!L$2,Date,,,Ccy,Conv)</f>
        <v>0</v>
      </c>
      <c r="K253" s="4">
        <f>_xll.ciqfunctions.udf.CIQ(InputTicker, "IQ_CASH_INTEREST_NET",Input!M$2,Date,,,Ccy,Conv)</f>
        <v>0</v>
      </c>
      <c r="L253" s="4">
        <f>_xll.ciqfunctions.udf.CIQ(InputTicker, "IQ_CASH_INTEREST_NET",Input!N$2,Date,,,Ccy,Conv)</f>
        <v>0</v>
      </c>
      <c r="M253" s="4">
        <f>_xll.ciqfunctions.udf.CIQ(InputTicker, "IQ_CASH_INTEREST_NET",Input!O$2,Date,,,Ccy,Conv)</f>
        <v>0</v>
      </c>
      <c r="N253" s="49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  <c r="BN253" s="42"/>
    </row>
    <row r="254" spans="1:66" ht="12.75" customHeight="1" x14ac:dyDescent="0.2">
      <c r="A254" s="1" t="s">
        <v>507</v>
      </c>
      <c r="B254" s="4">
        <f>_xll.ciqfunctions.udf.CIQ(InputTicker, "IQ_CASH_INTEREST_RECEIVED",Input!D$2,Date,,,Ccy,Conv)</f>
        <v>0</v>
      </c>
      <c r="C254" s="4">
        <f>_xll.ciqfunctions.udf.CIQ(InputTicker, "IQ_CASH_INTEREST_RECEIVED",Input!E$2,Date,,,Ccy,Conv)</f>
        <v>0</v>
      </c>
      <c r="D254" s="4">
        <f>_xll.ciqfunctions.udf.CIQ(InputTicker, "IQ_CASH_INTEREST_RECEIVED",Input!F$2,Date,,,Ccy,Conv)</f>
        <v>0</v>
      </c>
      <c r="E254" s="4">
        <f>_xll.ciqfunctions.udf.CIQ(InputTicker, "IQ_CASH_INTEREST_RECEIVED",Input!G$2,Date,,,Ccy,Conv)</f>
        <v>0</v>
      </c>
      <c r="F254" s="4">
        <f>_xll.ciqfunctions.udf.CIQ(InputTicker, "IQ_CASH_INTEREST_RECEIVED",Input!H$2,Date,,,Ccy,Conv)</f>
        <v>0</v>
      </c>
      <c r="G254" s="4">
        <f>_xll.ciqfunctions.udf.CIQ(InputTicker, "IQ_CASH_INTEREST_RECEIVED",Input!I$2,Date,,,Ccy,Conv)</f>
        <v>0</v>
      </c>
      <c r="H254" s="4">
        <f>_xll.ciqfunctions.udf.CIQ(InputTicker, "IQ_CASH_INTEREST_RECEIVED",Input!J$2,Date,,,Ccy,Conv)</f>
        <v>0</v>
      </c>
      <c r="I254" s="4">
        <f>_xll.ciqfunctions.udf.CIQ(InputTicker, "IQ_CASH_INTEREST_RECEIVED",Input!K$2,Date,,,Ccy,Conv)</f>
        <v>0</v>
      </c>
      <c r="J254" s="4">
        <f>_xll.ciqfunctions.udf.CIQ(InputTicker, "IQ_CASH_INTEREST_RECEIVED",Input!L$2,Date,,,Ccy,Conv)</f>
        <v>0</v>
      </c>
      <c r="K254" s="4">
        <f>_xll.ciqfunctions.udf.CIQ(InputTicker, "IQ_CASH_INTEREST_RECEIVED",Input!M$2,Date,,,Ccy,Conv)</f>
        <v>0</v>
      </c>
      <c r="L254" s="4">
        <f>_xll.ciqfunctions.udf.CIQ(InputTicker, "IQ_CASH_INTEREST_RECEIVED",Input!N$2,Date,,,Ccy,Conv)</f>
        <v>0</v>
      </c>
      <c r="M254" s="4">
        <f>_xll.ciqfunctions.udf.CIQ(InputTicker, "IQ_CASH_INTEREST_RECEIVED",Input!O$2,Date,,,Ccy,Conv)</f>
        <v>0</v>
      </c>
      <c r="N254" s="49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</row>
    <row r="255" spans="1:66" ht="12.75" customHeight="1" x14ac:dyDescent="0.2">
      <c r="A255" s="1" t="s">
        <v>381</v>
      </c>
      <c r="B255" s="4">
        <f>_xll.ciqfunctions.udf.CIQ(InputTicker, "IQ_CASH_INTEREST_OPER",Input!D$2,Date,,,Ccy,Conv)</f>
        <v>0</v>
      </c>
      <c r="C255" s="4">
        <f>_xll.ciqfunctions.udf.CIQ(InputTicker, "IQ_CASH_INTEREST_OPER",Input!E$2,Date,,,Ccy,Conv)</f>
        <v>0</v>
      </c>
      <c r="D255" s="4">
        <f>_xll.ciqfunctions.udf.CIQ(InputTicker, "IQ_CASH_INTEREST_OPER",Input!F$2,Date,,,Ccy,Conv)</f>
        <v>0</v>
      </c>
      <c r="E255" s="4">
        <f>_xll.ciqfunctions.udf.CIQ(InputTicker, "IQ_CASH_INTEREST_OPER",Input!G$2,Date,,,Ccy,Conv)</f>
        <v>0</v>
      </c>
      <c r="F255" s="4">
        <f>_xll.ciqfunctions.udf.CIQ(InputTicker, "IQ_CASH_INTEREST_OPER",Input!H$2,Date,,,Ccy,Conv)</f>
        <v>0</v>
      </c>
      <c r="G255" s="4">
        <f>_xll.ciqfunctions.udf.CIQ(InputTicker, "IQ_CASH_INTEREST_OPER",Input!I$2,Date,,,Ccy,Conv)</f>
        <v>0</v>
      </c>
      <c r="H255" s="4">
        <f>_xll.ciqfunctions.udf.CIQ(InputTicker, "IQ_CASH_INTEREST_OPER",Input!J$2,Date,,,Ccy,Conv)</f>
        <v>0</v>
      </c>
      <c r="I255" s="4">
        <f>_xll.ciqfunctions.udf.CIQ(InputTicker, "IQ_CASH_INTEREST_OPER",Input!K$2,Date,,,Ccy,Conv)</f>
        <v>0</v>
      </c>
      <c r="J255" s="4">
        <f>_xll.ciqfunctions.udf.CIQ(InputTicker, "IQ_CASH_INTEREST_OPER",Input!L$2,Date,,,Ccy,Conv)</f>
        <v>0</v>
      </c>
      <c r="K255" s="4">
        <f>_xll.ciqfunctions.udf.CIQ(InputTicker, "IQ_CASH_INTEREST_OPER",Input!M$2,Date,,,Ccy,Conv)</f>
        <v>0</v>
      </c>
      <c r="L255" s="4">
        <f>_xll.ciqfunctions.udf.CIQ(InputTicker, "IQ_CASH_INTEREST_OPER",Input!N$2,Date,,,Ccy,Conv)</f>
        <v>0</v>
      </c>
      <c r="M255" s="4">
        <f>_xll.ciqfunctions.udf.CIQ(InputTicker, "IQ_CASH_INTEREST_OPER",Input!O$2,Date,,,Ccy,Conv)</f>
        <v>0</v>
      </c>
      <c r="N255" s="49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  <c r="BN255" s="42"/>
    </row>
    <row r="256" spans="1:66" ht="12.75" customHeight="1" x14ac:dyDescent="0.2">
      <c r="A256" s="1" t="s">
        <v>382</v>
      </c>
      <c r="B256" s="4">
        <f>_xll.ciqfunctions.udf.CIQ(InputTicker, "IQ_CASH_INTEREST_INVEST",Input!D$2,Date,,,Ccy,Conv)</f>
        <v>0</v>
      </c>
      <c r="C256" s="4">
        <f>_xll.ciqfunctions.udf.CIQ(InputTicker, "IQ_CASH_INTEREST_INVEST",Input!E$2,Date,,,Ccy,Conv)</f>
        <v>0</v>
      </c>
      <c r="D256" s="4">
        <f>_xll.ciqfunctions.udf.CIQ(InputTicker, "IQ_CASH_INTEREST_INVEST",Input!F$2,Date,,,Ccy,Conv)</f>
        <v>0</v>
      </c>
      <c r="E256" s="4">
        <f>_xll.ciqfunctions.udf.CIQ(InputTicker, "IQ_CASH_INTEREST_INVEST",Input!G$2,Date,,,Ccy,Conv)</f>
        <v>0</v>
      </c>
      <c r="F256" s="4">
        <f>_xll.ciqfunctions.udf.CIQ(InputTicker, "IQ_CASH_INTEREST_INVEST",Input!H$2,Date,,,Ccy,Conv)</f>
        <v>0</v>
      </c>
      <c r="G256" s="4">
        <f>_xll.ciqfunctions.udf.CIQ(InputTicker, "IQ_CASH_INTEREST_INVEST",Input!I$2,Date,,,Ccy,Conv)</f>
        <v>0</v>
      </c>
      <c r="H256" s="4">
        <f>_xll.ciqfunctions.udf.CIQ(InputTicker, "IQ_CASH_INTEREST_INVEST",Input!J$2,Date,,,Ccy,Conv)</f>
        <v>0</v>
      </c>
      <c r="I256" s="4">
        <f>_xll.ciqfunctions.udf.CIQ(InputTicker, "IQ_CASH_INTEREST_INVEST",Input!K$2,Date,,,Ccy,Conv)</f>
        <v>0</v>
      </c>
      <c r="J256" s="4">
        <f>_xll.ciqfunctions.udf.CIQ(InputTicker, "IQ_CASH_INTEREST_INVEST",Input!L$2,Date,,,Ccy,Conv)</f>
        <v>0</v>
      </c>
      <c r="K256" s="4">
        <f>_xll.ciqfunctions.udf.CIQ(InputTicker, "IQ_CASH_INTEREST_INVEST",Input!M$2,Date,,,Ccy,Conv)</f>
        <v>0</v>
      </c>
      <c r="L256" s="4">
        <f>_xll.ciqfunctions.udf.CIQ(InputTicker, "IQ_CASH_INTEREST_INVEST",Input!N$2,Date,,,Ccy,Conv)</f>
        <v>0</v>
      </c>
      <c r="M256" s="4">
        <f>_xll.ciqfunctions.udf.CIQ(InputTicker, "IQ_CASH_INTEREST_INVEST",Input!O$2,Date,,,Ccy,Conv)</f>
        <v>0</v>
      </c>
      <c r="N256" s="49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</row>
    <row r="257" spans="1:66" ht="12.75" customHeight="1" x14ac:dyDescent="0.2">
      <c r="A257" s="1" t="s">
        <v>383</v>
      </c>
      <c r="B257" s="4">
        <f>_xll.ciqfunctions.udf.CIQ(InputTicker, "IQ_CASH_INTEREST_FINAN",Input!D$2,Date,,,Ccy,Conv)</f>
        <v>0</v>
      </c>
      <c r="C257" s="4">
        <f>_xll.ciqfunctions.udf.CIQ(InputTicker, "IQ_CASH_INTEREST_FINAN",Input!E$2,Date,,,Ccy,Conv)</f>
        <v>0</v>
      </c>
      <c r="D257" s="4">
        <f>_xll.ciqfunctions.udf.CIQ(InputTicker, "IQ_CASH_INTEREST_FINAN",Input!F$2,Date,,,Ccy,Conv)</f>
        <v>0</v>
      </c>
      <c r="E257" s="4">
        <f>_xll.ciqfunctions.udf.CIQ(InputTicker, "IQ_CASH_INTEREST_FINAN",Input!G$2,Date,,,Ccy,Conv)</f>
        <v>0</v>
      </c>
      <c r="F257" s="4">
        <f>_xll.ciqfunctions.udf.CIQ(InputTicker, "IQ_CASH_INTEREST_FINAN",Input!H$2,Date,,,Ccy,Conv)</f>
        <v>0</v>
      </c>
      <c r="G257" s="4">
        <f>_xll.ciqfunctions.udf.CIQ(InputTicker, "IQ_CASH_INTEREST_FINAN",Input!I$2,Date,,,Ccy,Conv)</f>
        <v>0</v>
      </c>
      <c r="H257" s="4">
        <f>_xll.ciqfunctions.udf.CIQ(InputTicker, "IQ_CASH_INTEREST_FINAN",Input!J$2,Date,,,Ccy,Conv)</f>
        <v>0</v>
      </c>
      <c r="I257" s="4">
        <f>_xll.ciqfunctions.udf.CIQ(InputTicker, "IQ_CASH_INTEREST_FINAN",Input!K$2,Date,,,Ccy,Conv)</f>
        <v>0</v>
      </c>
      <c r="J257" s="4">
        <f>_xll.ciqfunctions.udf.CIQ(InputTicker, "IQ_CASH_INTEREST_FINAN",Input!L$2,Date,,,Ccy,Conv)</f>
        <v>0</v>
      </c>
      <c r="K257" s="4">
        <f>_xll.ciqfunctions.udf.CIQ(InputTicker, "IQ_CASH_INTEREST_FINAN",Input!M$2,Date,,,Ccy,Conv)</f>
        <v>0</v>
      </c>
      <c r="L257" s="4">
        <f>_xll.ciqfunctions.udf.CIQ(InputTicker, "IQ_CASH_INTEREST_FINAN",Input!N$2,Date,,,Ccy,Conv)</f>
        <v>0</v>
      </c>
      <c r="M257" s="4">
        <f>_xll.ciqfunctions.udf.CIQ(InputTicker, "IQ_CASH_INTEREST_FINAN",Input!O$2,Date,,,Ccy,Conv)</f>
        <v>0</v>
      </c>
      <c r="N257" s="49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  <c r="BN257" s="42"/>
    </row>
    <row r="258" spans="1:66" ht="12.75" customHeight="1" x14ac:dyDescent="0.2">
      <c r="A258" s="1" t="s">
        <v>49</v>
      </c>
      <c r="B258" s="4">
        <f>_xll.ciqfunctions.udf.CIQ(InputTicker, "IQ_CASH_TAXES",Input!D$2,Date,,,Ccy,Conv)</f>
        <v>166.84</v>
      </c>
      <c r="C258" s="4">
        <f>_xll.ciqfunctions.udf.CIQ(InputTicker, "IQ_CASH_TAXES",Input!E$2,Date,,,Ccy,Conv)</f>
        <v>-15.233000000000001</v>
      </c>
      <c r="D258" s="4">
        <f>_xll.ciqfunctions.udf.CIQ(InputTicker, "IQ_CASH_TAXES",Input!F$2,Date,,,Ccy,Conv)</f>
        <v>-45.100999999999999</v>
      </c>
      <c r="E258" s="4">
        <f>_xll.ciqfunctions.udf.CIQ(InputTicker, "IQ_CASH_TAXES",Input!G$2,Date,,,Ccy,Conv)</f>
        <v>36.311999999999998</v>
      </c>
      <c r="F258" s="4">
        <f>_xll.ciqfunctions.udf.CIQ(InputTicker, "IQ_CASH_TAXES",Input!H$2,Date,,,Ccy,Conv)</f>
        <v>3.2000000000000001E-2</v>
      </c>
      <c r="G258" s="4">
        <f>_xll.ciqfunctions.udf.CIQ(InputTicker, "IQ_CASH_TAXES",Input!I$2,Date,,,Ccy,Conv)</f>
        <v>0.995</v>
      </c>
      <c r="H258" s="4">
        <f>_xll.ciqfunctions.udf.CIQ(InputTicker, "IQ_CASH_TAXES",Input!J$2,Date,,,Ccy,Conv)</f>
        <v>1.7470000000000001</v>
      </c>
      <c r="I258" s="4">
        <f>_xll.ciqfunctions.udf.CIQ(InputTicker, "IQ_CASH_TAXES",Input!K$2,Date,,,Ccy,Conv)</f>
        <v>258.24700000000001</v>
      </c>
      <c r="J258" s="4">
        <f>_xll.ciqfunctions.udf.CIQ(InputTicker, "IQ_CASH_TAXES",Input!L$2,Date,,,Ccy,Conv)</f>
        <v>35.1</v>
      </c>
      <c r="K258" s="4">
        <f>_xll.ciqfunctions.udf.CIQ(InputTicker, "IQ_CASH_TAXES",Input!M$2,Date,,,Ccy,Conv)</f>
        <v>426.2</v>
      </c>
      <c r="L258" s="4">
        <f>_xll.ciqfunctions.udf.CIQ(InputTicker, "IQ_CASH_TAXES",Input!N$2,Date,,,Ccy,Conv)</f>
        <v>119.92700000000001</v>
      </c>
      <c r="M258" s="4">
        <f>_xll.ciqfunctions.udf.CIQ(InputTicker, "IQ_CASH_TAXES",Input!O$2,Date,,,Ccy,Conv)</f>
        <v>119.92700000000001</v>
      </c>
      <c r="N258" s="49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</row>
    <row r="259" spans="1:66" ht="12.75" customHeight="1" x14ac:dyDescent="0.2">
      <c r="A259" s="1" t="s">
        <v>384</v>
      </c>
      <c r="B259" s="4">
        <f>_xll.ciqfunctions.udf.CIQ(InputTicker, "IQ_CASH_TAXES_OPER",Input!D$2,Date,,,Ccy,Conv)</f>
        <v>0</v>
      </c>
      <c r="C259" s="4">
        <f>_xll.ciqfunctions.udf.CIQ(InputTicker, "IQ_CASH_TAXES_OPER",Input!E$2,Date,,,Ccy,Conv)</f>
        <v>0</v>
      </c>
      <c r="D259" s="4">
        <f>_xll.ciqfunctions.udf.CIQ(InputTicker, "IQ_CASH_TAXES_OPER",Input!F$2,Date,,,Ccy,Conv)</f>
        <v>0</v>
      </c>
      <c r="E259" s="4">
        <f>_xll.ciqfunctions.udf.CIQ(InputTicker, "IQ_CASH_TAXES_OPER",Input!G$2,Date,,,Ccy,Conv)</f>
        <v>0</v>
      </c>
      <c r="F259" s="4">
        <f>_xll.ciqfunctions.udf.CIQ(InputTicker, "IQ_CASH_TAXES_OPER",Input!H$2,Date,,,Ccy,Conv)</f>
        <v>0</v>
      </c>
      <c r="G259" s="4">
        <f>_xll.ciqfunctions.udf.CIQ(InputTicker, "IQ_CASH_TAXES_OPER",Input!I$2,Date,,,Ccy,Conv)</f>
        <v>0</v>
      </c>
      <c r="H259" s="4">
        <f>_xll.ciqfunctions.udf.CIQ(InputTicker, "IQ_CASH_TAXES_OPER",Input!J$2,Date,,,Ccy,Conv)</f>
        <v>0</v>
      </c>
      <c r="I259" s="4">
        <f>_xll.ciqfunctions.udf.CIQ(InputTicker, "IQ_CASH_TAXES_OPER",Input!K$2,Date,,,Ccy,Conv)</f>
        <v>0</v>
      </c>
      <c r="J259" s="4">
        <f>_xll.ciqfunctions.udf.CIQ(InputTicker, "IQ_CASH_TAXES_OPER",Input!L$2,Date,,,Ccy,Conv)</f>
        <v>0</v>
      </c>
      <c r="K259" s="4">
        <f>_xll.ciqfunctions.udf.CIQ(InputTicker, "IQ_CASH_TAXES_OPER",Input!M$2,Date,,,Ccy,Conv)</f>
        <v>0</v>
      </c>
      <c r="L259" s="4">
        <f>_xll.ciqfunctions.udf.CIQ(InputTicker, "IQ_CASH_TAXES_OPER",Input!N$2,Date,,,Ccy,Conv)</f>
        <v>0</v>
      </c>
      <c r="M259" s="4">
        <f>_xll.ciqfunctions.udf.CIQ(InputTicker, "IQ_CASH_TAXES_OPER",Input!O$2,Date,,,Ccy,Conv)</f>
        <v>0</v>
      </c>
      <c r="N259" s="49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  <c r="BN259" s="42"/>
    </row>
    <row r="260" spans="1:66" ht="12.75" customHeight="1" x14ac:dyDescent="0.2">
      <c r="A260" s="1" t="s">
        <v>385</v>
      </c>
      <c r="B260" s="4">
        <f>_xll.ciqfunctions.udf.CIQ(InputTicker, "IQ_CASH_TAXES_INVEST",Input!D$2,Date,,,Ccy,Conv)</f>
        <v>0</v>
      </c>
      <c r="C260" s="4">
        <f>_xll.ciqfunctions.udf.CIQ(InputTicker, "IQ_CASH_TAXES_INVEST",Input!E$2,Date,,,Ccy,Conv)</f>
        <v>0</v>
      </c>
      <c r="D260" s="4">
        <f>_xll.ciqfunctions.udf.CIQ(InputTicker, "IQ_CASH_TAXES_INVEST",Input!F$2,Date,,,Ccy,Conv)</f>
        <v>0</v>
      </c>
      <c r="E260" s="4">
        <f>_xll.ciqfunctions.udf.CIQ(InputTicker, "IQ_CASH_TAXES_INVEST",Input!G$2,Date,,,Ccy,Conv)</f>
        <v>0</v>
      </c>
      <c r="F260" s="4">
        <f>_xll.ciqfunctions.udf.CIQ(InputTicker, "IQ_CASH_TAXES_INVEST",Input!H$2,Date,,,Ccy,Conv)</f>
        <v>0</v>
      </c>
      <c r="G260" s="4">
        <f>_xll.ciqfunctions.udf.CIQ(InputTicker, "IQ_CASH_TAXES_INVEST",Input!I$2,Date,,,Ccy,Conv)</f>
        <v>0</v>
      </c>
      <c r="H260" s="4">
        <f>_xll.ciqfunctions.udf.CIQ(InputTicker, "IQ_CASH_TAXES_INVEST",Input!J$2,Date,,,Ccy,Conv)</f>
        <v>0</v>
      </c>
      <c r="I260" s="4">
        <f>_xll.ciqfunctions.udf.CIQ(InputTicker, "IQ_CASH_TAXES_INVEST",Input!K$2,Date,,,Ccy,Conv)</f>
        <v>0</v>
      </c>
      <c r="J260" s="4">
        <f>_xll.ciqfunctions.udf.CIQ(InputTicker, "IQ_CASH_TAXES_INVEST",Input!L$2,Date,,,Ccy,Conv)</f>
        <v>0</v>
      </c>
      <c r="K260" s="4">
        <f>_xll.ciqfunctions.udf.CIQ(InputTicker, "IQ_CASH_TAXES_INVEST",Input!M$2,Date,,,Ccy,Conv)</f>
        <v>0</v>
      </c>
      <c r="L260" s="4">
        <f>_xll.ciqfunctions.udf.CIQ(InputTicker, "IQ_CASH_TAXES_INVEST",Input!N$2,Date,,,Ccy,Conv)</f>
        <v>0</v>
      </c>
      <c r="M260" s="4">
        <f>_xll.ciqfunctions.udf.CIQ(InputTicker, "IQ_CASH_TAXES_INVEST",Input!O$2,Date,,,Ccy,Conv)</f>
        <v>0</v>
      </c>
      <c r="N260" s="49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</row>
    <row r="261" spans="1:66" ht="12.75" customHeight="1" x14ac:dyDescent="0.2">
      <c r="A261" s="1" t="s">
        <v>386</v>
      </c>
      <c r="B261" s="4">
        <f>_xll.ciqfunctions.udf.CIQ(InputTicker, "IQ_CASH_TAXES_FINAN",Input!D$2,Date,,,Ccy,Conv)</f>
        <v>0</v>
      </c>
      <c r="C261" s="4">
        <f>_xll.ciqfunctions.udf.CIQ(InputTicker, "IQ_CASH_TAXES_FINAN",Input!E$2,Date,,,Ccy,Conv)</f>
        <v>0</v>
      </c>
      <c r="D261" s="4">
        <f>_xll.ciqfunctions.udf.CIQ(InputTicker, "IQ_CASH_TAXES_FINAN",Input!F$2,Date,,,Ccy,Conv)</f>
        <v>0</v>
      </c>
      <c r="E261" s="4">
        <f>_xll.ciqfunctions.udf.CIQ(InputTicker, "IQ_CASH_TAXES_FINAN",Input!G$2,Date,,,Ccy,Conv)</f>
        <v>0</v>
      </c>
      <c r="F261" s="4">
        <f>_xll.ciqfunctions.udf.CIQ(InputTicker, "IQ_CASH_TAXES_FINAN",Input!H$2,Date,,,Ccy,Conv)</f>
        <v>0</v>
      </c>
      <c r="G261" s="4">
        <f>_xll.ciqfunctions.udf.CIQ(InputTicker, "IQ_CASH_TAXES_FINAN",Input!I$2,Date,,,Ccy,Conv)</f>
        <v>0</v>
      </c>
      <c r="H261" s="4">
        <f>_xll.ciqfunctions.udf.CIQ(InputTicker, "IQ_CASH_TAXES_FINAN",Input!J$2,Date,,,Ccy,Conv)</f>
        <v>0</v>
      </c>
      <c r="I261" s="4">
        <f>_xll.ciqfunctions.udf.CIQ(InputTicker, "IQ_CASH_TAXES_FINAN",Input!K$2,Date,,,Ccy,Conv)</f>
        <v>0</v>
      </c>
      <c r="J261" s="4">
        <f>_xll.ciqfunctions.udf.CIQ(InputTicker, "IQ_CASH_TAXES_FINAN",Input!L$2,Date,,,Ccy,Conv)</f>
        <v>0</v>
      </c>
      <c r="K261" s="4">
        <f>_xll.ciqfunctions.udf.CIQ(InputTicker, "IQ_CASH_TAXES_FINAN",Input!M$2,Date,,,Ccy,Conv)</f>
        <v>0</v>
      </c>
      <c r="L261" s="4">
        <f>_xll.ciqfunctions.udf.CIQ(InputTicker, "IQ_CASH_TAXES_FINAN",Input!N$2,Date,,,Ccy,Conv)</f>
        <v>0</v>
      </c>
      <c r="M261" s="4">
        <f>_xll.ciqfunctions.udf.CIQ(InputTicker, "IQ_CASH_TAXES_FINAN",Input!O$2,Date,,,Ccy,Conv)</f>
        <v>0</v>
      </c>
      <c r="N261" s="49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</row>
    <row r="262" spans="1:66" ht="12.75" customHeight="1" x14ac:dyDescent="0.2">
      <c r="A262" s="1" t="s">
        <v>388</v>
      </c>
      <c r="B262" s="4">
        <f>_xll.ciqfunctions.udf.CIQ(InputTicker, "IQ_CHANGE_DEF_TAX_TOTAL",Input!D$2,Date,,,Ccy,Conv)</f>
        <v>19.391999999999999</v>
      </c>
      <c r="C262" s="4">
        <f>_xll.ciqfunctions.udf.CIQ(InputTicker, "IQ_CHANGE_DEF_TAX_TOTAL",Input!E$2,Date,,,Ccy,Conv)</f>
        <v>14.833</v>
      </c>
      <c r="D262" s="4">
        <f>_xll.ciqfunctions.udf.CIQ(InputTicker, "IQ_CHANGE_DEF_TAX_TOTAL",Input!F$2,Date,,,Ccy,Conv)</f>
        <v>-33.808999999999997</v>
      </c>
      <c r="E262" s="4">
        <f>_xll.ciqfunctions.udf.CIQ(InputTicker, "IQ_CHANGE_DEF_TAX_TOTAL",Input!G$2,Date,,,Ccy,Conv)</f>
        <v>6.1230000000000002</v>
      </c>
      <c r="F262" s="4">
        <f>_xll.ciqfunctions.udf.CIQ(InputTicker, "IQ_CHANGE_DEF_TAX_TOTAL",Input!H$2,Date,,,Ccy,Conv)</f>
        <v>10.281000000000001</v>
      </c>
      <c r="G262" s="4">
        <f>_xll.ciqfunctions.udf.CIQ(InputTicker, "IQ_CHANGE_DEF_TAX_TOTAL",Input!I$2,Date,,,Ccy,Conv)</f>
        <v>22.350999999999999</v>
      </c>
      <c r="H262" s="4">
        <f>_xll.ciqfunctions.udf.CIQ(InputTicker, "IQ_CHANGE_DEF_TAX_TOTAL",Input!J$2,Date,,,Ccy,Conv)</f>
        <v>5.6760000000000002</v>
      </c>
      <c r="I262" s="4">
        <f>_xll.ciqfunctions.udf.CIQ(InputTicker, "IQ_CHANGE_DEF_TAX_TOTAL",Input!K$2,Date,,,Ccy,Conv)</f>
        <v>24.466999999999999</v>
      </c>
      <c r="J262" s="4">
        <f>_xll.ciqfunctions.udf.CIQ(InputTicker, "IQ_CHANGE_DEF_TAX_TOTAL",Input!L$2,Date,,,Ccy,Conv)</f>
        <v>-9.6720000000000006</v>
      </c>
      <c r="K262" s="4">
        <f>_xll.ciqfunctions.udf.CIQ(InputTicker, "IQ_CHANGE_DEF_TAX_TOTAL",Input!M$2,Date,,,Ccy,Conv)</f>
        <v>11.57</v>
      </c>
      <c r="L262" s="4">
        <f>_xll.ciqfunctions.udf.CIQ(InputTicker, "IQ_CHANGE_DEF_TAX_TOTAL",Input!N$2,Date,,,Ccy,Conv)</f>
        <v>67.363</v>
      </c>
      <c r="M262" s="4">
        <f>_xll.ciqfunctions.udf.CIQ(InputTicker, "IQ_CHANGE_DEF_TAX_TOTAL",Input!O$2,Date,,,Ccy,Conv)</f>
        <v>67.363</v>
      </c>
      <c r="N262" s="49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  <c r="BN262" s="42"/>
    </row>
    <row r="263" spans="1:66" ht="12.75" customHeight="1" x14ac:dyDescent="0.2">
      <c r="A263" s="1" t="s">
        <v>350</v>
      </c>
      <c r="B263" s="4">
        <f>_xll.ciqfunctions.udf.CIQ(InputTicker, "IQ_CHANGE_NET_WORKING_CAPITAL",Input!D$2,Date,,,Ccy,Conv)</f>
        <v>10.752000000000001</v>
      </c>
      <c r="C263" s="4">
        <f>_xll.ciqfunctions.udf.CIQ(InputTicker, "IQ_CHANGE_NET_WORKING_CAPITAL",Input!E$2,Date,,,Ccy,Conv)</f>
        <v>50.72</v>
      </c>
      <c r="D263" s="4">
        <f>_xll.ciqfunctions.udf.CIQ(InputTicker, "IQ_CHANGE_NET_WORKING_CAPITAL",Input!F$2,Date,,,Ccy,Conv)</f>
        <v>-68.126000000000005</v>
      </c>
      <c r="E263" s="4">
        <f>_xll.ciqfunctions.udf.CIQ(InputTicker, "IQ_CHANGE_NET_WORKING_CAPITAL",Input!G$2,Date,,,Ccy,Conv)</f>
        <v>22.913</v>
      </c>
      <c r="F263" s="4">
        <f>_xll.ciqfunctions.udf.CIQ(InputTicker, "IQ_CHANGE_NET_WORKING_CAPITAL",Input!H$2,Date,,,Ccy,Conv)</f>
        <v>22.661999999999999</v>
      </c>
      <c r="G263" s="4">
        <f>_xll.ciqfunctions.udf.CIQ(InputTicker, "IQ_CHANGE_NET_WORKING_CAPITAL",Input!I$2,Date,,,Ccy,Conv)</f>
        <v>63.454000000000001</v>
      </c>
      <c r="H263" s="4">
        <f>_xll.ciqfunctions.udf.CIQ(InputTicker, "IQ_CHANGE_NET_WORKING_CAPITAL",Input!J$2,Date,,,Ccy,Conv)</f>
        <v>41.101999999999997</v>
      </c>
      <c r="I263" s="4">
        <f>_xll.ciqfunctions.udf.CIQ(InputTicker, "IQ_CHANGE_NET_WORKING_CAPITAL",Input!K$2,Date,,,Ccy,Conv)</f>
        <v>-8.0519999999999996</v>
      </c>
      <c r="J263" s="4">
        <f>_xll.ciqfunctions.udf.CIQ(InputTicker, "IQ_CHANGE_NET_WORKING_CAPITAL",Input!L$2,Date,,,Ccy,Conv)</f>
        <v>-92.561000000000007</v>
      </c>
      <c r="K263" s="4">
        <f>_xll.ciqfunctions.udf.CIQ(InputTicker, "IQ_CHANGE_NET_WORKING_CAPITAL",Input!M$2,Date,,,Ccy,Conv)</f>
        <v>65.92</v>
      </c>
      <c r="L263" s="4">
        <f>_xll.ciqfunctions.udf.CIQ(InputTicker, "IQ_CHANGE_NET_WORKING_CAPITAL",Input!N$2,Date,,,Ccy,Conv)</f>
        <v>184.33</v>
      </c>
      <c r="M263" s="4">
        <f>_xll.ciqfunctions.udf.CIQ(InputTicker, "IQ_CHANGE_NET_WORKING_CAPITAL",Input!O$2,Date,,,Ccy,Conv)</f>
        <v>184.33</v>
      </c>
      <c r="N263" s="49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  <c r="BN263" s="42"/>
    </row>
    <row r="264" spans="1:66" ht="12.75" customHeight="1" x14ac:dyDescent="0.2">
      <c r="A264" s="1" t="s">
        <v>508</v>
      </c>
      <c r="B264" s="4">
        <f>_xll.ciqfunctions.udf.CIQ(InputTicker, "IQ_LEVERED_FCF",Input!D$2,Date,,,Ccy,Conv)</f>
        <v>254.00975</v>
      </c>
      <c r="C264" s="4">
        <f>_xll.ciqfunctions.udf.CIQ(InputTicker, "IQ_LEVERED_FCF",Input!E$2,Date,,,Ccy,Conv)</f>
        <v>-146.58699999999999</v>
      </c>
      <c r="D264" s="4">
        <f>_xll.ciqfunctions.udf.CIQ(InputTicker, "IQ_LEVERED_FCF",Input!F$2,Date,,,Ccy,Conv)</f>
        <v>219.36363</v>
      </c>
      <c r="E264" s="4">
        <f>_xll.ciqfunctions.udf.CIQ(InputTicker, "IQ_LEVERED_FCF",Input!G$2,Date,,,Ccy,Conv)</f>
        <v>-4.4017499999999998</v>
      </c>
      <c r="F264" s="4">
        <f>_xll.ciqfunctions.udf.CIQ(InputTicker, "IQ_LEVERED_FCF",Input!H$2,Date,,,Ccy,Conv)</f>
        <v>-84.586879999999994</v>
      </c>
      <c r="G264" s="4">
        <f>_xll.ciqfunctions.udf.CIQ(InputTicker, "IQ_LEVERED_FCF",Input!I$2,Date,,,Ccy,Conv)</f>
        <v>-109.95238000000001</v>
      </c>
      <c r="H264" s="4">
        <f>_xll.ciqfunctions.udf.CIQ(InputTicker, "IQ_LEVERED_FCF",Input!J$2,Date,,,Ccy,Conv)</f>
        <v>45.222630000000002</v>
      </c>
      <c r="I264" s="4">
        <f>_xll.ciqfunctions.udf.CIQ(InputTicker, "IQ_LEVERED_FCF",Input!K$2,Date,,,Ccy,Conv)</f>
        <v>550.21388000000002</v>
      </c>
      <c r="J264" s="4">
        <f>_xll.ciqfunctions.udf.CIQ(InputTicker, "IQ_LEVERED_FCF",Input!L$2,Date,,,Ccy,Conv)</f>
        <v>213.72962999999999</v>
      </c>
      <c r="K264" s="4">
        <f>_xll.ciqfunctions.udf.CIQ(InputTicker, "IQ_LEVERED_FCF",Input!M$2,Date,,,Ccy,Conv)</f>
        <v>844.76300000000003</v>
      </c>
      <c r="L264" s="4">
        <f>_xll.ciqfunctions.udf.CIQ(InputTicker, "IQ_LEVERED_FCF",Input!N$2,Date,,,Ccy,Conv)</f>
        <v>8.7965</v>
      </c>
      <c r="M264" s="4">
        <f>_xll.ciqfunctions.udf.CIQ(InputTicker, "IQ_LEVERED_FCF",Input!O$2,Date,,,Ccy,Conv)</f>
        <v>8.7965</v>
      </c>
      <c r="N264" s="49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  <c r="BN264" s="42"/>
    </row>
    <row r="265" spans="1:66" ht="12.75" customHeight="1" x14ac:dyDescent="0.2">
      <c r="A265" s="1" t="s">
        <v>509</v>
      </c>
      <c r="B265" s="4">
        <f>_xll.ciqfunctions.udf.CIQ(InputTicker, "IQ_UNLEVERED_FCF",Input!D$2,Date,,,Ccy,Conv)</f>
        <v>254.73224999999999</v>
      </c>
      <c r="C265" s="4">
        <f>_xll.ciqfunctions.udf.CIQ(InputTicker, "IQ_UNLEVERED_FCF",Input!E$2,Date,,,Ccy,Conv)</f>
        <v>-146.38825</v>
      </c>
      <c r="D265" s="4">
        <f>_xll.ciqfunctions.udf.CIQ(InputTicker, "IQ_UNLEVERED_FCF",Input!F$2,Date,,,Ccy,Conv)</f>
        <v>219.52924999999999</v>
      </c>
      <c r="E265" s="4">
        <f>_xll.ciqfunctions.udf.CIQ(InputTicker, "IQ_UNLEVERED_FCF",Input!G$2,Date,,,Ccy,Conv)</f>
        <v>-3.99925</v>
      </c>
      <c r="F265" s="4">
        <f>_xll.ciqfunctions.udf.CIQ(InputTicker, "IQ_UNLEVERED_FCF",Input!H$2,Date,,,Ccy,Conv)</f>
        <v>-84.275630000000007</v>
      </c>
      <c r="G265" s="4">
        <f>_xll.ciqfunctions.udf.CIQ(InputTicker, "IQ_UNLEVERED_FCF",Input!I$2,Date,,,Ccy,Conv)</f>
        <v>-109.81925</v>
      </c>
      <c r="H265" s="4">
        <f>_xll.ciqfunctions.udf.CIQ(InputTicker, "IQ_UNLEVERED_FCF",Input!J$2,Date,,,Ccy,Conv)</f>
        <v>45.474499999999999</v>
      </c>
      <c r="I265" s="4">
        <f>_xll.ciqfunctions.udf.CIQ(InputTicker, "IQ_UNLEVERED_FCF",Input!K$2,Date,,,Ccy,Conv)</f>
        <v>550.57825000000003</v>
      </c>
      <c r="J265" s="4">
        <f>_xll.ciqfunctions.udf.CIQ(InputTicker, "IQ_UNLEVERED_FCF",Input!L$2,Date,,,Ccy,Conv)</f>
        <v>214.07275000000001</v>
      </c>
      <c r="K265" s="4">
        <f>_xll.ciqfunctions.udf.CIQ(InputTicker, "IQ_UNLEVERED_FCF",Input!M$2,Date,,,Ccy,Conv)</f>
        <v>845.14549999999997</v>
      </c>
      <c r="L265" s="4">
        <f>_xll.ciqfunctions.udf.CIQ(InputTicker, "IQ_UNLEVERED_FCF",Input!N$2,Date,,,Ccy,Conv)</f>
        <v>9.1440000000000001</v>
      </c>
      <c r="M265" s="4">
        <f>_xll.ciqfunctions.udf.CIQ(InputTicker, "IQ_UNLEVERED_FCF",Input!O$2,Date,,,Ccy,Conv)</f>
        <v>9.1440000000000001</v>
      </c>
      <c r="N265" s="49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  <c r="BN265" s="42"/>
    </row>
    <row r="266" spans="1:66" ht="12.75" customHeight="1" x14ac:dyDescent="0.2">
      <c r="A266" s="1" t="s">
        <v>33</v>
      </c>
      <c r="B266" s="11">
        <f>_xll.ciqfunctions.udf.CIQ(InputTicker, "IQ_CF_SHARE",Input!D$2,Date,,,Ccy,Conv)</f>
        <v>6.4801700000000002</v>
      </c>
      <c r="C266" s="11">
        <f>_xll.ciqfunctions.udf.CIQ(InputTicker, "IQ_CF_SHARE",Input!E$2,Date,,,Ccy,Conv)</f>
        <v>-2.3277600000000001</v>
      </c>
      <c r="D266" s="11">
        <f>_xll.ciqfunctions.udf.CIQ(InputTicker, "IQ_CF_SHARE",Input!F$2,Date,,,Ccy,Conv)</f>
        <v>3.7380100000000001</v>
      </c>
      <c r="E266" s="11">
        <f>_xll.ciqfunctions.udf.CIQ(InputTicker, "IQ_CF_SHARE",Input!G$2,Date,,,Ccy,Conv)</f>
        <v>0.97170999999999996</v>
      </c>
      <c r="F266" s="11">
        <f>_xll.ciqfunctions.udf.CIQ(InputTicker, "IQ_CF_SHARE",Input!H$2,Date,,,Ccy,Conv)</f>
        <v>-1.0433699999999999</v>
      </c>
      <c r="G266" s="11">
        <f>_xll.ciqfunctions.udf.CIQ(InputTicker, "IQ_CF_SHARE",Input!I$2,Date,,,Ccy,Conv)</f>
        <v>-1.42065</v>
      </c>
      <c r="H266" s="11">
        <f>_xll.ciqfunctions.udf.CIQ(InputTicker, "IQ_CF_SHARE",Input!J$2,Date,,,Ccy,Conv)</f>
        <v>1.1076299999999999</v>
      </c>
      <c r="I266" s="11">
        <f>_xll.ciqfunctions.udf.CIQ(InputTicker, "IQ_CF_SHARE",Input!K$2,Date,,,Ccy,Conv)</f>
        <v>14.932600000000001</v>
      </c>
      <c r="J266" s="11">
        <f>_xll.ciqfunctions.udf.CIQ(InputTicker, "IQ_CF_SHARE",Input!L$2,Date,,,Ccy,Conv)</f>
        <v>6.2459100000000003</v>
      </c>
      <c r="K266" s="11">
        <f>_xll.ciqfunctions.udf.CIQ(InputTicker, "IQ_CF_SHARE",Input!M$2,Date,,,Ccy,Conv)</f>
        <v>21.82883</v>
      </c>
      <c r="L266" s="11">
        <f>_xll.ciqfunctions.udf.CIQ(InputTicker, "IQ_CF_SHARE",Input!N$2,Date,,,Ccy,Conv)</f>
        <v>6.8947099999999999</v>
      </c>
      <c r="M266" s="11">
        <f>_xll.ciqfunctions.udf.CIQ(InputTicker, "IQ_CF_SHARE",Input!O$2,Date,,,Ccy,Conv)</f>
        <v>6.8947099999999999</v>
      </c>
      <c r="N266" s="49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  <c r="BN266" s="42"/>
    </row>
    <row r="267" spans="1:66" ht="12.75" customHeight="1" x14ac:dyDescent="0.2">
      <c r="A267" s="1" t="s">
        <v>122</v>
      </c>
      <c r="B267" s="4">
        <f>_xll.ciqfunctions.udf.CIQ(InputTicker, "IQ_NET_DEBT_ISSUED",Input!D$2,Date,,,Ccy,Conv)</f>
        <v>-25.29</v>
      </c>
      <c r="C267" s="4">
        <f>_xll.ciqfunctions.udf.CIQ(InputTicker, "IQ_NET_DEBT_ISSUED",Input!E$2,Date,,,Ccy,Conv)</f>
        <v>-16.510000000000002</v>
      </c>
      <c r="D267" s="4">
        <f>_xll.ciqfunctions.udf.CIQ(InputTicker, "IQ_NET_DEBT_ISSUED",Input!F$2,Date,,,Ccy,Conv)</f>
        <v>-4.8490000000000002</v>
      </c>
      <c r="E267" s="4">
        <f>_xll.ciqfunctions.udf.CIQ(InputTicker, "IQ_NET_DEBT_ISSUED",Input!G$2,Date,,,Ccy,Conv)</f>
        <v>-3.754</v>
      </c>
      <c r="F267" s="4">
        <f>_xll.ciqfunctions.udf.CIQ(InputTicker, "IQ_NET_DEBT_ISSUED",Input!H$2,Date,,,Ccy,Conv)</f>
        <v>-1.696</v>
      </c>
      <c r="G267" s="4">
        <f>_xll.ciqfunctions.udf.CIQ(InputTicker, "IQ_NET_DEBT_ISSUED",Input!I$2,Date,,,Ccy,Conv)</f>
        <v>-0.20499999999999999</v>
      </c>
      <c r="H267" s="4">
        <f>_xll.ciqfunctions.udf.CIQ(InputTicker, "IQ_NET_DEBT_ISSUED",Input!J$2,Date,,,Ccy,Conv)</f>
        <v>-0.215</v>
      </c>
      <c r="I267" s="4">
        <f>_xll.ciqfunctions.udf.CIQ(InputTicker, "IQ_NET_DEBT_ISSUED",Input!K$2,Date,,,Ccy,Conv)</f>
        <v>-0.224</v>
      </c>
      <c r="J267" s="4">
        <f>_xll.ciqfunctions.udf.CIQ(InputTicker, "IQ_NET_DEBT_ISSUED",Input!L$2,Date,,,Ccy,Conv)</f>
        <v>-0.214</v>
      </c>
      <c r="K267" s="4">
        <f>_xll.ciqfunctions.udf.CIQ(InputTicker, "IQ_NET_DEBT_ISSUED",Input!M$2,Date,,,Ccy,Conv)</f>
        <v>-2.4809999999999999</v>
      </c>
      <c r="L267" s="4">
        <f>_xll.ciqfunctions.udf.CIQ(InputTicker, "IQ_NET_DEBT_ISSUED",Input!N$2,Date,,,Ccy,Conv)</f>
        <v>0</v>
      </c>
      <c r="M267" s="4">
        <f>_xll.ciqfunctions.udf.CIQ(InputTicker, "IQ_NET_DEBT_ISSUED",Input!O$2,Date,,,Ccy,Conv)</f>
        <v>0</v>
      </c>
      <c r="N267" s="49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  <c r="BN267" s="42"/>
    </row>
    <row r="268" spans="1:66" ht="12.75" customHeight="1" x14ac:dyDescent="0.2">
      <c r="A268" s="1" t="s">
        <v>351</v>
      </c>
      <c r="B268" s="4">
        <f>_xll.ciqfunctions.udf.CIQ(InputTicker, "IQ_MAINT_CAPEX",Input!D$2,Date,,,Ccy,Conv)</f>
        <v>0</v>
      </c>
      <c r="C268" s="4">
        <f>_xll.ciqfunctions.udf.CIQ(InputTicker, "IQ_MAINT_CAPEX",Input!E$2,Date,,,Ccy,Conv)</f>
        <v>0</v>
      </c>
      <c r="D268" s="4">
        <f>_xll.ciqfunctions.udf.CIQ(InputTicker, "IQ_MAINT_CAPEX",Input!F$2,Date,,,Ccy,Conv)</f>
        <v>0</v>
      </c>
      <c r="E268" s="4">
        <f>_xll.ciqfunctions.udf.CIQ(InputTicker, "IQ_MAINT_CAPEX",Input!G$2,Date,,,Ccy,Conv)</f>
        <v>0</v>
      </c>
      <c r="F268" s="4">
        <f>_xll.ciqfunctions.udf.CIQ(InputTicker, "IQ_MAINT_CAPEX",Input!H$2,Date,,,Ccy,Conv)</f>
        <v>0</v>
      </c>
      <c r="G268" s="4">
        <f>_xll.ciqfunctions.udf.CIQ(InputTicker, "IQ_MAINT_CAPEX",Input!I$2,Date,,,Ccy,Conv)</f>
        <v>0</v>
      </c>
      <c r="H268" s="4">
        <f>_xll.ciqfunctions.udf.CIQ(InputTicker, "IQ_MAINT_CAPEX",Input!J$2,Date,,,Ccy,Conv)</f>
        <v>0</v>
      </c>
      <c r="I268" s="4">
        <f>_xll.ciqfunctions.udf.CIQ(InputTicker, "IQ_MAINT_CAPEX",Input!K$2,Date,,,Ccy,Conv)</f>
        <v>0</v>
      </c>
      <c r="J268" s="4">
        <f>_xll.ciqfunctions.udf.CIQ(InputTicker, "IQ_MAINT_CAPEX",Input!L$2,Date,,,Ccy,Conv)</f>
        <v>0</v>
      </c>
      <c r="K268" s="4">
        <f>_xll.ciqfunctions.udf.CIQ(InputTicker, "IQ_MAINT_CAPEX",Input!M$2,Date,,,Ccy,Conv)</f>
        <v>0</v>
      </c>
      <c r="L268" s="4">
        <f>_xll.ciqfunctions.udf.CIQ(InputTicker, "IQ_MAINT_CAPEX",Input!N$2,Date,,,Ccy,Conv)</f>
        <v>0</v>
      </c>
      <c r="M268" s="4">
        <f>_xll.ciqfunctions.udf.CIQ(InputTicker, "IQ_MAINT_CAPEX",Input!O$2,Date,,,Ccy,Conv)</f>
        <v>0</v>
      </c>
      <c r="N268" s="49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</row>
    <row r="269" spans="1:66" ht="12.75" customHeight="1" x14ac:dyDescent="0.2">
      <c r="A269" s="1" t="s">
        <v>34</v>
      </c>
      <c r="B269" s="4">
        <f>_xll.ciqfunctions.udf.CIQ(InputTicker, "IQ_DO_INVEST_CF",Input!D$2,Date,,,Ccy,Conv)</f>
        <v>0</v>
      </c>
      <c r="C269" s="4">
        <f>_xll.ciqfunctions.udf.CIQ(InputTicker, "IQ_DO_INVEST_CF",Input!E$2,Date,,,Ccy,Conv)</f>
        <v>0</v>
      </c>
      <c r="D269" s="4">
        <f>_xll.ciqfunctions.udf.CIQ(InputTicker, "IQ_DO_INVEST_CF",Input!F$2,Date,,,Ccy,Conv)</f>
        <v>0</v>
      </c>
      <c r="E269" s="4">
        <f>_xll.ciqfunctions.udf.CIQ(InputTicker, "IQ_DO_INVEST_CF",Input!G$2,Date,,,Ccy,Conv)</f>
        <v>0</v>
      </c>
      <c r="F269" s="4">
        <f>_xll.ciqfunctions.udf.CIQ(InputTicker, "IQ_DO_INVEST_CF",Input!H$2,Date,,,Ccy,Conv)</f>
        <v>0</v>
      </c>
      <c r="G269" s="4">
        <f>_xll.ciqfunctions.udf.CIQ(InputTicker, "IQ_DO_INVEST_CF",Input!I$2,Date,,,Ccy,Conv)</f>
        <v>0</v>
      </c>
      <c r="H269" s="4">
        <f>_xll.ciqfunctions.udf.CIQ(InputTicker, "IQ_DO_INVEST_CF",Input!J$2,Date,,,Ccy,Conv)</f>
        <v>0</v>
      </c>
      <c r="I269" s="4">
        <f>_xll.ciqfunctions.udf.CIQ(InputTicker, "IQ_DO_INVEST_CF",Input!K$2,Date,,,Ccy,Conv)</f>
        <v>0</v>
      </c>
      <c r="J269" s="4">
        <f>_xll.ciqfunctions.udf.CIQ(InputTicker, "IQ_DO_INVEST_CF",Input!L$2,Date,,,Ccy,Conv)</f>
        <v>0</v>
      </c>
      <c r="K269" s="4">
        <f>_xll.ciqfunctions.udf.CIQ(InputTicker, "IQ_DO_INVEST_CF",Input!M$2,Date,,,Ccy,Conv)</f>
        <v>0</v>
      </c>
      <c r="L269" s="4">
        <f>_xll.ciqfunctions.udf.CIQ(InputTicker, "IQ_DO_INVEST_CF",Input!N$2,Date,,,Ccy,Conv)</f>
        <v>0</v>
      </c>
      <c r="M269" s="4">
        <f>_xll.ciqfunctions.udf.CIQ(InputTicker, "IQ_DO_INVEST_CF",Input!O$2,Date,,,Ccy,Conv)</f>
        <v>0</v>
      </c>
      <c r="N269" s="49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  <c r="BN269" s="42"/>
    </row>
    <row r="270" spans="1:66" ht="12.75" customHeight="1" x14ac:dyDescent="0.2">
      <c r="A270" s="1" t="s">
        <v>35</v>
      </c>
      <c r="B270" s="4">
        <f>_xll.ciqfunctions.udf.CIQ(InputTicker, "IQ_DO_FINANCE_CF",Input!D$2,Date,,,Ccy,Conv)</f>
        <v>0</v>
      </c>
      <c r="C270" s="4">
        <f>_xll.ciqfunctions.udf.CIQ(InputTicker, "IQ_DO_FINANCE_CF",Input!E$2,Date,,,Ccy,Conv)</f>
        <v>0</v>
      </c>
      <c r="D270" s="4">
        <f>_xll.ciqfunctions.udf.CIQ(InputTicker, "IQ_DO_FINANCE_CF",Input!F$2,Date,,,Ccy,Conv)</f>
        <v>0</v>
      </c>
      <c r="E270" s="4">
        <f>_xll.ciqfunctions.udf.CIQ(InputTicker, "IQ_DO_FINANCE_CF",Input!G$2,Date,,,Ccy,Conv)</f>
        <v>0</v>
      </c>
      <c r="F270" s="4">
        <f>_xll.ciqfunctions.udf.CIQ(InputTicker, "IQ_DO_FINANCE_CF",Input!H$2,Date,,,Ccy,Conv)</f>
        <v>0</v>
      </c>
      <c r="G270" s="4">
        <f>_xll.ciqfunctions.udf.CIQ(InputTicker, "IQ_DO_FINANCE_CF",Input!I$2,Date,,,Ccy,Conv)</f>
        <v>0</v>
      </c>
      <c r="H270" s="4">
        <f>_xll.ciqfunctions.udf.CIQ(InputTicker, "IQ_DO_FINANCE_CF",Input!J$2,Date,,,Ccy,Conv)</f>
        <v>0</v>
      </c>
      <c r="I270" s="4">
        <f>_xll.ciqfunctions.udf.CIQ(InputTicker, "IQ_DO_FINANCE_CF",Input!K$2,Date,,,Ccy,Conv)</f>
        <v>0</v>
      </c>
      <c r="J270" s="4">
        <f>_xll.ciqfunctions.udf.CIQ(InputTicker, "IQ_DO_FINANCE_CF",Input!L$2,Date,,,Ccy,Conv)</f>
        <v>0</v>
      </c>
      <c r="K270" s="4">
        <f>_xll.ciqfunctions.udf.CIQ(InputTicker, "IQ_DO_FINANCE_CF",Input!M$2,Date,,,Ccy,Conv)</f>
        <v>0</v>
      </c>
      <c r="L270" s="4">
        <f>_xll.ciqfunctions.udf.CIQ(InputTicker, "IQ_DO_FINANCE_CF",Input!N$2,Date,,,Ccy,Conv)</f>
        <v>0</v>
      </c>
      <c r="M270" s="4">
        <f>_xll.ciqfunctions.udf.CIQ(InputTicker, "IQ_DO_FINANCE_CF",Input!O$2,Date,,,Ccy,Conv)</f>
        <v>0</v>
      </c>
      <c r="N270" s="49"/>
      <c r="T270" s="46"/>
      <c r="U270" s="46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  <c r="BM270" s="42"/>
      <c r="BN270" s="42"/>
    </row>
    <row r="271" spans="1:66" ht="12.75" customHeight="1" x14ac:dyDescent="0.2">
      <c r="A271" s="1" t="s">
        <v>446</v>
      </c>
      <c r="B271" s="4">
        <f>_xll.ciqfunctions.udf.CIQ(InputTicker, "IQ_OPERATING_LEASE_PAYMENTS",Input!D$2,Date,,,Ccy,Conv)</f>
        <v>0</v>
      </c>
      <c r="C271" s="4">
        <f>_xll.ciqfunctions.udf.CIQ(InputTicker, "IQ_OPERATING_LEASE_PAYMENTS",Input!E$2,Date,,,Ccy,Conv)</f>
        <v>0</v>
      </c>
      <c r="D271" s="4">
        <f>_xll.ciqfunctions.udf.CIQ(InputTicker, "IQ_OPERATING_LEASE_PAYMENTS",Input!F$2,Date,,,Ccy,Conv)</f>
        <v>0</v>
      </c>
      <c r="E271" s="4">
        <f>_xll.ciqfunctions.udf.CIQ(InputTicker, "IQ_OPERATING_LEASE_PAYMENTS",Input!G$2,Date,,,Ccy,Conv)</f>
        <v>0</v>
      </c>
      <c r="F271" s="4">
        <f>_xll.ciqfunctions.udf.CIQ(InputTicker, "IQ_OPERATING_LEASE_PAYMENTS",Input!H$2,Date,,,Ccy,Conv)</f>
        <v>0</v>
      </c>
      <c r="G271" s="4">
        <f>_xll.ciqfunctions.udf.CIQ(InputTicker, "IQ_OPERATING_LEASE_PAYMENTS",Input!I$2,Date,,,Ccy,Conv)</f>
        <v>0</v>
      </c>
      <c r="H271" s="4">
        <f>_xll.ciqfunctions.udf.CIQ(InputTicker, "IQ_OPERATING_LEASE_PAYMENTS",Input!J$2,Date,,,Ccy,Conv)</f>
        <v>0</v>
      </c>
      <c r="I271" s="4">
        <f>_xll.ciqfunctions.udf.CIQ(InputTicker, "IQ_OPERATING_LEASE_PAYMENTS",Input!K$2,Date,,,Ccy,Conv)</f>
        <v>0</v>
      </c>
      <c r="J271" s="4">
        <f>_xll.ciqfunctions.udf.CIQ(InputTicker, "IQ_OPERATING_LEASE_PAYMENTS",Input!L$2,Date,,,Ccy,Conv)</f>
        <v>0</v>
      </c>
      <c r="K271" s="4">
        <f>_xll.ciqfunctions.udf.CIQ(InputTicker, "IQ_OPERATING_LEASE_PAYMENTS",Input!M$2,Date,,,Ccy,Conv)</f>
        <v>0</v>
      </c>
      <c r="L271" s="4">
        <f>_xll.ciqfunctions.udf.CIQ(InputTicker, "IQ_OPERATING_LEASE_PAYMENTS",Input!N$2,Date,,,Ccy,Conv)</f>
        <v>0</v>
      </c>
      <c r="M271" s="4">
        <f>_xll.ciqfunctions.udf.CIQ(InputTicker, "IQ_OPERATING_LEASE_PAYMENTS",Input!O$2,Date,,,Ccy,Conv)</f>
        <v>0</v>
      </c>
      <c r="N271" s="5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  <c r="BN271" s="42"/>
    </row>
    <row r="272" spans="1:66" ht="12.75" customHeight="1" x14ac:dyDescent="0.2">
      <c r="A272" s="1" t="s">
        <v>447</v>
      </c>
      <c r="B272" s="4">
        <f>_xll.ciqfunctions.udf.CIQ(InputTicker, "IQ_OPERATING_LEASE_LIABILITIES",Input!D$2,Date,,,Ccy,Conv)</f>
        <v>0</v>
      </c>
      <c r="C272" s="4">
        <f>_xll.ciqfunctions.udf.CIQ(InputTicker, "IQ_OPERATING_LEASE_LIABILITIES",Input!E$2,Date,,,Ccy,Conv)</f>
        <v>0</v>
      </c>
      <c r="D272" s="4">
        <f>_xll.ciqfunctions.udf.CIQ(InputTicker, "IQ_OPERATING_LEASE_LIABILITIES",Input!F$2,Date,,,Ccy,Conv)</f>
        <v>0</v>
      </c>
      <c r="E272" s="4">
        <f>_xll.ciqfunctions.udf.CIQ(InputTicker, "IQ_OPERATING_LEASE_LIABILITIES",Input!G$2,Date,,,Ccy,Conv)</f>
        <v>0</v>
      </c>
      <c r="F272" s="4">
        <f>_xll.ciqfunctions.udf.CIQ(InputTicker, "IQ_OPERATING_LEASE_LIABILITIES",Input!H$2,Date,,,Ccy,Conv)</f>
        <v>0</v>
      </c>
      <c r="G272" s="4">
        <f>_xll.ciqfunctions.udf.CIQ(InputTicker, "IQ_OPERATING_LEASE_LIABILITIES",Input!I$2,Date,,,Ccy,Conv)</f>
        <v>0</v>
      </c>
      <c r="H272" s="4">
        <f>_xll.ciqfunctions.udf.CIQ(InputTicker, "IQ_OPERATING_LEASE_LIABILITIES",Input!J$2,Date,,,Ccy,Conv)</f>
        <v>0</v>
      </c>
      <c r="I272" s="4">
        <f>_xll.ciqfunctions.udf.CIQ(InputTicker, "IQ_OPERATING_LEASE_LIABILITIES",Input!K$2,Date,,,Ccy,Conv)</f>
        <v>0</v>
      </c>
      <c r="J272" s="4">
        <f>_xll.ciqfunctions.udf.CIQ(InputTicker, "IQ_OPERATING_LEASE_LIABILITIES",Input!L$2,Date,,,Ccy,Conv)</f>
        <v>0</v>
      </c>
      <c r="K272" s="4">
        <f>_xll.ciqfunctions.udf.CIQ(InputTicker, "IQ_OPERATING_LEASE_LIABILITIES",Input!M$2,Date,,,Ccy,Conv)</f>
        <v>0</v>
      </c>
      <c r="L272" s="4">
        <f>_xll.ciqfunctions.udf.CIQ(InputTicker, "IQ_OPERATING_LEASE_LIABILITIES",Input!N$2,Date,,,Ccy,Conv)</f>
        <v>0</v>
      </c>
      <c r="M272" s="4">
        <f>_xll.ciqfunctions.udf.CIQ(InputTicker, "IQ_OPERATING_LEASE_LIABILITIES",Input!O$2,Date,,,Ccy,Conv)</f>
        <v>0</v>
      </c>
      <c r="N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  <c r="BM272" s="42"/>
      <c r="BN272" s="42"/>
    </row>
    <row r="273" spans="1:66" ht="12.75" customHeight="1" x14ac:dyDescent="0.2">
      <c r="A273" s="1" t="s">
        <v>448</v>
      </c>
      <c r="B273" s="4">
        <f>_xll.ciqfunctions.udf.CIQ(InputTicker, "IQ_OPERATING_LEASE_LIABILITIES_NONCASH",Input!D$2,Date,,,Ccy,Conv)</f>
        <v>0</v>
      </c>
      <c r="C273" s="4">
        <f>_xll.ciqfunctions.udf.CIQ(InputTicker, "IQ_OPERATING_LEASE_LIABILITIES_NONCASH",Input!E$2,Date,,,Ccy,Conv)</f>
        <v>0</v>
      </c>
      <c r="D273" s="4">
        <f>_xll.ciqfunctions.udf.CIQ(InputTicker, "IQ_OPERATING_LEASE_LIABILITIES_NONCASH",Input!F$2,Date,,,Ccy,Conv)</f>
        <v>0</v>
      </c>
      <c r="E273" s="4">
        <f>_xll.ciqfunctions.udf.CIQ(InputTicker, "IQ_OPERATING_LEASE_LIABILITIES_NONCASH",Input!G$2,Date,,,Ccy,Conv)</f>
        <v>0</v>
      </c>
      <c r="F273" s="4">
        <f>_xll.ciqfunctions.udf.CIQ(InputTicker, "IQ_OPERATING_LEASE_LIABILITIES_NONCASH",Input!H$2,Date,,,Ccy,Conv)</f>
        <v>0</v>
      </c>
      <c r="G273" s="4">
        <f>_xll.ciqfunctions.udf.CIQ(InputTicker, "IQ_OPERATING_LEASE_LIABILITIES_NONCASH",Input!I$2,Date,,,Ccy,Conv)</f>
        <v>0</v>
      </c>
      <c r="H273" s="4">
        <f>_xll.ciqfunctions.udf.CIQ(InputTicker, "IQ_OPERATING_LEASE_LIABILITIES_NONCASH",Input!J$2,Date,,,Ccy,Conv)</f>
        <v>0</v>
      </c>
      <c r="I273" s="4">
        <f>_xll.ciqfunctions.udf.CIQ(InputTicker, "IQ_OPERATING_LEASE_LIABILITIES_NONCASH",Input!K$2,Date,,,Ccy,Conv)</f>
        <v>0</v>
      </c>
      <c r="J273" s="4">
        <f>_xll.ciqfunctions.udf.CIQ(InputTicker, "IQ_OPERATING_LEASE_LIABILITIES_NONCASH",Input!L$2,Date,,,Ccy,Conv)</f>
        <v>0</v>
      </c>
      <c r="K273" s="4">
        <f>_xll.ciqfunctions.udf.CIQ(InputTicker, "IQ_OPERATING_LEASE_LIABILITIES_NONCASH",Input!M$2,Date,,,Ccy,Conv)</f>
        <v>0</v>
      </c>
      <c r="L273" s="4">
        <f>_xll.ciqfunctions.udf.CIQ(InputTicker, "IQ_OPERATING_LEASE_LIABILITIES_NONCASH",Input!N$2,Date,,,Ccy,Conv)</f>
        <v>0</v>
      </c>
      <c r="M273" s="4">
        <f>_xll.ciqfunctions.udf.CIQ(InputTicker, "IQ_OPERATING_LEASE_LIABILITIES_NONCASH",Input!O$2,Date,,,Ccy,Conv)</f>
        <v>0</v>
      </c>
      <c r="N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</row>
    <row r="274" spans="1:66" ht="12.75" customHeight="1" x14ac:dyDescent="0.2">
      <c r="A274" s="1" t="s">
        <v>468</v>
      </c>
      <c r="B274" s="4">
        <f>_xll.ciqfunctions.udf.CIQ(InputTicker, "IQ_LONG_TERM_DEBT_REPAID_EXCL_LEASES",Input!D$2,Date,,,Ccy,Conv)</f>
        <v>-25.29</v>
      </c>
      <c r="C274" s="4">
        <f>_xll.ciqfunctions.udf.CIQ(InputTicker, "IQ_LONG_TERM_DEBT_REPAID_EXCL_LEASES",Input!E$2,Date,,,Ccy,Conv)</f>
        <v>-16.510000000000002</v>
      </c>
      <c r="D274" s="4">
        <f>_xll.ciqfunctions.udf.CIQ(InputTicker, "IQ_LONG_TERM_DEBT_REPAID_EXCL_LEASES",Input!F$2,Date,,,Ccy,Conv)</f>
        <v>-4.8490000000000002</v>
      </c>
      <c r="E274" s="4">
        <f>_xll.ciqfunctions.udf.CIQ(InputTicker, "IQ_LONG_TERM_DEBT_REPAID_EXCL_LEASES",Input!G$2,Date,,,Ccy,Conv)</f>
        <v>-3.754</v>
      </c>
      <c r="F274" s="4">
        <f>_xll.ciqfunctions.udf.CIQ(InputTicker, "IQ_LONG_TERM_DEBT_REPAID_EXCL_LEASES",Input!H$2,Date,,,Ccy,Conv)</f>
        <v>-1.696</v>
      </c>
      <c r="G274" s="4">
        <f>_xll.ciqfunctions.udf.CIQ(InputTicker, "IQ_LONG_TERM_DEBT_REPAID_EXCL_LEASES",Input!I$2,Date,,,Ccy,Conv)</f>
        <v>-0.20499999999999999</v>
      </c>
      <c r="H274" s="4">
        <f>_xll.ciqfunctions.udf.CIQ(InputTicker, "IQ_LONG_TERM_DEBT_REPAID_EXCL_LEASES",Input!J$2,Date,,,Ccy,Conv)</f>
        <v>-0.215</v>
      </c>
      <c r="I274" s="4">
        <f>_xll.ciqfunctions.udf.CIQ(InputTicker, "IQ_LONG_TERM_DEBT_REPAID_EXCL_LEASES",Input!K$2,Date,,,Ccy,Conv)</f>
        <v>-0.224</v>
      </c>
      <c r="J274" s="4">
        <f>_xll.ciqfunctions.udf.CIQ(InputTicker, "IQ_LONG_TERM_DEBT_REPAID_EXCL_LEASES",Input!L$2,Date,,,Ccy,Conv)</f>
        <v>-0.214</v>
      </c>
      <c r="K274" s="4">
        <f>_xll.ciqfunctions.udf.CIQ(InputTicker, "IQ_LONG_TERM_DEBT_REPAID_EXCL_LEASES",Input!M$2,Date,,,Ccy,Conv)</f>
        <v>-2.4809999999999999</v>
      </c>
      <c r="L274" s="4">
        <f>_xll.ciqfunctions.udf.CIQ(InputTicker, "IQ_LONG_TERM_DEBT_REPAID_EXCL_LEASES",Input!N$2,Date,,,Ccy,Conv)</f>
        <v>0</v>
      </c>
      <c r="M274" s="4">
        <f>_xll.ciqfunctions.udf.CIQ(InputTicker, "IQ_LONG_TERM_DEBT_REPAID_EXCL_LEASES",Input!O$2,Date,,,Ccy,Conv)</f>
        <v>0</v>
      </c>
      <c r="N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  <c r="BM274" s="42"/>
      <c r="BN274" s="42"/>
    </row>
    <row r="275" spans="1:66" ht="12.75" customHeight="1" x14ac:dyDescent="0.2">
      <c r="A275" s="1" t="s">
        <v>469</v>
      </c>
      <c r="B275" s="4">
        <f>_xll.ciqfunctions.udf.CIQ(InputTicker, "IQ_TOTAL_DEBT_REPAID_EXCL_LEASES",Input!D$2,Date,,,Ccy,Conv)</f>
        <v>-25.29</v>
      </c>
      <c r="C275" s="4">
        <f>_xll.ciqfunctions.udf.CIQ(InputTicker, "IQ_TOTAL_DEBT_REPAID_EXCL_LEASES",Input!E$2,Date,,,Ccy,Conv)</f>
        <v>-16.510000000000002</v>
      </c>
      <c r="D275" s="4">
        <f>_xll.ciqfunctions.udf.CIQ(InputTicker, "IQ_TOTAL_DEBT_REPAID_EXCL_LEASES",Input!F$2,Date,,,Ccy,Conv)</f>
        <v>-4.8490000000000002</v>
      </c>
      <c r="E275" s="4">
        <f>_xll.ciqfunctions.udf.CIQ(InputTicker, "IQ_TOTAL_DEBT_REPAID_EXCL_LEASES",Input!G$2,Date,,,Ccy,Conv)</f>
        <v>-3.754</v>
      </c>
      <c r="F275" s="4">
        <f>_xll.ciqfunctions.udf.CIQ(InputTicker, "IQ_TOTAL_DEBT_REPAID_EXCL_LEASES",Input!H$2,Date,,,Ccy,Conv)</f>
        <v>-1.696</v>
      </c>
      <c r="G275" s="4">
        <f>_xll.ciqfunctions.udf.CIQ(InputTicker, "IQ_TOTAL_DEBT_REPAID_EXCL_LEASES",Input!I$2,Date,,,Ccy,Conv)</f>
        <v>-0.20499999999999999</v>
      </c>
      <c r="H275" s="4">
        <f>_xll.ciqfunctions.udf.CIQ(InputTicker, "IQ_TOTAL_DEBT_REPAID_EXCL_LEASES",Input!J$2,Date,,,Ccy,Conv)</f>
        <v>-0.215</v>
      </c>
      <c r="I275" s="4">
        <f>_xll.ciqfunctions.udf.CIQ(InputTicker, "IQ_TOTAL_DEBT_REPAID_EXCL_LEASES",Input!K$2,Date,,,Ccy,Conv)</f>
        <v>-0.224</v>
      </c>
      <c r="J275" s="4">
        <f>_xll.ciqfunctions.udf.CIQ(InputTicker, "IQ_TOTAL_DEBT_REPAID_EXCL_LEASES",Input!L$2,Date,,,Ccy,Conv)</f>
        <v>-0.214</v>
      </c>
      <c r="K275" s="4">
        <f>_xll.ciqfunctions.udf.CIQ(InputTicker, "IQ_TOTAL_DEBT_REPAID_EXCL_LEASES",Input!M$2,Date,,,Ccy,Conv)</f>
        <v>-2.4809999999999999</v>
      </c>
      <c r="L275" s="4">
        <f>_xll.ciqfunctions.udf.CIQ(InputTicker, "IQ_TOTAL_DEBT_REPAID_EXCL_LEASES",Input!N$2,Date,,,Ccy,Conv)</f>
        <v>0</v>
      </c>
      <c r="M275" s="4">
        <f>_xll.ciqfunctions.udf.CIQ(InputTicker, "IQ_TOTAL_DEBT_REPAID_EXCL_LEASES",Input!O$2,Date,,,Ccy,Conv)</f>
        <v>0</v>
      </c>
      <c r="N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</row>
    <row r="276" spans="1:66" ht="12.75" customHeight="1" x14ac:dyDescent="0.2">
      <c r="A276" s="1" t="s">
        <v>470</v>
      </c>
      <c r="B276" s="4">
        <f>_xll.ciqfunctions.udf.CIQ(InputTicker, "IQ_GAIN_BARGAIN_ACQ_CF",Input!D$2,Date,,,Ccy,Conv)</f>
        <v>0</v>
      </c>
      <c r="C276" s="4">
        <f>_xll.ciqfunctions.udf.CIQ(InputTicker, "IQ_GAIN_BARGAIN_ACQ_CF",Input!E$2,Date,,,Ccy,Conv)</f>
        <v>0</v>
      </c>
      <c r="D276" s="4">
        <f>_xll.ciqfunctions.udf.CIQ(InputTicker, "IQ_GAIN_BARGAIN_ACQ_CF",Input!F$2,Date,,,Ccy,Conv)</f>
        <v>0</v>
      </c>
      <c r="E276" s="4">
        <f>_xll.ciqfunctions.udf.CIQ(InputTicker, "IQ_GAIN_BARGAIN_ACQ_CF",Input!G$2,Date,,,Ccy,Conv)</f>
        <v>0</v>
      </c>
      <c r="F276" s="4">
        <f>_xll.ciqfunctions.udf.CIQ(InputTicker, "IQ_GAIN_BARGAIN_ACQ_CF",Input!H$2,Date,,,Ccy,Conv)</f>
        <v>0</v>
      </c>
      <c r="G276" s="4">
        <f>_xll.ciqfunctions.udf.CIQ(InputTicker, "IQ_GAIN_BARGAIN_ACQ_CF",Input!I$2,Date,,,Ccy,Conv)</f>
        <v>0</v>
      </c>
      <c r="H276" s="4">
        <f>_xll.ciqfunctions.udf.CIQ(InputTicker, "IQ_GAIN_BARGAIN_ACQ_CF",Input!J$2,Date,,,Ccy,Conv)</f>
        <v>0</v>
      </c>
      <c r="I276" s="4">
        <f>_xll.ciqfunctions.udf.CIQ(InputTicker, "IQ_GAIN_BARGAIN_ACQ_CF",Input!K$2,Date,,,Ccy,Conv)</f>
        <v>0</v>
      </c>
      <c r="J276" s="4">
        <f>_xll.ciqfunctions.udf.CIQ(InputTicker, "IQ_GAIN_BARGAIN_ACQ_CF",Input!L$2,Date,,,Ccy,Conv)</f>
        <v>0</v>
      </c>
      <c r="K276" s="4">
        <f>_xll.ciqfunctions.udf.CIQ(InputTicker, "IQ_GAIN_BARGAIN_ACQ_CF",Input!M$2,Date,,,Ccy,Conv)</f>
        <v>0</v>
      </c>
      <c r="L276" s="4">
        <f>_xll.ciqfunctions.udf.CIQ(InputTicker, "IQ_GAIN_BARGAIN_ACQ_CF",Input!N$2,Date,,,Ccy,Conv)</f>
        <v>0</v>
      </c>
      <c r="M276" s="4">
        <f>_xll.ciqfunctions.udf.CIQ(InputTicker, "IQ_GAIN_BARGAIN_ACQ_CF",Input!O$2,Date,,,Ccy,Conv)</f>
        <v>0</v>
      </c>
      <c r="N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  <c r="BM276" s="42"/>
      <c r="BN276" s="42"/>
    </row>
    <row r="277" spans="1:66" ht="12.75" customHeight="1" x14ac:dyDescent="0.2">
      <c r="A277" s="1" t="s">
        <v>347</v>
      </c>
      <c r="B277" s="15" t="str">
        <f>_xll.ciqfunctions.udf.CIQ(InputTicker, "IQ_FILING_CURRENCY",Input!D$2,Date)</f>
        <v>USD</v>
      </c>
      <c r="C277" s="15" t="str">
        <f>_xll.ciqfunctions.udf.CIQ(InputTicker, "IQ_FILING_CURRENCY",Input!E$2,Date)</f>
        <v>USD</v>
      </c>
      <c r="D277" s="15" t="str">
        <f>_xll.ciqfunctions.udf.CIQ(InputTicker, "IQ_FILING_CURRENCY",Input!F$2,Date)</f>
        <v>USD</v>
      </c>
      <c r="E277" s="15" t="str">
        <f>_xll.ciqfunctions.udf.CIQ(InputTicker, "IQ_FILING_CURRENCY",Input!G$2,Date)</f>
        <v>USD</v>
      </c>
      <c r="F277" s="15" t="str">
        <f>_xll.ciqfunctions.udf.CIQ(InputTicker, "IQ_FILING_CURRENCY",Input!H$2,Date)</f>
        <v>USD</v>
      </c>
      <c r="G277" s="15" t="str">
        <f>_xll.ciqfunctions.udf.CIQ(InputTicker, "IQ_FILING_CURRENCY",Input!I$2,Date)</f>
        <v>USD</v>
      </c>
      <c r="H277" s="15" t="str">
        <f>_xll.ciqfunctions.udf.CIQ(InputTicker, "IQ_FILING_CURRENCY",Input!J$2,Date)</f>
        <v>USD</v>
      </c>
      <c r="I277" s="15" t="str">
        <f>_xll.ciqfunctions.udf.CIQ(InputTicker, "IQ_FILING_CURRENCY",Input!K$2,Date)</f>
        <v>USD</v>
      </c>
      <c r="J277" s="15" t="str">
        <f>_xll.ciqfunctions.udf.CIQ(InputTicker, "IQ_FILING_CURRENCY",Input!L$2,Date)</f>
        <v>USD</v>
      </c>
      <c r="K277" s="15" t="str">
        <f>_xll.ciqfunctions.udf.CIQ(InputTicker, "IQ_FILING_CURRENCY",Input!M$2,Date)</f>
        <v>USD</v>
      </c>
      <c r="L277" s="15" t="str">
        <f>_xll.ciqfunctions.udf.CIQ(InputTicker, "IQ_FILING_CURRENCY",Input!N$2,Date)</f>
        <v>USD</v>
      </c>
      <c r="M277" s="15" t="str">
        <f>_xll.ciqfunctions.udf.CIQ(InputTicker, "IQ_FILING_CURRENCY",Input!O$2,Date)</f>
        <v>USD</v>
      </c>
      <c r="N277" s="42"/>
      <c r="P277" s="46"/>
      <c r="Q277" s="46"/>
      <c r="R277" s="46"/>
      <c r="S277" s="46"/>
      <c r="T277" s="42"/>
      <c r="U277" s="42"/>
      <c r="V277" s="46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42"/>
      <c r="BM277" s="42"/>
      <c r="BN277" s="42"/>
    </row>
    <row r="278" spans="1:66" ht="12.75" customHeight="1" x14ac:dyDescent="0.2">
      <c r="A278" s="1" t="s">
        <v>345</v>
      </c>
      <c r="B278" s="15" t="str">
        <f>_xll.ciqfunctions.udf.CIQ(InputTicker, "IQ_RESTATEMENT_CF",Input!D$2,Date)</f>
        <v>RS</v>
      </c>
      <c r="C278" s="15" t="str">
        <f>_xll.ciqfunctions.udf.CIQ(InputTicker, "IQ_RESTATEMENT_CF",Input!E$2,Date)</f>
        <v>RS</v>
      </c>
      <c r="D278" s="15" t="str">
        <f>_xll.ciqfunctions.udf.CIQ(InputTicker, "IQ_RESTATEMENT_CF",Input!F$2,Date)</f>
        <v>NC</v>
      </c>
      <c r="E278" s="15" t="str">
        <f>_xll.ciqfunctions.udf.CIQ(InputTicker, "IQ_RESTATEMENT_CF",Input!G$2,Date)</f>
        <v>NC</v>
      </c>
      <c r="F278" s="15" t="str">
        <f>_xll.ciqfunctions.udf.CIQ(InputTicker, "IQ_RESTATEMENT_CF",Input!H$2,Date)</f>
        <v>NC</v>
      </c>
      <c r="G278" s="15" t="str">
        <f>_xll.ciqfunctions.udf.CIQ(InputTicker, "IQ_RESTATEMENT_CF",Input!I$2,Date)</f>
        <v>NC</v>
      </c>
      <c r="H278" s="15" t="str">
        <f>_xll.ciqfunctions.udf.CIQ(InputTicker, "IQ_RESTATEMENT_CF",Input!J$2,Date)</f>
        <v>NC</v>
      </c>
      <c r="I278" s="15" t="str">
        <f>_xll.ciqfunctions.udf.CIQ(InputTicker, "IQ_RESTATEMENT_CF",Input!K$2,Date)</f>
        <v>NC</v>
      </c>
      <c r="J278" s="15" t="str">
        <f>_xll.ciqfunctions.udf.CIQ(InputTicker, "IQ_RESTATEMENT_CF",Input!L$2,Date)</f>
        <v>NC</v>
      </c>
      <c r="K278" s="15" t="str">
        <f>_xll.ciqfunctions.udf.CIQ(InputTicker, "IQ_RESTATEMENT_CF",Input!M$2,Date)</f>
        <v>NC</v>
      </c>
      <c r="L278" s="15" t="str">
        <f>_xll.ciqfunctions.udf.CIQ(InputTicker, "IQ_RESTATEMENT_CF",Input!N$2,Date)</f>
        <v>O</v>
      </c>
      <c r="M278" s="15" t="str">
        <f>_xll.ciqfunctions.udf.CIQ(InputTicker, "IQ_RESTATEMENT_CF",Input!O$2,Date)</f>
        <v>O</v>
      </c>
      <c r="N278" s="42"/>
      <c r="T278" s="46"/>
      <c r="U278" s="46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  <c r="BM278" s="42"/>
      <c r="BN278" s="42"/>
    </row>
    <row r="279" spans="1:66" ht="12.75" customHeight="1" x14ac:dyDescent="0.2">
      <c r="A279" s="1" t="s">
        <v>346</v>
      </c>
      <c r="B279" s="15" t="str">
        <f>_xll.ciqfunctions.udf.CIQ(InputTicker, "IQ_CALC_TYPE_CF",Input!D$2,Date)</f>
        <v>REP</v>
      </c>
      <c r="C279" s="15" t="str">
        <f>_xll.ciqfunctions.udf.CIQ(InputTicker, "IQ_CALC_TYPE_CF",Input!E$2,Date)</f>
        <v>REP</v>
      </c>
      <c r="D279" s="15" t="str">
        <f>_xll.ciqfunctions.udf.CIQ(InputTicker, "IQ_CALC_TYPE_CF",Input!F$2,Date)</f>
        <v>REP</v>
      </c>
      <c r="E279" s="15" t="str">
        <f>_xll.ciqfunctions.udf.CIQ(InputTicker, "IQ_CALC_TYPE_CF",Input!G$2,Date)</f>
        <v>REP</v>
      </c>
      <c r="F279" s="15" t="str">
        <f>_xll.ciqfunctions.udf.CIQ(InputTicker, "IQ_CALC_TYPE_CF",Input!H$2,Date)</f>
        <v>REP</v>
      </c>
      <c r="G279" s="15" t="str">
        <f>_xll.ciqfunctions.udf.CIQ(InputTicker, "IQ_CALC_TYPE_CF",Input!I$2,Date)</f>
        <v>REP</v>
      </c>
      <c r="H279" s="15" t="str">
        <f>_xll.ciqfunctions.udf.CIQ(InputTicker, "IQ_CALC_TYPE_CF",Input!J$2,Date)</f>
        <v>REP</v>
      </c>
      <c r="I279" s="15" t="str">
        <f>_xll.ciqfunctions.udf.CIQ(InputTicker, "IQ_CALC_TYPE_CF",Input!K$2,Date)</f>
        <v>REP</v>
      </c>
      <c r="J279" s="15" t="str">
        <f>_xll.ciqfunctions.udf.CIQ(InputTicker, "IQ_CALC_TYPE_CF",Input!L$2,Date)</f>
        <v>REP</v>
      </c>
      <c r="K279" s="15" t="str">
        <f>_xll.ciqfunctions.udf.CIQ(InputTicker, "IQ_CALC_TYPE_CF",Input!M$2,Date)</f>
        <v>REP</v>
      </c>
      <c r="L279" s="15" t="str">
        <f>_xll.ciqfunctions.udf.CIQ(InputTicker, "IQ_CALC_TYPE_CF",Input!N$2,Date)</f>
        <v>REP</v>
      </c>
      <c r="M279" s="15" t="str">
        <f>_xll.ciqfunctions.udf.CIQ(InputTicker, "IQ_CALC_TYPE_CF",Input!O$2,Date)</f>
        <v>REP</v>
      </c>
      <c r="N279" s="42"/>
      <c r="S279" s="46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42"/>
      <c r="BL279" s="42"/>
      <c r="BM279" s="42"/>
      <c r="BN279" s="42"/>
    </row>
    <row r="280" spans="1:66" ht="12.75" customHeight="1" x14ac:dyDescent="0.2">
      <c r="A280" s="1" t="s">
        <v>376</v>
      </c>
      <c r="B280" s="15" t="str">
        <f>_xll.ciqfunctions.udf.CIQ(InputTicker, "IQ_GAAP_CF",Input!D$2,Date)</f>
        <v>US GAAP</v>
      </c>
      <c r="C280" s="15" t="str">
        <f>_xll.ciqfunctions.udf.CIQ(InputTicker, "IQ_GAAP_CF",Input!E$2,Date)</f>
        <v>US GAAP</v>
      </c>
      <c r="D280" s="15" t="str">
        <f>_xll.ciqfunctions.udf.CIQ(InputTicker, "IQ_GAAP_CF",Input!F$2,Date)</f>
        <v>US GAAP</v>
      </c>
      <c r="E280" s="15" t="str">
        <f>_xll.ciqfunctions.udf.CIQ(InputTicker, "IQ_GAAP_CF",Input!G$2,Date)</f>
        <v>US GAAP</v>
      </c>
      <c r="F280" s="15" t="str">
        <f>_xll.ciqfunctions.udf.CIQ(InputTicker, "IQ_GAAP_CF",Input!H$2,Date)</f>
        <v>US GAAP</v>
      </c>
      <c r="G280" s="15" t="str">
        <f>_xll.ciqfunctions.udf.CIQ(InputTicker, "IQ_GAAP_CF",Input!I$2,Date)</f>
        <v>US GAAP</v>
      </c>
      <c r="H280" s="15" t="str">
        <f>_xll.ciqfunctions.udf.CIQ(InputTicker, "IQ_GAAP_CF",Input!J$2,Date)</f>
        <v>US GAAP</v>
      </c>
      <c r="I280" s="15" t="str">
        <f>_xll.ciqfunctions.udf.CIQ(InputTicker, "IQ_GAAP_CF",Input!K$2,Date)</f>
        <v>US GAAP</v>
      </c>
      <c r="J280" s="15" t="str">
        <f>_xll.ciqfunctions.udf.CIQ(InputTicker, "IQ_GAAP_CF",Input!L$2,Date)</f>
        <v>US GAAP</v>
      </c>
      <c r="K280" s="15" t="str">
        <f>_xll.ciqfunctions.udf.CIQ(InputTicker, "IQ_GAAP_CF",Input!M$2,Date)</f>
        <v>US GAAP</v>
      </c>
      <c r="L280" s="15" t="str">
        <f>_xll.ciqfunctions.udf.CIQ(InputTicker, "IQ_GAAP_CF",Input!N$2,Date)</f>
        <v>US GAAP</v>
      </c>
      <c r="M280" s="15" t="str">
        <f>_xll.ciqfunctions.udf.CIQ(InputTicker, "IQ_GAAP_CF",Input!O$2,Date)</f>
        <v>US GAAP</v>
      </c>
      <c r="N280" s="42"/>
      <c r="P280" s="46"/>
      <c r="Q280" s="46"/>
      <c r="R280" s="46"/>
      <c r="T280" s="46"/>
      <c r="U280" s="46"/>
      <c r="V280" s="46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  <c r="BN280" s="42"/>
    </row>
    <row r="281" spans="1:66" ht="12.75" customHeight="1" x14ac:dyDescent="0.2">
      <c r="A281" s="1" t="s">
        <v>85</v>
      </c>
      <c r="B281" s="4">
        <f>_xll.ciqfunctions.udf.CIQ(InputTicker, "IQ_CASH_EQUIV",Input!D$2,Date,,,Ccy,Conv)</f>
        <v>29.045999999999999</v>
      </c>
      <c r="C281" s="4">
        <f>_xll.ciqfunctions.udf.CIQ(InputTicker, "IQ_CASH_EQUIV",Input!E$2,Date,,,Ccy,Conv)</f>
        <v>17.564</v>
      </c>
      <c r="D281" s="4">
        <f>_xll.ciqfunctions.udf.CIQ(InputTicker, "IQ_CASH_EQUIV",Input!F$2,Date,,,Ccy,Conv)</f>
        <v>48.430999999999997</v>
      </c>
      <c r="E281" s="4">
        <f>_xll.ciqfunctions.udf.CIQ(InputTicker, "IQ_CASH_EQUIV",Input!G$2,Date,,,Ccy,Conv)</f>
        <v>69.247</v>
      </c>
      <c r="F281" s="4">
        <f>_xll.ciqfunctions.udf.CIQ(InputTicker, "IQ_CASH_EQUIV",Input!H$2,Date,,,Ccy,Conv)</f>
        <v>78.13</v>
      </c>
      <c r="G281" s="4">
        <f>_xll.ciqfunctions.udf.CIQ(InputTicker, "IQ_CASH_EQUIV",Input!I$2,Date,,,Ccy,Conv)</f>
        <v>57.351999999999997</v>
      </c>
      <c r="H281" s="4">
        <f>_xll.ciqfunctions.udf.CIQ(InputTicker, "IQ_CASH_EQUIV",Input!J$2,Date,,,Ccy,Conv)</f>
        <v>59.084000000000003</v>
      </c>
      <c r="I281" s="4">
        <f>_xll.ciqfunctions.udf.CIQ(InputTicker, "IQ_CASH_EQUIV",Input!K$2,Date,,,Ccy,Conv)</f>
        <v>292.82400000000001</v>
      </c>
      <c r="J281" s="4">
        <f>_xll.ciqfunctions.udf.CIQ(InputTicker, "IQ_CASH_EQUIV",Input!L$2,Date,,,Ccy,Conv)</f>
        <v>237.87799999999999</v>
      </c>
      <c r="K281" s="4">
        <f>_xll.ciqfunctions.udf.CIQ(InputTicker, "IQ_CASH_EQUIV",Input!M$2,Date,,,Ccy,Conv)</f>
        <v>499.392</v>
      </c>
      <c r="L281" s="4">
        <f>_xll.ciqfunctions.udf.CIQ(InputTicker, "IQ_CASH_EQUIV",Input!N$2,Date,,,Ccy,Conv)</f>
        <v>107.217</v>
      </c>
      <c r="M281" s="4">
        <f>_xll.ciqfunctions.udf.CIQ(InputTicker, "IQ_CASH_EQUIV",Input!O$2,Date,,,Ccy,Conv)</f>
        <v>107.217</v>
      </c>
      <c r="N281" s="42"/>
      <c r="S281" s="46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  <c r="BN281" s="42"/>
    </row>
    <row r="282" spans="1:66" ht="12.75" customHeight="1" x14ac:dyDescent="0.2">
      <c r="A282" s="1" t="s">
        <v>86</v>
      </c>
      <c r="B282" s="4">
        <f>_xll.ciqfunctions.udf.CIQ(InputTicker, "IQ_ST_INVEST",Input!D$2,Date,,,Ccy,Conv)</f>
        <v>360.49900000000002</v>
      </c>
      <c r="C282" s="4">
        <f>_xll.ciqfunctions.udf.CIQ(InputTicker, "IQ_ST_INVEST",Input!E$2,Date,,,Ccy,Conv)</f>
        <v>138.46199999999999</v>
      </c>
      <c r="D282" s="4">
        <f>_xll.ciqfunctions.udf.CIQ(InputTicker, "IQ_ST_INVEST",Input!F$2,Date,,,Ccy,Conv)</f>
        <v>282.58600000000001</v>
      </c>
      <c r="E282" s="4">
        <f>_xll.ciqfunctions.udf.CIQ(InputTicker, "IQ_ST_INVEST",Input!G$2,Date,,,Ccy,Conv)</f>
        <v>250.18100000000001</v>
      </c>
      <c r="F282" s="4">
        <f>_xll.ciqfunctions.udf.CIQ(InputTicker, "IQ_ST_INVEST",Input!H$2,Date,,,Ccy,Conv)</f>
        <v>154.16300000000001</v>
      </c>
      <c r="G282" s="4">
        <f>_xll.ciqfunctions.udf.CIQ(InputTicker, "IQ_ST_INVEST",Input!I$2,Date,,,Ccy,Conv)</f>
        <v>112.158</v>
      </c>
      <c r="H282" s="4">
        <f>_xll.ciqfunctions.udf.CIQ(InputTicker, "IQ_ST_INVEST",Input!J$2,Date,,,Ccy,Conv)</f>
        <v>115.429</v>
      </c>
      <c r="I282" s="4">
        <f>_xll.ciqfunctions.udf.CIQ(InputTicker, "IQ_ST_INVEST",Input!K$2,Date,,,Ccy,Conv)</f>
        <v>355.09</v>
      </c>
      <c r="J282" s="4">
        <f>_xll.ciqfunctions.udf.CIQ(InputTicker, "IQ_ST_INVEST",Input!L$2,Date,,,Ccy,Conv)</f>
        <v>574.49900000000002</v>
      </c>
      <c r="K282" s="4">
        <f>_xll.ciqfunctions.udf.CIQ(InputTicker, "IQ_ST_INVEST",Input!M$2,Date,,,Ccy,Conv)</f>
        <v>892.70799999999997</v>
      </c>
      <c r="L282" s="4">
        <f>_xll.ciqfunctions.udf.CIQ(InputTicker, "IQ_ST_INVEST",Input!N$2,Date,,,Ccy,Conv)</f>
        <v>816.84</v>
      </c>
      <c r="M282" s="4">
        <f>_xll.ciqfunctions.udf.CIQ(InputTicker, "IQ_ST_INVEST",Input!O$2,Date,,,Ccy,Conv)</f>
        <v>816.84</v>
      </c>
      <c r="N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  <c r="BM282" s="42"/>
      <c r="BN282" s="42"/>
    </row>
    <row r="283" spans="1:66" ht="12.75" customHeight="1" x14ac:dyDescent="0.2">
      <c r="A283" s="1" t="s">
        <v>170</v>
      </c>
      <c r="B283" s="4">
        <f>_xll.ciqfunctions.udf.CIQ(InputTicker, "IQ_TRADING_ASSETS",Input!D$2,Date,,,Ccy,Conv)</f>
        <v>0</v>
      </c>
      <c r="C283" s="4">
        <f>_xll.ciqfunctions.udf.CIQ(InputTicker, "IQ_TRADING_ASSETS",Input!E$2,Date,,,Ccy,Conv)</f>
        <v>0</v>
      </c>
      <c r="D283" s="4">
        <f>_xll.ciqfunctions.udf.CIQ(InputTicker, "IQ_TRADING_ASSETS",Input!F$2,Date,,,Ccy,Conv)</f>
        <v>0</v>
      </c>
      <c r="E283" s="4">
        <f>_xll.ciqfunctions.udf.CIQ(InputTicker, "IQ_TRADING_ASSETS",Input!G$2,Date,,,Ccy,Conv)</f>
        <v>0</v>
      </c>
      <c r="F283" s="4">
        <f>_xll.ciqfunctions.udf.CIQ(InputTicker, "IQ_TRADING_ASSETS",Input!H$2,Date,,,Ccy,Conv)</f>
        <v>0</v>
      </c>
      <c r="G283" s="4">
        <f>_xll.ciqfunctions.udf.CIQ(InputTicker, "IQ_TRADING_ASSETS",Input!I$2,Date,,,Ccy,Conv)</f>
        <v>0</v>
      </c>
      <c r="H283" s="4">
        <f>_xll.ciqfunctions.udf.CIQ(InputTicker, "IQ_TRADING_ASSETS",Input!J$2,Date,,,Ccy,Conv)</f>
        <v>0</v>
      </c>
      <c r="I283" s="4">
        <f>_xll.ciqfunctions.udf.CIQ(InputTicker, "IQ_TRADING_ASSETS",Input!K$2,Date,,,Ccy,Conv)</f>
        <v>0</v>
      </c>
      <c r="J283" s="4">
        <f>_xll.ciqfunctions.udf.CIQ(InputTicker, "IQ_TRADING_ASSETS",Input!L$2,Date,,,Ccy,Conv)</f>
        <v>0</v>
      </c>
      <c r="K283" s="4">
        <f>_xll.ciqfunctions.udf.CIQ(InputTicker, "IQ_TRADING_ASSETS",Input!M$2,Date,,,Ccy,Conv)</f>
        <v>0</v>
      </c>
      <c r="L283" s="4">
        <f>_xll.ciqfunctions.udf.CIQ(InputTicker, "IQ_TRADING_ASSETS",Input!N$2,Date,,,Ccy,Conv)</f>
        <v>0</v>
      </c>
      <c r="M283" s="4">
        <f>_xll.ciqfunctions.udf.CIQ(InputTicker, "IQ_TRADING_ASSETS",Input!O$2,Date,,,Ccy,Conv)</f>
        <v>0</v>
      </c>
      <c r="N283" s="46"/>
      <c r="S283" s="46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  <c r="BM283" s="42"/>
      <c r="BN283" s="42"/>
    </row>
    <row r="284" spans="1:66" ht="12.75" customHeight="1" x14ac:dyDescent="0.2">
      <c r="A284" s="5" t="s">
        <v>87</v>
      </c>
      <c r="B284" s="6">
        <f>_xll.ciqfunctions.udf.CIQ(InputTicker, "IQ_CASH_ST_INVEST",Input!D$2,Date,,,Ccy,Conv)</f>
        <v>389.54500000000002</v>
      </c>
      <c r="C284" s="6">
        <f>_xll.ciqfunctions.udf.CIQ(InputTicker, "IQ_CASH_ST_INVEST",Input!E$2,Date,,,Ccy,Conv)</f>
        <v>156.02600000000001</v>
      </c>
      <c r="D284" s="6">
        <f>_xll.ciqfunctions.udf.CIQ(InputTicker, "IQ_CASH_ST_INVEST",Input!F$2,Date,,,Ccy,Conv)</f>
        <v>331.017</v>
      </c>
      <c r="E284" s="6">
        <f>_xll.ciqfunctions.udf.CIQ(InputTicker, "IQ_CASH_ST_INVEST",Input!G$2,Date,,,Ccy,Conv)</f>
        <v>319.428</v>
      </c>
      <c r="F284" s="6">
        <f>_xll.ciqfunctions.udf.CIQ(InputTicker, "IQ_CASH_ST_INVEST",Input!H$2,Date,,,Ccy,Conv)</f>
        <v>232.29300000000001</v>
      </c>
      <c r="G284" s="6">
        <f>_xll.ciqfunctions.udf.CIQ(InputTicker, "IQ_CASH_ST_INVEST",Input!I$2,Date,,,Ccy,Conv)</f>
        <v>169.51</v>
      </c>
      <c r="H284" s="6">
        <f>_xll.ciqfunctions.udf.CIQ(InputTicker, "IQ_CASH_ST_INVEST",Input!J$2,Date,,,Ccy,Conv)</f>
        <v>174.51300000000001</v>
      </c>
      <c r="I284" s="6">
        <f>_xll.ciqfunctions.udf.CIQ(InputTicker, "IQ_CASH_ST_INVEST",Input!K$2,Date,,,Ccy,Conv)</f>
        <v>647.91399999999999</v>
      </c>
      <c r="J284" s="6">
        <f>_xll.ciqfunctions.udf.CIQ(InputTicker, "IQ_CASH_ST_INVEST",Input!L$2,Date,,,Ccy,Conv)</f>
        <v>812.37699999999995</v>
      </c>
      <c r="K284" s="6">
        <f>_xll.ciqfunctions.udf.CIQ(InputTicker, "IQ_CASH_ST_INVEST",Input!M$2,Date,,,Ccy,Conv)</f>
        <v>1392.1</v>
      </c>
      <c r="L284" s="6">
        <f>_xll.ciqfunctions.udf.CIQ(InputTicker, "IQ_CASH_ST_INVEST",Input!N$2,Date,,,Ccy,Conv)</f>
        <v>924.05700000000002</v>
      </c>
      <c r="M284" s="6">
        <f>_xll.ciqfunctions.udf.CIQ(InputTicker, "IQ_CASH_ST_INVEST",Input!O$2,Date,,,Ccy,Conv)</f>
        <v>924.05700000000002</v>
      </c>
      <c r="N284" s="42"/>
      <c r="P284" s="46"/>
      <c r="Q284" s="46"/>
      <c r="R284" s="46"/>
      <c r="T284" s="42"/>
      <c r="U284" s="42"/>
      <c r="V284" s="46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  <c r="BM284" s="42"/>
      <c r="BN284" s="42"/>
    </row>
    <row r="285" spans="1:66" ht="12.75" customHeight="1" x14ac:dyDescent="0.2">
      <c r="A285" s="1" t="s">
        <v>55</v>
      </c>
      <c r="B285" s="4">
        <f>_xll.ciqfunctions.udf.CIQ(InputTicker, "IQ_AR",Input!D$2,Date,,,Ccy,Conv)</f>
        <v>62.012</v>
      </c>
      <c r="C285" s="4">
        <f>_xll.ciqfunctions.udf.CIQ(InputTicker, "IQ_AR",Input!E$2,Date,,,Ccy,Conv)</f>
        <v>61.261000000000003</v>
      </c>
      <c r="D285" s="4">
        <f>_xll.ciqfunctions.udf.CIQ(InputTicker, "IQ_AR",Input!F$2,Date,,,Ccy,Conv)</f>
        <v>80.730999999999995</v>
      </c>
      <c r="E285" s="4">
        <f>_xll.ciqfunctions.udf.CIQ(InputTicker, "IQ_AR",Input!G$2,Date,,,Ccy,Conv)</f>
        <v>57.058999999999997</v>
      </c>
      <c r="F285" s="4">
        <f>_xll.ciqfunctions.udf.CIQ(InputTicker, "IQ_AR",Input!H$2,Date,,,Ccy,Conv)</f>
        <v>84.975999999999999</v>
      </c>
      <c r="G285" s="4">
        <f>_xll.ciqfunctions.udf.CIQ(InputTicker, "IQ_AR",Input!I$2,Date,,,Ccy,Conv)</f>
        <v>79.066000000000003</v>
      </c>
      <c r="H285" s="4">
        <f>_xll.ciqfunctions.udf.CIQ(InputTicker, "IQ_AR",Input!J$2,Date,,,Ccy,Conv)</f>
        <v>169.10900000000001</v>
      </c>
      <c r="I285" s="4">
        <f>_xll.ciqfunctions.udf.CIQ(InputTicker, "IQ_AR",Input!K$2,Date,,,Ccy,Conv)</f>
        <v>110.98</v>
      </c>
      <c r="J285" s="4">
        <f>_xll.ciqfunctions.udf.CIQ(InputTicker, "IQ_AR",Input!L$2,Date,,,Ccy,Conv)</f>
        <v>138.55000000000001</v>
      </c>
      <c r="K285" s="4">
        <f>_xll.ciqfunctions.udf.CIQ(InputTicker, "IQ_AR",Input!M$2,Date,,,Ccy,Conv)</f>
        <v>244.07900000000001</v>
      </c>
      <c r="L285" s="4">
        <f>_xll.ciqfunctions.udf.CIQ(InputTicker, "IQ_AR",Input!N$2,Date,,,Ccy,Conv)</f>
        <v>136.249</v>
      </c>
      <c r="M285" s="4">
        <f>_xll.ciqfunctions.udf.CIQ(InputTicker, "IQ_AR",Input!O$2,Date,,,Ccy,Conv)</f>
        <v>136.249</v>
      </c>
      <c r="N285" s="42"/>
      <c r="P285" s="46"/>
      <c r="Q285" s="46"/>
      <c r="R285" s="46"/>
      <c r="T285" s="42"/>
      <c r="U285" s="42"/>
      <c r="V285" s="46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  <c r="BM285" s="42"/>
      <c r="BN285" s="42"/>
    </row>
    <row r="286" spans="1:66" ht="12.75" customHeight="1" x14ac:dyDescent="0.2">
      <c r="A286" s="1" t="s">
        <v>171</v>
      </c>
      <c r="B286" s="4">
        <f>_xll.ciqfunctions.udf.CIQ(InputTicker, "IQ_OTHER_RECEIV",Input!D$2,Date,,,Ccy,Conv)</f>
        <v>17.265999999999998</v>
      </c>
      <c r="C286" s="4">
        <f>_xll.ciqfunctions.udf.CIQ(InputTicker, "IQ_OTHER_RECEIV",Input!E$2,Date,,,Ccy,Conv)</f>
        <v>55.939</v>
      </c>
      <c r="D286" s="4">
        <f>_xll.ciqfunctions.udf.CIQ(InputTicker, "IQ_OTHER_RECEIV",Input!F$2,Date,,,Ccy,Conv)</f>
        <v>5.1079999999999997</v>
      </c>
      <c r="E286" s="4">
        <f>_xll.ciqfunctions.udf.CIQ(InputTicker, "IQ_OTHER_RECEIV",Input!G$2,Date,,,Ccy,Conv)</f>
        <v>14.701000000000001</v>
      </c>
      <c r="F286" s="4">
        <f>_xll.ciqfunctions.udf.CIQ(InputTicker, "IQ_OTHER_RECEIV",Input!H$2,Date,,,Ccy,Conv)</f>
        <v>13.398999999999999</v>
      </c>
      <c r="G286" s="4">
        <f>_xll.ciqfunctions.udf.CIQ(InputTicker, "IQ_OTHER_RECEIV",Input!I$2,Date,,,Ccy,Conv)</f>
        <v>47.573</v>
      </c>
      <c r="H286" s="4">
        <f>_xll.ciqfunctions.udf.CIQ(InputTicker, "IQ_OTHER_RECEIV",Input!J$2,Date,,,Ccy,Conv)</f>
        <v>50.295000000000002</v>
      </c>
      <c r="I286" s="4">
        <f>_xll.ciqfunctions.udf.CIQ(InputTicker, "IQ_OTHER_RECEIV",Input!K$2,Date,,,Ccy,Conv)</f>
        <v>76.233000000000004</v>
      </c>
      <c r="J286" s="4">
        <f>_xll.ciqfunctions.udf.CIQ(InputTicker, "IQ_OTHER_RECEIV",Input!L$2,Date,,,Ccy,Conv)</f>
        <v>23.891999999999999</v>
      </c>
      <c r="K286" s="4">
        <f>_xll.ciqfunctions.udf.CIQ(InputTicker, "IQ_OTHER_RECEIV",Input!M$2,Date,,,Ccy,Conv)</f>
        <v>28.282</v>
      </c>
      <c r="L286" s="4">
        <f>_xll.ciqfunctions.udf.CIQ(InputTicker, "IQ_OTHER_RECEIV",Input!N$2,Date,,,Ccy,Conv)</f>
        <v>128.18199999999999</v>
      </c>
      <c r="M286" s="4">
        <f>_xll.ciqfunctions.udf.CIQ(InputTicker, "IQ_OTHER_RECEIV",Input!O$2,Date,,,Ccy,Conv)</f>
        <v>128.18199999999999</v>
      </c>
      <c r="N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  <c r="BM286" s="42"/>
      <c r="BN286" s="42"/>
    </row>
    <row r="287" spans="1:66" ht="12.75" customHeight="1" x14ac:dyDescent="0.2">
      <c r="A287" s="1" t="s">
        <v>88</v>
      </c>
      <c r="B287" s="4">
        <f>_xll.ciqfunctions.udf.CIQ(InputTicker, "IQ_ST_NOTE_RECEIV",Input!D$2,Date,,,Ccy,Conv)</f>
        <v>0</v>
      </c>
      <c r="C287" s="4">
        <f>_xll.ciqfunctions.udf.CIQ(InputTicker, "IQ_ST_NOTE_RECEIV",Input!E$2,Date,,,Ccy,Conv)</f>
        <v>0</v>
      </c>
      <c r="D287" s="4">
        <f>_xll.ciqfunctions.udf.CIQ(InputTicker, "IQ_ST_NOTE_RECEIV",Input!F$2,Date,,,Ccy,Conv)</f>
        <v>0</v>
      </c>
      <c r="E287" s="4">
        <f>_xll.ciqfunctions.udf.CIQ(InputTicker, "IQ_ST_NOTE_RECEIV",Input!G$2,Date,,,Ccy,Conv)</f>
        <v>0</v>
      </c>
      <c r="F287" s="4">
        <f>_xll.ciqfunctions.udf.CIQ(InputTicker, "IQ_ST_NOTE_RECEIV",Input!H$2,Date,,,Ccy,Conv)</f>
        <v>0</v>
      </c>
      <c r="G287" s="4">
        <f>_xll.ciqfunctions.udf.CIQ(InputTicker, "IQ_ST_NOTE_RECEIV",Input!I$2,Date,,,Ccy,Conv)</f>
        <v>0</v>
      </c>
      <c r="H287" s="4">
        <f>_xll.ciqfunctions.udf.CIQ(InputTicker, "IQ_ST_NOTE_RECEIV",Input!J$2,Date,,,Ccy,Conv)</f>
        <v>0</v>
      </c>
      <c r="I287" s="4">
        <f>_xll.ciqfunctions.udf.CIQ(InputTicker, "IQ_ST_NOTE_RECEIV",Input!K$2,Date,,,Ccy,Conv)</f>
        <v>0</v>
      </c>
      <c r="J287" s="4">
        <f>_xll.ciqfunctions.udf.CIQ(InputTicker, "IQ_ST_NOTE_RECEIV",Input!L$2,Date,,,Ccy,Conv)</f>
        <v>0</v>
      </c>
      <c r="K287" s="4">
        <f>_xll.ciqfunctions.udf.CIQ(InputTicker, "IQ_ST_NOTE_RECEIV",Input!M$2,Date,,,Ccy,Conv)</f>
        <v>0</v>
      </c>
      <c r="L287" s="4">
        <f>_xll.ciqfunctions.udf.CIQ(InputTicker, "IQ_ST_NOTE_RECEIV",Input!N$2,Date,,,Ccy,Conv)</f>
        <v>0</v>
      </c>
      <c r="M287" s="4">
        <f>_xll.ciqfunctions.udf.CIQ(InputTicker, "IQ_ST_NOTE_RECEIV",Input!O$2,Date,,,Ccy,Conv)</f>
        <v>0</v>
      </c>
      <c r="N287" s="42"/>
      <c r="P287" s="46"/>
      <c r="Q287" s="46"/>
      <c r="R287" s="46"/>
      <c r="T287" s="42"/>
      <c r="U287" s="42"/>
      <c r="V287" s="46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  <c r="BM287" s="42"/>
      <c r="BN287" s="42"/>
    </row>
    <row r="288" spans="1:66" ht="12.75" customHeight="1" x14ac:dyDescent="0.2">
      <c r="A288" s="5" t="s">
        <v>89</v>
      </c>
      <c r="B288" s="6">
        <f>_xll.ciqfunctions.udf.CIQ(InputTicker, "IQ_TOTAL_RECEIV",Input!D$2,Date,,,Ccy,Conv)</f>
        <v>79.278000000000006</v>
      </c>
      <c r="C288" s="6">
        <f>_xll.ciqfunctions.udf.CIQ(InputTicker, "IQ_TOTAL_RECEIV",Input!E$2,Date,,,Ccy,Conv)</f>
        <v>117.2</v>
      </c>
      <c r="D288" s="6">
        <f>_xll.ciqfunctions.udf.CIQ(InputTicker, "IQ_TOTAL_RECEIV",Input!F$2,Date,,,Ccy,Conv)</f>
        <v>85.838999999999999</v>
      </c>
      <c r="E288" s="6">
        <f>_xll.ciqfunctions.udf.CIQ(InputTicker, "IQ_TOTAL_RECEIV",Input!G$2,Date,,,Ccy,Conv)</f>
        <v>71.760000000000005</v>
      </c>
      <c r="F288" s="6">
        <f>_xll.ciqfunctions.udf.CIQ(InputTicker, "IQ_TOTAL_RECEIV",Input!H$2,Date,,,Ccy,Conv)</f>
        <v>98.375</v>
      </c>
      <c r="G288" s="6">
        <f>_xll.ciqfunctions.udf.CIQ(InputTicker, "IQ_TOTAL_RECEIV",Input!I$2,Date,,,Ccy,Conv)</f>
        <v>126.639</v>
      </c>
      <c r="H288" s="6">
        <f>_xll.ciqfunctions.udf.CIQ(InputTicker, "IQ_TOTAL_RECEIV",Input!J$2,Date,,,Ccy,Conv)</f>
        <v>219.404</v>
      </c>
      <c r="I288" s="6">
        <f>_xll.ciqfunctions.udf.CIQ(InputTicker, "IQ_TOTAL_RECEIV",Input!K$2,Date,,,Ccy,Conv)</f>
        <v>187.21299999999999</v>
      </c>
      <c r="J288" s="6">
        <f>_xll.ciqfunctions.udf.CIQ(InputTicker, "IQ_TOTAL_RECEIV",Input!L$2,Date,,,Ccy,Conv)</f>
        <v>162.44200000000001</v>
      </c>
      <c r="K288" s="6">
        <f>_xll.ciqfunctions.udf.CIQ(InputTicker, "IQ_TOTAL_RECEIV",Input!M$2,Date,,,Ccy,Conv)</f>
        <v>272.36099999999999</v>
      </c>
      <c r="L288" s="6">
        <f>_xll.ciqfunctions.udf.CIQ(InputTicker, "IQ_TOTAL_RECEIV",Input!N$2,Date,,,Ccy,Conv)</f>
        <v>264.43099999999998</v>
      </c>
      <c r="M288" s="6">
        <f>_xll.ciqfunctions.udf.CIQ(InputTicker, "IQ_TOTAL_RECEIV",Input!O$2,Date,,,Ccy,Conv)</f>
        <v>264.43099999999998</v>
      </c>
      <c r="N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  <c r="BM288" s="42"/>
      <c r="BN288" s="42"/>
    </row>
    <row r="289" spans="1:66" ht="12.75" customHeight="1" x14ac:dyDescent="0.2">
      <c r="A289" s="1" t="s">
        <v>90</v>
      </c>
      <c r="B289" s="4">
        <f>_xll.ciqfunctions.udf.CIQ(InputTicker, "IQ_INVENTORY",Input!D$2,Date,,,Ccy,Conv)</f>
        <v>154.79900000000001</v>
      </c>
      <c r="C289" s="4">
        <f>_xll.ciqfunctions.udf.CIQ(InputTicker, "IQ_INVENTORY",Input!E$2,Date,,,Ccy,Conv)</f>
        <v>160.69200000000001</v>
      </c>
      <c r="D289" s="4">
        <f>_xll.ciqfunctions.udf.CIQ(InputTicker, "IQ_INVENTORY",Input!F$2,Date,,,Ccy,Conv)</f>
        <v>168.64400000000001</v>
      </c>
      <c r="E289" s="4">
        <f>_xll.ciqfunctions.udf.CIQ(InputTicker, "IQ_INVENTORY",Input!G$2,Date,,,Ccy,Conv)</f>
        <v>172.23699999999999</v>
      </c>
      <c r="F289" s="4">
        <f>_xll.ciqfunctions.udf.CIQ(InputTicker, "IQ_INVENTORY",Input!H$2,Date,,,Ccy,Conv)</f>
        <v>187.21600000000001</v>
      </c>
      <c r="G289" s="4">
        <f>_xll.ciqfunctions.udf.CIQ(InputTicker, "IQ_INVENTORY",Input!I$2,Date,,,Ccy,Conv)</f>
        <v>218.375</v>
      </c>
      <c r="H289" s="4">
        <f>_xll.ciqfunctions.udf.CIQ(InputTicker, "IQ_INVENTORY",Input!J$2,Date,,,Ccy,Conv)</f>
        <v>263.31599999999997</v>
      </c>
      <c r="I289" s="4">
        <f>_xll.ciqfunctions.udf.CIQ(InputTicker, "IQ_INVENTORY",Input!K$2,Date,,,Ccy,Conv)</f>
        <v>284.41800000000001</v>
      </c>
      <c r="J289" s="4">
        <f>_xll.ciqfunctions.udf.CIQ(InputTicker, "IQ_INVENTORY",Input!L$2,Date,,,Ccy,Conv)</f>
        <v>261.78199999999998</v>
      </c>
      <c r="K289" s="4">
        <f>_xll.ciqfunctions.udf.CIQ(InputTicker, "IQ_INVENTORY",Input!M$2,Date,,,Ccy,Conv)</f>
        <v>295.67</v>
      </c>
      <c r="L289" s="4">
        <f>_xll.ciqfunctions.udf.CIQ(InputTicker, "IQ_INVENTORY",Input!N$2,Date,,,Ccy,Conv)</f>
        <v>375.26499999999999</v>
      </c>
      <c r="M289" s="4">
        <f>_xll.ciqfunctions.udf.CIQ(InputTicker, "IQ_INVENTORY",Input!O$2,Date,,,Ccy,Conv)</f>
        <v>375.26499999999999</v>
      </c>
      <c r="N289" s="42"/>
      <c r="T289" s="46"/>
      <c r="U289" s="46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42"/>
      <c r="BM289" s="42"/>
      <c r="BN289" s="42"/>
    </row>
    <row r="290" spans="1:66" ht="12.75" customHeight="1" x14ac:dyDescent="0.2">
      <c r="A290" s="1" t="s">
        <v>91</v>
      </c>
      <c r="B290" s="4">
        <f>_xll.ciqfunctions.udf.CIQ(InputTicker, "IQ_PREPAID_EXP",Input!D$2,Date,,,Ccy,Conv)</f>
        <v>2.661</v>
      </c>
      <c r="C290" s="4">
        <f>_xll.ciqfunctions.udf.CIQ(InputTicker, "IQ_PREPAID_EXP",Input!E$2,Date,,,Ccy,Conv)</f>
        <v>2.2879999999999998</v>
      </c>
      <c r="D290" s="4">
        <f>_xll.ciqfunctions.udf.CIQ(InputTicker, "IQ_PREPAID_EXP",Input!F$2,Date,,,Ccy,Conv)</f>
        <v>2.02</v>
      </c>
      <c r="E290" s="4">
        <f>_xll.ciqfunctions.udf.CIQ(InputTicker, "IQ_PREPAID_EXP",Input!G$2,Date,,,Ccy,Conv)</f>
        <v>4.3280000000000003</v>
      </c>
      <c r="F290" s="4">
        <f>_xll.ciqfunctions.udf.CIQ(InputTicker, "IQ_PREPAID_EXP",Input!H$2,Date,,,Ccy,Conv)</f>
        <v>4.367</v>
      </c>
      <c r="G290" s="4">
        <f>_xll.ciqfunctions.udf.CIQ(InputTicker, "IQ_PREPAID_EXP",Input!I$2,Date,,,Ccy,Conv)</f>
        <v>5.407</v>
      </c>
      <c r="H290" s="4">
        <f>_xll.ciqfunctions.udf.CIQ(InputTicker, "IQ_PREPAID_EXP",Input!J$2,Date,,,Ccy,Conv)</f>
        <v>4.2859999999999996</v>
      </c>
      <c r="I290" s="4">
        <f>_xll.ciqfunctions.udf.CIQ(InputTicker, "IQ_PREPAID_EXP",Input!K$2,Date,,,Ccy,Conv)</f>
        <v>5.38</v>
      </c>
      <c r="J290" s="4">
        <f>_xll.ciqfunctions.udf.CIQ(InputTicker, "IQ_PREPAID_EXP",Input!L$2,Date,,,Ccy,Conv)</f>
        <v>5.2380000000000004</v>
      </c>
      <c r="K290" s="4">
        <f>_xll.ciqfunctions.udf.CIQ(InputTicker, "IQ_PREPAID_EXP",Input!M$2,Date,,,Ccy,Conv)</f>
        <v>6.9790000000000001</v>
      </c>
      <c r="L290" s="4">
        <f>_xll.ciqfunctions.udf.CIQ(InputTicker, "IQ_PREPAID_EXP",Input!N$2,Date,,,Ccy,Conv)</f>
        <v>11.489000000000001</v>
      </c>
      <c r="M290" s="4">
        <f>_xll.ciqfunctions.udf.CIQ(InputTicker, "IQ_PREPAID_EXP",Input!O$2,Date,,,Ccy,Conv)</f>
        <v>11.489000000000001</v>
      </c>
      <c r="N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  <c r="BM290" s="42"/>
      <c r="BN290" s="42"/>
    </row>
    <row r="291" spans="1:66" ht="12.75" customHeight="1" x14ac:dyDescent="0.2">
      <c r="A291" s="1" t="s">
        <v>172</v>
      </c>
      <c r="B291" s="4">
        <f>_xll.ciqfunctions.udf.CIQ(InputTicker, "IQ_FIN_DIV_LOANS_CURRENT",Input!D$2,Date,,,Ccy,Conv)</f>
        <v>0</v>
      </c>
      <c r="C291" s="4">
        <f>_xll.ciqfunctions.udf.CIQ(InputTicker, "IQ_FIN_DIV_LOANS_CURRENT",Input!E$2,Date,,,Ccy,Conv)</f>
        <v>0</v>
      </c>
      <c r="D291" s="4">
        <f>_xll.ciqfunctions.udf.CIQ(InputTicker, "IQ_FIN_DIV_LOANS_CURRENT",Input!F$2,Date,,,Ccy,Conv)</f>
        <v>0</v>
      </c>
      <c r="E291" s="4">
        <f>_xll.ciqfunctions.udf.CIQ(InputTicker, "IQ_FIN_DIV_LOANS_CURRENT",Input!G$2,Date,,,Ccy,Conv)</f>
        <v>0</v>
      </c>
      <c r="F291" s="4">
        <f>_xll.ciqfunctions.udf.CIQ(InputTicker, "IQ_FIN_DIV_LOANS_CURRENT",Input!H$2,Date,,,Ccy,Conv)</f>
        <v>0</v>
      </c>
      <c r="G291" s="4">
        <f>_xll.ciqfunctions.udf.CIQ(InputTicker, "IQ_FIN_DIV_LOANS_CURRENT",Input!I$2,Date,,,Ccy,Conv)</f>
        <v>0</v>
      </c>
      <c r="H291" s="4">
        <f>_xll.ciqfunctions.udf.CIQ(InputTicker, "IQ_FIN_DIV_LOANS_CURRENT",Input!J$2,Date,,,Ccy,Conv)</f>
        <v>0</v>
      </c>
      <c r="I291" s="4">
        <f>_xll.ciqfunctions.udf.CIQ(InputTicker, "IQ_FIN_DIV_LOANS_CURRENT",Input!K$2,Date,,,Ccy,Conv)</f>
        <v>0</v>
      </c>
      <c r="J291" s="4">
        <f>_xll.ciqfunctions.udf.CIQ(InputTicker, "IQ_FIN_DIV_LOANS_CURRENT",Input!L$2,Date,,,Ccy,Conv)</f>
        <v>0</v>
      </c>
      <c r="K291" s="4">
        <f>_xll.ciqfunctions.udf.CIQ(InputTicker, "IQ_FIN_DIV_LOANS_CURRENT",Input!M$2,Date,,,Ccy,Conv)</f>
        <v>0</v>
      </c>
      <c r="L291" s="4">
        <f>_xll.ciqfunctions.udf.CIQ(InputTicker, "IQ_FIN_DIV_LOANS_CURRENT",Input!N$2,Date,,,Ccy,Conv)</f>
        <v>0</v>
      </c>
      <c r="M291" s="4">
        <f>_xll.ciqfunctions.udf.CIQ(InputTicker, "IQ_FIN_DIV_LOANS_CURRENT",Input!O$2,Date,,,Ccy,Conv)</f>
        <v>0</v>
      </c>
      <c r="N291" s="46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  <c r="BM291" s="42"/>
      <c r="BN291" s="42"/>
    </row>
    <row r="292" spans="1:66" ht="12.75" customHeight="1" x14ac:dyDescent="0.2">
      <c r="A292" s="1" t="s">
        <v>173</v>
      </c>
      <c r="B292" s="4">
        <f>_xll.ciqfunctions.udf.CIQ(InputTicker, "IQ_FIN_DIV_ASSETS_CURRENT",Input!D$2,Date,,,Ccy,Conv)</f>
        <v>0</v>
      </c>
      <c r="C292" s="4">
        <f>_xll.ciqfunctions.udf.CIQ(InputTicker, "IQ_FIN_DIV_ASSETS_CURRENT",Input!E$2,Date,,,Ccy,Conv)</f>
        <v>0</v>
      </c>
      <c r="D292" s="4">
        <f>_xll.ciqfunctions.udf.CIQ(InputTicker, "IQ_FIN_DIV_ASSETS_CURRENT",Input!F$2,Date,,,Ccy,Conv)</f>
        <v>0</v>
      </c>
      <c r="E292" s="4">
        <f>_xll.ciqfunctions.udf.CIQ(InputTicker, "IQ_FIN_DIV_ASSETS_CURRENT",Input!G$2,Date,,,Ccy,Conv)</f>
        <v>0</v>
      </c>
      <c r="F292" s="4">
        <f>_xll.ciqfunctions.udf.CIQ(InputTicker, "IQ_FIN_DIV_ASSETS_CURRENT",Input!H$2,Date,,,Ccy,Conv)</f>
        <v>0</v>
      </c>
      <c r="G292" s="4">
        <f>_xll.ciqfunctions.udf.CIQ(InputTicker, "IQ_FIN_DIV_ASSETS_CURRENT",Input!I$2,Date,,,Ccy,Conv)</f>
        <v>0</v>
      </c>
      <c r="H292" s="4">
        <f>_xll.ciqfunctions.udf.CIQ(InputTicker, "IQ_FIN_DIV_ASSETS_CURRENT",Input!J$2,Date,,,Ccy,Conv)</f>
        <v>0</v>
      </c>
      <c r="I292" s="4">
        <f>_xll.ciqfunctions.udf.CIQ(InputTicker, "IQ_FIN_DIV_ASSETS_CURRENT",Input!K$2,Date,,,Ccy,Conv)</f>
        <v>0</v>
      </c>
      <c r="J292" s="4">
        <f>_xll.ciqfunctions.udf.CIQ(InputTicker, "IQ_FIN_DIV_ASSETS_CURRENT",Input!L$2,Date,,,Ccy,Conv)</f>
        <v>0</v>
      </c>
      <c r="K292" s="4">
        <f>_xll.ciqfunctions.udf.CIQ(InputTicker, "IQ_FIN_DIV_ASSETS_CURRENT",Input!M$2,Date,,,Ccy,Conv)</f>
        <v>0</v>
      </c>
      <c r="L292" s="4">
        <f>_xll.ciqfunctions.udf.CIQ(InputTicker, "IQ_FIN_DIV_ASSETS_CURRENT",Input!N$2,Date,,,Ccy,Conv)</f>
        <v>0</v>
      </c>
      <c r="M292" s="4">
        <f>_xll.ciqfunctions.udf.CIQ(InputTicker, "IQ_FIN_DIV_ASSETS_CURRENT",Input!O$2,Date,,,Ccy,Conv)</f>
        <v>0</v>
      </c>
      <c r="N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  <c r="BM292" s="42"/>
      <c r="BN292" s="42"/>
    </row>
    <row r="293" spans="1:66" ht="12.75" customHeight="1" x14ac:dyDescent="0.2">
      <c r="A293" s="1" t="s">
        <v>174</v>
      </c>
      <c r="B293" s="4">
        <f>_xll.ciqfunctions.udf.CIQ(InputTicker, "IQ_LOANS_FOR_SALE",Input!D$2,Date,,,Ccy,Conv)</f>
        <v>0</v>
      </c>
      <c r="C293" s="4">
        <f>_xll.ciqfunctions.udf.CIQ(InputTicker, "IQ_LOANS_FOR_SALE",Input!E$2,Date,,,Ccy,Conv)</f>
        <v>0</v>
      </c>
      <c r="D293" s="4">
        <f>_xll.ciqfunctions.udf.CIQ(InputTicker, "IQ_LOANS_FOR_SALE",Input!F$2,Date,,,Ccy,Conv)</f>
        <v>0</v>
      </c>
      <c r="E293" s="4">
        <f>_xll.ciqfunctions.udf.CIQ(InputTicker, "IQ_LOANS_FOR_SALE",Input!G$2,Date,,,Ccy,Conv)</f>
        <v>0</v>
      </c>
      <c r="F293" s="4">
        <f>_xll.ciqfunctions.udf.CIQ(InputTicker, "IQ_LOANS_FOR_SALE",Input!H$2,Date,,,Ccy,Conv)</f>
        <v>0</v>
      </c>
      <c r="G293" s="4">
        <f>_xll.ciqfunctions.udf.CIQ(InputTicker, "IQ_LOANS_FOR_SALE",Input!I$2,Date,,,Ccy,Conv)</f>
        <v>0</v>
      </c>
      <c r="H293" s="4">
        <f>_xll.ciqfunctions.udf.CIQ(InputTicker, "IQ_LOANS_FOR_SALE",Input!J$2,Date,,,Ccy,Conv)</f>
        <v>0</v>
      </c>
      <c r="I293" s="4">
        <f>_xll.ciqfunctions.udf.CIQ(InputTicker, "IQ_LOANS_FOR_SALE",Input!K$2,Date,,,Ccy,Conv)</f>
        <v>0</v>
      </c>
      <c r="J293" s="4">
        <f>_xll.ciqfunctions.udf.CIQ(InputTicker, "IQ_LOANS_FOR_SALE",Input!L$2,Date,,,Ccy,Conv)</f>
        <v>0</v>
      </c>
      <c r="K293" s="4">
        <f>_xll.ciqfunctions.udf.CIQ(InputTicker, "IQ_LOANS_FOR_SALE",Input!M$2,Date,,,Ccy,Conv)</f>
        <v>0</v>
      </c>
      <c r="L293" s="4">
        <f>_xll.ciqfunctions.udf.CIQ(InputTicker, "IQ_LOANS_FOR_SALE",Input!N$2,Date,,,Ccy,Conv)</f>
        <v>0</v>
      </c>
      <c r="M293" s="4">
        <f>_xll.ciqfunctions.udf.CIQ(InputTicker, "IQ_LOANS_FOR_SALE",Input!O$2,Date,,,Ccy,Conv)</f>
        <v>0</v>
      </c>
      <c r="N293" s="46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  <c r="BM293" s="42"/>
      <c r="BN293" s="42"/>
    </row>
    <row r="294" spans="1:66" ht="12.75" customHeight="1" x14ac:dyDescent="0.2">
      <c r="A294" s="1" t="s">
        <v>130</v>
      </c>
      <c r="B294" s="4">
        <f>_xll.ciqfunctions.udf.CIQ(InputTicker, "IQ_DEF_TAX_ASSETS_CURRENT",Input!D$2,Date,,,Ccy,Conv)</f>
        <v>0</v>
      </c>
      <c r="C294" s="4">
        <f>_xll.ciqfunctions.udf.CIQ(InputTicker, "IQ_DEF_TAX_ASSETS_CURRENT",Input!E$2,Date,,,Ccy,Conv)</f>
        <v>0</v>
      </c>
      <c r="D294" s="4">
        <f>_xll.ciqfunctions.udf.CIQ(InputTicker, "IQ_DEF_TAX_ASSETS_CURRENT",Input!F$2,Date,,,Ccy,Conv)</f>
        <v>0</v>
      </c>
      <c r="E294" s="4">
        <f>_xll.ciqfunctions.udf.CIQ(InputTicker, "IQ_DEF_TAX_ASSETS_CURRENT",Input!G$2,Date,,,Ccy,Conv)</f>
        <v>0</v>
      </c>
      <c r="F294" s="4">
        <f>_xll.ciqfunctions.udf.CIQ(InputTicker, "IQ_DEF_TAX_ASSETS_CURRENT",Input!H$2,Date,,,Ccy,Conv)</f>
        <v>0</v>
      </c>
      <c r="G294" s="4">
        <f>_xll.ciqfunctions.udf.CIQ(InputTicker, "IQ_DEF_TAX_ASSETS_CURRENT",Input!I$2,Date,,,Ccy,Conv)</f>
        <v>0</v>
      </c>
      <c r="H294" s="4">
        <f>_xll.ciqfunctions.udf.CIQ(InputTicker, "IQ_DEF_TAX_ASSETS_CURRENT",Input!J$2,Date,,,Ccy,Conv)</f>
        <v>0</v>
      </c>
      <c r="I294" s="4">
        <f>_xll.ciqfunctions.udf.CIQ(InputTicker, "IQ_DEF_TAX_ASSETS_CURRENT",Input!K$2,Date,,,Ccy,Conv)</f>
        <v>0</v>
      </c>
      <c r="J294" s="4">
        <f>_xll.ciqfunctions.udf.CIQ(InputTicker, "IQ_DEF_TAX_ASSETS_CURRENT",Input!L$2,Date,,,Ccy,Conv)</f>
        <v>0</v>
      </c>
      <c r="K294" s="4">
        <f>_xll.ciqfunctions.udf.CIQ(InputTicker, "IQ_DEF_TAX_ASSETS_CURRENT",Input!M$2,Date,,,Ccy,Conv)</f>
        <v>0</v>
      </c>
      <c r="L294" s="4">
        <f>_xll.ciqfunctions.udf.CIQ(InputTicker, "IQ_DEF_TAX_ASSETS_CURRENT",Input!N$2,Date,,,Ccy,Conv)</f>
        <v>0</v>
      </c>
      <c r="M294" s="4">
        <f>_xll.ciqfunctions.udf.CIQ(InputTicker, "IQ_DEF_TAX_ASSETS_CURRENT",Input!O$2,Date,,,Ccy,Conv)</f>
        <v>0</v>
      </c>
      <c r="N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</row>
    <row r="295" spans="1:66" ht="12.75" customHeight="1" x14ac:dyDescent="0.2">
      <c r="A295" s="1" t="s">
        <v>175</v>
      </c>
      <c r="B295" s="4">
        <f>_xll.ciqfunctions.udf.CIQ(InputTicker, "IQ_RESTRICTED_CASH",Input!D$2,Date,,,Ccy,Conv)</f>
        <v>0</v>
      </c>
      <c r="C295" s="4">
        <f>_xll.ciqfunctions.udf.CIQ(InputTicker, "IQ_RESTRICTED_CASH",Input!E$2,Date,,,Ccy,Conv)</f>
        <v>0</v>
      </c>
      <c r="D295" s="4">
        <f>_xll.ciqfunctions.udf.CIQ(InputTicker, "IQ_RESTRICTED_CASH",Input!F$2,Date,,,Ccy,Conv)</f>
        <v>0</v>
      </c>
      <c r="E295" s="4">
        <f>_xll.ciqfunctions.udf.CIQ(InputTicker, "IQ_RESTRICTED_CASH",Input!G$2,Date,,,Ccy,Conv)</f>
        <v>0</v>
      </c>
      <c r="F295" s="4">
        <f>_xll.ciqfunctions.udf.CIQ(InputTicker, "IQ_RESTRICTED_CASH",Input!H$2,Date,,,Ccy,Conv)</f>
        <v>0</v>
      </c>
      <c r="G295" s="4">
        <f>_xll.ciqfunctions.udf.CIQ(InputTicker, "IQ_RESTRICTED_CASH",Input!I$2,Date,,,Ccy,Conv)</f>
        <v>0</v>
      </c>
      <c r="H295" s="4">
        <f>_xll.ciqfunctions.udf.CIQ(InputTicker, "IQ_RESTRICTED_CASH",Input!J$2,Date,,,Ccy,Conv)</f>
        <v>0</v>
      </c>
      <c r="I295" s="4">
        <f>_xll.ciqfunctions.udf.CIQ(InputTicker, "IQ_RESTRICTED_CASH",Input!K$2,Date,,,Ccy,Conv)</f>
        <v>0</v>
      </c>
      <c r="J295" s="4">
        <f>_xll.ciqfunctions.udf.CIQ(InputTicker, "IQ_RESTRICTED_CASH",Input!L$2,Date,,,Ccy,Conv)</f>
        <v>0</v>
      </c>
      <c r="K295" s="4">
        <f>_xll.ciqfunctions.udf.CIQ(InputTicker, "IQ_RESTRICTED_CASH",Input!M$2,Date,,,Ccy,Conv)</f>
        <v>1</v>
      </c>
      <c r="L295" s="4">
        <f>_xll.ciqfunctions.udf.CIQ(InputTicker, "IQ_RESTRICTED_CASH",Input!N$2,Date,,,Ccy,Conv)</f>
        <v>6.3</v>
      </c>
      <c r="M295" s="4">
        <f>_xll.ciqfunctions.udf.CIQ(InputTicker, "IQ_RESTRICTED_CASH",Input!O$2,Date,,,Ccy,Conv)</f>
        <v>6.3</v>
      </c>
      <c r="N295" s="46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  <c r="BM295" s="42"/>
      <c r="BN295" s="42"/>
    </row>
    <row r="296" spans="1:66" ht="12.75" customHeight="1" x14ac:dyDescent="0.2">
      <c r="A296" s="1" t="s">
        <v>131</v>
      </c>
      <c r="B296" s="4">
        <f>_xll.ciqfunctions.udf.CIQ(InputTicker, "IQ_OTHER_CA_SUPPL",Input!D$2,Date,,,Ccy,Conv)</f>
        <v>0</v>
      </c>
      <c r="C296" s="4">
        <f>_xll.ciqfunctions.udf.CIQ(InputTicker, "IQ_OTHER_CA_SUPPL",Input!E$2,Date,,,Ccy,Conv)</f>
        <v>0</v>
      </c>
      <c r="D296" s="4">
        <f>_xll.ciqfunctions.udf.CIQ(InputTicker, "IQ_OTHER_CA_SUPPL",Input!F$2,Date,,,Ccy,Conv)</f>
        <v>0</v>
      </c>
      <c r="E296" s="4">
        <f>_xll.ciqfunctions.udf.CIQ(InputTicker, "IQ_OTHER_CA_SUPPL",Input!G$2,Date,,,Ccy,Conv)</f>
        <v>0</v>
      </c>
      <c r="F296" s="4">
        <f>_xll.ciqfunctions.udf.CIQ(InputTicker, "IQ_OTHER_CA_SUPPL",Input!H$2,Date,,,Ccy,Conv)</f>
        <v>0</v>
      </c>
      <c r="G296" s="4">
        <f>_xll.ciqfunctions.udf.CIQ(InputTicker, "IQ_OTHER_CA_SUPPL",Input!I$2,Date,,,Ccy,Conv)</f>
        <v>0</v>
      </c>
      <c r="H296" s="4">
        <f>_xll.ciqfunctions.udf.CIQ(InputTicker, "IQ_OTHER_CA_SUPPL",Input!J$2,Date,,,Ccy,Conv)</f>
        <v>0</v>
      </c>
      <c r="I296" s="4">
        <f>_xll.ciqfunctions.udf.CIQ(InputTicker, "IQ_OTHER_CA_SUPPL",Input!K$2,Date,,,Ccy,Conv)</f>
        <v>0</v>
      </c>
      <c r="J296" s="4">
        <f>_xll.ciqfunctions.udf.CIQ(InputTicker, "IQ_OTHER_CA_SUPPL",Input!L$2,Date,,,Ccy,Conv)</f>
        <v>0</v>
      </c>
      <c r="K296" s="4">
        <f>_xll.ciqfunctions.udf.CIQ(InputTicker, "IQ_OTHER_CA_SUPPL",Input!M$2,Date,,,Ccy,Conv)</f>
        <v>0</v>
      </c>
      <c r="L296" s="4">
        <f>_xll.ciqfunctions.udf.CIQ(InputTicker, "IQ_OTHER_CA_SUPPL",Input!N$2,Date,,,Ccy,Conv)</f>
        <v>0</v>
      </c>
      <c r="M296" s="4">
        <f>_xll.ciqfunctions.udf.CIQ(InputTicker, "IQ_OTHER_CA_SUPPL",Input!O$2,Date,,,Ccy,Conv)</f>
        <v>0</v>
      </c>
      <c r="N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</row>
    <row r="297" spans="1:66" ht="12.75" customHeight="1" x14ac:dyDescent="0.2">
      <c r="A297" s="5" t="s">
        <v>45</v>
      </c>
      <c r="B297" s="6">
        <f>_xll.ciqfunctions.udf.CIQ(InputTicker, "IQ_TOTAL_CA",Input!D$2,Date,,,Ccy,Conv)</f>
        <v>626.28300000000002</v>
      </c>
      <c r="C297" s="6">
        <f>_xll.ciqfunctions.udf.CIQ(InputTicker, "IQ_TOTAL_CA",Input!E$2,Date,,,Ccy,Conv)</f>
        <v>436.20600000000002</v>
      </c>
      <c r="D297" s="6">
        <f>_xll.ciqfunctions.udf.CIQ(InputTicker, "IQ_TOTAL_CA",Input!F$2,Date,,,Ccy,Conv)</f>
        <v>587.52</v>
      </c>
      <c r="E297" s="6">
        <f>_xll.ciqfunctions.udf.CIQ(InputTicker, "IQ_TOTAL_CA",Input!G$2,Date,,,Ccy,Conv)</f>
        <v>567.75300000000004</v>
      </c>
      <c r="F297" s="6">
        <f>_xll.ciqfunctions.udf.CIQ(InputTicker, "IQ_TOTAL_CA",Input!H$2,Date,,,Ccy,Conv)</f>
        <v>522.25099999999998</v>
      </c>
      <c r="G297" s="6">
        <f>_xll.ciqfunctions.udf.CIQ(InputTicker, "IQ_TOTAL_CA",Input!I$2,Date,,,Ccy,Conv)</f>
        <v>519.93100000000004</v>
      </c>
      <c r="H297" s="6">
        <f>_xll.ciqfunctions.udf.CIQ(InputTicker, "IQ_TOTAL_CA",Input!J$2,Date,,,Ccy,Conv)</f>
        <v>661.51900000000001</v>
      </c>
      <c r="I297" s="6">
        <f>_xll.ciqfunctions.udf.CIQ(InputTicker, "IQ_TOTAL_CA",Input!K$2,Date,,,Ccy,Conv)</f>
        <v>1124.925</v>
      </c>
      <c r="J297" s="6">
        <f>_xll.ciqfunctions.udf.CIQ(InputTicker, "IQ_TOTAL_CA",Input!L$2,Date,,,Ccy,Conv)</f>
        <v>1241.8389999999999</v>
      </c>
      <c r="K297" s="6">
        <f>_xll.ciqfunctions.udf.CIQ(InputTicker, "IQ_TOTAL_CA",Input!M$2,Date,,,Ccy,Conv)</f>
        <v>1968.11</v>
      </c>
      <c r="L297" s="6">
        <f>_xll.ciqfunctions.udf.CIQ(InputTicker, "IQ_TOTAL_CA",Input!N$2,Date,,,Ccy,Conv)</f>
        <v>1581.5419999999999</v>
      </c>
      <c r="M297" s="6">
        <f>_xll.ciqfunctions.udf.CIQ(InputTicker, "IQ_TOTAL_CA",Input!O$2,Date,,,Ccy,Conv)</f>
        <v>1581.5419999999999</v>
      </c>
      <c r="N297" s="46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</row>
    <row r="298" spans="1:66" ht="12.75" customHeight="1" x14ac:dyDescent="0.2">
      <c r="A298" s="1" t="s">
        <v>92</v>
      </c>
      <c r="B298" s="4">
        <f>_xll.ciqfunctions.udf.CIQ(InputTicker, "IQ_GPPE",Input!D$2,Date,,,Ccy,Conv)</f>
        <v>822.64499999999998</v>
      </c>
      <c r="C298" s="4">
        <f>_xll.ciqfunctions.udf.CIQ(InputTicker, "IQ_GPPE",Input!E$2,Date,,,Ccy,Conv)</f>
        <v>927.17899999999997</v>
      </c>
      <c r="D298" s="4">
        <f>_xll.ciqfunctions.udf.CIQ(InputTicker, "IQ_GPPE",Input!F$2,Date,,,Ccy,Conv)</f>
        <v>939.09100000000001</v>
      </c>
      <c r="E298" s="4">
        <f>_xll.ciqfunctions.udf.CIQ(InputTicker, "IQ_GPPE",Input!G$2,Date,,,Ccy,Conv)</f>
        <v>1011.932</v>
      </c>
      <c r="F298" s="4">
        <f>_xll.ciqfunctions.udf.CIQ(InputTicker, "IQ_GPPE",Input!H$2,Date,,,Ccy,Conv)</f>
        <v>1145.875</v>
      </c>
      <c r="G298" s="4">
        <f>_xll.ciqfunctions.udf.CIQ(InputTicker, "IQ_GPPE",Input!I$2,Date,,,Ccy,Conv)</f>
        <v>1215.412</v>
      </c>
      <c r="H298" s="4">
        <f>_xll.ciqfunctions.udf.CIQ(InputTicker, "IQ_GPPE",Input!J$2,Date,,,Ccy,Conv)</f>
        <v>1355.5840000000001</v>
      </c>
      <c r="I298" s="4">
        <f>_xll.ciqfunctions.udf.CIQ(InputTicker, "IQ_GPPE",Input!K$2,Date,,,Ccy,Conv)</f>
        <v>1483.758</v>
      </c>
      <c r="J298" s="4">
        <f>_xll.ciqfunctions.udf.CIQ(InputTicker, "IQ_GPPE",Input!L$2,Date,,,Ccy,Conv)</f>
        <v>1662.174</v>
      </c>
      <c r="K298" s="4">
        <f>_xll.ciqfunctions.udf.CIQ(InputTicker, "IQ_GPPE",Input!M$2,Date,,,Ccy,Conv)</f>
        <v>1905.8240000000001</v>
      </c>
      <c r="L298" s="4">
        <f>_xll.ciqfunctions.udf.CIQ(InputTicker, "IQ_GPPE",Input!N$2,Date,,,Ccy,Conv)</f>
        <v>2304.7080000000001</v>
      </c>
      <c r="M298" s="4">
        <f>_xll.ciqfunctions.udf.CIQ(InputTicker, "IQ_GPPE",Input!O$2,Date,,,Ccy,Conv)</f>
        <v>2304.7080000000001</v>
      </c>
      <c r="N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</row>
    <row r="299" spans="1:66" ht="12.75" customHeight="1" x14ac:dyDescent="0.2">
      <c r="A299" s="1" t="s">
        <v>93</v>
      </c>
      <c r="B299" s="4">
        <f>_xll.ciqfunctions.udf.CIQ(InputTicker, "IQ_AD",Input!D$2,Date,,,Ccy,Conv)</f>
        <v>-430.37099999999998</v>
      </c>
      <c r="C299" s="4">
        <f>_xll.ciqfunctions.udf.CIQ(InputTicker, "IQ_AD",Input!E$2,Date,,,Ccy,Conv)</f>
        <v>-468.995</v>
      </c>
      <c r="D299" s="4">
        <f>_xll.ciqfunctions.udf.CIQ(InputTicker, "IQ_AD",Input!F$2,Date,,,Ccy,Conv)</f>
        <v>-513.70699999999999</v>
      </c>
      <c r="E299" s="4">
        <f>_xll.ciqfunctions.udf.CIQ(InputTicker, "IQ_AD",Input!G$2,Date,,,Ccy,Conv)</f>
        <v>-555.63800000000003</v>
      </c>
      <c r="F299" s="4">
        <f>_xll.ciqfunctions.udf.CIQ(InputTicker, "IQ_AD",Input!H$2,Date,,,Ccy,Conv)</f>
        <v>-585.29100000000005</v>
      </c>
      <c r="G299" s="4">
        <f>_xll.ciqfunctions.udf.CIQ(InputTicker, "IQ_AD",Input!I$2,Date,,,Ccy,Conv)</f>
        <v>-623.74599999999998</v>
      </c>
      <c r="H299" s="4">
        <f>_xll.ciqfunctions.udf.CIQ(InputTicker, "IQ_AD",Input!J$2,Date,,,Ccy,Conv)</f>
        <v>-677.78800000000001</v>
      </c>
      <c r="I299" s="4">
        <f>_xll.ciqfunctions.udf.CIQ(InputTicker, "IQ_AD",Input!K$2,Date,,,Ccy,Conv)</f>
        <v>-739.21799999999996</v>
      </c>
      <c r="J299" s="4">
        <f>_xll.ciqfunctions.udf.CIQ(InputTicker, "IQ_AD",Input!L$2,Date,,,Ccy,Conv)</f>
        <v>-804.94</v>
      </c>
      <c r="K299" s="4">
        <f>_xll.ciqfunctions.udf.CIQ(InputTicker, "IQ_AD",Input!M$2,Date,,,Ccy,Conv)</f>
        <v>-879.14</v>
      </c>
      <c r="L299" s="4">
        <f>_xll.ciqfunctions.udf.CIQ(InputTicker, "IQ_AD",Input!N$2,Date,,,Ccy,Conv)</f>
        <v>-986.37300000000005</v>
      </c>
      <c r="M299" s="4">
        <f>_xll.ciqfunctions.udf.CIQ(InputTicker, "IQ_AD",Input!O$2,Date,,,Ccy,Conv)</f>
        <v>-986.37300000000005</v>
      </c>
      <c r="N299" s="42"/>
      <c r="T299" s="46"/>
      <c r="U299" s="46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</row>
    <row r="300" spans="1:66" ht="12.75" customHeight="1" x14ac:dyDescent="0.2">
      <c r="A300" s="5" t="s">
        <v>94</v>
      </c>
      <c r="B300" s="6">
        <f>_xll.ciqfunctions.udf.CIQ(InputTicker, "IQ_NPPE",Input!D$2,Date,,,Ccy,Conv)</f>
        <v>392.274</v>
      </c>
      <c r="C300" s="6">
        <f>_xll.ciqfunctions.udf.CIQ(InputTicker, "IQ_NPPE",Input!E$2,Date,,,Ccy,Conv)</f>
        <v>458.18400000000003</v>
      </c>
      <c r="D300" s="6">
        <f>_xll.ciqfunctions.udf.CIQ(InputTicker, "IQ_NPPE",Input!F$2,Date,,,Ccy,Conv)</f>
        <v>425.38400000000001</v>
      </c>
      <c r="E300" s="6">
        <f>_xll.ciqfunctions.udf.CIQ(InputTicker, "IQ_NPPE",Input!G$2,Date,,,Ccy,Conv)</f>
        <v>456.29399999999998</v>
      </c>
      <c r="F300" s="6">
        <f>_xll.ciqfunctions.udf.CIQ(InputTicker, "IQ_NPPE",Input!H$2,Date,,,Ccy,Conv)</f>
        <v>560.58399999999995</v>
      </c>
      <c r="G300" s="6">
        <f>_xll.ciqfunctions.udf.CIQ(InputTicker, "IQ_NPPE",Input!I$2,Date,,,Ccy,Conv)</f>
        <v>591.66600000000005</v>
      </c>
      <c r="H300" s="6">
        <f>_xll.ciqfunctions.udf.CIQ(InputTicker, "IQ_NPPE",Input!J$2,Date,,,Ccy,Conv)</f>
        <v>677.79600000000005</v>
      </c>
      <c r="I300" s="6">
        <f>_xll.ciqfunctions.udf.CIQ(InputTicker, "IQ_NPPE",Input!K$2,Date,,,Ccy,Conv)</f>
        <v>744.54</v>
      </c>
      <c r="J300" s="6">
        <f>_xll.ciqfunctions.udf.CIQ(InputTicker, "IQ_NPPE",Input!L$2,Date,,,Ccy,Conv)</f>
        <v>857.23400000000004</v>
      </c>
      <c r="K300" s="6">
        <f>_xll.ciqfunctions.udf.CIQ(InputTicker, "IQ_NPPE",Input!M$2,Date,,,Ccy,Conv)</f>
        <v>1026.684</v>
      </c>
      <c r="L300" s="6">
        <f>_xll.ciqfunctions.udf.CIQ(InputTicker, "IQ_NPPE",Input!N$2,Date,,,Ccy,Conv)</f>
        <v>1318.335</v>
      </c>
      <c r="M300" s="6">
        <f>_xll.ciqfunctions.udf.CIQ(InputTicker, "IQ_NPPE",Input!O$2,Date,,,Ccy,Conv)</f>
        <v>1318.335</v>
      </c>
      <c r="N300" s="42"/>
      <c r="P300" s="46"/>
      <c r="Q300" s="46"/>
      <c r="R300" s="46"/>
      <c r="T300" s="42"/>
      <c r="U300" s="42"/>
      <c r="V300" s="46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</row>
    <row r="301" spans="1:66" ht="12.75" customHeight="1" x14ac:dyDescent="0.2">
      <c r="A301" s="1" t="s">
        <v>176</v>
      </c>
      <c r="B301" s="4">
        <f>_xll.ciqfunctions.udf.CIQ(InputTicker, "IQ_LT_INVEST",Input!D$2,Date,,,Ccy,Conv)</f>
        <v>53.975000000000001</v>
      </c>
      <c r="C301" s="4">
        <f>_xll.ciqfunctions.udf.CIQ(InputTicker, "IQ_LT_INVEST",Input!E$2,Date,,,Ccy,Conv)</f>
        <v>65.730999999999995</v>
      </c>
      <c r="D301" s="4">
        <f>_xll.ciqfunctions.udf.CIQ(InputTicker, "IQ_LT_INVEST",Input!F$2,Date,,,Ccy,Conv)</f>
        <v>72.506</v>
      </c>
      <c r="E301" s="4">
        <f>_xll.ciqfunctions.udf.CIQ(InputTicker, "IQ_LT_INVEST",Input!G$2,Date,,,Ccy,Conv)</f>
        <v>70.911000000000001</v>
      </c>
      <c r="F301" s="4">
        <f>_xll.ciqfunctions.udf.CIQ(InputTicker, "IQ_LT_INVEST",Input!H$2,Date,,,Ccy,Conv)</f>
        <v>63.731000000000002</v>
      </c>
      <c r="G301" s="4">
        <f>_xll.ciqfunctions.udf.CIQ(InputTicker, "IQ_LT_INVEST",Input!I$2,Date,,,Ccy,Conv)</f>
        <v>59.057000000000002</v>
      </c>
      <c r="H301" s="4">
        <f>_xll.ciqfunctions.udf.CIQ(InputTicker, "IQ_LT_INVEST",Input!J$2,Date,,,Ccy,Conv)</f>
        <v>19.282</v>
      </c>
      <c r="I301" s="4">
        <f>_xll.ciqfunctions.udf.CIQ(InputTicker, "IQ_LT_INVEST",Input!K$2,Date,,,Ccy,Conv)</f>
        <v>14.449</v>
      </c>
      <c r="J301" s="4">
        <f>_xll.ciqfunctions.udf.CIQ(InputTicker, "IQ_LT_INVEST",Input!L$2,Date,,,Ccy,Conv)</f>
        <v>11.195</v>
      </c>
      <c r="K301" s="4">
        <f>_xll.ciqfunctions.udf.CIQ(InputTicker, "IQ_LT_INVEST",Input!M$2,Date,,,Ccy,Conv)</f>
        <v>0</v>
      </c>
      <c r="L301" s="4">
        <f>_xll.ciqfunctions.udf.CIQ(InputTicker, "IQ_LT_INVEST",Input!N$2,Date,,,Ccy,Conv)</f>
        <v>0</v>
      </c>
      <c r="M301" s="4">
        <f>_xll.ciqfunctions.udf.CIQ(InputTicker, "IQ_LT_INVEST",Input!O$2,Date,,,Ccy,Conv)</f>
        <v>0</v>
      </c>
      <c r="N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  <c r="BN301" s="42"/>
    </row>
    <row r="302" spans="1:66" ht="12.75" customHeight="1" x14ac:dyDescent="0.2">
      <c r="A302" s="1" t="s">
        <v>56</v>
      </c>
      <c r="B302" s="4">
        <f>_xll.ciqfunctions.udf.CIQ(InputTicker, "IQ_GW",Input!D$2,Date,,,Ccy,Conv)</f>
        <v>29.196000000000002</v>
      </c>
      <c r="C302" s="4">
        <f>_xll.ciqfunctions.udf.CIQ(InputTicker, "IQ_GW",Input!E$2,Date,,,Ccy,Conv)</f>
        <v>35.524999999999999</v>
      </c>
      <c r="D302" s="4">
        <f>_xll.ciqfunctions.udf.CIQ(InputTicker, "IQ_GW",Input!F$2,Date,,,Ccy,Conv)</f>
        <v>35.524999999999999</v>
      </c>
      <c r="E302" s="4">
        <f>_xll.ciqfunctions.udf.CIQ(InputTicker, "IQ_GW",Input!G$2,Date,,,Ccy,Conv)</f>
        <v>35.524999999999999</v>
      </c>
      <c r="F302" s="4">
        <f>_xll.ciqfunctions.udf.CIQ(InputTicker, "IQ_GW",Input!H$2,Date,,,Ccy,Conv)</f>
        <v>35.524999999999999</v>
      </c>
      <c r="G302" s="4">
        <f>_xll.ciqfunctions.udf.CIQ(InputTicker, "IQ_GW",Input!I$2,Date,,,Ccy,Conv)</f>
        <v>35.524999999999999</v>
      </c>
      <c r="H302" s="4">
        <f>_xll.ciqfunctions.udf.CIQ(InputTicker, "IQ_GW",Input!J$2,Date,,,Ccy,Conv)</f>
        <v>44.006</v>
      </c>
      <c r="I302" s="4">
        <f>_xll.ciqfunctions.udf.CIQ(InputTicker, "IQ_GW",Input!K$2,Date,,,Ccy,Conv)</f>
        <v>44.006</v>
      </c>
      <c r="J302" s="4">
        <f>_xll.ciqfunctions.udf.CIQ(InputTicker, "IQ_GW",Input!L$2,Date,,,Ccy,Conv)</f>
        <v>45.776000000000003</v>
      </c>
      <c r="K302" s="4">
        <f>_xll.ciqfunctions.udf.CIQ(InputTicker, "IQ_GW",Input!M$2,Date,,,Ccy,Conv)</f>
        <v>46.776000000000003</v>
      </c>
      <c r="L302" s="4">
        <f>_xll.ciqfunctions.udf.CIQ(InputTicker, "IQ_GW",Input!N$2,Date,,,Ccy,Conv)</f>
        <v>97.058999999999997</v>
      </c>
      <c r="M302" s="4">
        <f>_xll.ciqfunctions.udf.CIQ(InputTicker, "IQ_GW",Input!O$2,Date,,,Ccy,Conv)</f>
        <v>97.058999999999997</v>
      </c>
      <c r="N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  <c r="BN302" s="42"/>
    </row>
    <row r="303" spans="1:66" ht="12.75" customHeight="1" x14ac:dyDescent="0.2">
      <c r="A303" s="1" t="s">
        <v>95</v>
      </c>
      <c r="B303" s="4">
        <f>_xll.ciqfunctions.udf.CIQ(InputTicker, "IQ_OTHER_INTAN",Input!D$2,Date,,,Ccy,Conv)</f>
        <v>4.9580000000000002</v>
      </c>
      <c r="C303" s="4">
        <f>_xll.ciqfunctions.udf.CIQ(InputTicker, "IQ_OTHER_INTAN",Input!E$2,Date,,,Ccy,Conv)</f>
        <v>29.149000000000001</v>
      </c>
      <c r="D303" s="4">
        <f>_xll.ciqfunctions.udf.CIQ(InputTicker, "IQ_OTHER_INTAN",Input!F$2,Date,,,Ccy,Conv)</f>
        <v>26.306999999999999</v>
      </c>
      <c r="E303" s="4">
        <f>_xll.ciqfunctions.udf.CIQ(InputTicker, "IQ_OTHER_INTAN",Input!G$2,Date,,,Ccy,Conv)</f>
        <v>23.762</v>
      </c>
      <c r="F303" s="4">
        <f>_xll.ciqfunctions.udf.CIQ(InputTicker, "IQ_OTHER_INTAN",Input!H$2,Date,,,Ccy,Conv)</f>
        <v>22.815999999999999</v>
      </c>
      <c r="G303" s="4">
        <f>_xll.ciqfunctions.udf.CIQ(InputTicker, "IQ_OTHER_INTAN",Input!I$2,Date,,,Ccy,Conv)</f>
        <v>20.341000000000001</v>
      </c>
      <c r="H303" s="4">
        <f>_xll.ciqfunctions.udf.CIQ(InputTicker, "IQ_OTHER_INTAN",Input!J$2,Date,,,Ccy,Conv)</f>
        <v>18.131</v>
      </c>
      <c r="I303" s="4">
        <f>_xll.ciqfunctions.udf.CIQ(InputTicker, "IQ_OTHER_INTAN",Input!K$2,Date,,,Ccy,Conv)</f>
        <v>15.897</v>
      </c>
      <c r="J303" s="4">
        <f>_xll.ciqfunctions.udf.CIQ(InputTicker, "IQ_OTHER_INTAN",Input!L$2,Date,,,Ccy,Conv)</f>
        <v>15.996</v>
      </c>
      <c r="K303" s="4">
        <f>_xll.ciqfunctions.udf.CIQ(InputTicker, "IQ_OTHER_INTAN",Input!M$2,Date,,,Ccy,Conv)</f>
        <v>15.157</v>
      </c>
      <c r="L303" s="4">
        <f>_xll.ciqfunctions.udf.CIQ(InputTicker, "IQ_OTHER_INTAN",Input!N$2,Date,,,Ccy,Conv)</f>
        <v>73.13</v>
      </c>
      <c r="M303" s="4">
        <f>_xll.ciqfunctions.udf.CIQ(InputTicker, "IQ_OTHER_INTAN",Input!O$2,Date,,,Ccy,Conv)</f>
        <v>73.13</v>
      </c>
      <c r="N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  <c r="BN303" s="42"/>
    </row>
    <row r="304" spans="1:66" ht="12.75" customHeight="1" x14ac:dyDescent="0.2">
      <c r="A304" s="1" t="s">
        <v>177</v>
      </c>
      <c r="B304" s="4">
        <f>_xll.ciqfunctions.udf.CIQ(InputTicker, "IQ_FIN_DIV_LOANS_LT",Input!D$2,Date,,,Ccy,Conv)</f>
        <v>0</v>
      </c>
      <c r="C304" s="4">
        <f>_xll.ciqfunctions.udf.CIQ(InputTicker, "IQ_FIN_DIV_LOANS_LT",Input!E$2,Date,,,Ccy,Conv)</f>
        <v>0</v>
      </c>
      <c r="D304" s="4">
        <f>_xll.ciqfunctions.udf.CIQ(InputTicker, "IQ_FIN_DIV_LOANS_LT",Input!F$2,Date,,,Ccy,Conv)</f>
        <v>0</v>
      </c>
      <c r="E304" s="4">
        <f>_xll.ciqfunctions.udf.CIQ(InputTicker, "IQ_FIN_DIV_LOANS_LT",Input!G$2,Date,,,Ccy,Conv)</f>
        <v>0</v>
      </c>
      <c r="F304" s="4">
        <f>_xll.ciqfunctions.udf.CIQ(InputTicker, "IQ_FIN_DIV_LOANS_LT",Input!H$2,Date,,,Ccy,Conv)</f>
        <v>0</v>
      </c>
      <c r="G304" s="4">
        <f>_xll.ciqfunctions.udf.CIQ(InputTicker, "IQ_FIN_DIV_LOANS_LT",Input!I$2,Date,,,Ccy,Conv)</f>
        <v>0</v>
      </c>
      <c r="H304" s="4">
        <f>_xll.ciqfunctions.udf.CIQ(InputTicker, "IQ_FIN_DIV_LOANS_LT",Input!J$2,Date,,,Ccy,Conv)</f>
        <v>0</v>
      </c>
      <c r="I304" s="4">
        <f>_xll.ciqfunctions.udf.CIQ(InputTicker, "IQ_FIN_DIV_LOANS_LT",Input!K$2,Date,,,Ccy,Conv)</f>
        <v>0</v>
      </c>
      <c r="J304" s="4">
        <f>_xll.ciqfunctions.udf.CIQ(InputTicker, "IQ_FIN_DIV_LOANS_LT",Input!L$2,Date,,,Ccy,Conv)</f>
        <v>0</v>
      </c>
      <c r="K304" s="4">
        <f>_xll.ciqfunctions.udf.CIQ(InputTicker, "IQ_FIN_DIV_LOANS_LT",Input!M$2,Date,,,Ccy,Conv)</f>
        <v>0</v>
      </c>
      <c r="L304" s="4">
        <f>_xll.ciqfunctions.udf.CIQ(InputTicker, "IQ_FIN_DIV_LOANS_LT",Input!N$2,Date,,,Ccy,Conv)</f>
        <v>0</v>
      </c>
      <c r="M304" s="4">
        <f>_xll.ciqfunctions.udf.CIQ(InputTicker, "IQ_FIN_DIV_LOANS_LT",Input!O$2,Date,,,Ccy,Conv)</f>
        <v>0</v>
      </c>
      <c r="N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</row>
    <row r="305" spans="1:66" ht="12.75" customHeight="1" x14ac:dyDescent="0.2">
      <c r="A305" s="1" t="s">
        <v>178</v>
      </c>
      <c r="B305" s="4">
        <f>_xll.ciqfunctions.udf.CIQ(InputTicker, "IQ_FIN_DIV_ASSETS_LT",Input!D$2,Date,,,Ccy,Conv)</f>
        <v>0</v>
      </c>
      <c r="C305" s="4">
        <f>_xll.ciqfunctions.udf.CIQ(InputTicker, "IQ_FIN_DIV_ASSETS_LT",Input!E$2,Date,,,Ccy,Conv)</f>
        <v>0</v>
      </c>
      <c r="D305" s="4">
        <f>_xll.ciqfunctions.udf.CIQ(InputTicker, "IQ_FIN_DIV_ASSETS_LT",Input!F$2,Date,,,Ccy,Conv)</f>
        <v>0</v>
      </c>
      <c r="E305" s="4">
        <f>_xll.ciqfunctions.udf.CIQ(InputTicker, "IQ_FIN_DIV_ASSETS_LT",Input!G$2,Date,,,Ccy,Conv)</f>
        <v>0</v>
      </c>
      <c r="F305" s="4">
        <f>_xll.ciqfunctions.udf.CIQ(InputTicker, "IQ_FIN_DIV_ASSETS_LT",Input!H$2,Date,,,Ccy,Conv)</f>
        <v>0</v>
      </c>
      <c r="G305" s="4">
        <f>_xll.ciqfunctions.udf.CIQ(InputTicker, "IQ_FIN_DIV_ASSETS_LT",Input!I$2,Date,,,Ccy,Conv)</f>
        <v>0</v>
      </c>
      <c r="H305" s="4">
        <f>_xll.ciqfunctions.udf.CIQ(InputTicker, "IQ_FIN_DIV_ASSETS_LT",Input!J$2,Date,,,Ccy,Conv)</f>
        <v>0</v>
      </c>
      <c r="I305" s="4">
        <f>_xll.ciqfunctions.udf.CIQ(InputTicker, "IQ_FIN_DIV_ASSETS_LT",Input!K$2,Date,,,Ccy,Conv)</f>
        <v>0</v>
      </c>
      <c r="J305" s="4">
        <f>_xll.ciqfunctions.udf.CIQ(InputTicker, "IQ_FIN_DIV_ASSETS_LT",Input!L$2,Date,,,Ccy,Conv)</f>
        <v>0</v>
      </c>
      <c r="K305" s="4">
        <f>_xll.ciqfunctions.udf.CIQ(InputTicker, "IQ_FIN_DIV_ASSETS_LT",Input!M$2,Date,,,Ccy,Conv)</f>
        <v>0</v>
      </c>
      <c r="L305" s="4">
        <f>_xll.ciqfunctions.udf.CIQ(InputTicker, "IQ_FIN_DIV_ASSETS_LT",Input!N$2,Date,,,Ccy,Conv)</f>
        <v>0</v>
      </c>
      <c r="M305" s="4">
        <f>_xll.ciqfunctions.udf.CIQ(InputTicker, "IQ_FIN_DIV_ASSETS_LT",Input!O$2,Date,,,Ccy,Conv)</f>
        <v>0</v>
      </c>
      <c r="N305" s="46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  <c r="BN305" s="42"/>
    </row>
    <row r="306" spans="1:66" ht="12.75" customHeight="1" x14ac:dyDescent="0.2">
      <c r="A306" s="1" t="s">
        <v>179</v>
      </c>
      <c r="B306" s="4">
        <f>_xll.ciqfunctions.udf.CIQ(InputTicker, "IQ_AR_LT",Input!D$2,Date,,,Ccy,Conv)</f>
        <v>0</v>
      </c>
      <c r="C306" s="4">
        <f>_xll.ciqfunctions.udf.CIQ(InputTicker, "IQ_AR_LT",Input!E$2,Date,,,Ccy,Conv)</f>
        <v>0</v>
      </c>
      <c r="D306" s="4">
        <f>_xll.ciqfunctions.udf.CIQ(InputTicker, "IQ_AR_LT",Input!F$2,Date,,,Ccy,Conv)</f>
        <v>0</v>
      </c>
      <c r="E306" s="4">
        <f>_xll.ciqfunctions.udf.CIQ(InputTicker, "IQ_AR_LT",Input!G$2,Date,,,Ccy,Conv)</f>
        <v>0</v>
      </c>
      <c r="F306" s="4">
        <f>_xll.ciqfunctions.udf.CIQ(InputTicker, "IQ_AR_LT",Input!H$2,Date,,,Ccy,Conv)</f>
        <v>0</v>
      </c>
      <c r="G306" s="4">
        <f>_xll.ciqfunctions.udf.CIQ(InputTicker, "IQ_AR_LT",Input!I$2,Date,,,Ccy,Conv)</f>
        <v>0</v>
      </c>
      <c r="H306" s="4">
        <f>_xll.ciqfunctions.udf.CIQ(InputTicker, "IQ_AR_LT",Input!J$2,Date,,,Ccy,Conv)</f>
        <v>0</v>
      </c>
      <c r="I306" s="4">
        <f>_xll.ciqfunctions.udf.CIQ(InputTicker, "IQ_AR_LT",Input!K$2,Date,,,Ccy,Conv)</f>
        <v>0</v>
      </c>
      <c r="J306" s="4">
        <f>_xll.ciqfunctions.udf.CIQ(InputTicker, "IQ_AR_LT",Input!L$2,Date,,,Ccy,Conv)</f>
        <v>0</v>
      </c>
      <c r="K306" s="4">
        <f>_xll.ciqfunctions.udf.CIQ(InputTicker, "IQ_AR_LT",Input!M$2,Date,,,Ccy,Conv)</f>
        <v>0</v>
      </c>
      <c r="L306" s="4">
        <f>_xll.ciqfunctions.udf.CIQ(InputTicker, "IQ_AR_LT",Input!N$2,Date,,,Ccy,Conv)</f>
        <v>0</v>
      </c>
      <c r="M306" s="4">
        <f>_xll.ciqfunctions.udf.CIQ(InputTicker, "IQ_AR_LT",Input!O$2,Date,,,Ccy,Conv)</f>
        <v>0</v>
      </c>
      <c r="N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  <c r="BN306" s="42"/>
    </row>
    <row r="307" spans="1:66" ht="12.75" customHeight="1" x14ac:dyDescent="0.2">
      <c r="A307" s="1" t="s">
        <v>132</v>
      </c>
      <c r="B307" s="4">
        <f>_xll.ciqfunctions.udf.CIQ(InputTicker, "IQ_LOANS_RECEIV_LT",Input!D$2,Date,,,Ccy,Conv)</f>
        <v>0</v>
      </c>
      <c r="C307" s="4">
        <f>_xll.ciqfunctions.udf.CIQ(InputTicker, "IQ_LOANS_RECEIV_LT",Input!E$2,Date,,,Ccy,Conv)</f>
        <v>0</v>
      </c>
      <c r="D307" s="4">
        <f>_xll.ciqfunctions.udf.CIQ(InputTicker, "IQ_LOANS_RECEIV_LT",Input!F$2,Date,,,Ccy,Conv)</f>
        <v>0</v>
      </c>
      <c r="E307" s="4">
        <f>_xll.ciqfunctions.udf.CIQ(InputTicker, "IQ_LOANS_RECEIV_LT",Input!G$2,Date,,,Ccy,Conv)</f>
        <v>0</v>
      </c>
      <c r="F307" s="4">
        <f>_xll.ciqfunctions.udf.CIQ(InputTicker, "IQ_LOANS_RECEIV_LT",Input!H$2,Date,,,Ccy,Conv)</f>
        <v>0</v>
      </c>
      <c r="G307" s="4">
        <f>_xll.ciqfunctions.udf.CIQ(InputTicker, "IQ_LOANS_RECEIV_LT",Input!I$2,Date,,,Ccy,Conv)</f>
        <v>0</v>
      </c>
      <c r="H307" s="4">
        <f>_xll.ciqfunctions.udf.CIQ(InputTicker, "IQ_LOANS_RECEIV_LT",Input!J$2,Date,,,Ccy,Conv)</f>
        <v>0</v>
      </c>
      <c r="I307" s="4">
        <f>_xll.ciqfunctions.udf.CIQ(InputTicker, "IQ_LOANS_RECEIV_LT",Input!K$2,Date,,,Ccy,Conv)</f>
        <v>0</v>
      </c>
      <c r="J307" s="4">
        <f>_xll.ciqfunctions.udf.CIQ(InputTicker, "IQ_LOANS_RECEIV_LT",Input!L$2,Date,,,Ccy,Conv)</f>
        <v>0</v>
      </c>
      <c r="K307" s="4">
        <f>_xll.ciqfunctions.udf.CIQ(InputTicker, "IQ_LOANS_RECEIV_LT",Input!M$2,Date,,,Ccy,Conv)</f>
        <v>0</v>
      </c>
      <c r="L307" s="4">
        <f>_xll.ciqfunctions.udf.CIQ(InputTicker, "IQ_LOANS_RECEIV_LT",Input!N$2,Date,,,Ccy,Conv)</f>
        <v>0</v>
      </c>
      <c r="M307" s="4">
        <f>_xll.ciqfunctions.udf.CIQ(InputTicker, "IQ_LOANS_RECEIV_LT",Input!O$2,Date,,,Ccy,Conv)</f>
        <v>0</v>
      </c>
      <c r="N307" s="42"/>
      <c r="S307" s="46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  <c r="BN307" s="42"/>
    </row>
    <row r="308" spans="1:66" ht="12.75" customHeight="1" x14ac:dyDescent="0.2">
      <c r="A308" s="1" t="s">
        <v>133</v>
      </c>
      <c r="B308" s="4">
        <f>_xll.ciqfunctions.udf.CIQ(InputTicker, "IQ_DEF_TAX_ASSETS_LT",Input!D$2,Date,,,Ccy,Conv)</f>
        <v>0</v>
      </c>
      <c r="C308" s="4">
        <f>_xll.ciqfunctions.udf.CIQ(InputTicker, "IQ_DEF_TAX_ASSETS_LT",Input!E$2,Date,,,Ccy,Conv)</f>
        <v>0</v>
      </c>
      <c r="D308" s="4">
        <f>_xll.ciqfunctions.udf.CIQ(InputTicker, "IQ_DEF_TAX_ASSETS_LT",Input!F$2,Date,,,Ccy,Conv)</f>
        <v>0</v>
      </c>
      <c r="E308" s="4">
        <f>_xll.ciqfunctions.udf.CIQ(InputTicker, "IQ_DEF_TAX_ASSETS_LT",Input!G$2,Date,,,Ccy,Conv)</f>
        <v>0</v>
      </c>
      <c r="F308" s="4">
        <f>_xll.ciqfunctions.udf.CIQ(InputTicker, "IQ_DEF_TAX_ASSETS_LT",Input!H$2,Date,,,Ccy,Conv)</f>
        <v>0</v>
      </c>
      <c r="G308" s="4">
        <f>_xll.ciqfunctions.udf.CIQ(InputTicker, "IQ_DEF_TAX_ASSETS_LT",Input!I$2,Date,,,Ccy,Conv)</f>
        <v>0</v>
      </c>
      <c r="H308" s="4">
        <f>_xll.ciqfunctions.udf.CIQ(InputTicker, "IQ_DEF_TAX_ASSETS_LT",Input!J$2,Date,,,Ccy,Conv)</f>
        <v>0</v>
      </c>
      <c r="I308" s="4">
        <f>_xll.ciqfunctions.udf.CIQ(InputTicker, "IQ_DEF_TAX_ASSETS_LT",Input!K$2,Date,,,Ccy,Conv)</f>
        <v>0</v>
      </c>
      <c r="J308" s="4">
        <f>_xll.ciqfunctions.udf.CIQ(InputTicker, "IQ_DEF_TAX_ASSETS_LT",Input!L$2,Date,,,Ccy,Conv)</f>
        <v>0</v>
      </c>
      <c r="K308" s="4">
        <f>_xll.ciqfunctions.udf.CIQ(InputTicker, "IQ_DEF_TAX_ASSETS_LT",Input!M$2,Date,,,Ccy,Conv)</f>
        <v>0</v>
      </c>
      <c r="L308" s="4">
        <f>_xll.ciqfunctions.udf.CIQ(InputTicker, "IQ_DEF_TAX_ASSETS_LT",Input!N$2,Date,,,Ccy,Conv)</f>
        <v>0</v>
      </c>
      <c r="M308" s="4">
        <f>_xll.ciqfunctions.udf.CIQ(InputTicker, "IQ_DEF_TAX_ASSETS_LT",Input!O$2,Date,,,Ccy,Conv)</f>
        <v>0</v>
      </c>
      <c r="N308" s="46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</row>
    <row r="309" spans="1:66" ht="12.75" customHeight="1" x14ac:dyDescent="0.2">
      <c r="A309" s="1" t="s">
        <v>180</v>
      </c>
      <c r="B309" s="4">
        <f>_xll.ciqfunctions.udf.CIQ(InputTicker, "IQ_DEF_CHARGES_LT",Input!D$2,Date,,,Ccy,Conv)</f>
        <v>0</v>
      </c>
      <c r="C309" s="4">
        <f>_xll.ciqfunctions.udf.CIQ(InputTicker, "IQ_DEF_CHARGES_LT",Input!E$2,Date,,,Ccy,Conv)</f>
        <v>0</v>
      </c>
      <c r="D309" s="4">
        <f>_xll.ciqfunctions.udf.CIQ(InputTicker, "IQ_DEF_CHARGES_LT",Input!F$2,Date,,,Ccy,Conv)</f>
        <v>0</v>
      </c>
      <c r="E309" s="4">
        <f>_xll.ciqfunctions.udf.CIQ(InputTicker, "IQ_DEF_CHARGES_LT",Input!G$2,Date,,,Ccy,Conv)</f>
        <v>0</v>
      </c>
      <c r="F309" s="4">
        <f>_xll.ciqfunctions.udf.CIQ(InputTicker, "IQ_DEF_CHARGES_LT",Input!H$2,Date,,,Ccy,Conv)</f>
        <v>0</v>
      </c>
      <c r="G309" s="4">
        <f>_xll.ciqfunctions.udf.CIQ(InputTicker, "IQ_DEF_CHARGES_LT",Input!I$2,Date,,,Ccy,Conv)</f>
        <v>0</v>
      </c>
      <c r="H309" s="4">
        <f>_xll.ciqfunctions.udf.CIQ(InputTicker, "IQ_DEF_CHARGES_LT",Input!J$2,Date,,,Ccy,Conv)</f>
        <v>0</v>
      </c>
      <c r="I309" s="4">
        <f>_xll.ciqfunctions.udf.CIQ(InputTicker, "IQ_DEF_CHARGES_LT",Input!K$2,Date,,,Ccy,Conv)</f>
        <v>0</v>
      </c>
      <c r="J309" s="4">
        <f>_xll.ciqfunctions.udf.CIQ(InputTicker, "IQ_DEF_CHARGES_LT",Input!L$2,Date,,,Ccy,Conv)</f>
        <v>0</v>
      </c>
      <c r="K309" s="4">
        <f>_xll.ciqfunctions.udf.CIQ(InputTicker, "IQ_DEF_CHARGES_LT",Input!M$2,Date,,,Ccy,Conv)</f>
        <v>0</v>
      </c>
      <c r="L309" s="4">
        <f>_xll.ciqfunctions.udf.CIQ(InputTicker, "IQ_DEF_CHARGES_LT",Input!N$2,Date,,,Ccy,Conv)</f>
        <v>0</v>
      </c>
      <c r="M309" s="4">
        <f>_xll.ciqfunctions.udf.CIQ(InputTicker, "IQ_DEF_CHARGES_LT",Input!O$2,Date,,,Ccy,Conv)</f>
        <v>0</v>
      </c>
      <c r="N309" s="42"/>
      <c r="S309" s="46"/>
      <c r="T309" s="46"/>
      <c r="U309" s="46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  <c r="BN309" s="42"/>
    </row>
    <row r="310" spans="1:66" ht="12.75" customHeight="1" x14ac:dyDescent="0.2">
      <c r="A310" s="1" t="s">
        <v>134</v>
      </c>
      <c r="B310" s="4">
        <f>_xll.ciqfunctions.udf.CIQ(InputTicker, "IQ_OTHER_LT_ASSETS",Input!D$2,Date,,,Ccy,Conv)</f>
        <v>5.0789999999999997</v>
      </c>
      <c r="C310" s="4">
        <f>_xll.ciqfunctions.udf.CIQ(InputTicker, "IQ_OTHER_LT_ASSETS",Input!E$2,Date,,,Ccy,Conv)</f>
        <v>8.2989999999999995</v>
      </c>
      <c r="D310" s="4">
        <f>_xll.ciqfunctions.udf.CIQ(InputTicker, "IQ_OTHER_LT_ASSETS",Input!F$2,Date,,,Ccy,Conv)</f>
        <v>3.2050000000000001</v>
      </c>
      <c r="E310" s="4">
        <f>_xll.ciqfunctions.udf.CIQ(InputTicker, "IQ_OTHER_LT_ASSETS",Input!G$2,Date,,,Ccy,Conv)</f>
        <v>2.0329999999999999</v>
      </c>
      <c r="F310" s="4">
        <f>_xll.ciqfunctions.udf.CIQ(InputTicker, "IQ_OTHER_LT_ASSETS",Input!H$2,Date,,,Ccy,Conv)</f>
        <v>1.7869999999999999</v>
      </c>
      <c r="G310" s="4">
        <f>_xll.ciqfunctions.udf.CIQ(InputTicker, "IQ_OTHER_LT_ASSETS",Input!I$2,Date,,,Ccy,Conv)</f>
        <v>2.6539999999999999</v>
      </c>
      <c r="H310" s="4">
        <f>_xll.ciqfunctions.udf.CIQ(InputTicker, "IQ_OTHER_LT_ASSETS",Input!J$2,Date,,,Ccy,Conv)</f>
        <v>6.7549999999999999</v>
      </c>
      <c r="I310" s="4">
        <f>_xll.ciqfunctions.udf.CIQ(InputTicker, "IQ_OTHER_LT_ASSETS",Input!K$2,Date,,,Ccy,Conv)</f>
        <v>10.708</v>
      </c>
      <c r="J310" s="4">
        <f>_xll.ciqfunctions.udf.CIQ(InputTicker, "IQ_OTHER_LT_ASSETS",Input!L$2,Date,,,Ccy,Conv)</f>
        <v>12.721</v>
      </c>
      <c r="K310" s="4">
        <f>_xll.ciqfunctions.udf.CIQ(InputTicker, "IQ_OTHER_LT_ASSETS",Input!M$2,Date,,,Ccy,Conv)</f>
        <v>27.891999999999999</v>
      </c>
      <c r="L310" s="4">
        <f>_xll.ciqfunctions.udf.CIQ(InputTicker, "IQ_OTHER_LT_ASSETS",Input!N$2,Date,,,Ccy,Conv)</f>
        <v>37.503999999999998</v>
      </c>
      <c r="M310" s="4">
        <f>_xll.ciqfunctions.udf.CIQ(InputTicker, "IQ_OTHER_LT_ASSETS",Input!O$2,Date,,,Ccy,Conv)</f>
        <v>37.503999999999998</v>
      </c>
      <c r="N310" s="42"/>
      <c r="P310" s="46"/>
      <c r="Q310" s="46"/>
      <c r="R310" s="46"/>
      <c r="T310" s="42"/>
      <c r="U310" s="42"/>
      <c r="V310" s="46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</row>
    <row r="311" spans="1:66" ht="12.75" customHeight="1" thickBot="1" x14ac:dyDescent="0.25">
      <c r="A311" s="5" t="s">
        <v>267</v>
      </c>
      <c r="B311" s="9">
        <f>_xll.ciqfunctions.udf.CIQ(InputTicker, "IQ_TOTAL_ASSETS",Input!D$2,Date,,,Ccy,Conv)</f>
        <v>1111.7650000000001</v>
      </c>
      <c r="C311" s="9">
        <f>_xll.ciqfunctions.udf.CIQ(InputTicker, "IQ_TOTAL_ASSETS",Input!E$2,Date,,,Ccy,Conv)</f>
        <v>1033.0940000000001</v>
      </c>
      <c r="D311" s="9">
        <f>_xll.ciqfunctions.udf.CIQ(InputTicker, "IQ_TOTAL_ASSETS",Input!F$2,Date,,,Ccy,Conv)</f>
        <v>1150.4469999999999</v>
      </c>
      <c r="E311" s="9">
        <f>_xll.ciqfunctions.udf.CIQ(InputTicker, "IQ_TOTAL_ASSETS",Input!G$2,Date,,,Ccy,Conv)</f>
        <v>1156.278</v>
      </c>
      <c r="F311" s="9">
        <f>_xll.ciqfunctions.udf.CIQ(InputTicker, "IQ_TOTAL_ASSETS",Input!H$2,Date,,,Ccy,Conv)</f>
        <v>1206.694</v>
      </c>
      <c r="G311" s="9">
        <f>_xll.ciqfunctions.udf.CIQ(InputTicker, "IQ_TOTAL_ASSETS",Input!I$2,Date,,,Ccy,Conv)</f>
        <v>1229.174</v>
      </c>
      <c r="H311" s="9">
        <f>_xll.ciqfunctions.udf.CIQ(InputTicker, "IQ_TOTAL_ASSETS",Input!J$2,Date,,,Ccy,Conv)</f>
        <v>1427.489</v>
      </c>
      <c r="I311" s="9">
        <f>_xll.ciqfunctions.udf.CIQ(InputTicker, "IQ_TOTAL_ASSETS",Input!K$2,Date,,,Ccy,Conv)</f>
        <v>1954.5250000000001</v>
      </c>
      <c r="J311" s="9">
        <f>_xll.ciqfunctions.udf.CIQ(InputTicker, "IQ_TOTAL_ASSETS",Input!L$2,Date,,,Ccy,Conv)</f>
        <v>2184.761</v>
      </c>
      <c r="K311" s="9">
        <f>_xll.ciqfunctions.udf.CIQ(InputTicker, "IQ_TOTAL_ASSETS",Input!M$2,Date,,,Ccy,Conv)</f>
        <v>3084.6190000000001</v>
      </c>
      <c r="L311" s="9">
        <f>_xll.ciqfunctions.udf.CIQ(InputTicker, "IQ_TOTAL_ASSETS",Input!N$2,Date,,,Ccy,Conv)</f>
        <v>3107.57</v>
      </c>
      <c r="M311" s="9">
        <f>_xll.ciqfunctions.udf.CIQ(InputTicker, "IQ_TOTAL_ASSETS",Input!O$2,Date,,,Ccy,Conv)</f>
        <v>3107.57</v>
      </c>
      <c r="N311" s="42"/>
      <c r="T311" s="46"/>
      <c r="U311" s="46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  <c r="BM311" s="42"/>
      <c r="BN311" s="42"/>
    </row>
    <row r="312" spans="1:66" ht="12.75" customHeight="1" thickTop="1" x14ac:dyDescent="0.2">
      <c r="A312" s="1" t="s">
        <v>50</v>
      </c>
      <c r="B312" s="4">
        <f>_xll.ciqfunctions.udf.CIQ(InputTicker, "IQ_AP",Input!D$2,Date,,,Ccy,Conv)</f>
        <v>36.262</v>
      </c>
      <c r="C312" s="4">
        <f>_xll.ciqfunctions.udf.CIQ(InputTicker, "IQ_AP",Input!E$2,Date,,,Ccy,Conv)</f>
        <v>30.629000000000001</v>
      </c>
      <c r="D312" s="4">
        <f>_xll.ciqfunctions.udf.CIQ(InputTicker, "IQ_AP",Input!F$2,Date,,,Ccy,Conv)</f>
        <v>37.840000000000003</v>
      </c>
      <c r="E312" s="4">
        <f>_xll.ciqfunctions.udf.CIQ(InputTicker, "IQ_AP",Input!G$2,Date,,,Ccy,Conv)</f>
        <v>39.21</v>
      </c>
      <c r="F312" s="4">
        <f>_xll.ciqfunctions.udf.CIQ(InputTicker, "IQ_AP",Input!H$2,Date,,,Ccy,Conv)</f>
        <v>55.904000000000003</v>
      </c>
      <c r="G312" s="4">
        <f>_xll.ciqfunctions.udf.CIQ(InputTicker, "IQ_AP",Input!I$2,Date,,,Ccy,Conv)</f>
        <v>52.783999999999999</v>
      </c>
      <c r="H312" s="4">
        <f>_xll.ciqfunctions.udf.CIQ(InputTicker, "IQ_AP",Input!J$2,Date,,,Ccy,Conv)</f>
        <v>82.049000000000007</v>
      </c>
      <c r="I312" s="4">
        <f>_xll.ciqfunctions.udf.CIQ(InputTicker, "IQ_AP",Input!K$2,Date,,,Ccy,Conv)</f>
        <v>82.59</v>
      </c>
      <c r="J312" s="4">
        <f>_xll.ciqfunctions.udf.CIQ(InputTicker, "IQ_AP",Input!L$2,Date,,,Ccy,Conv)</f>
        <v>75.861999999999995</v>
      </c>
      <c r="K312" s="4">
        <f>_xll.ciqfunctions.udf.CIQ(InputTicker, "IQ_AP",Input!M$2,Date,,,Ccy,Conv)</f>
        <v>101.033</v>
      </c>
      <c r="L312" s="4">
        <f>_xll.ciqfunctions.udf.CIQ(InputTicker, "IQ_AP",Input!N$2,Date,,,Ccy,Conv)</f>
        <v>96.105999999999995</v>
      </c>
      <c r="M312" s="4">
        <f>_xll.ciqfunctions.udf.CIQ(InputTicker, "IQ_AP",Input!O$2,Date,,,Ccy,Conv)</f>
        <v>96.105999999999995</v>
      </c>
      <c r="N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  <c r="BN312" s="42"/>
    </row>
    <row r="313" spans="1:66" ht="12.75" customHeight="1" x14ac:dyDescent="0.2">
      <c r="A313" s="1" t="s">
        <v>96</v>
      </c>
      <c r="B313" s="4">
        <f>_xll.ciqfunctions.udf.CIQ(InputTicker, "IQ_AE",Input!D$2,Date,,,Ccy,Conv)</f>
        <v>30.869</v>
      </c>
      <c r="C313" s="4">
        <f>_xll.ciqfunctions.udf.CIQ(InputTicker, "IQ_AE",Input!E$2,Date,,,Ccy,Conv)</f>
        <v>29.224</v>
      </c>
      <c r="D313" s="4">
        <f>_xll.ciqfunctions.udf.CIQ(InputTicker, "IQ_AE",Input!F$2,Date,,,Ccy,Conv)</f>
        <v>31.922999999999998</v>
      </c>
      <c r="E313" s="4">
        <f>_xll.ciqfunctions.udf.CIQ(InputTicker, "IQ_AE",Input!G$2,Date,,,Ccy,Conv)</f>
        <v>34.000999999999998</v>
      </c>
      <c r="F313" s="4">
        <f>_xll.ciqfunctions.udf.CIQ(InputTicker, "IQ_AE",Input!H$2,Date,,,Ccy,Conv)</f>
        <v>36.277999999999999</v>
      </c>
      <c r="G313" s="4">
        <f>_xll.ciqfunctions.udf.CIQ(InputTicker, "IQ_AE",Input!I$2,Date,,,Ccy,Conv)</f>
        <v>36.406999999999996</v>
      </c>
      <c r="H313" s="4">
        <f>_xll.ciqfunctions.udf.CIQ(InputTicker, "IQ_AE",Input!J$2,Date,,,Ccy,Conv)</f>
        <v>40.281999999999996</v>
      </c>
      <c r="I313" s="4">
        <f>_xll.ciqfunctions.udf.CIQ(InputTicker, "IQ_AE",Input!K$2,Date,,,Ccy,Conv)</f>
        <v>54.722999999999999</v>
      </c>
      <c r="J313" s="4">
        <f>_xll.ciqfunctions.udf.CIQ(InputTicker, "IQ_AE",Input!L$2,Date,,,Ccy,Conv)</f>
        <v>70.772999999999996</v>
      </c>
      <c r="K313" s="4">
        <f>_xll.ciqfunctions.udf.CIQ(InputTicker, "IQ_AE",Input!M$2,Date,,,Ccy,Conv)</f>
        <v>93.174999999999997</v>
      </c>
      <c r="L313" s="4">
        <f>_xll.ciqfunctions.udf.CIQ(InputTicker, "IQ_AE",Input!N$2,Date,,,Ccy,Conv)</f>
        <v>109.41</v>
      </c>
      <c r="M313" s="4">
        <f>_xll.ciqfunctions.udf.CIQ(InputTicker, "IQ_AE",Input!O$2,Date,,,Ccy,Conv)</f>
        <v>109.41</v>
      </c>
      <c r="N313" s="42"/>
      <c r="T313" s="17"/>
      <c r="U313" s="17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</row>
    <row r="314" spans="1:66" ht="12.75" customHeight="1" x14ac:dyDescent="0.2">
      <c r="A314" s="1" t="s">
        <v>181</v>
      </c>
      <c r="B314" s="4">
        <f>_xll.ciqfunctions.udf.CIQ(InputTicker, "IQ_ST_DEBT",Input!D$2,Date,,,Ccy,Conv)</f>
        <v>0</v>
      </c>
      <c r="C314" s="4">
        <f>_xll.ciqfunctions.udf.CIQ(InputTicker, "IQ_ST_DEBT",Input!E$2,Date,,,Ccy,Conv)</f>
        <v>0</v>
      </c>
      <c r="D314" s="4">
        <f>_xll.ciqfunctions.udf.CIQ(InputTicker, "IQ_ST_DEBT",Input!F$2,Date,,,Ccy,Conv)</f>
        <v>0</v>
      </c>
      <c r="E314" s="4">
        <f>_xll.ciqfunctions.udf.CIQ(InputTicker, "IQ_ST_DEBT",Input!G$2,Date,,,Ccy,Conv)</f>
        <v>0</v>
      </c>
      <c r="F314" s="4">
        <f>_xll.ciqfunctions.udf.CIQ(InputTicker, "IQ_ST_DEBT",Input!H$2,Date,,,Ccy,Conv)</f>
        <v>0</v>
      </c>
      <c r="G314" s="4">
        <f>_xll.ciqfunctions.udf.CIQ(InputTicker, "IQ_ST_DEBT",Input!I$2,Date,,,Ccy,Conv)</f>
        <v>0</v>
      </c>
      <c r="H314" s="4">
        <f>_xll.ciqfunctions.udf.CIQ(InputTicker, "IQ_ST_DEBT",Input!J$2,Date,,,Ccy,Conv)</f>
        <v>0</v>
      </c>
      <c r="I314" s="4">
        <f>_xll.ciqfunctions.udf.CIQ(InputTicker, "IQ_ST_DEBT",Input!K$2,Date,,,Ccy,Conv)</f>
        <v>0</v>
      </c>
      <c r="J314" s="4">
        <f>_xll.ciqfunctions.udf.CIQ(InputTicker, "IQ_ST_DEBT",Input!L$2,Date,,,Ccy,Conv)</f>
        <v>0</v>
      </c>
      <c r="K314" s="4">
        <f>_xll.ciqfunctions.udf.CIQ(InputTicker, "IQ_ST_DEBT",Input!M$2,Date,,,Ccy,Conv)</f>
        <v>0</v>
      </c>
      <c r="L314" s="4">
        <f>_xll.ciqfunctions.udf.CIQ(InputTicker, "IQ_ST_DEBT",Input!N$2,Date,,,Ccy,Conv)</f>
        <v>0</v>
      </c>
      <c r="M314" s="4">
        <f>_xll.ciqfunctions.udf.CIQ(InputTicker, "IQ_ST_DEBT",Input!O$2,Date,,,Ccy,Conv)</f>
        <v>0</v>
      </c>
      <c r="N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  <c r="BN314" s="42"/>
    </row>
    <row r="315" spans="1:66" ht="12.75" customHeight="1" x14ac:dyDescent="0.2">
      <c r="A315" s="1" t="s">
        <v>182</v>
      </c>
      <c r="B315" s="4">
        <f>_xll.ciqfunctions.udf.CIQ(InputTicker, "IQ_CURRENT_PORT_DEBT",Input!D$2,Date,,,Ccy,Conv)</f>
        <v>16.32</v>
      </c>
      <c r="C315" s="4">
        <f>_xll.ciqfunctions.udf.CIQ(InputTicker, "IQ_CURRENT_PORT_DEBT",Input!E$2,Date,,,Ccy,Conv)</f>
        <v>4.8259999999999996</v>
      </c>
      <c r="D315" s="4">
        <f>_xll.ciqfunctions.udf.CIQ(InputTicker, "IQ_CURRENT_PORT_DEBT",Input!F$2,Date,,,Ccy,Conv)</f>
        <v>3.536</v>
      </c>
      <c r="E315" s="4">
        <f>_xll.ciqfunctions.udf.CIQ(InputTicker, "IQ_CURRENT_PORT_DEBT",Input!G$2,Date,,,Ccy,Conv)</f>
        <v>1.5</v>
      </c>
      <c r="F315" s="4">
        <f>_xll.ciqfunctions.udf.CIQ(InputTicker, "IQ_CURRENT_PORT_DEBT",Input!H$2,Date,,,Ccy,Conv)</f>
        <v>0</v>
      </c>
      <c r="G315" s="4">
        <f>_xll.ciqfunctions.udf.CIQ(InputTicker, "IQ_CURRENT_PORT_DEBT",Input!I$2,Date,,,Ccy,Conv)</f>
        <v>0</v>
      </c>
      <c r="H315" s="4">
        <f>_xll.ciqfunctions.udf.CIQ(InputTicker, "IQ_CURRENT_PORT_DEBT",Input!J$2,Date,,,Ccy,Conv)</f>
        <v>0</v>
      </c>
      <c r="I315" s="4">
        <f>_xll.ciqfunctions.udf.CIQ(InputTicker, "IQ_CURRENT_PORT_DEBT",Input!K$2,Date,,,Ccy,Conv)</f>
        <v>0</v>
      </c>
      <c r="J315" s="4">
        <f>_xll.ciqfunctions.udf.CIQ(InputTicker, "IQ_CURRENT_PORT_DEBT",Input!L$2,Date,,,Ccy,Conv)</f>
        <v>0</v>
      </c>
      <c r="K315" s="4">
        <f>_xll.ciqfunctions.udf.CIQ(InputTicker, "IQ_CURRENT_PORT_DEBT",Input!M$2,Date,,,Ccy,Conv)</f>
        <v>0</v>
      </c>
      <c r="L315" s="4">
        <f>_xll.ciqfunctions.udf.CIQ(InputTicker, "IQ_CURRENT_PORT_DEBT",Input!N$2,Date,,,Ccy,Conv)</f>
        <v>0</v>
      </c>
      <c r="M315" s="4">
        <f>_xll.ciqfunctions.udf.CIQ(InputTicker, "IQ_CURRENT_PORT_DEBT",Input!O$2,Date,,,Ccy,Conv)</f>
        <v>0</v>
      </c>
      <c r="N315" s="42"/>
      <c r="T315" s="46"/>
      <c r="U315" s="46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  <c r="BM315" s="42"/>
      <c r="BN315" s="42"/>
    </row>
    <row r="316" spans="1:66" ht="12.75" customHeight="1" x14ac:dyDescent="0.2">
      <c r="A316" s="1" t="s">
        <v>471</v>
      </c>
      <c r="B316" s="4">
        <f>_xll.ciqfunctions.udf.CIQ(InputTicker, "IQ_CURRENT_PORT_LEASES",Input!D$2,Date,,,Ccy,Conv)</f>
        <v>0</v>
      </c>
      <c r="C316" s="4">
        <f>_xll.ciqfunctions.udf.CIQ(InputTicker, "IQ_CURRENT_PORT_LEASES",Input!E$2,Date,,,Ccy,Conv)</f>
        <v>0</v>
      </c>
      <c r="D316" s="4">
        <f>_xll.ciqfunctions.udf.CIQ(InputTicker, "IQ_CURRENT_PORT_LEASES",Input!F$2,Date,,,Ccy,Conv)</f>
        <v>0</v>
      </c>
      <c r="E316" s="4">
        <f>_xll.ciqfunctions.udf.CIQ(InputTicker, "IQ_CURRENT_PORT_LEASES",Input!G$2,Date,,,Ccy,Conv)</f>
        <v>0.19600000000000001</v>
      </c>
      <c r="F316" s="4">
        <f>_xll.ciqfunctions.udf.CIQ(InputTicker, "IQ_CURRENT_PORT_LEASES",Input!H$2,Date,,,Ccy,Conv)</f>
        <v>1.0009999999999999</v>
      </c>
      <c r="G316" s="4">
        <f>_xll.ciqfunctions.udf.CIQ(InputTicker, "IQ_CURRENT_PORT_LEASES",Input!I$2,Date,,,Ccy,Conv)</f>
        <v>0.90600000000000003</v>
      </c>
      <c r="H316" s="4">
        <f>_xll.ciqfunctions.udf.CIQ(InputTicker, "IQ_CURRENT_PORT_LEASES",Input!J$2,Date,,,Ccy,Conv)</f>
        <v>0</v>
      </c>
      <c r="I316" s="4">
        <f>_xll.ciqfunctions.udf.CIQ(InputTicker, "IQ_CURRENT_PORT_LEASES",Input!K$2,Date,,,Ccy,Conv)</f>
        <v>0</v>
      </c>
      <c r="J316" s="4">
        <f>_xll.ciqfunctions.udf.CIQ(InputTicker, "IQ_CURRENT_PORT_LEASES",Input!L$2,Date,,,Ccy,Conv)</f>
        <v>0</v>
      </c>
      <c r="K316" s="4">
        <f>_xll.ciqfunctions.udf.CIQ(InputTicker, "IQ_CURRENT_PORT_LEASES",Input!M$2,Date,,,Ccy,Conv)</f>
        <v>0</v>
      </c>
      <c r="L316" s="4">
        <f>_xll.ciqfunctions.udf.CIQ(InputTicker, "IQ_CURRENT_PORT_LEASES",Input!N$2,Date,,,Ccy,Conv)</f>
        <v>0</v>
      </c>
      <c r="M316" s="4">
        <f>_xll.ciqfunctions.udf.CIQ(InputTicker, "IQ_CURRENT_PORT_LEASES",Input!O$2,Date,,,Ccy,Conv)</f>
        <v>0</v>
      </c>
      <c r="N316" s="42"/>
      <c r="S316" s="46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  <c r="BN316" s="42"/>
    </row>
    <row r="317" spans="1:66" ht="12.75" customHeight="1" x14ac:dyDescent="0.2">
      <c r="A317" s="1" t="s">
        <v>183</v>
      </c>
      <c r="B317" s="4">
        <f>_xll.ciqfunctions.udf.CIQ(InputTicker, "IQ_FIN_DIV_DEBT_CURRENT",Input!D$2,Date,,,Ccy,Conv)</f>
        <v>0</v>
      </c>
      <c r="C317" s="4">
        <f>_xll.ciqfunctions.udf.CIQ(InputTicker, "IQ_FIN_DIV_DEBT_CURRENT",Input!E$2,Date,,,Ccy,Conv)</f>
        <v>0</v>
      </c>
      <c r="D317" s="4">
        <f>_xll.ciqfunctions.udf.CIQ(InputTicker, "IQ_FIN_DIV_DEBT_CURRENT",Input!F$2,Date,,,Ccy,Conv)</f>
        <v>0</v>
      </c>
      <c r="E317" s="4">
        <f>_xll.ciqfunctions.udf.CIQ(InputTicker, "IQ_FIN_DIV_DEBT_CURRENT",Input!G$2,Date,,,Ccy,Conv)</f>
        <v>0</v>
      </c>
      <c r="F317" s="4">
        <f>_xll.ciqfunctions.udf.CIQ(InputTicker, "IQ_FIN_DIV_DEBT_CURRENT",Input!H$2,Date,,,Ccy,Conv)</f>
        <v>0</v>
      </c>
      <c r="G317" s="4">
        <f>_xll.ciqfunctions.udf.CIQ(InputTicker, "IQ_FIN_DIV_DEBT_CURRENT",Input!I$2,Date,,,Ccy,Conv)</f>
        <v>0</v>
      </c>
      <c r="H317" s="4">
        <f>_xll.ciqfunctions.udf.CIQ(InputTicker, "IQ_FIN_DIV_DEBT_CURRENT",Input!J$2,Date,,,Ccy,Conv)</f>
        <v>0</v>
      </c>
      <c r="I317" s="4">
        <f>_xll.ciqfunctions.udf.CIQ(InputTicker, "IQ_FIN_DIV_DEBT_CURRENT",Input!K$2,Date,,,Ccy,Conv)</f>
        <v>0</v>
      </c>
      <c r="J317" s="4">
        <f>_xll.ciqfunctions.udf.CIQ(InputTicker, "IQ_FIN_DIV_DEBT_CURRENT",Input!L$2,Date,,,Ccy,Conv)</f>
        <v>0</v>
      </c>
      <c r="K317" s="4">
        <f>_xll.ciqfunctions.udf.CIQ(InputTicker, "IQ_FIN_DIV_DEBT_CURRENT",Input!M$2,Date,,,Ccy,Conv)</f>
        <v>0</v>
      </c>
      <c r="L317" s="4">
        <f>_xll.ciqfunctions.udf.CIQ(InputTicker, "IQ_FIN_DIV_DEBT_CURRENT",Input!N$2,Date,,,Ccy,Conv)</f>
        <v>0</v>
      </c>
      <c r="M317" s="4">
        <f>_xll.ciqfunctions.udf.CIQ(InputTicker, "IQ_FIN_DIV_DEBT_CURRENT",Input!O$2,Date,,,Ccy,Conv)</f>
        <v>0</v>
      </c>
      <c r="N317" s="46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  <c r="BM317" s="42"/>
      <c r="BN317" s="42"/>
    </row>
    <row r="318" spans="1:66" ht="12.75" customHeight="1" x14ac:dyDescent="0.2">
      <c r="A318" s="1" t="s">
        <v>184</v>
      </c>
      <c r="B318" s="4">
        <f>_xll.ciqfunctions.udf.CIQ(InputTicker, "IQ_FIN_DIV_LIAB_CURRENT",Input!D$2,Date,,,Ccy,Conv)</f>
        <v>0</v>
      </c>
      <c r="C318" s="4">
        <f>_xll.ciqfunctions.udf.CIQ(InputTicker, "IQ_FIN_DIV_LIAB_CURRENT",Input!E$2,Date,,,Ccy,Conv)</f>
        <v>0</v>
      </c>
      <c r="D318" s="4">
        <f>_xll.ciqfunctions.udf.CIQ(InputTicker, "IQ_FIN_DIV_LIAB_CURRENT",Input!F$2,Date,,,Ccy,Conv)</f>
        <v>0</v>
      </c>
      <c r="E318" s="4">
        <f>_xll.ciqfunctions.udf.CIQ(InputTicker, "IQ_FIN_DIV_LIAB_CURRENT",Input!G$2,Date,,,Ccy,Conv)</f>
        <v>0</v>
      </c>
      <c r="F318" s="4">
        <f>_xll.ciqfunctions.udf.CIQ(InputTicker, "IQ_FIN_DIV_LIAB_CURRENT",Input!H$2,Date,,,Ccy,Conv)</f>
        <v>0</v>
      </c>
      <c r="G318" s="4">
        <f>_xll.ciqfunctions.udf.CIQ(InputTicker, "IQ_FIN_DIV_LIAB_CURRENT",Input!I$2,Date,,,Ccy,Conv)</f>
        <v>0</v>
      </c>
      <c r="H318" s="4">
        <f>_xll.ciqfunctions.udf.CIQ(InputTicker, "IQ_FIN_DIV_LIAB_CURRENT",Input!J$2,Date,,,Ccy,Conv)</f>
        <v>0</v>
      </c>
      <c r="I318" s="4">
        <f>_xll.ciqfunctions.udf.CIQ(InputTicker, "IQ_FIN_DIV_LIAB_CURRENT",Input!K$2,Date,,,Ccy,Conv)</f>
        <v>0</v>
      </c>
      <c r="J318" s="4">
        <f>_xll.ciqfunctions.udf.CIQ(InputTicker, "IQ_FIN_DIV_LIAB_CURRENT",Input!L$2,Date,,,Ccy,Conv)</f>
        <v>0</v>
      </c>
      <c r="K318" s="4">
        <f>_xll.ciqfunctions.udf.CIQ(InputTicker, "IQ_FIN_DIV_LIAB_CURRENT",Input!M$2,Date,,,Ccy,Conv)</f>
        <v>0</v>
      </c>
      <c r="L318" s="4">
        <f>_xll.ciqfunctions.udf.CIQ(InputTicker, "IQ_FIN_DIV_LIAB_CURRENT",Input!N$2,Date,,,Ccy,Conv)</f>
        <v>0</v>
      </c>
      <c r="M318" s="4">
        <f>_xll.ciqfunctions.udf.CIQ(InputTicker, "IQ_FIN_DIV_LIAB_CURRENT",Input!O$2,Date,,,Ccy,Conv)</f>
        <v>0</v>
      </c>
      <c r="N318" s="42"/>
      <c r="S318" s="46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  <c r="BN318" s="42"/>
    </row>
    <row r="319" spans="1:66" ht="12.75" customHeight="1" x14ac:dyDescent="0.2">
      <c r="A319" s="1" t="s">
        <v>185</v>
      </c>
      <c r="B319" s="4">
        <f>_xll.ciqfunctions.udf.CIQ(InputTicker, "IQ_INC_TAX_PAY_CURRENT",Input!D$2,Date,,,Ccy,Conv)</f>
        <v>0</v>
      </c>
      <c r="C319" s="4">
        <f>_xll.ciqfunctions.udf.CIQ(InputTicker, "IQ_INC_TAX_PAY_CURRENT",Input!E$2,Date,,,Ccy,Conv)</f>
        <v>0</v>
      </c>
      <c r="D319" s="4">
        <f>_xll.ciqfunctions.udf.CIQ(InputTicker, "IQ_INC_TAX_PAY_CURRENT",Input!F$2,Date,,,Ccy,Conv)</f>
        <v>17.446000000000002</v>
      </c>
      <c r="E319" s="4">
        <f>_xll.ciqfunctions.udf.CIQ(InputTicker, "IQ_INC_TAX_PAY_CURRENT",Input!G$2,Date,,,Ccy,Conv)</f>
        <v>0</v>
      </c>
      <c r="F319" s="4">
        <f>_xll.ciqfunctions.udf.CIQ(InputTicker, "IQ_INC_TAX_PAY_CURRENT",Input!H$2,Date,,,Ccy,Conv)</f>
        <v>0</v>
      </c>
      <c r="G319" s="4">
        <f>_xll.ciqfunctions.udf.CIQ(InputTicker, "IQ_INC_TAX_PAY_CURRENT",Input!I$2,Date,,,Ccy,Conv)</f>
        <v>0</v>
      </c>
      <c r="H319" s="4">
        <f>_xll.ciqfunctions.udf.CIQ(InputTicker, "IQ_INC_TAX_PAY_CURRENT",Input!J$2,Date,,,Ccy,Conv)</f>
        <v>25.687000000000001</v>
      </c>
      <c r="I319" s="4">
        <f>_xll.ciqfunctions.udf.CIQ(InputTicker, "IQ_INC_TAX_PAY_CURRENT",Input!K$2,Date,,,Ccy,Conv)</f>
        <v>8.2880000000000003</v>
      </c>
      <c r="J319" s="4">
        <f>_xll.ciqfunctions.udf.CIQ(InputTicker, "IQ_INC_TAX_PAY_CURRENT",Input!L$2,Date,,,Ccy,Conv)</f>
        <v>43.347999999999999</v>
      </c>
      <c r="K319" s="4">
        <f>_xll.ciqfunctions.udf.CIQ(InputTicker, "IQ_INC_TAX_PAY_CURRENT",Input!M$2,Date,,,Ccy,Conv)</f>
        <v>0</v>
      </c>
      <c r="L319" s="4">
        <f>_xll.ciqfunctions.udf.CIQ(InputTicker, "IQ_INC_TAX_PAY_CURRENT",Input!N$2,Date,,,Ccy,Conv)</f>
        <v>0</v>
      </c>
      <c r="M319" s="4">
        <f>_xll.ciqfunctions.udf.CIQ(InputTicker, "IQ_INC_TAX_PAY_CURRENT",Input!O$2,Date,,,Ccy,Conv)</f>
        <v>0</v>
      </c>
      <c r="N319" s="46"/>
      <c r="P319" s="46"/>
      <c r="Q319" s="46"/>
      <c r="R319" s="46"/>
      <c r="T319" s="42"/>
      <c r="U319" s="42"/>
      <c r="V319" s="46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  <c r="BN319" s="42"/>
    </row>
    <row r="320" spans="1:66" ht="12.75" customHeight="1" x14ac:dyDescent="0.2">
      <c r="A320" s="1" t="s">
        <v>135</v>
      </c>
      <c r="B320" s="4">
        <f>_xll.ciqfunctions.udf.CIQ(InputTicker, "IQ_UNEARN_REV_CURRENT",Input!D$2,Date,,,Ccy,Conv)</f>
        <v>0</v>
      </c>
      <c r="C320" s="4">
        <f>_xll.ciqfunctions.udf.CIQ(InputTicker, "IQ_UNEARN_REV_CURRENT",Input!E$2,Date,,,Ccy,Conv)</f>
        <v>0</v>
      </c>
      <c r="D320" s="4">
        <f>_xll.ciqfunctions.udf.CIQ(InputTicker, "IQ_UNEARN_REV_CURRENT",Input!F$2,Date,,,Ccy,Conv)</f>
        <v>0</v>
      </c>
      <c r="E320" s="4">
        <f>_xll.ciqfunctions.udf.CIQ(InputTicker, "IQ_UNEARN_REV_CURRENT",Input!G$2,Date,,,Ccy,Conv)</f>
        <v>0</v>
      </c>
      <c r="F320" s="4">
        <f>_xll.ciqfunctions.udf.CIQ(InputTicker, "IQ_UNEARN_REV_CURRENT",Input!H$2,Date,,,Ccy,Conv)</f>
        <v>0</v>
      </c>
      <c r="G320" s="4">
        <f>_xll.ciqfunctions.udf.CIQ(InputTicker, "IQ_UNEARN_REV_CURRENT",Input!I$2,Date,,,Ccy,Conv)</f>
        <v>0</v>
      </c>
      <c r="H320" s="4">
        <f>_xll.ciqfunctions.udf.CIQ(InputTicker, "IQ_UNEARN_REV_CURRENT",Input!J$2,Date,,,Ccy,Conv)</f>
        <v>0</v>
      </c>
      <c r="I320" s="4">
        <f>_xll.ciqfunctions.udf.CIQ(InputTicker, "IQ_UNEARN_REV_CURRENT",Input!K$2,Date,,,Ccy,Conv)</f>
        <v>0</v>
      </c>
      <c r="J320" s="4">
        <f>_xll.ciqfunctions.udf.CIQ(InputTicker, "IQ_UNEARN_REV_CURRENT",Input!L$2,Date,,,Ccy,Conv)</f>
        <v>0</v>
      </c>
      <c r="K320" s="4">
        <f>_xll.ciqfunctions.udf.CIQ(InputTicker, "IQ_UNEARN_REV_CURRENT",Input!M$2,Date,,,Ccy,Conv)</f>
        <v>0</v>
      </c>
      <c r="L320" s="4">
        <f>_xll.ciqfunctions.udf.CIQ(InputTicker, "IQ_UNEARN_REV_CURRENT",Input!N$2,Date,,,Ccy,Conv)</f>
        <v>0</v>
      </c>
      <c r="M320" s="4">
        <f>_xll.ciqfunctions.udf.CIQ(InputTicker, "IQ_UNEARN_REV_CURRENT",Input!O$2,Date,,,Ccy,Conv)</f>
        <v>0</v>
      </c>
      <c r="N320" s="42"/>
      <c r="T320" s="46"/>
      <c r="U320" s="46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  <c r="BN320" s="42"/>
    </row>
    <row r="321" spans="1:66" ht="12.75" customHeight="1" x14ac:dyDescent="0.2">
      <c r="A321" s="1" t="s">
        <v>186</v>
      </c>
      <c r="B321" s="4">
        <f>_xll.ciqfunctions.udf.CIQ(InputTicker, "IQ_DEF_TAX_LIAB_CURRENT",Input!D$2,Date,,,Ccy,Conv)</f>
        <v>0</v>
      </c>
      <c r="C321" s="4">
        <f>_xll.ciqfunctions.udf.CIQ(InputTicker, "IQ_DEF_TAX_LIAB_CURRENT",Input!E$2,Date,,,Ccy,Conv)</f>
        <v>0</v>
      </c>
      <c r="D321" s="4">
        <f>_xll.ciqfunctions.udf.CIQ(InputTicker, "IQ_DEF_TAX_LIAB_CURRENT",Input!F$2,Date,,,Ccy,Conv)</f>
        <v>0</v>
      </c>
      <c r="E321" s="4">
        <f>_xll.ciqfunctions.udf.CIQ(InputTicker, "IQ_DEF_TAX_LIAB_CURRENT",Input!G$2,Date,,,Ccy,Conv)</f>
        <v>0</v>
      </c>
      <c r="F321" s="4">
        <f>_xll.ciqfunctions.udf.CIQ(InputTicker, "IQ_DEF_TAX_LIAB_CURRENT",Input!H$2,Date,,,Ccy,Conv)</f>
        <v>0</v>
      </c>
      <c r="G321" s="4">
        <f>_xll.ciqfunctions.udf.CIQ(InputTicker, "IQ_DEF_TAX_LIAB_CURRENT",Input!I$2,Date,,,Ccy,Conv)</f>
        <v>0</v>
      </c>
      <c r="H321" s="4">
        <f>_xll.ciqfunctions.udf.CIQ(InputTicker, "IQ_DEF_TAX_LIAB_CURRENT",Input!J$2,Date,,,Ccy,Conv)</f>
        <v>0</v>
      </c>
      <c r="I321" s="4">
        <f>_xll.ciqfunctions.udf.CIQ(InputTicker, "IQ_DEF_TAX_LIAB_CURRENT",Input!K$2,Date,,,Ccy,Conv)</f>
        <v>0</v>
      </c>
      <c r="J321" s="4">
        <f>_xll.ciqfunctions.udf.CIQ(InputTicker, "IQ_DEF_TAX_LIAB_CURRENT",Input!L$2,Date,,,Ccy,Conv)</f>
        <v>0</v>
      </c>
      <c r="K321" s="4">
        <f>_xll.ciqfunctions.udf.CIQ(InputTicker, "IQ_DEF_TAX_LIAB_CURRENT",Input!M$2,Date,,,Ccy,Conv)</f>
        <v>0</v>
      </c>
      <c r="L321" s="4">
        <f>_xll.ciqfunctions.udf.CIQ(InputTicker, "IQ_DEF_TAX_LIAB_CURRENT",Input!N$2,Date,,,Ccy,Conv)</f>
        <v>0</v>
      </c>
      <c r="M321" s="4">
        <f>_xll.ciqfunctions.udf.CIQ(InputTicker, "IQ_DEF_TAX_LIAB_CURRENT",Input!O$2,Date,,,Ccy,Conv)</f>
        <v>0</v>
      </c>
      <c r="N321" s="42"/>
      <c r="S321" s="17"/>
      <c r="T321" s="46"/>
      <c r="U321" s="46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  <c r="BN321" s="42"/>
    </row>
    <row r="322" spans="1:66" ht="12.75" customHeight="1" x14ac:dyDescent="0.2">
      <c r="A322" s="1" t="s">
        <v>136</v>
      </c>
      <c r="B322" s="4">
        <f>_xll.ciqfunctions.udf.CIQ(InputTicker, "IQ_OTHER_CL_SUPPL",Input!D$2,Date,,,Ccy,Conv)</f>
        <v>0</v>
      </c>
      <c r="C322" s="4">
        <f>_xll.ciqfunctions.udf.CIQ(InputTicker, "IQ_OTHER_CL_SUPPL",Input!E$2,Date,,,Ccy,Conv)</f>
        <v>0</v>
      </c>
      <c r="D322" s="4">
        <f>_xll.ciqfunctions.udf.CIQ(InputTicker, "IQ_OTHER_CL_SUPPL",Input!F$2,Date,,,Ccy,Conv)</f>
        <v>17.093</v>
      </c>
      <c r="E322" s="4">
        <f>_xll.ciqfunctions.udf.CIQ(InputTicker, "IQ_OTHER_CL_SUPPL",Input!G$2,Date,,,Ccy,Conv)</f>
        <v>0</v>
      </c>
      <c r="F322" s="4">
        <f>_xll.ciqfunctions.udf.CIQ(InputTicker, "IQ_OTHER_CL_SUPPL",Input!H$2,Date,,,Ccy,Conv)</f>
        <v>0</v>
      </c>
      <c r="G322" s="4">
        <f>_xll.ciqfunctions.udf.CIQ(InputTicker, "IQ_OTHER_CL_SUPPL",Input!I$2,Date,,,Ccy,Conv)</f>
        <v>0</v>
      </c>
      <c r="H322" s="4">
        <f>_xll.ciqfunctions.udf.CIQ(InputTicker, "IQ_OTHER_CL_SUPPL",Input!J$2,Date,,,Ccy,Conv)</f>
        <v>36.655999999999999</v>
      </c>
      <c r="I322" s="4">
        <f>_xll.ciqfunctions.udf.CIQ(InputTicker, "IQ_OTHER_CL_SUPPL",Input!K$2,Date,,,Ccy,Conv)</f>
        <v>37.130000000000003</v>
      </c>
      <c r="J322" s="4">
        <f>_xll.ciqfunctions.udf.CIQ(InputTicker, "IQ_OTHER_CL_SUPPL",Input!L$2,Date,,,Ccy,Conv)</f>
        <v>37.76</v>
      </c>
      <c r="K322" s="4">
        <f>_xll.ciqfunctions.udf.CIQ(InputTicker, "IQ_OTHER_CL_SUPPL",Input!M$2,Date,,,Ccy,Conv)</f>
        <v>114.163</v>
      </c>
      <c r="L322" s="4">
        <f>_xll.ciqfunctions.udf.CIQ(InputTicker, "IQ_OTHER_CL_SUPPL",Input!N$2,Date,,,Ccy,Conv)</f>
        <v>0</v>
      </c>
      <c r="M322" s="4">
        <f>_xll.ciqfunctions.udf.CIQ(InputTicker, "IQ_OTHER_CL_SUPPL",Input!O$2,Date,,,Ccy,Conv)</f>
        <v>0</v>
      </c>
      <c r="N322" s="42"/>
      <c r="T322" s="46"/>
      <c r="U322" s="46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  <c r="BN322" s="42"/>
    </row>
    <row r="323" spans="1:66" ht="12.75" customHeight="1" x14ac:dyDescent="0.2">
      <c r="A323" s="5" t="s">
        <v>97</v>
      </c>
      <c r="B323" s="6">
        <f>_xll.ciqfunctions.udf.CIQ(InputTicker, "IQ_TOTAL_CL",Input!D$2,Date,,,Ccy,Conv)</f>
        <v>83.450999999999993</v>
      </c>
      <c r="C323" s="6">
        <f>_xll.ciqfunctions.udf.CIQ(InputTicker, "IQ_TOTAL_CL",Input!E$2,Date,,,Ccy,Conv)</f>
        <v>64.679000000000002</v>
      </c>
      <c r="D323" s="6">
        <f>_xll.ciqfunctions.udf.CIQ(InputTicker, "IQ_TOTAL_CL",Input!F$2,Date,,,Ccy,Conv)</f>
        <v>107.83799999999999</v>
      </c>
      <c r="E323" s="6">
        <f>_xll.ciqfunctions.udf.CIQ(InputTicker, "IQ_TOTAL_CL",Input!G$2,Date,,,Ccy,Conv)</f>
        <v>74.906999999999996</v>
      </c>
      <c r="F323" s="6">
        <f>_xll.ciqfunctions.udf.CIQ(InputTicker, "IQ_TOTAL_CL",Input!H$2,Date,,,Ccy,Conv)</f>
        <v>93.183000000000007</v>
      </c>
      <c r="G323" s="6">
        <f>_xll.ciqfunctions.udf.CIQ(InputTicker, "IQ_TOTAL_CL",Input!I$2,Date,,,Ccy,Conv)</f>
        <v>90.096999999999994</v>
      </c>
      <c r="H323" s="6">
        <f>_xll.ciqfunctions.udf.CIQ(InputTicker, "IQ_TOTAL_CL",Input!J$2,Date,,,Ccy,Conv)</f>
        <v>184.67400000000001</v>
      </c>
      <c r="I323" s="6">
        <f>_xll.ciqfunctions.udf.CIQ(InputTicker, "IQ_TOTAL_CL",Input!K$2,Date,,,Ccy,Conv)</f>
        <v>182.73099999999999</v>
      </c>
      <c r="J323" s="6">
        <f>_xll.ciqfunctions.udf.CIQ(InputTicker, "IQ_TOTAL_CL",Input!L$2,Date,,,Ccy,Conv)</f>
        <v>227.74299999999999</v>
      </c>
      <c r="K323" s="6">
        <f>_xll.ciqfunctions.udf.CIQ(InputTicker, "IQ_TOTAL_CL",Input!M$2,Date,,,Ccy,Conv)</f>
        <v>308.37099999999998</v>
      </c>
      <c r="L323" s="6">
        <f>_xll.ciqfunctions.udf.CIQ(InputTicker, "IQ_TOTAL_CL",Input!N$2,Date,,,Ccy,Conv)</f>
        <v>205.51599999999999</v>
      </c>
      <c r="M323" s="6">
        <f>_xll.ciqfunctions.udf.CIQ(InputTicker, "IQ_TOTAL_CL",Input!O$2,Date,,,Ccy,Conv)</f>
        <v>205.51599999999999</v>
      </c>
      <c r="N323" s="42"/>
      <c r="S323" s="46"/>
      <c r="T323" s="46"/>
      <c r="U323" s="46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  <c r="BN323" s="42"/>
    </row>
    <row r="324" spans="1:66" ht="12.75" customHeight="1" x14ac:dyDescent="0.2">
      <c r="A324" s="1" t="s">
        <v>187</v>
      </c>
      <c r="B324" s="4">
        <f>_xll.ciqfunctions.udf.CIQ(InputTicker, "IQ_LT_DEBT",Input!D$2,Date,,,Ccy,Conv)</f>
        <v>9.25</v>
      </c>
      <c r="C324" s="4">
        <f>_xll.ciqfunctions.udf.CIQ(InputTicker, "IQ_LT_DEBT",Input!E$2,Date,,,Ccy,Conv)</f>
        <v>6.1130000000000004</v>
      </c>
      <c r="D324" s="4">
        <f>_xll.ciqfunctions.udf.CIQ(InputTicker, "IQ_LT_DEBT",Input!F$2,Date,,,Ccy,Conv)</f>
        <v>1.214</v>
      </c>
      <c r="E324" s="4">
        <f>_xll.ciqfunctions.udf.CIQ(InputTicker, "IQ_LT_DEBT",Input!G$2,Date,,,Ccy,Conv)</f>
        <v>0</v>
      </c>
      <c r="F324" s="4">
        <f>_xll.ciqfunctions.udf.CIQ(InputTicker, "IQ_LT_DEBT",Input!H$2,Date,,,Ccy,Conv)</f>
        <v>0</v>
      </c>
      <c r="G324" s="4">
        <f>_xll.ciqfunctions.udf.CIQ(InputTicker, "IQ_LT_DEBT",Input!I$2,Date,,,Ccy,Conv)</f>
        <v>0</v>
      </c>
      <c r="H324" s="4">
        <f>_xll.ciqfunctions.udf.CIQ(InputTicker, "IQ_LT_DEBT",Input!J$2,Date,,,Ccy,Conv)</f>
        <v>0</v>
      </c>
      <c r="I324" s="4">
        <f>_xll.ciqfunctions.udf.CIQ(InputTicker, "IQ_LT_DEBT",Input!K$2,Date,,,Ccy,Conv)</f>
        <v>0</v>
      </c>
      <c r="J324" s="4">
        <f>_xll.ciqfunctions.udf.CIQ(InputTicker, "IQ_LT_DEBT",Input!L$2,Date,,,Ccy,Conv)</f>
        <v>0</v>
      </c>
      <c r="K324" s="4">
        <f>_xll.ciqfunctions.udf.CIQ(InputTicker, "IQ_LT_DEBT",Input!M$2,Date,,,Ccy,Conv)</f>
        <v>0</v>
      </c>
      <c r="L324" s="4">
        <f>_xll.ciqfunctions.udf.CIQ(InputTicker, "IQ_LT_DEBT",Input!N$2,Date,,,Ccy,Conv)</f>
        <v>0</v>
      </c>
      <c r="M324" s="4">
        <f>_xll.ciqfunctions.udf.CIQ(InputTicker, "IQ_LT_DEBT",Input!O$2,Date,,,Ccy,Conv)</f>
        <v>0</v>
      </c>
      <c r="N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  <c r="BN324" s="42"/>
    </row>
    <row r="325" spans="1:66" ht="12.75" customHeight="1" x14ac:dyDescent="0.2">
      <c r="A325" s="42" t="s">
        <v>472</v>
      </c>
      <c r="B325" s="4">
        <f>_xll.ciqfunctions.udf.CIQ(InputTicker, "IQ_LONG_TERM_LEASES",Input!D$2,Date,,,Ccy,Conv)</f>
        <v>0</v>
      </c>
      <c r="C325" s="4">
        <f>_xll.ciqfunctions.udf.CIQ(InputTicker, "IQ_LONG_TERM_LEASES",Input!E$2,Date,,,Ccy,Conv)</f>
        <v>0</v>
      </c>
      <c r="D325" s="4">
        <f>_xll.ciqfunctions.udf.CIQ(InputTicker, "IQ_LONG_TERM_LEASES",Input!F$2,Date,,,Ccy,Conv)</f>
        <v>1.34</v>
      </c>
      <c r="E325" s="4">
        <f>_xll.ciqfunctions.udf.CIQ(InputTicker, "IQ_LONG_TERM_LEASES",Input!G$2,Date,,,Ccy,Conv)</f>
        <v>0.85799999999999998</v>
      </c>
      <c r="F325" s="4">
        <f>_xll.ciqfunctions.udf.CIQ(InputTicker, "IQ_LONG_TERM_LEASES",Input!H$2,Date,,,Ccy,Conv)</f>
        <v>2.387</v>
      </c>
      <c r="G325" s="4">
        <f>_xll.ciqfunctions.udf.CIQ(InputTicker, "IQ_LONG_TERM_LEASES",Input!I$2,Date,,,Ccy,Conv)</f>
        <v>1.472</v>
      </c>
      <c r="H325" s="4">
        <f>_xll.ciqfunctions.udf.CIQ(InputTicker, "IQ_LONG_TERM_LEASES",Input!J$2,Date,,,Ccy,Conv)</f>
        <v>0</v>
      </c>
      <c r="I325" s="4">
        <f>_xll.ciqfunctions.udf.CIQ(InputTicker, "IQ_LONG_TERM_LEASES",Input!K$2,Date,,,Ccy,Conv)</f>
        <v>0</v>
      </c>
      <c r="J325" s="4">
        <f>_xll.ciqfunctions.udf.CIQ(InputTicker, "IQ_LONG_TERM_LEASES",Input!L$2,Date,,,Ccy,Conv)</f>
        <v>0</v>
      </c>
      <c r="K325" s="4">
        <f>_xll.ciqfunctions.udf.CIQ(InputTicker, "IQ_LONG_TERM_LEASES",Input!M$2,Date,,,Ccy,Conv)</f>
        <v>0</v>
      </c>
      <c r="L325" s="4">
        <f>_xll.ciqfunctions.udf.CIQ(InputTicker, "IQ_LONG_TERM_LEASES",Input!N$2,Date,,,Ccy,Conv)</f>
        <v>0</v>
      </c>
      <c r="M325" s="4">
        <f>_xll.ciqfunctions.udf.CIQ(InputTicker, "IQ_LONG_TERM_LEASES",Input!O$2,Date,,,Ccy,Conv)</f>
        <v>0</v>
      </c>
      <c r="N325" s="42"/>
      <c r="P325" s="46"/>
      <c r="Q325" s="46"/>
      <c r="R325" s="46"/>
      <c r="T325" s="42"/>
      <c r="U325" s="42"/>
      <c r="V325" s="46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  <c r="BN325" s="42"/>
    </row>
    <row r="326" spans="1:66" ht="12.75" customHeight="1" x14ac:dyDescent="0.2">
      <c r="A326" s="42" t="s">
        <v>189</v>
      </c>
      <c r="B326" s="4">
        <f>_xll.ciqfunctions.udf.CIQ(InputTicker, "IQ_FIN_DIV_DEBT_LT",Input!D$2,Date,,,Ccy,Conv)</f>
        <v>0</v>
      </c>
      <c r="C326" s="4">
        <f>_xll.ciqfunctions.udf.CIQ(InputTicker, "IQ_FIN_DIV_DEBT_LT",Input!E$2,Date,,,Ccy,Conv)</f>
        <v>0</v>
      </c>
      <c r="D326" s="4">
        <f>_xll.ciqfunctions.udf.CIQ(InputTicker, "IQ_FIN_DIV_DEBT_LT",Input!F$2,Date,,,Ccy,Conv)</f>
        <v>0</v>
      </c>
      <c r="E326" s="4">
        <f>_xll.ciqfunctions.udf.CIQ(InputTicker, "IQ_FIN_DIV_DEBT_LT",Input!G$2,Date,,,Ccy,Conv)</f>
        <v>0</v>
      </c>
      <c r="F326" s="4">
        <f>_xll.ciqfunctions.udf.CIQ(InputTicker, "IQ_FIN_DIV_DEBT_LT",Input!H$2,Date,,,Ccy,Conv)</f>
        <v>0</v>
      </c>
      <c r="G326" s="4">
        <f>_xll.ciqfunctions.udf.CIQ(InputTicker, "IQ_FIN_DIV_DEBT_LT",Input!I$2,Date,,,Ccy,Conv)</f>
        <v>0</v>
      </c>
      <c r="H326" s="4">
        <f>_xll.ciqfunctions.udf.CIQ(InputTicker, "IQ_FIN_DIV_DEBT_LT",Input!J$2,Date,,,Ccy,Conv)</f>
        <v>0</v>
      </c>
      <c r="I326" s="4">
        <f>_xll.ciqfunctions.udf.CIQ(InputTicker, "IQ_FIN_DIV_DEBT_LT",Input!K$2,Date,,,Ccy,Conv)</f>
        <v>0</v>
      </c>
      <c r="J326" s="4">
        <f>_xll.ciqfunctions.udf.CIQ(InputTicker, "IQ_FIN_DIV_DEBT_LT",Input!L$2,Date,,,Ccy,Conv)</f>
        <v>0</v>
      </c>
      <c r="K326" s="4">
        <f>_xll.ciqfunctions.udf.CIQ(InputTicker, "IQ_FIN_DIV_DEBT_LT",Input!M$2,Date,,,Ccy,Conv)</f>
        <v>0</v>
      </c>
      <c r="L326" s="4">
        <f>_xll.ciqfunctions.udf.CIQ(InputTicker, "IQ_FIN_DIV_DEBT_LT",Input!N$2,Date,,,Ccy,Conv)</f>
        <v>0</v>
      </c>
      <c r="M326" s="4">
        <f>_xll.ciqfunctions.udf.CIQ(InputTicker, "IQ_FIN_DIV_DEBT_LT",Input!O$2,Date,,,Ccy,Conv)</f>
        <v>0</v>
      </c>
      <c r="N326" s="46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</row>
    <row r="327" spans="1:66" ht="12.75" customHeight="1" x14ac:dyDescent="0.2">
      <c r="A327" s="42" t="s">
        <v>190</v>
      </c>
      <c r="B327" s="4">
        <f>_xll.ciqfunctions.udf.CIQ(InputTicker, "IQ_FIN_DIV_LIAB_LT",Input!D$2,Date,,,Ccy,Conv)</f>
        <v>0</v>
      </c>
      <c r="C327" s="4">
        <f>_xll.ciqfunctions.udf.CIQ(InputTicker, "IQ_FIN_DIV_LIAB_LT",Input!E$2,Date,,,Ccy,Conv)</f>
        <v>0</v>
      </c>
      <c r="D327" s="4">
        <f>_xll.ciqfunctions.udf.CIQ(InputTicker, "IQ_FIN_DIV_LIAB_LT",Input!F$2,Date,,,Ccy,Conv)</f>
        <v>0</v>
      </c>
      <c r="E327" s="4">
        <f>_xll.ciqfunctions.udf.CIQ(InputTicker, "IQ_FIN_DIV_LIAB_LT",Input!G$2,Date,,,Ccy,Conv)</f>
        <v>0</v>
      </c>
      <c r="F327" s="4">
        <f>_xll.ciqfunctions.udf.CIQ(InputTicker, "IQ_FIN_DIV_LIAB_LT",Input!H$2,Date,,,Ccy,Conv)</f>
        <v>0</v>
      </c>
      <c r="G327" s="4">
        <f>_xll.ciqfunctions.udf.CIQ(InputTicker, "IQ_FIN_DIV_LIAB_LT",Input!I$2,Date,,,Ccy,Conv)</f>
        <v>0</v>
      </c>
      <c r="H327" s="4">
        <f>_xll.ciqfunctions.udf.CIQ(InputTicker, "IQ_FIN_DIV_LIAB_LT",Input!J$2,Date,,,Ccy,Conv)</f>
        <v>0</v>
      </c>
      <c r="I327" s="4">
        <f>_xll.ciqfunctions.udf.CIQ(InputTicker, "IQ_FIN_DIV_LIAB_LT",Input!K$2,Date,,,Ccy,Conv)</f>
        <v>0</v>
      </c>
      <c r="J327" s="4">
        <f>_xll.ciqfunctions.udf.CIQ(InputTicker, "IQ_FIN_DIV_LIAB_LT",Input!L$2,Date,,,Ccy,Conv)</f>
        <v>0</v>
      </c>
      <c r="K327" s="4">
        <f>_xll.ciqfunctions.udf.CIQ(InputTicker, "IQ_FIN_DIV_LIAB_LT",Input!M$2,Date,,,Ccy,Conv)</f>
        <v>0</v>
      </c>
      <c r="L327" s="4">
        <f>_xll.ciqfunctions.udf.CIQ(InputTicker, "IQ_FIN_DIV_LIAB_LT",Input!N$2,Date,,,Ccy,Conv)</f>
        <v>0</v>
      </c>
      <c r="M327" s="4">
        <f>_xll.ciqfunctions.udf.CIQ(InputTicker, "IQ_FIN_DIV_LIAB_LT",Input!O$2,Date,,,Ccy,Conv)</f>
        <v>0</v>
      </c>
      <c r="N327" s="42"/>
      <c r="S327" s="46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  <c r="BN327" s="42"/>
    </row>
    <row r="328" spans="1:66" ht="12.75" customHeight="1" x14ac:dyDescent="0.2">
      <c r="A328" s="42" t="s">
        <v>191</v>
      </c>
      <c r="B328" s="4">
        <f>_xll.ciqfunctions.udf.CIQ(InputTicker, "IQ_UNEARN_REV_LT",Input!D$2,Date,,,Ccy,Conv)</f>
        <v>0</v>
      </c>
      <c r="C328" s="4">
        <f>_xll.ciqfunctions.udf.CIQ(InputTicker, "IQ_UNEARN_REV_LT",Input!E$2,Date,,,Ccy,Conv)</f>
        <v>0</v>
      </c>
      <c r="D328" s="4">
        <f>_xll.ciqfunctions.udf.CIQ(InputTicker, "IQ_UNEARN_REV_LT",Input!F$2,Date,,,Ccy,Conv)</f>
        <v>0</v>
      </c>
      <c r="E328" s="4">
        <f>_xll.ciqfunctions.udf.CIQ(InputTicker, "IQ_UNEARN_REV_LT",Input!G$2,Date,,,Ccy,Conv)</f>
        <v>0</v>
      </c>
      <c r="F328" s="4">
        <f>_xll.ciqfunctions.udf.CIQ(InputTicker, "IQ_UNEARN_REV_LT",Input!H$2,Date,,,Ccy,Conv)</f>
        <v>0</v>
      </c>
      <c r="G328" s="4">
        <f>_xll.ciqfunctions.udf.CIQ(InputTicker, "IQ_UNEARN_REV_LT",Input!I$2,Date,,,Ccy,Conv)</f>
        <v>0</v>
      </c>
      <c r="H328" s="4">
        <f>_xll.ciqfunctions.udf.CIQ(InputTicker, "IQ_UNEARN_REV_LT",Input!J$2,Date,,,Ccy,Conv)</f>
        <v>0</v>
      </c>
      <c r="I328" s="4">
        <f>_xll.ciqfunctions.udf.CIQ(InputTicker, "IQ_UNEARN_REV_LT",Input!K$2,Date,,,Ccy,Conv)</f>
        <v>0</v>
      </c>
      <c r="J328" s="4">
        <f>_xll.ciqfunctions.udf.CIQ(InputTicker, "IQ_UNEARN_REV_LT",Input!L$2,Date,,,Ccy,Conv)</f>
        <v>0</v>
      </c>
      <c r="K328" s="4">
        <f>_xll.ciqfunctions.udf.CIQ(InputTicker, "IQ_UNEARN_REV_LT",Input!M$2,Date,,,Ccy,Conv)</f>
        <v>0</v>
      </c>
      <c r="L328" s="4">
        <f>_xll.ciqfunctions.udf.CIQ(InputTicker, "IQ_UNEARN_REV_LT",Input!N$2,Date,,,Ccy,Conv)</f>
        <v>0</v>
      </c>
      <c r="M328" s="4">
        <f>_xll.ciqfunctions.udf.CIQ(InputTicker, "IQ_UNEARN_REV_LT",Input!O$2,Date,,,Ccy,Conv)</f>
        <v>0</v>
      </c>
      <c r="N328" s="42"/>
      <c r="P328" s="46"/>
      <c r="Q328" s="46"/>
      <c r="R328" s="46"/>
      <c r="T328" s="46"/>
      <c r="U328" s="46"/>
      <c r="V328" s="46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  <c r="BN328" s="42"/>
    </row>
    <row r="329" spans="1:66" ht="12.75" customHeight="1" x14ac:dyDescent="0.2">
      <c r="A329" s="42" t="s">
        <v>192</v>
      </c>
      <c r="B329" s="4">
        <f>_xll.ciqfunctions.udf.CIQ(InputTicker, "IQ_PENSION",Input!D$2,Date,,,Ccy,Conv)</f>
        <v>0</v>
      </c>
      <c r="C329" s="4">
        <f>_xll.ciqfunctions.udf.CIQ(InputTicker, "IQ_PENSION",Input!E$2,Date,,,Ccy,Conv)</f>
        <v>0</v>
      </c>
      <c r="D329" s="4">
        <f>_xll.ciqfunctions.udf.CIQ(InputTicker, "IQ_PENSION",Input!F$2,Date,,,Ccy,Conv)</f>
        <v>0</v>
      </c>
      <c r="E329" s="4">
        <f>_xll.ciqfunctions.udf.CIQ(InputTicker, "IQ_PENSION",Input!G$2,Date,,,Ccy,Conv)</f>
        <v>0</v>
      </c>
      <c r="F329" s="4">
        <f>_xll.ciqfunctions.udf.CIQ(InputTicker, "IQ_PENSION",Input!H$2,Date,,,Ccy,Conv)</f>
        <v>0</v>
      </c>
      <c r="G329" s="4">
        <f>_xll.ciqfunctions.udf.CIQ(InputTicker, "IQ_PENSION",Input!I$2,Date,,,Ccy,Conv)</f>
        <v>0</v>
      </c>
      <c r="H329" s="4">
        <f>_xll.ciqfunctions.udf.CIQ(InputTicker, "IQ_PENSION",Input!J$2,Date,,,Ccy,Conv)</f>
        <v>0</v>
      </c>
      <c r="I329" s="4">
        <f>_xll.ciqfunctions.udf.CIQ(InputTicker, "IQ_PENSION",Input!K$2,Date,,,Ccy,Conv)</f>
        <v>0</v>
      </c>
      <c r="J329" s="4">
        <f>_xll.ciqfunctions.udf.CIQ(InputTicker, "IQ_PENSION",Input!L$2,Date,,,Ccy,Conv)</f>
        <v>0</v>
      </c>
      <c r="K329" s="4">
        <f>_xll.ciqfunctions.udf.CIQ(InputTicker, "IQ_PENSION",Input!M$2,Date,,,Ccy,Conv)</f>
        <v>0</v>
      </c>
      <c r="L329" s="4">
        <f>_xll.ciqfunctions.udf.CIQ(InputTicker, "IQ_PENSION",Input!N$2,Date,,,Ccy,Conv)</f>
        <v>0</v>
      </c>
      <c r="M329" s="4">
        <f>_xll.ciqfunctions.udf.CIQ(InputTicker, "IQ_PENSION",Input!O$2,Date,,,Ccy,Conv)</f>
        <v>0</v>
      </c>
      <c r="N329" s="46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</row>
    <row r="330" spans="1:66" ht="12.75" customHeight="1" x14ac:dyDescent="0.2">
      <c r="A330" s="42" t="s">
        <v>137</v>
      </c>
      <c r="B330" s="4">
        <f>_xll.ciqfunctions.udf.CIQ(InputTicker, "IQ_DEF_TAX_LIAB_LT",Input!D$2,Date,,,Ccy,Conv)</f>
        <v>95.382000000000005</v>
      </c>
      <c r="C330" s="4">
        <f>_xll.ciqfunctions.udf.CIQ(InputTicker, "IQ_DEF_TAX_LIAB_LT",Input!E$2,Date,,,Ccy,Conv)</f>
        <v>110.282</v>
      </c>
      <c r="D330" s="4">
        <f>_xll.ciqfunctions.udf.CIQ(InputTicker, "IQ_DEF_TAX_LIAB_LT",Input!F$2,Date,,,Ccy,Conv)</f>
        <v>76.055000000000007</v>
      </c>
      <c r="E330" s="4">
        <f>_xll.ciqfunctions.udf.CIQ(InputTicker, "IQ_DEF_TAX_LIAB_LT",Input!G$2,Date,,,Ccy,Conv)</f>
        <v>82.596999999999994</v>
      </c>
      <c r="F330" s="4">
        <f>_xll.ciqfunctions.udf.CIQ(InputTicker, "IQ_DEF_TAX_LIAB_LT",Input!H$2,Date,,,Ccy,Conv)</f>
        <v>92.768000000000001</v>
      </c>
      <c r="G330" s="4">
        <f>_xll.ciqfunctions.udf.CIQ(InputTicker, "IQ_DEF_TAX_LIAB_LT",Input!I$2,Date,,,Ccy,Conv)</f>
        <v>114.408</v>
      </c>
      <c r="H330" s="4">
        <f>_xll.ciqfunctions.udf.CIQ(InputTicker, "IQ_DEF_TAX_LIAB_LT",Input!J$2,Date,,,Ccy,Conv)</f>
        <v>128.196</v>
      </c>
      <c r="I330" s="4">
        <f>_xll.ciqfunctions.udf.CIQ(InputTicker, "IQ_DEF_TAX_LIAB_LT",Input!K$2,Date,,,Ccy,Conv)</f>
        <v>152.21199999999999</v>
      </c>
      <c r="J330" s="4">
        <f>_xll.ciqfunctions.udf.CIQ(InputTicker, "IQ_DEF_TAX_LIAB_LT",Input!L$2,Date,,,Ccy,Conv)</f>
        <v>142.86600000000001</v>
      </c>
      <c r="K330" s="4">
        <f>_xll.ciqfunctions.udf.CIQ(InputTicker, "IQ_DEF_TAX_LIAB_LT",Input!M$2,Date,,,Ccy,Conv)</f>
        <v>154.65100000000001</v>
      </c>
      <c r="L330" s="4">
        <f>_xll.ciqfunctions.udf.CIQ(InputTicker, "IQ_DEF_TAX_LIAB_LT",Input!N$2,Date,,,Ccy,Conv)</f>
        <v>221.87200000000001</v>
      </c>
      <c r="M330" s="4">
        <f>_xll.ciqfunctions.udf.CIQ(InputTicker, "IQ_DEF_TAX_LIAB_LT",Input!O$2,Date,,,Ccy,Conv)</f>
        <v>221.87200000000001</v>
      </c>
      <c r="N330" s="42"/>
      <c r="S330" s="46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  <c r="BM330" s="42"/>
      <c r="BN330" s="42"/>
    </row>
    <row r="331" spans="1:66" ht="12.75" customHeight="1" x14ac:dyDescent="0.2">
      <c r="A331" s="42" t="s">
        <v>138</v>
      </c>
      <c r="B331" s="4">
        <f>_xll.ciqfunctions.udf.CIQ(InputTicker, "IQ_OTHER_LIAB_LT",Input!D$2,Date,,,Ccy,Conv)</f>
        <v>6.3209999999999997</v>
      </c>
      <c r="C331" s="4">
        <f>_xll.ciqfunctions.udf.CIQ(InputTicker, "IQ_OTHER_LIAB_LT",Input!E$2,Date,,,Ccy,Conv)</f>
        <v>7.5270000000000001</v>
      </c>
      <c r="D331" s="4">
        <f>_xll.ciqfunctions.udf.CIQ(InputTicker, "IQ_OTHER_LIAB_LT",Input!F$2,Date,,,Ccy,Conv)</f>
        <v>8.3179999999999996</v>
      </c>
      <c r="E331" s="4">
        <f>_xll.ciqfunctions.udf.CIQ(InputTicker, "IQ_OTHER_LIAB_LT",Input!G$2,Date,,,Ccy,Conv)</f>
        <v>8.11</v>
      </c>
      <c r="F331" s="4">
        <f>_xll.ciqfunctions.udf.CIQ(InputTicker, "IQ_OTHER_LIAB_LT",Input!H$2,Date,,,Ccy,Conv)</f>
        <v>8.6809999999999992</v>
      </c>
      <c r="G331" s="4">
        <f>_xll.ciqfunctions.udf.CIQ(InputTicker, "IQ_OTHER_LIAB_LT",Input!I$2,Date,,,Ccy,Conv)</f>
        <v>10.416</v>
      </c>
      <c r="H331" s="4">
        <f>_xll.ciqfunctions.udf.CIQ(InputTicker, "IQ_OTHER_LIAB_LT",Input!J$2,Date,,,Ccy,Conv)</f>
        <v>10.273999999999999</v>
      </c>
      <c r="I331" s="4">
        <f>_xll.ciqfunctions.udf.CIQ(InputTicker, "IQ_OTHER_LIAB_LT",Input!K$2,Date,,,Ccy,Conv)</f>
        <v>9.9990000000000006</v>
      </c>
      <c r="J331" s="4">
        <f>_xll.ciqfunctions.udf.CIQ(InputTicker, "IQ_OTHER_LIAB_LT",Input!L$2,Date,,,Ccy,Conv)</f>
        <v>17.109000000000002</v>
      </c>
      <c r="K331" s="4">
        <f>_xll.ciqfunctions.udf.CIQ(InputTicker, "IQ_OTHER_LIAB_LT",Input!M$2,Date,,,Ccy,Conv)</f>
        <v>55.582000000000001</v>
      </c>
      <c r="L331" s="4">
        <f>_xll.ciqfunctions.udf.CIQ(InputTicker, "IQ_OTHER_LIAB_LT",Input!N$2,Date,,,Ccy,Conv)</f>
        <v>39.65</v>
      </c>
      <c r="M331" s="4">
        <f>_xll.ciqfunctions.udf.CIQ(InputTicker, "IQ_OTHER_LIAB_LT",Input!O$2,Date,,,Ccy,Conv)</f>
        <v>39.65</v>
      </c>
      <c r="N331" s="42"/>
      <c r="P331" s="46"/>
      <c r="Q331" s="46"/>
      <c r="R331" s="46"/>
      <c r="S331" s="46"/>
      <c r="T331" s="42"/>
      <c r="U331" s="42"/>
      <c r="V331" s="46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  <c r="BM331" s="42"/>
      <c r="BN331" s="42"/>
    </row>
    <row r="332" spans="1:66" ht="12.75" customHeight="1" thickBot="1" x14ac:dyDescent="0.25">
      <c r="A332" s="5" t="s">
        <v>510</v>
      </c>
      <c r="B332" s="9">
        <f>_xll.ciqfunctions.udf.CIQ(InputTicker, "IQ_TOTAL_LIAB",Input!D$2,Date,,,Ccy,Conv)</f>
        <v>194.404</v>
      </c>
      <c r="C332" s="9">
        <f>_xll.ciqfunctions.udf.CIQ(InputTicker, "IQ_TOTAL_LIAB",Input!E$2,Date,,,Ccy,Conv)</f>
        <v>188.601</v>
      </c>
      <c r="D332" s="9">
        <f>_xll.ciqfunctions.udf.CIQ(InputTicker, "IQ_TOTAL_LIAB",Input!F$2,Date,,,Ccy,Conv)</f>
        <v>194.76499999999999</v>
      </c>
      <c r="E332" s="9">
        <f>_xll.ciqfunctions.udf.CIQ(InputTicker, "IQ_TOTAL_LIAB",Input!G$2,Date,,,Ccy,Conv)</f>
        <v>166.47200000000001</v>
      </c>
      <c r="F332" s="9">
        <f>_xll.ciqfunctions.udf.CIQ(InputTicker, "IQ_TOTAL_LIAB",Input!H$2,Date,,,Ccy,Conv)</f>
        <v>197.01900000000001</v>
      </c>
      <c r="G332" s="9">
        <f>_xll.ciqfunctions.udf.CIQ(InputTicker, "IQ_TOTAL_LIAB",Input!I$2,Date,,,Ccy,Conv)</f>
        <v>216.393</v>
      </c>
      <c r="H332" s="9">
        <f>_xll.ciqfunctions.udf.CIQ(InputTicker, "IQ_TOTAL_LIAB",Input!J$2,Date,,,Ccy,Conv)</f>
        <v>323.14400000000001</v>
      </c>
      <c r="I332" s="9">
        <f>_xll.ciqfunctions.udf.CIQ(InputTicker, "IQ_TOTAL_LIAB",Input!K$2,Date,,,Ccy,Conv)</f>
        <v>344.94200000000001</v>
      </c>
      <c r="J332" s="9">
        <f>_xll.ciqfunctions.udf.CIQ(InputTicker, "IQ_TOTAL_LIAB",Input!L$2,Date,,,Ccy,Conv)</f>
        <v>387.71800000000002</v>
      </c>
      <c r="K332" s="9">
        <f>_xll.ciqfunctions.udf.CIQ(InputTicker, "IQ_TOTAL_LIAB",Input!M$2,Date,,,Ccy,Conv)</f>
        <v>518.60400000000004</v>
      </c>
      <c r="L332" s="9">
        <f>_xll.ciqfunctions.udf.CIQ(InputTicker, "IQ_TOTAL_LIAB",Input!N$2,Date,,,Ccy,Conv)</f>
        <v>467.03800000000001</v>
      </c>
      <c r="M332" s="9">
        <f>_xll.ciqfunctions.udf.CIQ(InputTicker, "IQ_TOTAL_LIAB",Input!O$2,Date,,,Ccy,Conv)</f>
        <v>467.03800000000001</v>
      </c>
      <c r="N332" s="42"/>
      <c r="S332" s="46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</row>
    <row r="333" spans="1:66" ht="12.75" customHeight="1" thickTop="1" x14ac:dyDescent="0.2">
      <c r="A333" s="1" t="s">
        <v>193</v>
      </c>
      <c r="B333" s="4">
        <f>_xll.ciqfunctions.udf.CIQ(InputTicker, "IQ_PREF_REDEEM",Input!D$2,Date,,,Ccy,Conv)</f>
        <v>0</v>
      </c>
      <c r="C333" s="4">
        <f>_xll.ciqfunctions.udf.CIQ(InputTicker, "IQ_PREF_REDEEM",Input!E$2,Date,,,Ccy,Conv)</f>
        <v>0</v>
      </c>
      <c r="D333" s="4">
        <f>_xll.ciqfunctions.udf.CIQ(InputTicker, "IQ_PREF_REDEEM",Input!F$2,Date,,,Ccy,Conv)</f>
        <v>0</v>
      </c>
      <c r="E333" s="4">
        <f>_xll.ciqfunctions.udf.CIQ(InputTicker, "IQ_PREF_REDEEM",Input!G$2,Date,,,Ccy,Conv)</f>
        <v>0</v>
      </c>
      <c r="F333" s="4">
        <f>_xll.ciqfunctions.udf.CIQ(InputTicker, "IQ_PREF_REDEEM",Input!H$2,Date,,,Ccy,Conv)</f>
        <v>0</v>
      </c>
      <c r="G333" s="4">
        <f>_xll.ciqfunctions.udf.CIQ(InputTicker, "IQ_PREF_REDEEM",Input!I$2,Date,,,Ccy,Conv)</f>
        <v>0</v>
      </c>
      <c r="H333" s="4">
        <f>_xll.ciqfunctions.udf.CIQ(InputTicker, "IQ_PREF_REDEEM",Input!J$2,Date,,,Ccy,Conv)</f>
        <v>0</v>
      </c>
      <c r="I333" s="4">
        <f>_xll.ciqfunctions.udf.CIQ(InputTicker, "IQ_PREF_REDEEM",Input!K$2,Date,,,Ccy,Conv)</f>
        <v>0</v>
      </c>
      <c r="J333" s="4">
        <f>_xll.ciqfunctions.udf.CIQ(InputTicker, "IQ_PREF_REDEEM",Input!L$2,Date,,,Ccy,Conv)</f>
        <v>0</v>
      </c>
      <c r="K333" s="4">
        <f>_xll.ciqfunctions.udf.CIQ(InputTicker, "IQ_PREF_REDEEM",Input!M$2,Date,,,Ccy,Conv)</f>
        <v>0</v>
      </c>
      <c r="L333" s="4">
        <f>_xll.ciqfunctions.udf.CIQ(InputTicker, "IQ_PREF_REDEEM",Input!N$2,Date,,,Ccy,Conv)</f>
        <v>0</v>
      </c>
      <c r="M333" s="4">
        <f>_xll.ciqfunctions.udf.CIQ(InputTicker, "IQ_PREF_REDEEM",Input!O$2,Date,,,Ccy,Conv)</f>
        <v>0</v>
      </c>
      <c r="N333" s="46"/>
      <c r="P333" s="46"/>
      <c r="Q333" s="46"/>
      <c r="R333" s="46"/>
      <c r="T333" s="42"/>
      <c r="U333" s="42"/>
      <c r="V333" s="46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  <c r="BM333" s="42"/>
      <c r="BN333" s="42"/>
    </row>
    <row r="334" spans="1:66" ht="12.75" customHeight="1" x14ac:dyDescent="0.2">
      <c r="A334" s="1" t="s">
        <v>194</v>
      </c>
      <c r="B334" s="4">
        <f>_xll.ciqfunctions.udf.CIQ(InputTicker, "IQ_PREF_NON_REDEEM",Input!D$2,Date,,,Ccy,Conv)</f>
        <v>0</v>
      </c>
      <c r="C334" s="4">
        <f>_xll.ciqfunctions.udf.CIQ(InputTicker, "IQ_PREF_NON_REDEEM",Input!E$2,Date,,,Ccy,Conv)</f>
        <v>0</v>
      </c>
      <c r="D334" s="4">
        <f>_xll.ciqfunctions.udf.CIQ(InputTicker, "IQ_PREF_NON_REDEEM",Input!F$2,Date,,,Ccy,Conv)</f>
        <v>0</v>
      </c>
      <c r="E334" s="4">
        <f>_xll.ciqfunctions.udf.CIQ(InputTicker, "IQ_PREF_NON_REDEEM",Input!G$2,Date,,,Ccy,Conv)</f>
        <v>0</v>
      </c>
      <c r="F334" s="4">
        <f>_xll.ciqfunctions.udf.CIQ(InputTicker, "IQ_PREF_NON_REDEEM",Input!H$2,Date,,,Ccy,Conv)</f>
        <v>0</v>
      </c>
      <c r="G334" s="4">
        <f>_xll.ciqfunctions.udf.CIQ(InputTicker, "IQ_PREF_NON_REDEEM",Input!I$2,Date,,,Ccy,Conv)</f>
        <v>0</v>
      </c>
      <c r="H334" s="4">
        <f>_xll.ciqfunctions.udf.CIQ(InputTicker, "IQ_PREF_NON_REDEEM",Input!J$2,Date,,,Ccy,Conv)</f>
        <v>0</v>
      </c>
      <c r="I334" s="4">
        <f>_xll.ciqfunctions.udf.CIQ(InputTicker, "IQ_PREF_NON_REDEEM",Input!K$2,Date,,,Ccy,Conv)</f>
        <v>0</v>
      </c>
      <c r="J334" s="4">
        <f>_xll.ciqfunctions.udf.CIQ(InputTicker, "IQ_PREF_NON_REDEEM",Input!L$2,Date,,,Ccy,Conv)</f>
        <v>0</v>
      </c>
      <c r="K334" s="4">
        <f>_xll.ciqfunctions.udf.CIQ(InputTicker, "IQ_PREF_NON_REDEEM",Input!M$2,Date,,,Ccy,Conv)</f>
        <v>0</v>
      </c>
      <c r="L334" s="4">
        <f>_xll.ciqfunctions.udf.CIQ(InputTicker, "IQ_PREF_NON_REDEEM",Input!N$2,Date,,,Ccy,Conv)</f>
        <v>0</v>
      </c>
      <c r="M334" s="4">
        <f>_xll.ciqfunctions.udf.CIQ(InputTicker, "IQ_PREF_NON_REDEEM",Input!O$2,Date,,,Ccy,Conv)</f>
        <v>0</v>
      </c>
      <c r="N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  <c r="BN334" s="42"/>
    </row>
    <row r="335" spans="1:66" ht="12.75" customHeight="1" x14ac:dyDescent="0.2">
      <c r="A335" s="1" t="s">
        <v>195</v>
      </c>
      <c r="B335" s="4">
        <f>_xll.ciqfunctions.udf.CIQ(InputTicker, "IQ_PREF_CONVERT",Input!D$2,Date,,,Ccy,Conv)</f>
        <v>0</v>
      </c>
      <c r="C335" s="4">
        <f>_xll.ciqfunctions.udf.CIQ(InputTicker, "IQ_PREF_CONVERT",Input!E$2,Date,,,Ccy,Conv)</f>
        <v>0</v>
      </c>
      <c r="D335" s="4">
        <f>_xll.ciqfunctions.udf.CIQ(InputTicker, "IQ_PREF_CONVERT",Input!F$2,Date,,,Ccy,Conv)</f>
        <v>0</v>
      </c>
      <c r="E335" s="4">
        <f>_xll.ciqfunctions.udf.CIQ(InputTicker, "IQ_PREF_CONVERT",Input!G$2,Date,,,Ccy,Conv)</f>
        <v>0</v>
      </c>
      <c r="F335" s="4">
        <f>_xll.ciqfunctions.udf.CIQ(InputTicker, "IQ_PREF_CONVERT",Input!H$2,Date,,,Ccy,Conv)</f>
        <v>0</v>
      </c>
      <c r="G335" s="4">
        <f>_xll.ciqfunctions.udf.CIQ(InputTicker, "IQ_PREF_CONVERT",Input!I$2,Date,,,Ccy,Conv)</f>
        <v>0</v>
      </c>
      <c r="H335" s="4">
        <f>_xll.ciqfunctions.udf.CIQ(InputTicker, "IQ_PREF_CONVERT",Input!J$2,Date,,,Ccy,Conv)</f>
        <v>0</v>
      </c>
      <c r="I335" s="4">
        <f>_xll.ciqfunctions.udf.CIQ(InputTicker, "IQ_PREF_CONVERT",Input!K$2,Date,,,Ccy,Conv)</f>
        <v>0</v>
      </c>
      <c r="J335" s="4">
        <f>_xll.ciqfunctions.udf.CIQ(InputTicker, "IQ_PREF_CONVERT",Input!L$2,Date,,,Ccy,Conv)</f>
        <v>0</v>
      </c>
      <c r="K335" s="4">
        <f>_xll.ciqfunctions.udf.CIQ(InputTicker, "IQ_PREF_CONVERT",Input!M$2,Date,,,Ccy,Conv)</f>
        <v>0</v>
      </c>
      <c r="L335" s="4">
        <f>_xll.ciqfunctions.udf.CIQ(InputTicker, "IQ_PREF_CONVERT",Input!N$2,Date,,,Ccy,Conv)</f>
        <v>0</v>
      </c>
      <c r="M335" s="4">
        <f>_xll.ciqfunctions.udf.CIQ(InputTicker, "IQ_PREF_CONVERT",Input!O$2,Date,,,Ccy,Conv)</f>
        <v>0</v>
      </c>
      <c r="N335" s="42"/>
      <c r="T335" s="51"/>
      <c r="U335" s="51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  <c r="BM335" s="42"/>
      <c r="BN335" s="42"/>
    </row>
    <row r="336" spans="1:66" ht="12.75" customHeight="1" x14ac:dyDescent="0.2">
      <c r="A336" s="1" t="s">
        <v>196</v>
      </c>
      <c r="B336" s="4">
        <f>_xll.ciqfunctions.udf.CIQ(InputTicker, "IQ_PREF_OTHER",Input!D$2,Date,,,Ccy,Conv)</f>
        <v>0</v>
      </c>
      <c r="C336" s="4">
        <f>_xll.ciqfunctions.udf.CIQ(InputTicker, "IQ_PREF_OTHER",Input!E$2,Date,,,Ccy,Conv)</f>
        <v>0</v>
      </c>
      <c r="D336" s="4">
        <f>_xll.ciqfunctions.udf.CIQ(InputTicker, "IQ_PREF_OTHER",Input!F$2,Date,,,Ccy,Conv)</f>
        <v>0</v>
      </c>
      <c r="E336" s="4">
        <f>_xll.ciqfunctions.udf.CIQ(InputTicker, "IQ_PREF_OTHER",Input!G$2,Date,,,Ccy,Conv)</f>
        <v>0</v>
      </c>
      <c r="F336" s="4">
        <f>_xll.ciqfunctions.udf.CIQ(InputTicker, "IQ_PREF_OTHER",Input!H$2,Date,,,Ccy,Conv)</f>
        <v>0</v>
      </c>
      <c r="G336" s="4">
        <f>_xll.ciqfunctions.udf.CIQ(InputTicker, "IQ_PREF_OTHER",Input!I$2,Date,,,Ccy,Conv)</f>
        <v>0</v>
      </c>
      <c r="H336" s="4">
        <f>_xll.ciqfunctions.udf.CIQ(InputTicker, "IQ_PREF_OTHER",Input!J$2,Date,,,Ccy,Conv)</f>
        <v>0</v>
      </c>
      <c r="I336" s="4">
        <f>_xll.ciqfunctions.udf.CIQ(InputTicker, "IQ_PREF_OTHER",Input!K$2,Date,,,Ccy,Conv)</f>
        <v>0</v>
      </c>
      <c r="J336" s="4">
        <f>_xll.ciqfunctions.udf.CIQ(InputTicker, "IQ_PREF_OTHER",Input!L$2,Date,,,Ccy,Conv)</f>
        <v>0</v>
      </c>
      <c r="K336" s="4">
        <f>_xll.ciqfunctions.udf.CIQ(InputTicker, "IQ_PREF_OTHER",Input!M$2,Date,,,Ccy,Conv)</f>
        <v>0</v>
      </c>
      <c r="L336" s="4">
        <f>_xll.ciqfunctions.udf.CIQ(InputTicker, "IQ_PREF_OTHER",Input!N$2,Date,,,Ccy,Conv)</f>
        <v>0</v>
      </c>
      <c r="M336" s="4">
        <f>_xll.ciqfunctions.udf.CIQ(InputTicker, "IQ_PREF_OTHER",Input!O$2,Date,,,Ccy,Conv)</f>
        <v>0</v>
      </c>
      <c r="N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  <c r="BM336" s="42"/>
      <c r="BN336" s="42"/>
    </row>
    <row r="337" spans="1:66" ht="12.75" customHeight="1" x14ac:dyDescent="0.2">
      <c r="A337" s="5" t="s">
        <v>511</v>
      </c>
      <c r="B337" s="10">
        <f>_xll.ciqfunctions.udf.CIQ(InputTicker, "IQ_PREF_EQUITY",Input!D$2,Date,,,Ccy,Conv)</f>
        <v>0</v>
      </c>
      <c r="C337" s="10">
        <f>_xll.ciqfunctions.udf.CIQ(InputTicker, "IQ_PREF_EQUITY",Input!E$2,Date,,,Ccy,Conv)</f>
        <v>0</v>
      </c>
      <c r="D337" s="10">
        <f>_xll.ciqfunctions.udf.CIQ(InputTicker, "IQ_PREF_EQUITY",Input!F$2,Date,,,Ccy,Conv)</f>
        <v>0</v>
      </c>
      <c r="E337" s="10">
        <f>_xll.ciqfunctions.udf.CIQ(InputTicker, "IQ_PREF_EQUITY",Input!G$2,Date,,,Ccy,Conv)</f>
        <v>0</v>
      </c>
      <c r="F337" s="10">
        <f>_xll.ciqfunctions.udf.CIQ(InputTicker, "IQ_PREF_EQUITY",Input!H$2,Date,,,Ccy,Conv)</f>
        <v>0</v>
      </c>
      <c r="G337" s="10">
        <f>_xll.ciqfunctions.udf.CIQ(InputTicker, "IQ_PREF_EQUITY",Input!I$2,Date,,,Ccy,Conv)</f>
        <v>0</v>
      </c>
      <c r="H337" s="10">
        <f>_xll.ciqfunctions.udf.CIQ(InputTicker, "IQ_PREF_EQUITY",Input!J$2,Date,,,Ccy,Conv)</f>
        <v>0</v>
      </c>
      <c r="I337" s="10">
        <f>_xll.ciqfunctions.udf.CIQ(InputTicker, "IQ_PREF_EQUITY",Input!K$2,Date,,,Ccy,Conv)</f>
        <v>0</v>
      </c>
      <c r="J337" s="10">
        <f>_xll.ciqfunctions.udf.CIQ(InputTicker, "IQ_PREF_EQUITY",Input!L$2,Date,,,Ccy,Conv)</f>
        <v>0</v>
      </c>
      <c r="K337" s="10">
        <f>_xll.ciqfunctions.udf.CIQ(InputTicker, "IQ_PREF_EQUITY",Input!M$2,Date,,,Ccy,Conv)</f>
        <v>0</v>
      </c>
      <c r="L337" s="10">
        <f>_xll.ciqfunctions.udf.CIQ(InputTicker, "IQ_PREF_EQUITY",Input!N$2,Date,,,Ccy,Conv)</f>
        <v>0</v>
      </c>
      <c r="M337" s="10">
        <f>_xll.ciqfunctions.udf.CIQ(InputTicker, "IQ_PREF_EQUITY",Input!O$2,Date,,,Ccy,Conv)</f>
        <v>0</v>
      </c>
      <c r="N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  <c r="BN337" s="42"/>
    </row>
    <row r="338" spans="1:66" ht="12.75" customHeight="1" x14ac:dyDescent="0.2">
      <c r="A338" s="1" t="s">
        <v>47</v>
      </c>
      <c r="B338" s="4">
        <f>_xll.ciqfunctions.udf.CIQ(InputTicker, "IQ_COMMON",Input!D$2,Date,,,Ccy,Conv)</f>
        <v>0.751</v>
      </c>
      <c r="C338" s="4">
        <f>_xll.ciqfunctions.udf.CIQ(InputTicker, "IQ_COMMON",Input!E$2,Date,,,Ccy,Conv)</f>
        <v>0.751</v>
      </c>
      <c r="D338" s="4">
        <f>_xll.ciqfunctions.udf.CIQ(InputTicker, "IQ_COMMON",Input!F$2,Date,,,Ccy,Conv)</f>
        <v>0.751</v>
      </c>
      <c r="E338" s="4">
        <f>_xll.ciqfunctions.udf.CIQ(InputTicker, "IQ_COMMON",Input!G$2,Date,,,Ccy,Conv)</f>
        <v>0.751</v>
      </c>
      <c r="F338" s="4">
        <f>_xll.ciqfunctions.udf.CIQ(InputTicker, "IQ_COMMON",Input!H$2,Date,,,Ccy,Conv)</f>
        <v>0.751</v>
      </c>
      <c r="G338" s="4">
        <f>_xll.ciqfunctions.udf.CIQ(InputTicker, "IQ_COMMON",Input!I$2,Date,,,Ccy,Conv)</f>
        <v>0.751</v>
      </c>
      <c r="H338" s="4">
        <f>_xll.ciqfunctions.udf.CIQ(InputTicker, "IQ_COMMON",Input!J$2,Date,,,Ccy,Conv)</f>
        <v>0.751</v>
      </c>
      <c r="I338" s="4">
        <f>_xll.ciqfunctions.udf.CIQ(InputTicker, "IQ_COMMON",Input!K$2,Date,,,Ccy,Conv)</f>
        <v>0.751</v>
      </c>
      <c r="J338" s="4">
        <f>_xll.ciqfunctions.udf.CIQ(InputTicker, "IQ_COMMON",Input!L$2,Date,,,Ccy,Conv)</f>
        <v>0.751</v>
      </c>
      <c r="K338" s="4">
        <f>_xll.ciqfunctions.udf.CIQ(InputTicker, "IQ_COMMON",Input!M$2,Date,,,Ccy,Conv)</f>
        <v>0.751</v>
      </c>
      <c r="L338" s="4">
        <f>_xll.ciqfunctions.udf.CIQ(InputTicker, "IQ_COMMON",Input!N$2,Date,,,Ccy,Conv)</f>
        <v>0.751</v>
      </c>
      <c r="M338" s="4">
        <f>_xll.ciqfunctions.udf.CIQ(InputTicker, "IQ_COMMON",Input!O$2,Date,,,Ccy,Conv)</f>
        <v>0.751</v>
      </c>
      <c r="N338" s="46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  <c r="BM338" s="42"/>
      <c r="BN338" s="42"/>
    </row>
    <row r="339" spans="1:66" ht="12.75" customHeight="1" x14ac:dyDescent="0.2">
      <c r="A339" s="1" t="s">
        <v>139</v>
      </c>
      <c r="B339" s="4">
        <f>_xll.ciqfunctions.udf.CIQ(InputTicker, "IQ_APIC",Input!D$2,Date,,,Ccy,Conv)</f>
        <v>46.404000000000003</v>
      </c>
      <c r="C339" s="4">
        <f>_xll.ciqfunctions.udf.CIQ(InputTicker, "IQ_APIC",Input!E$2,Date,,,Ccy,Conv)</f>
        <v>49.932000000000002</v>
      </c>
      <c r="D339" s="4">
        <f>_xll.ciqfunctions.udf.CIQ(InputTicker, "IQ_APIC",Input!F$2,Date,,,Ccy,Conv)</f>
        <v>53.323</v>
      </c>
      <c r="E339" s="4">
        <f>_xll.ciqfunctions.udf.CIQ(InputTicker, "IQ_APIC",Input!G$2,Date,,,Ccy,Conv)</f>
        <v>56.856999999999999</v>
      </c>
      <c r="F339" s="4">
        <f>_xll.ciqfunctions.udf.CIQ(InputTicker, "IQ_APIC",Input!H$2,Date,,,Ccy,Conv)</f>
        <v>60.372</v>
      </c>
      <c r="G339" s="4">
        <f>_xll.ciqfunctions.udf.CIQ(InputTicker, "IQ_APIC",Input!I$2,Date,,,Ccy,Conv)</f>
        <v>64.043999999999997</v>
      </c>
      <c r="H339" s="4">
        <f>_xll.ciqfunctions.udf.CIQ(InputTicker, "IQ_APIC",Input!J$2,Date,,,Ccy,Conv)</f>
        <v>67.989000000000004</v>
      </c>
      <c r="I339" s="4">
        <f>_xll.ciqfunctions.udf.CIQ(InputTicker, "IQ_APIC",Input!K$2,Date,,,Ccy,Conv)</f>
        <v>72.111999999999995</v>
      </c>
      <c r="J339" s="4">
        <f>_xll.ciqfunctions.udf.CIQ(InputTicker, "IQ_APIC",Input!L$2,Date,,,Ccy,Conv)</f>
        <v>76.370999999999995</v>
      </c>
      <c r="K339" s="4">
        <f>_xll.ciqfunctions.udf.CIQ(InputTicker, "IQ_APIC",Input!M$2,Date,,,Ccy,Conv)</f>
        <v>80.844999999999999</v>
      </c>
      <c r="L339" s="4">
        <f>_xll.ciqfunctions.udf.CIQ(InputTicker, "IQ_APIC",Input!N$2,Date,,,Ccy,Conv)</f>
        <v>86.105999999999995</v>
      </c>
      <c r="M339" s="4">
        <f>_xll.ciqfunctions.udf.CIQ(InputTicker, "IQ_APIC",Input!O$2,Date,,,Ccy,Conv)</f>
        <v>86.105999999999995</v>
      </c>
      <c r="N339" s="42"/>
      <c r="S339" s="46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  <c r="BM339" s="42"/>
      <c r="BN339" s="42"/>
    </row>
    <row r="340" spans="1:66" ht="12.75" customHeight="1" x14ac:dyDescent="0.2">
      <c r="A340" s="1" t="s">
        <v>98</v>
      </c>
      <c r="B340" s="4">
        <f>_xll.ciqfunctions.udf.CIQ(InputTicker, "IQ_RE",Input!D$2,Date,,,Ccy,Conv)</f>
        <v>890.44</v>
      </c>
      <c r="C340" s="4">
        <f>_xll.ciqfunctions.udf.CIQ(InputTicker, "IQ_RE",Input!E$2,Date,,,Ccy,Conv)</f>
        <v>816.04600000000005</v>
      </c>
      <c r="D340" s="4">
        <f>_xll.ciqfunctions.udf.CIQ(InputTicker, "IQ_RE",Input!F$2,Date,,,Ccy,Conv)</f>
        <v>924.91800000000001</v>
      </c>
      <c r="E340" s="4">
        <f>_xll.ciqfunctions.udf.CIQ(InputTicker, "IQ_RE",Input!G$2,Date,,,Ccy,Conv)</f>
        <v>954.52700000000004</v>
      </c>
      <c r="F340" s="4">
        <f>_xll.ciqfunctions.udf.CIQ(InputTicker, "IQ_RE",Input!H$2,Date,,,Ccy,Conv)</f>
        <v>975.14700000000005</v>
      </c>
      <c r="G340" s="4">
        <f>_xll.ciqfunctions.udf.CIQ(InputTicker, "IQ_RE",Input!I$2,Date,,,Ccy,Conv)</f>
        <v>975.97699999999998</v>
      </c>
      <c r="H340" s="4">
        <f>_xll.ciqfunctions.udf.CIQ(InputTicker, "IQ_RE",Input!J$2,Date,,,Ccy,Conv)</f>
        <v>1065.854</v>
      </c>
      <c r="I340" s="4">
        <f>_xll.ciqfunctions.udf.CIQ(InputTicker, "IQ_RE",Input!K$2,Date,,,Ccy,Conv)</f>
        <v>1571.1120000000001</v>
      </c>
      <c r="J340" s="4">
        <f>_xll.ciqfunctions.udf.CIQ(InputTicker, "IQ_RE",Input!L$2,Date,,,Ccy,Conv)</f>
        <v>1756.395</v>
      </c>
      <c r="K340" s="4">
        <f>_xll.ciqfunctions.udf.CIQ(InputTicker, "IQ_RE",Input!M$2,Date,,,Ccy,Conv)</f>
        <v>2565.9279999999999</v>
      </c>
      <c r="L340" s="4">
        <f>_xll.ciqfunctions.udf.CIQ(InputTicker, "IQ_RE",Input!N$2,Date,,,Ccy,Conv)</f>
        <v>2765.1080000000002</v>
      </c>
      <c r="M340" s="4">
        <f>_xll.ciqfunctions.udf.CIQ(InputTicker, "IQ_RE",Input!O$2,Date,,,Ccy,Conv)</f>
        <v>2765.1080000000002</v>
      </c>
      <c r="N340" s="46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  <c r="BN340" s="42"/>
    </row>
    <row r="341" spans="1:66" ht="12.75" customHeight="1" x14ac:dyDescent="0.2">
      <c r="A341" s="1" t="s">
        <v>54</v>
      </c>
      <c r="B341" s="4">
        <f>_xll.ciqfunctions.udf.CIQ(InputTicker, "IQ_TREASURY",Input!D$2,Date,,,Ccy,Conv)</f>
        <v>-22.271999999999998</v>
      </c>
      <c r="C341" s="4">
        <f>_xll.ciqfunctions.udf.CIQ(InputTicker, "IQ_TREASURY",Input!E$2,Date,,,Ccy,Conv)</f>
        <v>-23.914000000000001</v>
      </c>
      <c r="D341" s="4">
        <f>_xll.ciqfunctions.udf.CIQ(InputTicker, "IQ_TREASURY",Input!F$2,Date,,,Ccy,Conv)</f>
        <v>-24.966000000000001</v>
      </c>
      <c r="E341" s="4">
        <f>_xll.ciqfunctions.udf.CIQ(InputTicker, "IQ_TREASURY",Input!G$2,Date,,,Ccy,Conv)</f>
        <v>-25.866</v>
      </c>
      <c r="F341" s="4">
        <f>_xll.ciqfunctions.udf.CIQ(InputTicker, "IQ_TREASURY",Input!H$2,Date,,,Ccy,Conv)</f>
        <v>-26.673999999999999</v>
      </c>
      <c r="G341" s="4">
        <f>_xll.ciqfunctions.udf.CIQ(InputTicker, "IQ_TREASURY",Input!I$2,Date,,,Ccy,Conv)</f>
        <v>-27.433</v>
      </c>
      <c r="H341" s="4">
        <f>_xll.ciqfunctions.udf.CIQ(InputTicker, "IQ_TREASURY",Input!J$2,Date,,,Ccy,Conv)</f>
        <v>-28.446999999999999</v>
      </c>
      <c r="I341" s="4">
        <f>_xll.ciqfunctions.udf.CIQ(InputTicker, "IQ_TREASURY",Input!K$2,Date,,,Ccy,Conv)</f>
        <v>-30.007999999999999</v>
      </c>
      <c r="J341" s="4">
        <f>_xll.ciqfunctions.udf.CIQ(InputTicker, "IQ_TREASURY",Input!L$2,Date,,,Ccy,Conv)</f>
        <v>-31.597000000000001</v>
      </c>
      <c r="K341" s="4">
        <f>_xll.ciqfunctions.udf.CIQ(InputTicker, "IQ_TREASURY",Input!M$2,Date,,,Ccy,Conv)</f>
        <v>-85.893000000000001</v>
      </c>
      <c r="L341" s="4">
        <f>_xll.ciqfunctions.udf.CIQ(InputTicker, "IQ_TREASURY",Input!N$2,Date,,,Ccy,Conv)</f>
        <v>-217.767</v>
      </c>
      <c r="M341" s="4">
        <f>_xll.ciqfunctions.udf.CIQ(InputTicker, "IQ_TREASURY",Input!O$2,Date,,,Ccy,Conv)</f>
        <v>-217.767</v>
      </c>
      <c r="N341" s="46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  <c r="BM341" s="42"/>
      <c r="BN341" s="42"/>
    </row>
    <row r="342" spans="1:66" ht="12.75" customHeight="1" x14ac:dyDescent="0.2">
      <c r="A342" s="1" t="s">
        <v>140</v>
      </c>
      <c r="B342" s="4">
        <f>_xll.ciqfunctions.udf.CIQ(InputTicker, "IQ_OTHER_EQUITY",Input!D$2,Date,,,Ccy,Conv)</f>
        <v>-4.8000000000000001E-2</v>
      </c>
      <c r="C342" s="4">
        <f>_xll.ciqfunctions.udf.CIQ(InputTicker, "IQ_OTHER_EQUITY",Input!E$2,Date,,,Ccy,Conv)</f>
        <v>-0.128</v>
      </c>
      <c r="D342" s="4">
        <f>_xll.ciqfunctions.udf.CIQ(InputTicker, "IQ_OTHER_EQUITY",Input!F$2,Date,,,Ccy,Conv)</f>
        <v>-0.69299999999999995</v>
      </c>
      <c r="E342" s="4">
        <f>_xll.ciqfunctions.udf.CIQ(InputTicker, "IQ_OTHER_EQUITY",Input!G$2,Date,,,Ccy,Conv)</f>
        <v>0.35499999999999998</v>
      </c>
      <c r="F342" s="4">
        <f>_xll.ciqfunctions.udf.CIQ(InputTicker, "IQ_OTHER_EQUITY",Input!H$2,Date,,,Ccy,Conv)</f>
        <v>7.9000000000000001E-2</v>
      </c>
      <c r="G342" s="4">
        <f>_xll.ciqfunctions.udf.CIQ(InputTicker, "IQ_OTHER_EQUITY",Input!I$2,Date,,,Ccy,Conv)</f>
        <v>-0.55800000000000005</v>
      </c>
      <c r="H342" s="4">
        <f>_xll.ciqfunctions.udf.CIQ(InputTicker, "IQ_OTHER_EQUITY",Input!J$2,Date,,,Ccy,Conv)</f>
        <v>-1.5960000000000001</v>
      </c>
      <c r="I342" s="4">
        <f>_xll.ciqfunctions.udf.CIQ(InputTicker, "IQ_OTHER_EQUITY",Input!K$2,Date,,,Ccy,Conv)</f>
        <v>-2.8860000000000001</v>
      </c>
      <c r="J342" s="4">
        <f>_xll.ciqfunctions.udf.CIQ(InputTicker, "IQ_OTHER_EQUITY",Input!L$2,Date,,,Ccy,Conv)</f>
        <v>-1.7729999999999999</v>
      </c>
      <c r="K342" s="4">
        <f>_xll.ciqfunctions.udf.CIQ(InputTicker, "IQ_OTHER_EQUITY",Input!M$2,Date,,,Ccy,Conv)</f>
        <v>-1.0069999999999999</v>
      </c>
      <c r="L342" s="4">
        <f>_xll.ciqfunctions.udf.CIQ(InputTicker, "IQ_OTHER_EQUITY",Input!N$2,Date,,,Ccy,Conv)</f>
        <v>-1.466</v>
      </c>
      <c r="M342" s="4">
        <f>_xll.ciqfunctions.udf.CIQ(InputTicker, "IQ_OTHER_EQUITY",Input!O$2,Date,,,Ccy,Conv)</f>
        <v>-1.466</v>
      </c>
      <c r="N342" s="46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  <c r="BN342" s="42"/>
    </row>
    <row r="343" spans="1:66" ht="12.75" customHeight="1" x14ac:dyDescent="0.2">
      <c r="A343" s="5" t="s">
        <v>99</v>
      </c>
      <c r="B343" s="6">
        <f>_xll.ciqfunctions.udf.CIQ(InputTicker, "IQ_TOTAL_COMMON_EQUITY",Input!D$2,Date,,,Ccy,Conv)</f>
        <v>915.27499999999998</v>
      </c>
      <c r="C343" s="6">
        <f>_xll.ciqfunctions.udf.CIQ(InputTicker, "IQ_TOTAL_COMMON_EQUITY",Input!E$2,Date,,,Ccy,Conv)</f>
        <v>842.68700000000001</v>
      </c>
      <c r="D343" s="6">
        <f>_xll.ciqfunctions.udf.CIQ(InputTicker, "IQ_TOTAL_COMMON_EQUITY",Input!F$2,Date,,,Ccy,Conv)</f>
        <v>953.33299999999997</v>
      </c>
      <c r="E343" s="6">
        <f>_xll.ciqfunctions.udf.CIQ(InputTicker, "IQ_TOTAL_COMMON_EQUITY",Input!G$2,Date,,,Ccy,Conv)</f>
        <v>986.62400000000002</v>
      </c>
      <c r="F343" s="6">
        <f>_xll.ciqfunctions.udf.CIQ(InputTicker, "IQ_TOTAL_COMMON_EQUITY",Input!H$2,Date,,,Ccy,Conv)</f>
        <v>1009.675</v>
      </c>
      <c r="G343" s="6">
        <f>_xll.ciqfunctions.udf.CIQ(InputTicker, "IQ_TOTAL_COMMON_EQUITY",Input!I$2,Date,,,Ccy,Conv)</f>
        <v>1012.7809999999999</v>
      </c>
      <c r="H343" s="6">
        <f>_xll.ciqfunctions.udf.CIQ(InputTicker, "IQ_TOTAL_COMMON_EQUITY",Input!J$2,Date,,,Ccy,Conv)</f>
        <v>1104.5509999999999</v>
      </c>
      <c r="I343" s="6">
        <f>_xll.ciqfunctions.udf.CIQ(InputTicker, "IQ_TOTAL_COMMON_EQUITY",Input!K$2,Date,,,Ccy,Conv)</f>
        <v>1611.0809999999999</v>
      </c>
      <c r="J343" s="6">
        <f>_xll.ciqfunctions.udf.CIQ(InputTicker, "IQ_TOTAL_COMMON_EQUITY",Input!L$2,Date,,,Ccy,Conv)</f>
        <v>1800.1469999999999</v>
      </c>
      <c r="K343" s="6">
        <f>_xll.ciqfunctions.udf.CIQ(InputTicker, "IQ_TOTAL_COMMON_EQUITY",Input!M$2,Date,,,Ccy,Conv)</f>
        <v>2560.6239999999998</v>
      </c>
      <c r="L343" s="6">
        <f>_xll.ciqfunctions.udf.CIQ(InputTicker, "IQ_TOTAL_COMMON_EQUITY",Input!N$2,Date,,,Ccy,Conv)</f>
        <v>2632.732</v>
      </c>
      <c r="M343" s="6">
        <f>_xll.ciqfunctions.udf.CIQ(InputTicker, "IQ_TOTAL_COMMON_EQUITY",Input!O$2,Date,,,Ccy,Conv)</f>
        <v>2632.732</v>
      </c>
      <c r="N343" s="42"/>
      <c r="P343" s="51"/>
      <c r="Q343" s="51"/>
      <c r="R343" s="51"/>
      <c r="T343" s="42"/>
      <c r="U343" s="42"/>
      <c r="V343" s="51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  <c r="BM343" s="42"/>
      <c r="BN343" s="42"/>
    </row>
    <row r="344" spans="1:66" ht="12.75" customHeight="1" x14ac:dyDescent="0.2">
      <c r="A344" s="1" t="s">
        <v>188</v>
      </c>
      <c r="B344" s="4">
        <f>_xll.ciqfunctions.udf.CIQ(InputTicker, "IQ_MINORITY_INTEREST",Input!D$2,Date,,,Ccy,Conv)</f>
        <v>2.0859999999999999</v>
      </c>
      <c r="C344" s="4">
        <f>_xll.ciqfunctions.udf.CIQ(InputTicker, "IQ_MINORITY_INTEREST",Input!E$2,Date,,,Ccy,Conv)</f>
        <v>1.806</v>
      </c>
      <c r="D344" s="4">
        <f>_xll.ciqfunctions.udf.CIQ(InputTicker, "IQ_MINORITY_INTEREST",Input!F$2,Date,,,Ccy,Conv)</f>
        <v>2.3490000000000002</v>
      </c>
      <c r="E344" s="4">
        <f>_xll.ciqfunctions.udf.CIQ(InputTicker, "IQ_MINORITY_INTEREST",Input!G$2,Date,,,Ccy,Conv)</f>
        <v>3.1819999999999999</v>
      </c>
      <c r="F344" s="4">
        <f>_xll.ciqfunctions.udf.CIQ(InputTicker, "IQ_MINORITY_INTEREST",Input!H$2,Date,,,Ccy,Conv)</f>
        <v>0</v>
      </c>
      <c r="G344" s="4">
        <f>_xll.ciqfunctions.udf.CIQ(InputTicker, "IQ_MINORITY_INTEREST",Input!I$2,Date,,,Ccy,Conv)</f>
        <v>0</v>
      </c>
      <c r="H344" s="4">
        <f>_xll.ciqfunctions.udf.CIQ(InputTicker, "IQ_MINORITY_INTEREST",Input!J$2,Date,,,Ccy,Conv)</f>
        <v>-0.20599999999999999</v>
      </c>
      <c r="I344" s="4">
        <f>_xll.ciqfunctions.udf.CIQ(InputTicker, "IQ_MINORITY_INTEREST",Input!K$2,Date,,,Ccy,Conv)</f>
        <v>-1.498</v>
      </c>
      <c r="J344" s="4">
        <f>_xll.ciqfunctions.udf.CIQ(InputTicker, "IQ_MINORITY_INTEREST",Input!L$2,Date,,,Ccy,Conv)</f>
        <v>-3.1040000000000001</v>
      </c>
      <c r="K344" s="4">
        <f>_xll.ciqfunctions.udf.CIQ(InputTicker, "IQ_MINORITY_INTEREST",Input!M$2,Date,,,Ccy,Conv)</f>
        <v>5.391</v>
      </c>
      <c r="L344" s="4">
        <f>_xll.ciqfunctions.udf.CIQ(InputTicker, "IQ_MINORITY_INTEREST",Input!N$2,Date,,,Ccy,Conv)</f>
        <v>7.8</v>
      </c>
      <c r="M344" s="4">
        <f>_xll.ciqfunctions.udf.CIQ(InputTicker, "IQ_MINORITY_INTEREST",Input!O$2,Date,,,Ccy,Conv)</f>
        <v>7.8</v>
      </c>
      <c r="N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  <c r="BN344" s="42"/>
    </row>
    <row r="345" spans="1:66" ht="12.75" customHeight="1" x14ac:dyDescent="0.2">
      <c r="A345" s="5" t="s">
        <v>46</v>
      </c>
      <c r="B345" s="6">
        <f>_xll.ciqfunctions.udf.CIQ(InputTicker, "IQ_TOTAL_EQUITY",Input!D$2,Date,,,Ccy,Conv)</f>
        <v>917.36099999999999</v>
      </c>
      <c r="C345" s="6">
        <f>_xll.ciqfunctions.udf.CIQ(InputTicker, "IQ_TOTAL_EQUITY",Input!E$2,Date,,,Ccy,Conv)</f>
        <v>844.49300000000005</v>
      </c>
      <c r="D345" s="6">
        <f>_xll.ciqfunctions.udf.CIQ(InputTicker, "IQ_TOTAL_EQUITY",Input!F$2,Date,,,Ccy,Conv)</f>
        <v>955.68200000000002</v>
      </c>
      <c r="E345" s="6">
        <f>_xll.ciqfunctions.udf.CIQ(InputTicker, "IQ_TOTAL_EQUITY",Input!G$2,Date,,,Ccy,Conv)</f>
        <v>989.80600000000004</v>
      </c>
      <c r="F345" s="6">
        <f>_xll.ciqfunctions.udf.CIQ(InputTicker, "IQ_TOTAL_EQUITY",Input!H$2,Date,,,Ccy,Conv)</f>
        <v>1009.675</v>
      </c>
      <c r="G345" s="6">
        <f>_xll.ciqfunctions.udf.CIQ(InputTicker, "IQ_TOTAL_EQUITY",Input!I$2,Date,,,Ccy,Conv)</f>
        <v>1012.7809999999999</v>
      </c>
      <c r="H345" s="6">
        <f>_xll.ciqfunctions.udf.CIQ(InputTicker, "IQ_TOTAL_EQUITY",Input!J$2,Date,,,Ccy,Conv)</f>
        <v>1104.345</v>
      </c>
      <c r="I345" s="6">
        <f>_xll.ciqfunctions.udf.CIQ(InputTicker, "IQ_TOTAL_EQUITY",Input!K$2,Date,,,Ccy,Conv)</f>
        <v>1609.5830000000001</v>
      </c>
      <c r="J345" s="6">
        <f>_xll.ciqfunctions.udf.CIQ(InputTicker, "IQ_TOTAL_EQUITY",Input!L$2,Date,,,Ccy,Conv)</f>
        <v>1797.0429999999999</v>
      </c>
      <c r="K345" s="6">
        <f>_xll.ciqfunctions.udf.CIQ(InputTicker, "IQ_TOTAL_EQUITY",Input!M$2,Date,,,Ccy,Conv)</f>
        <v>2566.0149999999999</v>
      </c>
      <c r="L345" s="6">
        <f>_xll.ciqfunctions.udf.CIQ(InputTicker, "IQ_TOTAL_EQUITY",Input!N$2,Date,,,Ccy,Conv)</f>
        <v>2640.5320000000002</v>
      </c>
      <c r="M345" s="6">
        <f>_xll.ciqfunctions.udf.CIQ(InputTicker, "IQ_TOTAL_EQUITY",Input!O$2,Date,,,Ccy,Conv)</f>
        <v>2640.5320000000002</v>
      </c>
      <c r="N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  <c r="BM345" s="42"/>
      <c r="BN345" s="42"/>
    </row>
    <row r="346" spans="1:66" ht="12.75" customHeight="1" thickBot="1" x14ac:dyDescent="0.25">
      <c r="A346" s="5" t="s">
        <v>100</v>
      </c>
      <c r="B346" s="9">
        <f>_xll.ciqfunctions.udf.CIQ(InputTicker, "IQ_TOTAL_LIAB_EQUITY",Input!D$2,Date,,,Ccy,Conv)</f>
        <v>1111.7650000000001</v>
      </c>
      <c r="C346" s="9">
        <f>_xll.ciqfunctions.udf.CIQ(InputTicker, "IQ_TOTAL_LIAB_EQUITY",Input!E$2,Date,,,Ccy,Conv)</f>
        <v>1033.0940000000001</v>
      </c>
      <c r="D346" s="9">
        <f>_xll.ciqfunctions.udf.CIQ(InputTicker, "IQ_TOTAL_LIAB_EQUITY",Input!F$2,Date,,,Ccy,Conv)</f>
        <v>1150.4469999999999</v>
      </c>
      <c r="E346" s="9">
        <f>_xll.ciqfunctions.udf.CIQ(InputTicker, "IQ_TOTAL_LIAB_EQUITY",Input!G$2,Date,,,Ccy,Conv)</f>
        <v>1156.278</v>
      </c>
      <c r="F346" s="9">
        <f>_xll.ciqfunctions.udf.CIQ(InputTicker, "IQ_TOTAL_LIAB_EQUITY",Input!H$2,Date,,,Ccy,Conv)</f>
        <v>1206.694</v>
      </c>
      <c r="G346" s="9">
        <f>_xll.ciqfunctions.udf.CIQ(InputTicker, "IQ_TOTAL_LIAB_EQUITY",Input!I$2,Date,,,Ccy,Conv)</f>
        <v>1229.174</v>
      </c>
      <c r="H346" s="9">
        <f>_xll.ciqfunctions.udf.CIQ(InputTicker, "IQ_TOTAL_LIAB_EQUITY",Input!J$2,Date,,,Ccy,Conv)</f>
        <v>1427.489</v>
      </c>
      <c r="I346" s="9">
        <f>_xll.ciqfunctions.udf.CIQ(InputTicker, "IQ_TOTAL_LIAB_EQUITY",Input!K$2,Date,,,Ccy,Conv)</f>
        <v>1954.5250000000001</v>
      </c>
      <c r="J346" s="9">
        <f>_xll.ciqfunctions.udf.CIQ(InputTicker, "IQ_TOTAL_LIAB_EQUITY",Input!L$2,Date,,,Ccy,Conv)</f>
        <v>2184.761</v>
      </c>
      <c r="K346" s="9">
        <f>_xll.ciqfunctions.udf.CIQ(InputTicker, "IQ_TOTAL_LIAB_EQUITY",Input!M$2,Date,,,Ccy,Conv)</f>
        <v>3084.6190000000001</v>
      </c>
      <c r="L346" s="9">
        <f>_xll.ciqfunctions.udf.CIQ(InputTicker, "IQ_TOTAL_LIAB_EQUITY",Input!N$2,Date,,,Ccy,Conv)</f>
        <v>3107.57</v>
      </c>
      <c r="M346" s="9">
        <f>_xll.ciqfunctions.udf.CIQ(InputTicker, "IQ_TOTAL_LIAB_EQUITY",Input!O$2,Date,,,Ccy,Conv)</f>
        <v>3107.57</v>
      </c>
      <c r="N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  <c r="BM346" s="42"/>
      <c r="BN346" s="42"/>
    </row>
    <row r="347" spans="1:66" ht="12.75" customHeight="1" thickTop="1" x14ac:dyDescent="0.2">
      <c r="A347" s="1" t="s">
        <v>449</v>
      </c>
      <c r="B347" s="4">
        <f>_xll.ciqfunctions.udf.CIQ(InputTicker, "IQ_RUA_GROSS",Input!D$2,Date,,,Ccy,Conv)</f>
        <v>0</v>
      </c>
      <c r="C347" s="4">
        <f>_xll.ciqfunctions.udf.CIQ(InputTicker, "IQ_RUA_GROSS",Input!E$2,Date,,,Ccy,Conv)</f>
        <v>0</v>
      </c>
      <c r="D347" s="4">
        <f>_xll.ciqfunctions.udf.CIQ(InputTicker, "IQ_RUA_GROSS",Input!F$2,Date,,,Ccy,Conv)</f>
        <v>0</v>
      </c>
      <c r="E347" s="4">
        <f>_xll.ciqfunctions.udf.CIQ(InputTicker, "IQ_RUA_GROSS",Input!G$2,Date,,,Ccy,Conv)</f>
        <v>0</v>
      </c>
      <c r="F347" s="4">
        <f>_xll.ciqfunctions.udf.CIQ(InputTicker, "IQ_RUA_GROSS",Input!H$2,Date,,,Ccy,Conv)</f>
        <v>0</v>
      </c>
      <c r="G347" s="4">
        <f>_xll.ciqfunctions.udf.CIQ(InputTicker, "IQ_RUA_GROSS",Input!I$2,Date,,,Ccy,Conv)</f>
        <v>0</v>
      </c>
      <c r="H347" s="4">
        <f>_xll.ciqfunctions.udf.CIQ(InputTicker, "IQ_RUA_GROSS",Input!J$2,Date,,,Ccy,Conv)</f>
        <v>0</v>
      </c>
      <c r="I347" s="4">
        <f>_xll.ciqfunctions.udf.CIQ(InputTicker, "IQ_RUA_GROSS",Input!K$2,Date,,,Ccy,Conv)</f>
        <v>0</v>
      </c>
      <c r="J347" s="4">
        <f>_xll.ciqfunctions.udf.CIQ(InputTicker, "IQ_RUA_GROSS",Input!L$2,Date,,,Ccy,Conv)</f>
        <v>0</v>
      </c>
      <c r="K347" s="4">
        <f>_xll.ciqfunctions.udf.CIQ(InputTicker, "IQ_RUA_GROSS",Input!M$2,Date,,,Ccy,Conv)</f>
        <v>0</v>
      </c>
      <c r="L347" s="4">
        <f>_xll.ciqfunctions.udf.CIQ(InputTicker, "IQ_RUA_GROSS",Input!N$2,Date,,,Ccy,Conv)</f>
        <v>0</v>
      </c>
      <c r="M347" s="4">
        <f>_xll.ciqfunctions.udf.CIQ(InputTicker, "IQ_RUA_GROSS",Input!O$2,Date,,,Ccy,Conv)</f>
        <v>0</v>
      </c>
      <c r="N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  <c r="BM347" s="42"/>
      <c r="BN347" s="42"/>
    </row>
    <row r="348" spans="1:66" ht="12.75" customHeight="1" x14ac:dyDescent="0.2">
      <c r="A348" s="1" t="s">
        <v>450</v>
      </c>
      <c r="B348" s="4">
        <f>_xll.ciqfunctions.udf.CIQ(InputTicker, "IQ_RUA_ACCUM_DEP",Input!D$2,Date,,,Ccy,Conv)</f>
        <v>0</v>
      </c>
      <c r="C348" s="4">
        <f>_xll.ciqfunctions.udf.CIQ(InputTicker, "IQ_RUA_ACCUM_DEP",Input!E$2,Date,,,Ccy,Conv)</f>
        <v>0</v>
      </c>
      <c r="D348" s="4">
        <f>_xll.ciqfunctions.udf.CIQ(InputTicker, "IQ_RUA_ACCUM_DEP",Input!F$2,Date,,,Ccy,Conv)</f>
        <v>0</v>
      </c>
      <c r="E348" s="4">
        <f>_xll.ciqfunctions.udf.CIQ(InputTicker, "IQ_RUA_ACCUM_DEP",Input!G$2,Date,,,Ccy,Conv)</f>
        <v>0</v>
      </c>
      <c r="F348" s="4">
        <f>_xll.ciqfunctions.udf.CIQ(InputTicker, "IQ_RUA_ACCUM_DEP",Input!H$2,Date,,,Ccy,Conv)</f>
        <v>0</v>
      </c>
      <c r="G348" s="4">
        <f>_xll.ciqfunctions.udf.CIQ(InputTicker, "IQ_RUA_ACCUM_DEP",Input!I$2,Date,,,Ccy,Conv)</f>
        <v>0</v>
      </c>
      <c r="H348" s="4">
        <f>_xll.ciqfunctions.udf.CIQ(InputTicker, "IQ_RUA_ACCUM_DEP",Input!J$2,Date,,,Ccy,Conv)</f>
        <v>0</v>
      </c>
      <c r="I348" s="4">
        <f>_xll.ciqfunctions.udf.CIQ(InputTicker, "IQ_RUA_ACCUM_DEP",Input!K$2,Date,,,Ccy,Conv)</f>
        <v>0</v>
      </c>
      <c r="J348" s="4">
        <f>_xll.ciqfunctions.udf.CIQ(InputTicker, "IQ_RUA_ACCUM_DEP",Input!L$2,Date,,,Ccy,Conv)</f>
        <v>0</v>
      </c>
      <c r="K348" s="4">
        <f>_xll.ciqfunctions.udf.CIQ(InputTicker, "IQ_RUA_ACCUM_DEP",Input!M$2,Date,,,Ccy,Conv)</f>
        <v>0</v>
      </c>
      <c r="L348" s="4">
        <f>_xll.ciqfunctions.udf.CIQ(InputTicker, "IQ_RUA_ACCUM_DEP",Input!N$2,Date,,,Ccy,Conv)</f>
        <v>0</v>
      </c>
      <c r="M348" s="4">
        <f>_xll.ciqfunctions.udf.CIQ(InputTicker, "IQ_RUA_ACCUM_DEP",Input!O$2,Date,,,Ccy,Conv)</f>
        <v>0</v>
      </c>
      <c r="N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</row>
    <row r="349" spans="1:66" ht="12.75" customHeight="1" x14ac:dyDescent="0.2">
      <c r="A349" s="1" t="s">
        <v>451</v>
      </c>
      <c r="B349" s="4">
        <f>_xll.ciqfunctions.udf.CIQ(InputTicker, "IQ_RUA_NET",Input!D$2,Date,,,Ccy,Conv)</f>
        <v>0</v>
      </c>
      <c r="C349" s="4">
        <f>_xll.ciqfunctions.udf.CIQ(InputTicker, "IQ_RUA_NET",Input!E$2,Date,,,Ccy,Conv)</f>
        <v>0</v>
      </c>
      <c r="D349" s="4">
        <f>_xll.ciqfunctions.udf.CIQ(InputTicker, "IQ_RUA_NET",Input!F$2,Date,,,Ccy,Conv)</f>
        <v>0</v>
      </c>
      <c r="E349" s="4">
        <f>_xll.ciqfunctions.udf.CIQ(InputTicker, "IQ_RUA_NET",Input!G$2,Date,,,Ccy,Conv)</f>
        <v>0</v>
      </c>
      <c r="F349" s="4">
        <f>_xll.ciqfunctions.udf.CIQ(InputTicker, "IQ_RUA_NET",Input!H$2,Date,,,Ccy,Conv)</f>
        <v>0</v>
      </c>
      <c r="G349" s="4">
        <f>_xll.ciqfunctions.udf.CIQ(InputTicker, "IQ_RUA_NET",Input!I$2,Date,,,Ccy,Conv)</f>
        <v>0</v>
      </c>
      <c r="H349" s="4">
        <f>_xll.ciqfunctions.udf.CIQ(InputTicker, "IQ_RUA_NET",Input!J$2,Date,,,Ccy,Conv)</f>
        <v>0</v>
      </c>
      <c r="I349" s="4">
        <f>_xll.ciqfunctions.udf.CIQ(InputTicker, "IQ_RUA_NET",Input!K$2,Date,,,Ccy,Conv)</f>
        <v>0</v>
      </c>
      <c r="J349" s="4">
        <f>_xll.ciqfunctions.udf.CIQ(InputTicker, "IQ_RUA_NET",Input!L$2,Date,,,Ccy,Conv)</f>
        <v>0</v>
      </c>
      <c r="K349" s="4">
        <f>_xll.ciqfunctions.udf.CIQ(InputTicker, "IQ_RUA_NET",Input!M$2,Date,,,Ccy,Conv)</f>
        <v>0</v>
      </c>
      <c r="L349" s="4">
        <f>_xll.ciqfunctions.udf.CIQ(InputTicker, "IQ_RUA_NET",Input!N$2,Date,,,Ccy,Conv)</f>
        <v>0</v>
      </c>
      <c r="M349" s="4">
        <f>_xll.ciqfunctions.udf.CIQ(InputTicker, "IQ_RUA_NET",Input!O$2,Date,,,Ccy,Conv)</f>
        <v>0</v>
      </c>
      <c r="N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  <c r="BM349" s="42"/>
      <c r="BN349" s="42"/>
    </row>
    <row r="350" spans="1:66" ht="12.75" customHeight="1" x14ac:dyDescent="0.2">
      <c r="A350" s="1" t="s">
        <v>452</v>
      </c>
      <c r="B350" s="4">
        <f>_xll.ciqfunctions.udf.CIQ(InputTicker, "IQ_RUA_CAPITAL_LEASE_GROSS",Input!D$2,Date,,,Ccy,Conv)</f>
        <v>0</v>
      </c>
      <c r="C350" s="4">
        <f>_xll.ciqfunctions.udf.CIQ(InputTicker, "IQ_RUA_CAPITAL_LEASE_GROSS",Input!E$2,Date,,,Ccy,Conv)</f>
        <v>0</v>
      </c>
      <c r="D350" s="4">
        <f>_xll.ciqfunctions.udf.CIQ(InputTicker, "IQ_RUA_CAPITAL_LEASE_GROSS",Input!F$2,Date,,,Ccy,Conv)</f>
        <v>0</v>
      </c>
      <c r="E350" s="4">
        <f>_xll.ciqfunctions.udf.CIQ(InputTicker, "IQ_RUA_CAPITAL_LEASE_GROSS",Input!G$2,Date,,,Ccy,Conv)</f>
        <v>0.94699999999999995</v>
      </c>
      <c r="F350" s="4">
        <f>_xll.ciqfunctions.udf.CIQ(InputTicker, "IQ_RUA_CAPITAL_LEASE_GROSS",Input!H$2,Date,,,Ccy,Conv)</f>
        <v>0.67800000000000005</v>
      </c>
      <c r="G350" s="4">
        <f>_xll.ciqfunctions.udf.CIQ(InputTicker, "IQ_RUA_CAPITAL_LEASE_GROSS",Input!I$2,Date,,,Ccy,Conv)</f>
        <v>0.52500000000000002</v>
      </c>
      <c r="H350" s="4">
        <f>_xll.ciqfunctions.udf.CIQ(InputTicker, "IQ_RUA_CAPITAL_LEASE_GROSS",Input!J$2,Date,,,Ccy,Conv)</f>
        <v>0</v>
      </c>
      <c r="I350" s="4">
        <f>_xll.ciqfunctions.udf.CIQ(InputTicker, "IQ_RUA_CAPITAL_LEASE_GROSS",Input!K$2,Date,,,Ccy,Conv)</f>
        <v>0</v>
      </c>
      <c r="J350" s="4">
        <f>_xll.ciqfunctions.udf.CIQ(InputTicker, "IQ_RUA_CAPITAL_LEASE_GROSS",Input!L$2,Date,,,Ccy,Conv)</f>
        <v>0</v>
      </c>
      <c r="K350" s="4">
        <f>_xll.ciqfunctions.udf.CIQ(InputTicker, "IQ_RUA_CAPITAL_LEASE_GROSS",Input!M$2,Date,,,Ccy,Conv)</f>
        <v>0</v>
      </c>
      <c r="L350" s="4">
        <f>_xll.ciqfunctions.udf.CIQ(InputTicker, "IQ_RUA_CAPITAL_LEASE_GROSS",Input!N$2,Date,,,Ccy,Conv)</f>
        <v>0</v>
      </c>
      <c r="M350" s="4">
        <f>_xll.ciqfunctions.udf.CIQ(InputTicker, "IQ_RUA_CAPITAL_LEASE_GROSS",Input!O$2,Date,,,Ccy,Conv)</f>
        <v>0</v>
      </c>
      <c r="N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  <c r="BN350" s="42"/>
    </row>
    <row r="351" spans="1:66" ht="12.75" customHeight="1" x14ac:dyDescent="0.2">
      <c r="A351" s="1" t="s">
        <v>453</v>
      </c>
      <c r="B351" s="4">
        <f>_xll.ciqfunctions.udf.CIQ(InputTicker, "IQ_RUA_CAPITAL_LEASE_ACCUM_DEP",Input!D$2,Date,,,Ccy,Conv)</f>
        <v>0</v>
      </c>
      <c r="C351" s="4">
        <f>_xll.ciqfunctions.udf.CIQ(InputTicker, "IQ_RUA_CAPITAL_LEASE_ACCUM_DEP",Input!E$2,Date,,,Ccy,Conv)</f>
        <v>0</v>
      </c>
      <c r="D351" s="4">
        <f>_xll.ciqfunctions.udf.CIQ(InputTicker, "IQ_RUA_CAPITAL_LEASE_ACCUM_DEP",Input!F$2,Date,,,Ccy,Conv)</f>
        <v>0</v>
      </c>
      <c r="E351" s="4">
        <f>_xll.ciqfunctions.udf.CIQ(InputTicker, "IQ_RUA_CAPITAL_LEASE_ACCUM_DEP",Input!G$2,Date,,,Ccy,Conv)</f>
        <v>0</v>
      </c>
      <c r="F351" s="4">
        <f>_xll.ciqfunctions.udf.CIQ(InputTicker, "IQ_RUA_CAPITAL_LEASE_ACCUM_DEP",Input!H$2,Date,,,Ccy,Conv)</f>
        <v>0</v>
      </c>
      <c r="G351" s="4">
        <f>_xll.ciqfunctions.udf.CIQ(InputTicker, "IQ_RUA_CAPITAL_LEASE_ACCUM_DEP",Input!I$2,Date,,,Ccy,Conv)</f>
        <v>0</v>
      </c>
      <c r="H351" s="4">
        <f>_xll.ciqfunctions.udf.CIQ(InputTicker, "IQ_RUA_CAPITAL_LEASE_ACCUM_DEP",Input!J$2,Date,,,Ccy,Conv)</f>
        <v>0</v>
      </c>
      <c r="I351" s="4">
        <f>_xll.ciqfunctions.udf.CIQ(InputTicker, "IQ_RUA_CAPITAL_LEASE_ACCUM_DEP",Input!K$2,Date,,,Ccy,Conv)</f>
        <v>0</v>
      </c>
      <c r="J351" s="4">
        <f>_xll.ciqfunctions.udf.CIQ(InputTicker, "IQ_RUA_CAPITAL_LEASE_ACCUM_DEP",Input!L$2,Date,,,Ccy,Conv)</f>
        <v>0</v>
      </c>
      <c r="K351" s="4">
        <f>_xll.ciqfunctions.udf.CIQ(InputTicker, "IQ_RUA_CAPITAL_LEASE_ACCUM_DEP",Input!M$2,Date,,,Ccy,Conv)</f>
        <v>0</v>
      </c>
      <c r="L351" s="4">
        <f>_xll.ciqfunctions.udf.CIQ(InputTicker, "IQ_RUA_CAPITAL_LEASE_ACCUM_DEP",Input!N$2,Date,,,Ccy,Conv)</f>
        <v>0</v>
      </c>
      <c r="M351" s="4">
        <f>_xll.ciqfunctions.udf.CIQ(InputTicker, "IQ_RUA_CAPITAL_LEASE_ACCUM_DEP",Input!O$2,Date,,,Ccy,Conv)</f>
        <v>0</v>
      </c>
      <c r="N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  <c r="BN351" s="42"/>
    </row>
    <row r="352" spans="1:66" ht="12.75" customHeight="1" x14ac:dyDescent="0.2">
      <c r="A352" s="1" t="s">
        <v>454</v>
      </c>
      <c r="B352" s="4">
        <f>_xll.ciqfunctions.udf.CIQ(InputTicker, "IQ_RUA_CAPITAL_LEASE_NET",Input!D$2,Date,,,Ccy,Conv)</f>
        <v>0</v>
      </c>
      <c r="C352" s="4">
        <f>_xll.ciqfunctions.udf.CIQ(InputTicker, "IQ_RUA_CAPITAL_LEASE_NET",Input!E$2,Date,,,Ccy,Conv)</f>
        <v>0</v>
      </c>
      <c r="D352" s="4">
        <f>_xll.ciqfunctions.udf.CIQ(InputTicker, "IQ_RUA_CAPITAL_LEASE_NET",Input!F$2,Date,,,Ccy,Conv)</f>
        <v>0</v>
      </c>
      <c r="E352" s="4">
        <f>_xll.ciqfunctions.udf.CIQ(InputTicker, "IQ_RUA_CAPITAL_LEASE_NET",Input!G$2,Date,,,Ccy,Conv)</f>
        <v>0</v>
      </c>
      <c r="F352" s="4">
        <f>_xll.ciqfunctions.udf.CIQ(InputTicker, "IQ_RUA_CAPITAL_LEASE_NET",Input!H$2,Date,,,Ccy,Conv)</f>
        <v>0</v>
      </c>
      <c r="G352" s="4">
        <f>_xll.ciqfunctions.udf.CIQ(InputTicker, "IQ_RUA_CAPITAL_LEASE_NET",Input!I$2,Date,,,Ccy,Conv)</f>
        <v>0</v>
      </c>
      <c r="H352" s="4">
        <f>_xll.ciqfunctions.udf.CIQ(InputTicker, "IQ_RUA_CAPITAL_LEASE_NET",Input!J$2,Date,,,Ccy,Conv)</f>
        <v>0</v>
      </c>
      <c r="I352" s="4">
        <f>_xll.ciqfunctions.udf.CIQ(InputTicker, "IQ_RUA_CAPITAL_LEASE_NET",Input!K$2,Date,,,Ccy,Conv)</f>
        <v>0</v>
      </c>
      <c r="J352" s="4">
        <f>_xll.ciqfunctions.udf.CIQ(InputTicker, "IQ_RUA_CAPITAL_LEASE_NET",Input!L$2,Date,,,Ccy,Conv)</f>
        <v>0</v>
      </c>
      <c r="K352" s="4">
        <f>_xll.ciqfunctions.udf.CIQ(InputTicker, "IQ_RUA_CAPITAL_LEASE_NET",Input!M$2,Date,,,Ccy,Conv)</f>
        <v>0</v>
      </c>
      <c r="L352" s="4">
        <f>_xll.ciqfunctions.udf.CIQ(InputTicker, "IQ_RUA_CAPITAL_LEASE_NET",Input!N$2,Date,,,Ccy,Conv)</f>
        <v>0</v>
      </c>
      <c r="M352" s="4">
        <f>_xll.ciqfunctions.udf.CIQ(InputTicker, "IQ_RUA_CAPITAL_LEASE_NET",Input!O$2,Date,,,Ccy,Conv)</f>
        <v>0</v>
      </c>
      <c r="N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  <c r="BM352" s="42"/>
      <c r="BN352" s="42"/>
    </row>
    <row r="353" spans="1:66" ht="12.75" customHeight="1" x14ac:dyDescent="0.2">
      <c r="A353" s="1" t="s">
        <v>455</v>
      </c>
      <c r="B353" s="4">
        <f>_xll.ciqfunctions.udf.CIQ(InputTicker, "IQ_RUA_OPERATING_LEASE_GROSS",Input!D$2,Date,,,Ccy,Conv)</f>
        <v>0</v>
      </c>
      <c r="C353" s="4">
        <f>_xll.ciqfunctions.udf.CIQ(InputTicker, "IQ_RUA_OPERATING_LEASE_GROSS",Input!E$2,Date,,,Ccy,Conv)</f>
        <v>0</v>
      </c>
      <c r="D353" s="4">
        <f>_xll.ciqfunctions.udf.CIQ(InputTicker, "IQ_RUA_OPERATING_LEASE_GROSS",Input!F$2,Date,,,Ccy,Conv)</f>
        <v>0</v>
      </c>
      <c r="E353" s="4">
        <f>_xll.ciqfunctions.udf.CIQ(InputTicker, "IQ_RUA_OPERATING_LEASE_GROSS",Input!G$2,Date,,,Ccy,Conv)</f>
        <v>0</v>
      </c>
      <c r="F353" s="4">
        <f>_xll.ciqfunctions.udf.CIQ(InputTicker, "IQ_RUA_OPERATING_LEASE_GROSS",Input!H$2,Date,,,Ccy,Conv)</f>
        <v>2.5310000000000001</v>
      </c>
      <c r="G353" s="4">
        <f>_xll.ciqfunctions.udf.CIQ(InputTicker, "IQ_RUA_OPERATING_LEASE_GROSS",Input!I$2,Date,,,Ccy,Conv)</f>
        <v>1.724</v>
      </c>
      <c r="H353" s="4">
        <f>_xll.ciqfunctions.udf.CIQ(InputTicker, "IQ_RUA_OPERATING_LEASE_GROSS",Input!J$2,Date,,,Ccy,Conv)</f>
        <v>0</v>
      </c>
      <c r="I353" s="4">
        <f>_xll.ciqfunctions.udf.CIQ(InputTicker, "IQ_RUA_OPERATING_LEASE_GROSS",Input!K$2,Date,,,Ccy,Conv)</f>
        <v>0</v>
      </c>
      <c r="J353" s="4">
        <f>_xll.ciqfunctions.udf.CIQ(InputTicker, "IQ_RUA_OPERATING_LEASE_GROSS",Input!L$2,Date,,,Ccy,Conv)</f>
        <v>0</v>
      </c>
      <c r="K353" s="4">
        <f>_xll.ciqfunctions.udf.CIQ(InputTicker, "IQ_RUA_OPERATING_LEASE_GROSS",Input!M$2,Date,,,Ccy,Conv)</f>
        <v>0</v>
      </c>
      <c r="L353" s="4">
        <f>_xll.ciqfunctions.udf.CIQ(InputTicker, "IQ_RUA_OPERATING_LEASE_GROSS",Input!N$2,Date,,,Ccy,Conv)</f>
        <v>0</v>
      </c>
      <c r="M353" s="4">
        <f>_xll.ciqfunctions.udf.CIQ(InputTicker, "IQ_RUA_OPERATING_LEASE_GROSS",Input!O$2,Date,,,Ccy,Conv)</f>
        <v>0</v>
      </c>
      <c r="N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</row>
    <row r="354" spans="1:66" ht="12.75" customHeight="1" x14ac:dyDescent="0.2">
      <c r="A354" s="1" t="s">
        <v>456</v>
      </c>
      <c r="B354" s="4">
        <f>_xll.ciqfunctions.udf.CIQ(InputTicker, "IQ_RUA_OPERATING_LEASE_ACCUM_DEP",Input!D$2,Date,,,Ccy,Conv)</f>
        <v>0</v>
      </c>
      <c r="C354" s="4">
        <f>_xll.ciqfunctions.udf.CIQ(InputTicker, "IQ_RUA_OPERATING_LEASE_ACCUM_DEP",Input!E$2,Date,,,Ccy,Conv)</f>
        <v>0</v>
      </c>
      <c r="D354" s="4">
        <f>_xll.ciqfunctions.udf.CIQ(InputTicker, "IQ_RUA_OPERATING_LEASE_ACCUM_DEP",Input!F$2,Date,,,Ccy,Conv)</f>
        <v>0</v>
      </c>
      <c r="E354" s="4">
        <f>_xll.ciqfunctions.udf.CIQ(InputTicker, "IQ_RUA_OPERATING_LEASE_ACCUM_DEP",Input!G$2,Date,,,Ccy,Conv)</f>
        <v>0</v>
      </c>
      <c r="F354" s="4">
        <f>_xll.ciqfunctions.udf.CIQ(InputTicker, "IQ_RUA_OPERATING_LEASE_ACCUM_DEP",Input!H$2,Date,,,Ccy,Conv)</f>
        <v>0</v>
      </c>
      <c r="G354" s="4">
        <f>_xll.ciqfunctions.udf.CIQ(InputTicker, "IQ_RUA_OPERATING_LEASE_ACCUM_DEP",Input!I$2,Date,,,Ccy,Conv)</f>
        <v>0</v>
      </c>
      <c r="H354" s="4">
        <f>_xll.ciqfunctions.udf.CIQ(InputTicker, "IQ_RUA_OPERATING_LEASE_ACCUM_DEP",Input!J$2,Date,,,Ccy,Conv)</f>
        <v>0</v>
      </c>
      <c r="I354" s="4">
        <f>_xll.ciqfunctions.udf.CIQ(InputTicker, "IQ_RUA_OPERATING_LEASE_ACCUM_DEP",Input!K$2,Date,,,Ccy,Conv)</f>
        <v>0</v>
      </c>
      <c r="J354" s="4">
        <f>_xll.ciqfunctions.udf.CIQ(InputTicker, "IQ_RUA_OPERATING_LEASE_ACCUM_DEP",Input!L$2,Date,,,Ccy,Conv)</f>
        <v>0</v>
      </c>
      <c r="K354" s="4">
        <f>_xll.ciqfunctions.udf.CIQ(InputTicker, "IQ_RUA_OPERATING_LEASE_ACCUM_DEP",Input!M$2,Date,,,Ccy,Conv)</f>
        <v>0</v>
      </c>
      <c r="L354" s="4">
        <f>_xll.ciqfunctions.udf.CIQ(InputTicker, "IQ_RUA_OPERATING_LEASE_ACCUM_DEP",Input!N$2,Date,,,Ccy,Conv)</f>
        <v>0</v>
      </c>
      <c r="M354" s="4">
        <f>_xll.ciqfunctions.udf.CIQ(InputTicker, "IQ_RUA_OPERATING_LEASE_ACCUM_DEP",Input!O$2,Date,,,Ccy,Conv)</f>
        <v>0</v>
      </c>
      <c r="N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  <c r="BM354" s="42"/>
      <c r="BN354" s="42"/>
    </row>
    <row r="355" spans="1:66" ht="12.75" customHeight="1" x14ac:dyDescent="0.2">
      <c r="A355" s="1" t="s">
        <v>457</v>
      </c>
      <c r="B355" s="4">
        <f>_xll.ciqfunctions.udf.CIQ(InputTicker, "IQ_RUA_OPERATING_LEASE_NET",Input!D$2,Date,,,Ccy,Conv)</f>
        <v>0</v>
      </c>
      <c r="C355" s="4">
        <f>_xll.ciqfunctions.udf.CIQ(InputTicker, "IQ_RUA_OPERATING_LEASE_NET",Input!E$2,Date,,,Ccy,Conv)</f>
        <v>0</v>
      </c>
      <c r="D355" s="4">
        <f>_xll.ciqfunctions.udf.CIQ(InputTicker, "IQ_RUA_OPERATING_LEASE_NET",Input!F$2,Date,,,Ccy,Conv)</f>
        <v>0</v>
      </c>
      <c r="E355" s="4">
        <f>_xll.ciqfunctions.udf.CIQ(InputTicker, "IQ_RUA_OPERATING_LEASE_NET",Input!G$2,Date,,,Ccy,Conv)</f>
        <v>0</v>
      </c>
      <c r="F355" s="4">
        <f>_xll.ciqfunctions.udf.CIQ(InputTicker, "IQ_RUA_OPERATING_LEASE_NET",Input!H$2,Date,,,Ccy,Conv)</f>
        <v>0</v>
      </c>
      <c r="G355" s="4">
        <f>_xll.ciqfunctions.udf.CIQ(InputTicker, "IQ_RUA_OPERATING_LEASE_NET",Input!I$2,Date,,,Ccy,Conv)</f>
        <v>0</v>
      </c>
      <c r="H355" s="4">
        <f>_xll.ciqfunctions.udf.CIQ(InputTicker, "IQ_RUA_OPERATING_LEASE_NET",Input!J$2,Date,,,Ccy,Conv)</f>
        <v>0</v>
      </c>
      <c r="I355" s="4">
        <f>_xll.ciqfunctions.udf.CIQ(InputTicker, "IQ_RUA_OPERATING_LEASE_NET",Input!K$2,Date,,,Ccy,Conv)</f>
        <v>0</v>
      </c>
      <c r="J355" s="4">
        <f>_xll.ciqfunctions.udf.CIQ(InputTicker, "IQ_RUA_OPERATING_LEASE_NET",Input!L$2,Date,,,Ccy,Conv)</f>
        <v>0</v>
      </c>
      <c r="K355" s="4">
        <f>_xll.ciqfunctions.udf.CIQ(InputTicker, "IQ_RUA_OPERATING_LEASE_NET",Input!M$2,Date,,,Ccy,Conv)</f>
        <v>0</v>
      </c>
      <c r="L355" s="4">
        <f>_xll.ciqfunctions.udf.CIQ(InputTicker, "IQ_RUA_OPERATING_LEASE_NET",Input!N$2,Date,,,Ccy,Conv)</f>
        <v>0</v>
      </c>
      <c r="M355" s="4">
        <f>_xll.ciqfunctions.udf.CIQ(InputTicker, "IQ_RUA_OPERATING_LEASE_NET",Input!O$2,Date,,,Ccy,Conv)</f>
        <v>0</v>
      </c>
      <c r="N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  <c r="BM355" s="42"/>
      <c r="BN355" s="42"/>
    </row>
    <row r="356" spans="1:66" ht="12.75" customHeight="1" x14ac:dyDescent="0.2">
      <c r="A356" s="1" t="s">
        <v>473</v>
      </c>
      <c r="B356" s="4">
        <f>_xll.ciqfunctions.udf.CIQ(InputTicker, "IQ_GPPE_EXCL_OPER_LEASES",Input!D$2,Date,,,Ccy,Conv)</f>
        <v>822.64499999999998</v>
      </c>
      <c r="C356" s="4">
        <f>_xll.ciqfunctions.udf.CIQ(InputTicker, "IQ_GPPE_EXCL_OPER_LEASES",Input!E$2,Date,,,Ccy,Conv)</f>
        <v>927.17899999999997</v>
      </c>
      <c r="D356" s="4">
        <f>_xll.ciqfunctions.udf.CIQ(InputTicker, "IQ_GPPE_EXCL_OPER_LEASES",Input!F$2,Date,,,Ccy,Conv)</f>
        <v>939.09100000000001</v>
      </c>
      <c r="E356" s="4">
        <f>_xll.ciqfunctions.udf.CIQ(InputTicker, "IQ_GPPE_EXCL_OPER_LEASES",Input!G$2,Date,,,Ccy,Conv)</f>
        <v>1011.932</v>
      </c>
      <c r="F356" s="4">
        <f>_xll.ciqfunctions.udf.CIQ(InputTicker, "IQ_GPPE_EXCL_OPER_LEASES",Input!H$2,Date,,,Ccy,Conv)</f>
        <v>1143.3440000000001</v>
      </c>
      <c r="G356" s="4">
        <f>_xll.ciqfunctions.udf.CIQ(InputTicker, "IQ_GPPE_EXCL_OPER_LEASES",Input!I$2,Date,,,Ccy,Conv)</f>
        <v>1213.6880000000001</v>
      </c>
      <c r="H356" s="4">
        <f>_xll.ciqfunctions.udf.CIQ(InputTicker, "IQ_GPPE_EXCL_OPER_LEASES",Input!J$2,Date,,,Ccy,Conv)</f>
        <v>1355.5840000000001</v>
      </c>
      <c r="I356" s="4">
        <f>_xll.ciqfunctions.udf.CIQ(InputTicker, "IQ_GPPE_EXCL_OPER_LEASES",Input!K$2,Date,,,Ccy,Conv)</f>
        <v>1483.758</v>
      </c>
      <c r="J356" s="4">
        <f>_xll.ciqfunctions.udf.CIQ(InputTicker, "IQ_GPPE_EXCL_OPER_LEASES",Input!L$2,Date,,,Ccy,Conv)</f>
        <v>1662.174</v>
      </c>
      <c r="K356" s="4">
        <f>_xll.ciqfunctions.udf.CIQ(InputTicker, "IQ_GPPE_EXCL_OPER_LEASES",Input!M$2,Date,,,Ccy,Conv)</f>
        <v>1905.8240000000001</v>
      </c>
      <c r="L356" s="4">
        <f>_xll.ciqfunctions.udf.CIQ(InputTicker, "IQ_GPPE_EXCL_OPER_LEASES",Input!N$2,Date,,,Ccy,Conv)</f>
        <v>2304.7080000000001</v>
      </c>
      <c r="M356" s="4">
        <f>_xll.ciqfunctions.udf.CIQ(InputTicker, "IQ_GPPE_EXCL_OPER_LEASES",Input!O$2,Date,,,Ccy,Conv)</f>
        <v>2304.7080000000001</v>
      </c>
      <c r="N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  <c r="BN356" s="42"/>
    </row>
    <row r="357" spans="1:66" ht="12.75" customHeight="1" x14ac:dyDescent="0.2">
      <c r="A357" s="1" t="s">
        <v>474</v>
      </c>
      <c r="B357" s="4">
        <f>_xll.ciqfunctions.udf.CIQ(InputTicker, "IQ_AD_EXCL_OPER_LEASES",Input!D$2,Date,,,Ccy,Conv)</f>
        <v>-430.37099999999998</v>
      </c>
      <c r="C357" s="4">
        <f>_xll.ciqfunctions.udf.CIQ(InputTicker, "IQ_AD_EXCL_OPER_LEASES",Input!E$2,Date,,,Ccy,Conv)</f>
        <v>-468.995</v>
      </c>
      <c r="D357" s="4">
        <f>_xll.ciqfunctions.udf.CIQ(InputTicker, "IQ_AD_EXCL_OPER_LEASES",Input!F$2,Date,,,Ccy,Conv)</f>
        <v>-513.70699999999999</v>
      </c>
      <c r="E357" s="4">
        <f>_xll.ciqfunctions.udf.CIQ(InputTicker, "IQ_AD_EXCL_OPER_LEASES",Input!G$2,Date,,,Ccy,Conv)</f>
        <v>-555.63800000000003</v>
      </c>
      <c r="F357" s="4">
        <f>_xll.ciqfunctions.udf.CIQ(InputTicker, "IQ_AD_EXCL_OPER_LEASES",Input!H$2,Date,,,Ccy,Conv)</f>
        <v>-585.29100000000005</v>
      </c>
      <c r="G357" s="4">
        <f>_xll.ciqfunctions.udf.CIQ(InputTicker, "IQ_AD_EXCL_OPER_LEASES",Input!I$2,Date,,,Ccy,Conv)</f>
        <v>-623.74599999999998</v>
      </c>
      <c r="H357" s="4">
        <f>_xll.ciqfunctions.udf.CIQ(InputTicker, "IQ_AD_EXCL_OPER_LEASES",Input!J$2,Date,,,Ccy,Conv)</f>
        <v>-677.78800000000001</v>
      </c>
      <c r="I357" s="4">
        <f>_xll.ciqfunctions.udf.CIQ(InputTicker, "IQ_AD_EXCL_OPER_LEASES",Input!K$2,Date,,,Ccy,Conv)</f>
        <v>-739.21799999999996</v>
      </c>
      <c r="J357" s="4">
        <f>_xll.ciqfunctions.udf.CIQ(InputTicker, "IQ_AD_EXCL_OPER_LEASES",Input!L$2,Date,,,Ccy,Conv)</f>
        <v>-804.94</v>
      </c>
      <c r="K357" s="4">
        <f>_xll.ciqfunctions.udf.CIQ(InputTicker, "IQ_AD_EXCL_OPER_LEASES",Input!M$2,Date,,,Ccy,Conv)</f>
        <v>-879.14</v>
      </c>
      <c r="L357" s="4">
        <f>_xll.ciqfunctions.udf.CIQ(InputTicker, "IQ_AD_EXCL_OPER_LEASES",Input!N$2,Date,,,Ccy,Conv)</f>
        <v>-986.37300000000005</v>
      </c>
      <c r="M357" s="4">
        <f>_xll.ciqfunctions.udf.CIQ(InputTicker, "IQ_AD_EXCL_OPER_LEASES",Input!O$2,Date,,,Ccy,Conv)</f>
        <v>-986.37300000000005</v>
      </c>
      <c r="N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  <c r="BM357" s="42"/>
      <c r="BN357" s="42"/>
    </row>
    <row r="358" spans="1:66" ht="12.75" customHeight="1" x14ac:dyDescent="0.2">
      <c r="A358" s="1" t="s">
        <v>475</v>
      </c>
      <c r="B358" s="4">
        <f>_xll.ciqfunctions.udf.CIQ(InputTicker, "IQ_NPPE_EXCL_OPER_LEASES",Input!D$2,Date,,,Ccy,Conv)</f>
        <v>392.274</v>
      </c>
      <c r="C358" s="4">
        <f>_xll.ciqfunctions.udf.CIQ(InputTicker, "IQ_NPPE_EXCL_OPER_LEASES",Input!E$2,Date,,,Ccy,Conv)</f>
        <v>458.18400000000003</v>
      </c>
      <c r="D358" s="4">
        <f>_xll.ciqfunctions.udf.CIQ(InputTicker, "IQ_NPPE_EXCL_OPER_LEASES",Input!F$2,Date,,,Ccy,Conv)</f>
        <v>425.38400000000001</v>
      </c>
      <c r="E358" s="4">
        <f>_xll.ciqfunctions.udf.CIQ(InputTicker, "IQ_NPPE_EXCL_OPER_LEASES",Input!G$2,Date,,,Ccy,Conv)</f>
        <v>456.29399999999998</v>
      </c>
      <c r="F358" s="4">
        <f>_xll.ciqfunctions.udf.CIQ(InputTicker, "IQ_NPPE_EXCL_OPER_LEASES",Input!H$2,Date,,,Ccy,Conv)</f>
        <v>558.053</v>
      </c>
      <c r="G358" s="4">
        <f>_xll.ciqfunctions.udf.CIQ(InputTicker, "IQ_NPPE_EXCL_OPER_LEASES",Input!I$2,Date,,,Ccy,Conv)</f>
        <v>589.94200000000001</v>
      </c>
      <c r="H358" s="4">
        <f>_xll.ciqfunctions.udf.CIQ(InputTicker, "IQ_NPPE_EXCL_OPER_LEASES",Input!J$2,Date,,,Ccy,Conv)</f>
        <v>677.79600000000005</v>
      </c>
      <c r="I358" s="4">
        <f>_xll.ciqfunctions.udf.CIQ(InputTicker, "IQ_NPPE_EXCL_OPER_LEASES",Input!K$2,Date,,,Ccy,Conv)</f>
        <v>744.54</v>
      </c>
      <c r="J358" s="4">
        <f>_xll.ciqfunctions.udf.CIQ(InputTicker, "IQ_NPPE_EXCL_OPER_LEASES",Input!L$2,Date,,,Ccy,Conv)</f>
        <v>857.23400000000004</v>
      </c>
      <c r="K358" s="4">
        <f>_xll.ciqfunctions.udf.CIQ(InputTicker, "IQ_NPPE_EXCL_OPER_LEASES",Input!M$2,Date,,,Ccy,Conv)</f>
        <v>1026.684</v>
      </c>
      <c r="L358" s="4">
        <f>_xll.ciqfunctions.udf.CIQ(InputTicker, "IQ_NPPE_EXCL_OPER_LEASES",Input!N$2,Date,,,Ccy,Conv)</f>
        <v>1318.335</v>
      </c>
      <c r="M358" s="4">
        <f>_xll.ciqfunctions.udf.CIQ(InputTicker, "IQ_NPPE_EXCL_OPER_LEASES",Input!O$2,Date,,,Ccy,Conv)</f>
        <v>1318.335</v>
      </c>
      <c r="N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  <c r="BN358" s="42"/>
    </row>
    <row r="359" spans="1:66" ht="12.75" customHeight="1" x14ac:dyDescent="0.2">
      <c r="A359" s="1" t="s">
        <v>476</v>
      </c>
      <c r="B359" s="4">
        <f>_xll.ciqfunctions.udf.CIQ(InputTicker, "IQ_FINANCE_LEASES_CURRENT",Input!D$2,Date,,,Ccy,Conv)</f>
        <v>0</v>
      </c>
      <c r="C359" s="4">
        <f>_xll.ciqfunctions.udf.CIQ(InputTicker, "IQ_FINANCE_LEASES_CURRENT",Input!E$2,Date,,,Ccy,Conv)</f>
        <v>0</v>
      </c>
      <c r="D359" s="4">
        <f>_xll.ciqfunctions.udf.CIQ(InputTicker, "IQ_FINANCE_LEASES_CURRENT",Input!F$2,Date,,,Ccy,Conv)</f>
        <v>0</v>
      </c>
      <c r="E359" s="4">
        <f>_xll.ciqfunctions.udf.CIQ(InputTicker, "IQ_FINANCE_LEASES_CURRENT",Input!G$2,Date,,,Ccy,Conv)</f>
        <v>0.19600000000000001</v>
      </c>
      <c r="F359" s="4">
        <f>_xll.ciqfunctions.udf.CIQ(InputTicker, "IQ_FINANCE_LEASES_CURRENT",Input!H$2,Date,,,Ccy,Conv)</f>
        <v>0.20499999999999999</v>
      </c>
      <c r="G359" s="4">
        <f>_xll.ciqfunctions.udf.CIQ(InputTicker, "IQ_FINANCE_LEASES_CURRENT",Input!I$2,Date,,,Ccy,Conv)</f>
        <v>0.215</v>
      </c>
      <c r="H359" s="4">
        <f>_xll.ciqfunctions.udf.CIQ(InputTicker, "IQ_FINANCE_LEASES_CURRENT",Input!J$2,Date,,,Ccy,Conv)</f>
        <v>0</v>
      </c>
      <c r="I359" s="4">
        <f>_xll.ciqfunctions.udf.CIQ(InputTicker, "IQ_FINANCE_LEASES_CURRENT",Input!K$2,Date,,,Ccy,Conv)</f>
        <v>0</v>
      </c>
      <c r="J359" s="4">
        <f>_xll.ciqfunctions.udf.CIQ(InputTicker, "IQ_FINANCE_LEASES_CURRENT",Input!L$2,Date,,,Ccy,Conv)</f>
        <v>0</v>
      </c>
      <c r="K359" s="4">
        <f>_xll.ciqfunctions.udf.CIQ(InputTicker, "IQ_FINANCE_LEASES_CURRENT",Input!M$2,Date,,,Ccy,Conv)</f>
        <v>0</v>
      </c>
      <c r="L359" s="4">
        <f>_xll.ciqfunctions.udf.CIQ(InputTicker, "IQ_FINANCE_LEASES_CURRENT",Input!N$2,Date,,,Ccy,Conv)</f>
        <v>0</v>
      </c>
      <c r="M359" s="4">
        <f>_xll.ciqfunctions.udf.CIQ(InputTicker, "IQ_FINANCE_LEASES_CURRENT",Input!O$2,Date,,,Ccy,Conv)</f>
        <v>0</v>
      </c>
      <c r="N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  <c r="BN359" s="42"/>
    </row>
    <row r="360" spans="1:66" ht="12.75" customHeight="1" x14ac:dyDescent="0.2">
      <c r="A360" s="1" t="s">
        <v>477</v>
      </c>
      <c r="B360" s="4">
        <f>_xll.ciqfunctions.udf.CIQ(InputTicker, "IQ_FINANCE_LEASES_LONG_TERM",Input!D$2,Date,,,Ccy,Conv)</f>
        <v>0</v>
      </c>
      <c r="C360" s="4">
        <f>_xll.ciqfunctions.udf.CIQ(InputTicker, "IQ_FINANCE_LEASES_LONG_TERM",Input!E$2,Date,,,Ccy,Conv)</f>
        <v>0</v>
      </c>
      <c r="D360" s="4">
        <f>_xll.ciqfunctions.udf.CIQ(InputTicker, "IQ_FINANCE_LEASES_LONG_TERM",Input!F$2,Date,,,Ccy,Conv)</f>
        <v>1.34</v>
      </c>
      <c r="E360" s="4">
        <f>_xll.ciqfunctions.udf.CIQ(InputTicker, "IQ_FINANCE_LEASES_LONG_TERM",Input!G$2,Date,,,Ccy,Conv)</f>
        <v>0.85799999999999998</v>
      </c>
      <c r="F360" s="4">
        <f>_xll.ciqfunctions.udf.CIQ(InputTicker, "IQ_FINANCE_LEASES_LONG_TERM",Input!H$2,Date,,,Ccy,Conv)</f>
        <v>0.65200000000000002</v>
      </c>
      <c r="G360" s="4">
        <f>_xll.ciqfunctions.udf.CIQ(InputTicker, "IQ_FINANCE_LEASES_LONG_TERM",Input!I$2,Date,,,Ccy,Conv)</f>
        <v>0.438</v>
      </c>
      <c r="H360" s="4">
        <f>_xll.ciqfunctions.udf.CIQ(InputTicker, "IQ_FINANCE_LEASES_LONG_TERM",Input!J$2,Date,,,Ccy,Conv)</f>
        <v>0</v>
      </c>
      <c r="I360" s="4">
        <f>_xll.ciqfunctions.udf.CIQ(InputTicker, "IQ_FINANCE_LEASES_LONG_TERM",Input!K$2,Date,,,Ccy,Conv)</f>
        <v>0</v>
      </c>
      <c r="J360" s="4">
        <f>_xll.ciqfunctions.udf.CIQ(InputTicker, "IQ_FINANCE_LEASES_LONG_TERM",Input!L$2,Date,,,Ccy,Conv)</f>
        <v>0</v>
      </c>
      <c r="K360" s="4">
        <f>_xll.ciqfunctions.udf.CIQ(InputTicker, "IQ_FINANCE_LEASES_LONG_TERM",Input!M$2,Date,,,Ccy,Conv)</f>
        <v>0</v>
      </c>
      <c r="L360" s="4">
        <f>_xll.ciqfunctions.udf.CIQ(InputTicker, "IQ_FINANCE_LEASES_LONG_TERM",Input!N$2,Date,,,Ccy,Conv)</f>
        <v>0</v>
      </c>
      <c r="M360" s="4">
        <f>_xll.ciqfunctions.udf.CIQ(InputTicker, "IQ_FINANCE_LEASES_LONG_TERM",Input!O$2,Date,,,Ccy,Conv)</f>
        <v>0</v>
      </c>
      <c r="N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42"/>
      <c r="BH360" s="42"/>
      <c r="BI360" s="42"/>
      <c r="BJ360" s="42"/>
      <c r="BK360" s="42"/>
      <c r="BL360" s="42"/>
      <c r="BM360" s="42"/>
      <c r="BN360" s="42"/>
    </row>
    <row r="361" spans="1:66" ht="12.75" customHeight="1" x14ac:dyDescent="0.2">
      <c r="A361" s="1" t="s">
        <v>478</v>
      </c>
      <c r="B361" s="4">
        <f>_xll.ciqfunctions.udf.CIQ(InputTicker, "IQ_TOTAL_FINANCE_LEASES",Input!D$2,Date,,,Ccy,Conv)</f>
        <v>0</v>
      </c>
      <c r="C361" s="4">
        <f>_xll.ciqfunctions.udf.CIQ(InputTicker, "IQ_TOTAL_FINANCE_LEASES",Input!E$2,Date,,,Ccy,Conv)</f>
        <v>0</v>
      </c>
      <c r="D361" s="4">
        <f>_xll.ciqfunctions.udf.CIQ(InputTicker, "IQ_TOTAL_FINANCE_LEASES",Input!F$2,Date,,,Ccy,Conv)</f>
        <v>1.34</v>
      </c>
      <c r="E361" s="4">
        <f>_xll.ciqfunctions.udf.CIQ(InputTicker, "IQ_TOTAL_FINANCE_LEASES",Input!G$2,Date,,,Ccy,Conv)</f>
        <v>1.054</v>
      </c>
      <c r="F361" s="4">
        <f>_xll.ciqfunctions.udf.CIQ(InputTicker, "IQ_TOTAL_FINANCE_LEASES",Input!H$2,Date,,,Ccy,Conv)</f>
        <v>0.85699999999999998</v>
      </c>
      <c r="G361" s="4">
        <f>_xll.ciqfunctions.udf.CIQ(InputTicker, "IQ_TOTAL_FINANCE_LEASES",Input!I$2,Date,,,Ccy,Conv)</f>
        <v>0.65300000000000002</v>
      </c>
      <c r="H361" s="4">
        <f>_xll.ciqfunctions.udf.CIQ(InputTicker, "IQ_TOTAL_FINANCE_LEASES",Input!J$2,Date,,,Ccy,Conv)</f>
        <v>0</v>
      </c>
      <c r="I361" s="4">
        <f>_xll.ciqfunctions.udf.CIQ(InputTicker, "IQ_TOTAL_FINANCE_LEASES",Input!K$2,Date,,,Ccy,Conv)</f>
        <v>0</v>
      </c>
      <c r="J361" s="4">
        <f>_xll.ciqfunctions.udf.CIQ(InputTicker, "IQ_TOTAL_FINANCE_LEASES",Input!L$2,Date,,,Ccy,Conv)</f>
        <v>0</v>
      </c>
      <c r="K361" s="4">
        <f>_xll.ciqfunctions.udf.CIQ(InputTicker, "IQ_TOTAL_FINANCE_LEASES",Input!M$2,Date,,,Ccy,Conv)</f>
        <v>0</v>
      </c>
      <c r="L361" s="4">
        <f>_xll.ciqfunctions.udf.CIQ(InputTicker, "IQ_TOTAL_FINANCE_LEASES",Input!N$2,Date,,,Ccy,Conv)</f>
        <v>0</v>
      </c>
      <c r="M361" s="4">
        <f>_xll.ciqfunctions.udf.CIQ(InputTicker, "IQ_TOTAL_FINANCE_LEASES",Input!O$2,Date,,,Ccy,Conv)</f>
        <v>0</v>
      </c>
      <c r="N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  <c r="BM361" s="42"/>
      <c r="BN361" s="42"/>
    </row>
    <row r="362" spans="1:66" ht="12.75" customHeight="1" x14ac:dyDescent="0.2">
      <c r="A362" s="1" t="s">
        <v>479</v>
      </c>
      <c r="B362" s="4">
        <f>_xll.ciqfunctions.udf.CIQ(InputTicker, "IQ_CURRENT_PORTION_OPER_LEASE_LIABILITIES",Input!D$2,Date,,,Ccy,Conv)</f>
        <v>0</v>
      </c>
      <c r="C362" s="4">
        <f>_xll.ciqfunctions.udf.CIQ(InputTicker, "IQ_CURRENT_PORTION_OPER_LEASE_LIABILITIES",Input!E$2,Date,,,Ccy,Conv)</f>
        <v>0</v>
      </c>
      <c r="D362" s="4">
        <f>_xll.ciqfunctions.udf.CIQ(InputTicker, "IQ_CURRENT_PORTION_OPER_LEASE_LIABILITIES",Input!F$2,Date,,,Ccy,Conv)</f>
        <v>0</v>
      </c>
      <c r="E362" s="4">
        <f>_xll.ciqfunctions.udf.CIQ(InputTicker, "IQ_CURRENT_PORTION_OPER_LEASE_LIABILITIES",Input!G$2,Date,,,Ccy,Conv)</f>
        <v>0</v>
      </c>
      <c r="F362" s="4">
        <f>_xll.ciqfunctions.udf.CIQ(InputTicker, "IQ_CURRENT_PORTION_OPER_LEASE_LIABILITIES",Input!H$2,Date,,,Ccy,Conv)</f>
        <v>0.79600000000000004</v>
      </c>
      <c r="G362" s="4">
        <f>_xll.ciqfunctions.udf.CIQ(InputTicker, "IQ_CURRENT_PORTION_OPER_LEASE_LIABILITIES",Input!I$2,Date,,,Ccy,Conv)</f>
        <v>0.69099999999999995</v>
      </c>
      <c r="H362" s="4">
        <f>_xll.ciqfunctions.udf.CIQ(InputTicker, "IQ_CURRENT_PORTION_OPER_LEASE_LIABILITIES",Input!J$2,Date,,,Ccy,Conv)</f>
        <v>0</v>
      </c>
      <c r="I362" s="4">
        <f>_xll.ciqfunctions.udf.CIQ(InputTicker, "IQ_CURRENT_PORTION_OPER_LEASE_LIABILITIES",Input!K$2,Date,,,Ccy,Conv)</f>
        <v>0</v>
      </c>
      <c r="J362" s="4">
        <f>_xll.ciqfunctions.udf.CIQ(InputTicker, "IQ_CURRENT_PORTION_OPER_LEASE_LIABILITIES",Input!L$2,Date,,,Ccy,Conv)</f>
        <v>0</v>
      </c>
      <c r="K362" s="4">
        <f>_xll.ciqfunctions.udf.CIQ(InputTicker, "IQ_CURRENT_PORTION_OPER_LEASE_LIABILITIES",Input!M$2,Date,,,Ccy,Conv)</f>
        <v>0</v>
      </c>
      <c r="L362" s="4">
        <f>_xll.ciqfunctions.udf.CIQ(InputTicker, "IQ_CURRENT_PORTION_OPER_LEASE_LIABILITIES",Input!N$2,Date,,,Ccy,Conv)</f>
        <v>0</v>
      </c>
      <c r="M362" s="4">
        <f>_xll.ciqfunctions.udf.CIQ(InputTicker, "IQ_CURRENT_PORTION_OPER_LEASE_LIABILITIES",Input!O$2,Date,,,Ccy,Conv)</f>
        <v>0</v>
      </c>
      <c r="N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  <c r="BM362" s="42"/>
      <c r="BN362" s="42"/>
    </row>
    <row r="363" spans="1:66" ht="12.75" customHeight="1" x14ac:dyDescent="0.2">
      <c r="A363" s="1" t="s">
        <v>480</v>
      </c>
      <c r="B363" s="4">
        <f>_xll.ciqfunctions.udf.CIQ(InputTicker, "IQ_LT_PORTION_OPER_LEASE_LIABILITIES",Input!D$2,Date,,,Ccy,Conv)</f>
        <v>0</v>
      </c>
      <c r="C363" s="4">
        <f>_xll.ciqfunctions.udf.CIQ(InputTicker, "IQ_LT_PORTION_OPER_LEASE_LIABILITIES",Input!E$2,Date,,,Ccy,Conv)</f>
        <v>0</v>
      </c>
      <c r="D363" s="4">
        <f>_xll.ciqfunctions.udf.CIQ(InputTicker, "IQ_LT_PORTION_OPER_LEASE_LIABILITIES",Input!F$2,Date,,,Ccy,Conv)</f>
        <v>0</v>
      </c>
      <c r="E363" s="4">
        <f>_xll.ciqfunctions.udf.CIQ(InputTicker, "IQ_LT_PORTION_OPER_LEASE_LIABILITIES",Input!G$2,Date,,,Ccy,Conv)</f>
        <v>0</v>
      </c>
      <c r="F363" s="4">
        <f>_xll.ciqfunctions.udf.CIQ(InputTicker, "IQ_LT_PORTION_OPER_LEASE_LIABILITIES",Input!H$2,Date,,,Ccy,Conv)</f>
        <v>1.7350000000000001</v>
      </c>
      <c r="G363" s="4">
        <f>_xll.ciqfunctions.udf.CIQ(InputTicker, "IQ_LT_PORTION_OPER_LEASE_LIABILITIES",Input!I$2,Date,,,Ccy,Conv)</f>
        <v>1.034</v>
      </c>
      <c r="H363" s="4">
        <f>_xll.ciqfunctions.udf.CIQ(InputTicker, "IQ_LT_PORTION_OPER_LEASE_LIABILITIES",Input!J$2,Date,,,Ccy,Conv)</f>
        <v>0</v>
      </c>
      <c r="I363" s="4">
        <f>_xll.ciqfunctions.udf.CIQ(InputTicker, "IQ_LT_PORTION_OPER_LEASE_LIABILITIES",Input!K$2,Date,,,Ccy,Conv)</f>
        <v>0</v>
      </c>
      <c r="J363" s="4">
        <f>_xll.ciqfunctions.udf.CIQ(InputTicker, "IQ_LT_PORTION_OPER_LEASE_LIABILITIES",Input!L$2,Date,,,Ccy,Conv)</f>
        <v>0</v>
      </c>
      <c r="K363" s="4">
        <f>_xll.ciqfunctions.udf.CIQ(InputTicker, "IQ_LT_PORTION_OPER_LEASE_LIABILITIES",Input!M$2,Date,,,Ccy,Conv)</f>
        <v>0</v>
      </c>
      <c r="L363" s="4">
        <f>_xll.ciqfunctions.udf.CIQ(InputTicker, "IQ_LT_PORTION_OPER_LEASE_LIABILITIES",Input!N$2,Date,,,Ccy,Conv)</f>
        <v>0</v>
      </c>
      <c r="M363" s="4">
        <f>_xll.ciqfunctions.udf.CIQ(InputTicker, "IQ_LT_PORTION_OPER_LEASE_LIABILITIES",Input!O$2,Date,,,Ccy,Conv)</f>
        <v>0</v>
      </c>
      <c r="N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  <c r="BM363" s="42"/>
      <c r="BN363" s="42"/>
    </row>
    <row r="364" spans="1:66" ht="12.75" customHeight="1" x14ac:dyDescent="0.2">
      <c r="A364" s="1" t="s">
        <v>481</v>
      </c>
      <c r="B364" s="4">
        <f>_xll.ciqfunctions.udf.CIQ(InputTicker, "IQ_TOTAL_OPER_LEASES",Input!D$2,Date,,,Ccy,Conv)</f>
        <v>0</v>
      </c>
      <c r="C364" s="4">
        <f>_xll.ciqfunctions.udf.CIQ(InputTicker, "IQ_TOTAL_OPER_LEASES",Input!E$2,Date,,,Ccy,Conv)</f>
        <v>0</v>
      </c>
      <c r="D364" s="4">
        <f>_xll.ciqfunctions.udf.CIQ(InputTicker, "IQ_TOTAL_OPER_LEASES",Input!F$2,Date,,,Ccy,Conv)</f>
        <v>0</v>
      </c>
      <c r="E364" s="4">
        <f>_xll.ciqfunctions.udf.CIQ(InputTicker, "IQ_TOTAL_OPER_LEASES",Input!G$2,Date,,,Ccy,Conv)</f>
        <v>0</v>
      </c>
      <c r="F364" s="4">
        <f>_xll.ciqfunctions.udf.CIQ(InputTicker, "IQ_TOTAL_OPER_LEASES",Input!H$2,Date,,,Ccy,Conv)</f>
        <v>2.5310000000000001</v>
      </c>
      <c r="G364" s="4">
        <f>_xll.ciqfunctions.udf.CIQ(InputTicker, "IQ_TOTAL_OPER_LEASES",Input!I$2,Date,,,Ccy,Conv)</f>
        <v>1.7250000000000001</v>
      </c>
      <c r="H364" s="4">
        <f>_xll.ciqfunctions.udf.CIQ(InputTicker, "IQ_TOTAL_OPER_LEASES",Input!J$2,Date,,,Ccy,Conv)</f>
        <v>0</v>
      </c>
      <c r="I364" s="4">
        <f>_xll.ciqfunctions.udf.CIQ(InputTicker, "IQ_TOTAL_OPER_LEASES",Input!K$2,Date,,,Ccy,Conv)</f>
        <v>0</v>
      </c>
      <c r="J364" s="4">
        <f>_xll.ciqfunctions.udf.CIQ(InputTicker, "IQ_TOTAL_OPER_LEASES",Input!L$2,Date,,,Ccy,Conv)</f>
        <v>0</v>
      </c>
      <c r="K364" s="4">
        <f>_xll.ciqfunctions.udf.CIQ(InputTicker, "IQ_TOTAL_OPER_LEASES",Input!M$2,Date,,,Ccy,Conv)</f>
        <v>0</v>
      </c>
      <c r="L364" s="4">
        <f>_xll.ciqfunctions.udf.CIQ(InputTicker, "IQ_TOTAL_OPER_LEASES",Input!N$2,Date,,,Ccy,Conv)</f>
        <v>0</v>
      </c>
      <c r="M364" s="4">
        <f>_xll.ciqfunctions.udf.CIQ(InputTicker, "IQ_TOTAL_OPER_LEASES",Input!O$2,Date,,,Ccy,Conv)</f>
        <v>0</v>
      </c>
      <c r="N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  <c r="BM364" s="42"/>
      <c r="BN364" s="42"/>
    </row>
    <row r="365" spans="1:66" ht="12.75" customHeight="1" x14ac:dyDescent="0.2">
      <c r="A365" s="1" t="s">
        <v>482</v>
      </c>
      <c r="B365" s="4">
        <f>_xll.ciqfunctions.udf.CIQ(InputTicker, "IQ_TOTAL_LEASES",Input!D$2,Date,,,Ccy,Conv)</f>
        <v>0</v>
      </c>
      <c r="C365" s="4">
        <f>_xll.ciqfunctions.udf.CIQ(InputTicker, "IQ_TOTAL_LEASES",Input!E$2,Date,,,Ccy,Conv)</f>
        <v>0</v>
      </c>
      <c r="D365" s="4">
        <f>_xll.ciqfunctions.udf.CIQ(InputTicker, "IQ_TOTAL_LEASES",Input!F$2,Date,,,Ccy,Conv)</f>
        <v>1.34</v>
      </c>
      <c r="E365" s="4">
        <f>_xll.ciqfunctions.udf.CIQ(InputTicker, "IQ_TOTAL_LEASES",Input!G$2,Date,,,Ccy,Conv)</f>
        <v>1.054</v>
      </c>
      <c r="F365" s="4">
        <f>_xll.ciqfunctions.udf.CIQ(InputTicker, "IQ_TOTAL_LEASES",Input!H$2,Date,,,Ccy,Conv)</f>
        <v>3.3879999999999999</v>
      </c>
      <c r="G365" s="4">
        <f>_xll.ciqfunctions.udf.CIQ(InputTicker, "IQ_TOTAL_LEASES",Input!I$2,Date,,,Ccy,Conv)</f>
        <v>2.3780000000000001</v>
      </c>
      <c r="H365" s="4">
        <f>_xll.ciqfunctions.udf.CIQ(InputTicker, "IQ_TOTAL_LEASES",Input!J$2,Date,,,Ccy,Conv)</f>
        <v>0</v>
      </c>
      <c r="I365" s="4">
        <f>_xll.ciqfunctions.udf.CIQ(InputTicker, "IQ_TOTAL_LEASES",Input!K$2,Date,,,Ccy,Conv)</f>
        <v>0</v>
      </c>
      <c r="J365" s="4">
        <f>_xll.ciqfunctions.udf.CIQ(InputTicker, "IQ_TOTAL_LEASES",Input!L$2,Date,,,Ccy,Conv)</f>
        <v>0</v>
      </c>
      <c r="K365" s="4">
        <f>_xll.ciqfunctions.udf.CIQ(InputTicker, "IQ_TOTAL_LEASES",Input!M$2,Date,,,Ccy,Conv)</f>
        <v>0</v>
      </c>
      <c r="L365" s="4">
        <f>_xll.ciqfunctions.udf.CIQ(InputTicker, "IQ_TOTAL_LEASES",Input!N$2,Date,,,Ccy,Conv)</f>
        <v>0</v>
      </c>
      <c r="M365" s="4">
        <f>_xll.ciqfunctions.udf.CIQ(InputTicker, "IQ_TOTAL_LEASES",Input!O$2,Date,,,Ccy,Conv)</f>
        <v>0</v>
      </c>
      <c r="N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  <c r="BN365" s="42"/>
    </row>
    <row r="366" spans="1:66" ht="12.75" customHeight="1" x14ac:dyDescent="0.2">
      <c r="A366" s="1" t="s">
        <v>483</v>
      </c>
      <c r="B366" s="4">
        <f>_xll.ciqfunctions.udf.CIQ(InputTicker, "IQ_FINANCING_OBLIG_CURRENT_EXCL_OPER_LEASES",Input!D$2,Date,,,Ccy,Conv)</f>
        <v>16.32</v>
      </c>
      <c r="C366" s="4">
        <f>_xll.ciqfunctions.udf.CIQ(InputTicker, "IQ_FINANCING_OBLIG_CURRENT_EXCL_OPER_LEASES",Input!E$2,Date,,,Ccy,Conv)</f>
        <v>4.8259999999999996</v>
      </c>
      <c r="D366" s="4">
        <f>_xll.ciqfunctions.udf.CIQ(InputTicker, "IQ_FINANCING_OBLIG_CURRENT_EXCL_OPER_LEASES",Input!F$2,Date,,,Ccy,Conv)</f>
        <v>3.536</v>
      </c>
      <c r="E366" s="4">
        <f>_xll.ciqfunctions.udf.CIQ(InputTicker, "IQ_FINANCING_OBLIG_CURRENT_EXCL_OPER_LEASES",Input!G$2,Date,,,Ccy,Conv)</f>
        <v>1.696</v>
      </c>
      <c r="F366" s="4">
        <f>_xll.ciqfunctions.udf.CIQ(InputTicker, "IQ_FINANCING_OBLIG_CURRENT_EXCL_OPER_LEASES",Input!H$2,Date,,,Ccy,Conv)</f>
        <v>0.20499999999999999</v>
      </c>
      <c r="G366" s="4">
        <f>_xll.ciqfunctions.udf.CIQ(InputTicker, "IQ_FINANCING_OBLIG_CURRENT_EXCL_OPER_LEASES",Input!I$2,Date,,,Ccy,Conv)</f>
        <v>0.215</v>
      </c>
      <c r="H366" s="4">
        <f>_xll.ciqfunctions.udf.CIQ(InputTicker, "IQ_FINANCING_OBLIG_CURRENT_EXCL_OPER_LEASES",Input!J$2,Date,,,Ccy,Conv)</f>
        <v>0</v>
      </c>
      <c r="I366" s="4">
        <f>_xll.ciqfunctions.udf.CIQ(InputTicker, "IQ_FINANCING_OBLIG_CURRENT_EXCL_OPER_LEASES",Input!K$2,Date,,,Ccy,Conv)</f>
        <v>0</v>
      </c>
      <c r="J366" s="4">
        <f>_xll.ciqfunctions.udf.CIQ(InputTicker, "IQ_FINANCING_OBLIG_CURRENT_EXCL_OPER_LEASES",Input!L$2,Date,,,Ccy,Conv)</f>
        <v>0</v>
      </c>
      <c r="K366" s="4">
        <f>_xll.ciqfunctions.udf.CIQ(InputTicker, "IQ_FINANCING_OBLIG_CURRENT_EXCL_OPER_LEASES",Input!M$2,Date,,,Ccy,Conv)</f>
        <v>0</v>
      </c>
      <c r="L366" s="4">
        <f>_xll.ciqfunctions.udf.CIQ(InputTicker, "IQ_FINANCING_OBLIG_CURRENT_EXCL_OPER_LEASES",Input!N$2,Date,,,Ccy,Conv)</f>
        <v>0</v>
      </c>
      <c r="M366" s="4">
        <f>_xll.ciqfunctions.udf.CIQ(InputTicker, "IQ_FINANCING_OBLIG_CURRENT_EXCL_OPER_LEASES",Input!O$2,Date,,,Ccy,Conv)</f>
        <v>0</v>
      </c>
      <c r="N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  <c r="BN366" s="42"/>
    </row>
    <row r="367" spans="1:66" ht="12.75" customHeight="1" x14ac:dyDescent="0.2">
      <c r="A367" s="1" t="s">
        <v>484</v>
      </c>
      <c r="B367" s="4">
        <f>_xll.ciqfunctions.udf.CIQ(InputTicker, "IQ_FINANCING_OBLIG_NON_CURRENT_EXCL_OPER_LEASES",Input!D$2,Date,,,Ccy,Conv)</f>
        <v>9.25</v>
      </c>
      <c r="C367" s="4">
        <f>_xll.ciqfunctions.udf.CIQ(InputTicker, "IQ_FINANCING_OBLIG_NON_CURRENT_EXCL_OPER_LEASES",Input!E$2,Date,,,Ccy,Conv)</f>
        <v>6.1130000000000004</v>
      </c>
      <c r="D367" s="4">
        <f>_xll.ciqfunctions.udf.CIQ(InputTicker, "IQ_FINANCING_OBLIG_NON_CURRENT_EXCL_OPER_LEASES",Input!F$2,Date,,,Ccy,Conv)</f>
        <v>2.5539999999999998</v>
      </c>
      <c r="E367" s="4">
        <f>_xll.ciqfunctions.udf.CIQ(InputTicker, "IQ_FINANCING_OBLIG_NON_CURRENT_EXCL_OPER_LEASES",Input!G$2,Date,,,Ccy,Conv)</f>
        <v>0.85799999999999998</v>
      </c>
      <c r="F367" s="4">
        <f>_xll.ciqfunctions.udf.CIQ(InputTicker, "IQ_FINANCING_OBLIG_NON_CURRENT_EXCL_OPER_LEASES",Input!H$2,Date,,,Ccy,Conv)</f>
        <v>0.65200000000000002</v>
      </c>
      <c r="G367" s="4">
        <f>_xll.ciqfunctions.udf.CIQ(InputTicker, "IQ_FINANCING_OBLIG_NON_CURRENT_EXCL_OPER_LEASES",Input!I$2,Date,,,Ccy,Conv)</f>
        <v>0.438</v>
      </c>
      <c r="H367" s="4">
        <f>_xll.ciqfunctions.udf.CIQ(InputTicker, "IQ_FINANCING_OBLIG_NON_CURRENT_EXCL_OPER_LEASES",Input!J$2,Date,,,Ccy,Conv)</f>
        <v>0</v>
      </c>
      <c r="I367" s="4">
        <f>_xll.ciqfunctions.udf.CIQ(InputTicker, "IQ_FINANCING_OBLIG_NON_CURRENT_EXCL_OPER_LEASES",Input!K$2,Date,,,Ccy,Conv)</f>
        <v>0</v>
      </c>
      <c r="J367" s="4">
        <f>_xll.ciqfunctions.udf.CIQ(InputTicker, "IQ_FINANCING_OBLIG_NON_CURRENT_EXCL_OPER_LEASES",Input!L$2,Date,,,Ccy,Conv)</f>
        <v>0</v>
      </c>
      <c r="K367" s="4">
        <f>_xll.ciqfunctions.udf.CIQ(InputTicker, "IQ_FINANCING_OBLIG_NON_CURRENT_EXCL_OPER_LEASES",Input!M$2,Date,,,Ccy,Conv)</f>
        <v>0</v>
      </c>
      <c r="L367" s="4">
        <f>_xll.ciqfunctions.udf.CIQ(InputTicker, "IQ_FINANCING_OBLIG_NON_CURRENT_EXCL_OPER_LEASES",Input!N$2,Date,,,Ccy,Conv)</f>
        <v>0</v>
      </c>
      <c r="M367" s="4">
        <f>_xll.ciqfunctions.udf.CIQ(InputTicker, "IQ_FINANCING_OBLIG_NON_CURRENT_EXCL_OPER_LEASES",Input!O$2,Date,,,Ccy,Conv)</f>
        <v>0</v>
      </c>
      <c r="N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  <c r="BM367" s="42"/>
      <c r="BN367" s="42"/>
    </row>
    <row r="368" spans="1:66" ht="12.75" customHeight="1" x14ac:dyDescent="0.2">
      <c r="A368" s="1" t="s">
        <v>485</v>
      </c>
      <c r="B368" s="4">
        <f>_xll.ciqfunctions.udf.CIQ(InputTicker, "IQ_TOTAL_DEBT_EXCL_OPER_LEASES",Input!D$2,Date,,,Ccy,Conv)</f>
        <v>25.57</v>
      </c>
      <c r="C368" s="4">
        <f>_xll.ciqfunctions.udf.CIQ(InputTicker, "IQ_TOTAL_DEBT_EXCL_OPER_LEASES",Input!E$2,Date,,,Ccy,Conv)</f>
        <v>10.939</v>
      </c>
      <c r="D368" s="4">
        <f>_xll.ciqfunctions.udf.CIQ(InputTicker, "IQ_TOTAL_DEBT_EXCL_OPER_LEASES",Input!F$2,Date,,,Ccy,Conv)</f>
        <v>6.09</v>
      </c>
      <c r="E368" s="4">
        <f>_xll.ciqfunctions.udf.CIQ(InputTicker, "IQ_TOTAL_DEBT_EXCL_OPER_LEASES",Input!G$2,Date,,,Ccy,Conv)</f>
        <v>2.5539999999999998</v>
      </c>
      <c r="F368" s="4">
        <f>_xll.ciqfunctions.udf.CIQ(InputTicker, "IQ_TOTAL_DEBT_EXCL_OPER_LEASES",Input!H$2,Date,,,Ccy,Conv)</f>
        <v>0.85699999999999998</v>
      </c>
      <c r="G368" s="4">
        <f>_xll.ciqfunctions.udf.CIQ(InputTicker, "IQ_TOTAL_DEBT_EXCL_OPER_LEASES",Input!I$2,Date,,,Ccy,Conv)</f>
        <v>0.65300000000000002</v>
      </c>
      <c r="H368" s="4">
        <f>_xll.ciqfunctions.udf.CIQ(InputTicker, "IQ_TOTAL_DEBT_EXCL_OPER_LEASES",Input!J$2,Date,,,Ccy,Conv)</f>
        <v>0</v>
      </c>
      <c r="I368" s="4">
        <f>_xll.ciqfunctions.udf.CIQ(InputTicker, "IQ_TOTAL_DEBT_EXCL_OPER_LEASES",Input!K$2,Date,,,Ccy,Conv)</f>
        <v>0</v>
      </c>
      <c r="J368" s="4">
        <f>_xll.ciqfunctions.udf.CIQ(InputTicker, "IQ_TOTAL_DEBT_EXCL_OPER_LEASES",Input!L$2,Date,,,Ccy,Conv)</f>
        <v>0</v>
      </c>
      <c r="K368" s="4">
        <f>_xll.ciqfunctions.udf.CIQ(InputTicker, "IQ_TOTAL_DEBT_EXCL_OPER_LEASES",Input!M$2,Date,,,Ccy,Conv)</f>
        <v>0</v>
      </c>
      <c r="L368" s="4">
        <f>_xll.ciqfunctions.udf.CIQ(InputTicker, "IQ_TOTAL_DEBT_EXCL_OPER_LEASES",Input!N$2,Date,,,Ccy,Conv)</f>
        <v>0</v>
      </c>
      <c r="M368" s="4">
        <f>_xll.ciqfunctions.udf.CIQ(InputTicker, "IQ_TOTAL_DEBT_EXCL_OPER_LEASES",Input!O$2,Date,,,Ccy,Conv)</f>
        <v>0</v>
      </c>
      <c r="N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  <c r="BM368" s="42"/>
      <c r="BN368" s="42"/>
    </row>
    <row r="369" spans="1:66" ht="12.75" customHeight="1" x14ac:dyDescent="0.2">
      <c r="A369" s="1" t="s">
        <v>486</v>
      </c>
      <c r="B369" s="4">
        <f>_xll.ciqfunctions.udf.CIQ(InputTicker, "IQ_TOTAL_DEBT_EXCL_LEASES",Input!D$2,Date,,,Ccy,Conv)</f>
        <v>25.57</v>
      </c>
      <c r="C369" s="4">
        <f>_xll.ciqfunctions.udf.CIQ(InputTicker, "IQ_TOTAL_DEBT_EXCL_LEASES",Input!E$2,Date,,,Ccy,Conv)</f>
        <v>10.939</v>
      </c>
      <c r="D369" s="4">
        <f>_xll.ciqfunctions.udf.CIQ(InputTicker, "IQ_TOTAL_DEBT_EXCL_LEASES",Input!F$2,Date,,,Ccy,Conv)</f>
        <v>4.75</v>
      </c>
      <c r="E369" s="4">
        <f>_xll.ciqfunctions.udf.CIQ(InputTicker, "IQ_TOTAL_DEBT_EXCL_LEASES",Input!G$2,Date,,,Ccy,Conv)</f>
        <v>1.5</v>
      </c>
      <c r="F369" s="4">
        <f>_xll.ciqfunctions.udf.CIQ(InputTicker, "IQ_TOTAL_DEBT_EXCL_LEASES",Input!H$2,Date,,,Ccy,Conv)</f>
        <v>0</v>
      </c>
      <c r="G369" s="4">
        <f>_xll.ciqfunctions.udf.CIQ(InputTicker, "IQ_TOTAL_DEBT_EXCL_LEASES",Input!I$2,Date,,,Ccy,Conv)</f>
        <v>0</v>
      </c>
      <c r="H369" s="4">
        <f>_xll.ciqfunctions.udf.CIQ(InputTicker, "IQ_TOTAL_DEBT_EXCL_LEASES",Input!J$2,Date,,,Ccy,Conv)</f>
        <v>0</v>
      </c>
      <c r="I369" s="4">
        <f>_xll.ciqfunctions.udf.CIQ(InputTicker, "IQ_TOTAL_DEBT_EXCL_LEASES",Input!K$2,Date,,,Ccy,Conv)</f>
        <v>0</v>
      </c>
      <c r="J369" s="4">
        <f>_xll.ciqfunctions.udf.CIQ(InputTicker, "IQ_TOTAL_DEBT_EXCL_LEASES",Input!L$2,Date,,,Ccy,Conv)</f>
        <v>0</v>
      </c>
      <c r="K369" s="4">
        <f>_xll.ciqfunctions.udf.CIQ(InputTicker, "IQ_TOTAL_DEBT_EXCL_LEASES",Input!M$2,Date,,,Ccy,Conv)</f>
        <v>0</v>
      </c>
      <c r="L369" s="4">
        <f>_xll.ciqfunctions.udf.CIQ(InputTicker, "IQ_TOTAL_DEBT_EXCL_LEASES",Input!N$2,Date,,,Ccy,Conv)</f>
        <v>0</v>
      </c>
      <c r="M369" s="4">
        <f>_xll.ciqfunctions.udf.CIQ(InputTicker, "IQ_TOTAL_DEBT_EXCL_LEASES",Input!O$2,Date,,,Ccy,Conv)</f>
        <v>0</v>
      </c>
      <c r="N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</row>
    <row r="370" spans="1:66" ht="12.75" customHeight="1" x14ac:dyDescent="0.2">
      <c r="A370" s="1" t="s">
        <v>419</v>
      </c>
      <c r="B370" s="12">
        <f>_xll.ciqfunctions.udf.CIQ(InputTicker, "IQ_TOTAL_OUTSTANDING_FILING_DATE",Input!D$2,Date)</f>
        <v>48.534959999999998</v>
      </c>
      <c r="C370" s="12">
        <f>_xll.ciqfunctions.udf.CIQ(InputTicker, "IQ_TOTAL_OUTSTANDING_FILING_DATE",Input!E$2,Date)</f>
        <v>48.57405</v>
      </c>
      <c r="D370" s="12">
        <f>_xll.ciqfunctions.udf.CIQ(InputTicker, "IQ_TOTAL_OUTSTANDING_FILING_DATE",Input!F$2,Date)</f>
        <v>48.630519999999997</v>
      </c>
      <c r="E370" s="12">
        <f>_xll.ciqfunctions.udf.CIQ(InputTicker, "IQ_TOTAL_OUTSTANDING_FILING_DATE",Input!G$2,Date)</f>
        <v>48.694479999999999</v>
      </c>
      <c r="F370" s="12">
        <f>_xll.ciqfunctions.udf.CIQ(InputTicker, "IQ_TOTAL_OUTSTANDING_FILING_DATE",Input!H$2,Date)</f>
        <v>48.300719999999998</v>
      </c>
      <c r="G370" s="12">
        <f>_xll.ciqfunctions.udf.CIQ(InputTicker, "IQ_TOTAL_OUTSTANDING_FILING_DATE",Input!I$2,Date)</f>
        <v>48.858460000000001</v>
      </c>
      <c r="H370" s="12">
        <f>_xll.ciqfunctions.udf.CIQ(InputTicker, "IQ_TOTAL_OUTSTANDING_FILING_DATE",Input!J$2,Date)</f>
        <v>48.939520000000002</v>
      </c>
      <c r="I370" s="12">
        <f>_xll.ciqfunctions.udf.CIQ(InputTicker, "IQ_TOTAL_OUTSTANDING_FILING_DATE",Input!K$2,Date)</f>
        <v>48.984050000000003</v>
      </c>
      <c r="J370" s="12">
        <f>_xll.ciqfunctions.udf.CIQ(InputTicker, "IQ_TOTAL_OUTSTANDING_FILING_DATE",Input!L$2,Date)</f>
        <v>49.03877</v>
      </c>
      <c r="K370" s="12">
        <f>_xll.ciqfunctions.udf.CIQ(InputTicker, "IQ_TOTAL_OUTSTANDING_FILING_DATE",Input!M$2,Date)</f>
        <v>48.497480000000003</v>
      </c>
      <c r="L370" s="12">
        <f>_xll.ciqfunctions.udf.CIQ(InputTicker, "IQ_TOTAL_OUTSTANDING_FILING_DATE",Input!N$2,Date)</f>
        <v>46.917079999999999</v>
      </c>
      <c r="M370" s="12">
        <f>_xll.ciqfunctions.udf.CIQ(InputTicker, "IQ_TOTAL_OUTSTANDING_FILING_DATE",Input!O$2,Date)</f>
        <v>46.917079999999999</v>
      </c>
      <c r="N370" s="53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</row>
    <row r="371" spans="1:66" ht="12.75" customHeight="1" x14ac:dyDescent="0.2">
      <c r="A371" s="1" t="s">
        <v>285</v>
      </c>
      <c r="B371" s="12">
        <f>_xll.ciqfunctions.udf.CIQ(InputTicker,"IQ_TOTAL_OUTSTANDING_BS_DATE",Input!D$2,Date)</f>
        <v>48.536999999999999</v>
      </c>
      <c r="C371" s="12">
        <f>_xll.ciqfunctions.udf.CIQ(InputTicker,"IQ_TOTAL_OUTSTANDING_BS_DATE",Input!E$2,Date)</f>
        <v>48.576999999999998</v>
      </c>
      <c r="D371" s="12">
        <f>_xll.ciqfunctions.udf.CIQ(InputTicker,"IQ_TOTAL_OUTSTANDING_BS_DATE",Input!F$2,Date)</f>
        <v>48.631</v>
      </c>
      <c r="E371" s="12">
        <f>_xll.ciqfunctions.udf.CIQ(InputTicker,"IQ_TOTAL_OUTSTANDING_BS_DATE",Input!G$2,Date)</f>
        <v>48.694000000000003</v>
      </c>
      <c r="F371" s="12">
        <f>_xll.ciqfunctions.udf.CIQ(InputTicker,"IQ_TOTAL_OUTSTANDING_BS_DATE",Input!H$2,Date)</f>
        <v>48.774000000000001</v>
      </c>
      <c r="G371" s="12">
        <f>_xll.ciqfunctions.udf.CIQ(InputTicker,"IQ_TOTAL_OUTSTANDING_BS_DATE",Input!I$2,Date)</f>
        <v>48.858460000000001</v>
      </c>
      <c r="H371" s="12">
        <f>_xll.ciqfunctions.udf.CIQ(InputTicker,"IQ_TOTAL_OUTSTANDING_BS_DATE",Input!J$2,Date)</f>
        <v>48.94</v>
      </c>
      <c r="I371" s="12">
        <f>_xll.ciqfunctions.udf.CIQ(InputTicker,"IQ_TOTAL_OUTSTANDING_BS_DATE",Input!K$2,Date)</f>
        <v>48.984050000000003</v>
      </c>
      <c r="J371" s="12">
        <f>_xll.ciqfunctions.udf.CIQ(InputTicker,"IQ_TOTAL_OUTSTANDING_BS_DATE",Input!L$2,Date)</f>
        <v>49.03877</v>
      </c>
      <c r="K371" s="12">
        <f>_xll.ciqfunctions.udf.CIQ(InputTicker,"IQ_TOTAL_OUTSTANDING_BS_DATE",Input!M$2,Date)</f>
        <v>48.494</v>
      </c>
      <c r="L371" s="12">
        <f>_xll.ciqfunctions.udf.CIQ(InputTicker,"IQ_TOTAL_OUTSTANDING_BS_DATE",Input!N$2,Date)</f>
        <v>46.981000000000002</v>
      </c>
      <c r="M371" s="12">
        <f>_xll.ciqfunctions.udf.CIQ(InputTicker,"IQ_TOTAL_OUTSTANDING_BS_DATE",Input!O$2,Date)</f>
        <v>46.981000000000002</v>
      </c>
      <c r="N371" s="53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  <c r="BM371" s="42"/>
      <c r="BN371" s="42"/>
    </row>
    <row r="372" spans="1:66" ht="12.75" customHeight="1" x14ac:dyDescent="0.2">
      <c r="A372" s="1" t="s">
        <v>101</v>
      </c>
      <c r="B372" s="11">
        <f>_xll.ciqfunctions.udf.CIQ(InputTicker,"IQ_BV_SHARE",Input!D$2,Date,,,Ccy,Conv)</f>
        <v>18.85726</v>
      </c>
      <c r="C372" s="11">
        <f>_xll.ciqfunctions.udf.CIQ(InputTicker,"IQ_BV_SHARE",Input!E$2,Date,,,Ccy,Conv)</f>
        <v>17.347449999999998</v>
      </c>
      <c r="D372" s="11">
        <f>_xll.ciqfunctions.udf.CIQ(InputTicker,"IQ_BV_SHARE",Input!F$2,Date,,,Ccy,Conv)</f>
        <v>19.603400000000001</v>
      </c>
      <c r="E372" s="11">
        <f>_xll.ciqfunctions.udf.CIQ(InputTicker,"IQ_BV_SHARE",Input!G$2,Date,,,Ccy,Conv)</f>
        <v>20.26172</v>
      </c>
      <c r="F372" s="11">
        <f>_xll.ciqfunctions.udf.CIQ(InputTicker,"IQ_BV_SHARE",Input!H$2,Date,,,Ccy,Conv)</f>
        <v>20.701090000000001</v>
      </c>
      <c r="G372" s="11">
        <f>_xll.ciqfunctions.udf.CIQ(InputTicker,"IQ_BV_SHARE",Input!I$2,Date,,,Ccy,Conv)</f>
        <v>20.72888</v>
      </c>
      <c r="H372" s="11">
        <f>_xll.ciqfunctions.udf.CIQ(InputTicker,"IQ_BV_SHARE",Input!J$2,Date,,,Ccy,Conv)</f>
        <v>22.569489999999998</v>
      </c>
      <c r="I372" s="11">
        <f>_xll.ciqfunctions.udf.CIQ(InputTicker,"IQ_BV_SHARE",Input!K$2,Date,,,Ccy,Conv)</f>
        <v>32.88991</v>
      </c>
      <c r="J372" s="11">
        <f>_xll.ciqfunctions.udf.CIQ(InputTicker,"IQ_BV_SHARE",Input!L$2,Date,,,Ccy,Conv)</f>
        <v>36.708649999999999</v>
      </c>
      <c r="K372" s="11">
        <f>_xll.ciqfunctions.udf.CIQ(InputTicker,"IQ_BV_SHARE",Input!M$2,Date,,,Ccy,Conv)</f>
        <v>52.802900000000001</v>
      </c>
      <c r="L372" s="11">
        <f>_xll.ciqfunctions.udf.CIQ(InputTicker,"IQ_BV_SHARE",Input!N$2,Date,,,Ccy,Conv)</f>
        <v>56.038229999999999</v>
      </c>
      <c r="M372" s="11">
        <f>_xll.ciqfunctions.udf.CIQ(InputTicker,"IQ_BV_SHARE",Input!O$2,Date,,,Ccy,Conv)</f>
        <v>56.038229999999999</v>
      </c>
      <c r="N372" s="53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  <c r="BM372" s="42"/>
      <c r="BN372" s="42"/>
    </row>
    <row r="373" spans="1:66" ht="12.75" customHeight="1" x14ac:dyDescent="0.2">
      <c r="A373" s="1" t="s">
        <v>42</v>
      </c>
      <c r="B373" s="11">
        <f>_xll.ciqfunctions.udf.CIQ(InputTicker,"IQ_BV_SHARE_REPORTED",Input!D$2,Date,,,Ccy,Conv)</f>
        <v>0</v>
      </c>
      <c r="C373" s="11">
        <f>_xll.ciqfunctions.udf.CIQ(InputTicker,"IQ_BV_SHARE_REPORTED",Input!E$2,Date,,,Ccy,Conv)</f>
        <v>0</v>
      </c>
      <c r="D373" s="11">
        <f>_xll.ciqfunctions.udf.CIQ(InputTicker,"IQ_BV_SHARE_REPORTED",Input!F$2,Date,,,Ccy,Conv)</f>
        <v>0</v>
      </c>
      <c r="E373" s="11">
        <f>_xll.ciqfunctions.udf.CIQ(InputTicker,"IQ_BV_SHARE_REPORTED",Input!G$2,Date,,,Ccy,Conv)</f>
        <v>0</v>
      </c>
      <c r="F373" s="11">
        <f>_xll.ciqfunctions.udf.CIQ(InputTicker,"IQ_BV_SHARE_REPORTED",Input!H$2,Date,,,Ccy,Conv)</f>
        <v>0</v>
      </c>
      <c r="G373" s="11">
        <f>_xll.ciqfunctions.udf.CIQ(InputTicker,"IQ_BV_SHARE_REPORTED",Input!I$2,Date,,,Ccy,Conv)</f>
        <v>0</v>
      </c>
      <c r="H373" s="11">
        <f>_xll.ciqfunctions.udf.CIQ(InputTicker,"IQ_BV_SHARE_REPORTED",Input!J$2,Date,,,Ccy,Conv)</f>
        <v>0</v>
      </c>
      <c r="I373" s="11">
        <f>_xll.ciqfunctions.udf.CIQ(InputTicker,"IQ_BV_SHARE_REPORTED",Input!K$2,Date,,,Ccy,Conv)</f>
        <v>0</v>
      </c>
      <c r="J373" s="11">
        <f>_xll.ciqfunctions.udf.CIQ(InputTicker,"IQ_BV_SHARE_REPORTED",Input!L$2,Date,,,Ccy,Conv)</f>
        <v>0</v>
      </c>
      <c r="K373" s="11">
        <f>_xll.ciqfunctions.udf.CIQ(InputTicker,"IQ_BV_SHARE_REPORTED",Input!M$2,Date,,,Ccy,Conv)</f>
        <v>0</v>
      </c>
      <c r="L373" s="11">
        <f>_xll.ciqfunctions.udf.CIQ(InputTicker,"IQ_BV_SHARE_REPORTED",Input!N$2,Date,,,Ccy,Conv)</f>
        <v>0</v>
      </c>
      <c r="M373" s="11">
        <f>_xll.ciqfunctions.udf.CIQ(InputTicker,"IQ_BV_SHARE_REPORTED",Input!O$2,Date,,,Ccy,Conv)</f>
        <v>0</v>
      </c>
      <c r="N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  <c r="BM373" s="42"/>
      <c r="BN373" s="42"/>
    </row>
    <row r="374" spans="1:66" ht="12.75" customHeight="1" x14ac:dyDescent="0.2">
      <c r="A374" s="1" t="s">
        <v>217</v>
      </c>
      <c r="B374" s="11">
        <f>_xll.ciqfunctions.udf.CIQ(InputTicker, "IQ_TBV_SHARE",Input!D$2,Date,,,Ccy,Conv)</f>
        <v>18.153590000000001</v>
      </c>
      <c r="C374" s="11">
        <f>_xll.ciqfunctions.udf.CIQ(InputTicker, "IQ_TBV_SHARE",Input!E$2,Date,,,Ccy,Conv)</f>
        <v>16.016079999999999</v>
      </c>
      <c r="D374" s="11">
        <f>_xll.ciqfunctions.udf.CIQ(InputTicker, "IQ_TBV_SHARE",Input!F$2,Date,,,Ccy,Conv)</f>
        <v>18.331949999999999</v>
      </c>
      <c r="E374" s="11">
        <f>_xll.ciqfunctions.udf.CIQ(InputTicker, "IQ_TBV_SHARE",Input!G$2,Date,,,Ccy,Conv)</f>
        <v>19.044170000000001</v>
      </c>
      <c r="F374" s="11">
        <f>_xll.ciqfunctions.udf.CIQ(InputTicker, "IQ_TBV_SHARE",Input!H$2,Date,,,Ccy,Conv)</f>
        <v>19.504940000000001</v>
      </c>
      <c r="G374" s="11">
        <f>_xll.ciqfunctions.udf.CIQ(InputTicker, "IQ_TBV_SHARE",Input!I$2,Date,,,Ccy,Conv)</f>
        <v>19.585450000000002</v>
      </c>
      <c r="H374" s="11">
        <f>_xll.ciqfunctions.udf.CIQ(InputTicker, "IQ_TBV_SHARE",Input!J$2,Date,,,Ccy,Conv)</f>
        <v>21.29984</v>
      </c>
      <c r="I374" s="11">
        <f>_xll.ciqfunctions.udf.CIQ(InputTicker, "IQ_TBV_SHARE",Input!K$2,Date,,,Ccy,Conv)</f>
        <v>31.667000000000002</v>
      </c>
      <c r="J374" s="11">
        <f>_xll.ciqfunctions.udf.CIQ(InputTicker, "IQ_TBV_SHARE",Input!L$2,Date,,,Ccy,Conv)</f>
        <v>35.448999999999998</v>
      </c>
      <c r="K374" s="11">
        <f>_xll.ciqfunctions.udf.CIQ(InputTicker, "IQ_TBV_SHARE",Input!M$2,Date,,,Ccy,Conv)</f>
        <v>51.525779999999997</v>
      </c>
      <c r="L374" s="11">
        <f>_xll.ciqfunctions.udf.CIQ(InputTicker, "IQ_TBV_SHARE",Input!N$2,Date,,,Ccy,Conv)</f>
        <v>52.41572</v>
      </c>
      <c r="M374" s="11">
        <f>_xll.ciqfunctions.udf.CIQ(InputTicker, "IQ_TBV_SHARE",Input!O$2,Date,,,Ccy,Conv)</f>
        <v>52.41572</v>
      </c>
      <c r="N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  <c r="BM374" s="42"/>
      <c r="BN374" s="42"/>
    </row>
    <row r="375" spans="1:66" ht="12.75" customHeight="1" x14ac:dyDescent="0.2">
      <c r="A375" s="1" t="s">
        <v>431</v>
      </c>
      <c r="B375" s="11">
        <f>_xll.ciqfunctions.udf.CIQ(InputTicker, "IQ_TBV_SHARE_REPORTED",Input!D$2,Date,,,Ccy,Conv)</f>
        <v>0</v>
      </c>
      <c r="C375" s="11">
        <f>_xll.ciqfunctions.udf.CIQ(InputTicker, "IQ_TBV_SHARE_REPORTED",Input!E$2,Date,,,Ccy,Conv)</f>
        <v>0</v>
      </c>
      <c r="D375" s="11">
        <f>_xll.ciqfunctions.udf.CIQ(InputTicker, "IQ_TBV_SHARE_REPORTED",Input!F$2,Date,,,Ccy,Conv)</f>
        <v>0</v>
      </c>
      <c r="E375" s="11">
        <f>_xll.ciqfunctions.udf.CIQ(InputTicker, "IQ_TBV_SHARE_REPORTED",Input!G$2,Date,,,Ccy,Conv)</f>
        <v>0</v>
      </c>
      <c r="F375" s="11">
        <f>_xll.ciqfunctions.udf.CIQ(InputTicker, "IQ_TBV_SHARE_REPORTED",Input!H$2,Date,,,Ccy,Conv)</f>
        <v>0</v>
      </c>
      <c r="G375" s="11">
        <f>_xll.ciqfunctions.udf.CIQ(InputTicker, "IQ_TBV_SHARE_REPORTED",Input!I$2,Date,,,Ccy,Conv)</f>
        <v>0</v>
      </c>
      <c r="H375" s="11">
        <f>_xll.ciqfunctions.udf.CIQ(InputTicker, "IQ_TBV_SHARE_REPORTED",Input!J$2,Date,,,Ccy,Conv)</f>
        <v>0</v>
      </c>
      <c r="I375" s="11">
        <f>_xll.ciqfunctions.udf.CIQ(InputTicker, "IQ_TBV_SHARE_REPORTED",Input!K$2,Date,,,Ccy,Conv)</f>
        <v>0</v>
      </c>
      <c r="J375" s="11">
        <f>_xll.ciqfunctions.udf.CIQ(InputTicker, "IQ_TBV_SHARE_REPORTED",Input!L$2,Date,,,Ccy,Conv)</f>
        <v>0</v>
      </c>
      <c r="K375" s="11">
        <f>_xll.ciqfunctions.udf.CIQ(InputTicker, "IQ_TBV_SHARE_REPORTED",Input!M$2,Date,,,Ccy,Conv)</f>
        <v>0</v>
      </c>
      <c r="L375" s="11">
        <f>_xll.ciqfunctions.udf.CIQ(InputTicker, "IQ_TBV_SHARE_REPORTED",Input!N$2,Date,,,Ccy,Conv)</f>
        <v>0</v>
      </c>
      <c r="M375" s="11">
        <f>_xll.ciqfunctions.udf.CIQ(InputTicker, "IQ_TBV_SHARE_REPORTED",Input!O$2,Date,,,Ccy,Conv)</f>
        <v>0</v>
      </c>
      <c r="N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  <c r="BM375" s="42"/>
      <c r="BN375" s="42"/>
    </row>
    <row r="376" spans="1:66" ht="12.75" customHeight="1" x14ac:dyDescent="0.2">
      <c r="A376" s="1" t="s">
        <v>284</v>
      </c>
      <c r="B376" s="4">
        <f>_xll.ciqfunctions.udf.CIQ(InputTicker, "IQ_TBV",Input!D$2,Date,,,Ccy,Conv)</f>
        <v>881.12099999999998</v>
      </c>
      <c r="C376" s="4">
        <f>_xll.ciqfunctions.udf.CIQ(InputTicker, "IQ_TBV",Input!E$2,Date,,,Ccy,Conv)</f>
        <v>778.01300000000003</v>
      </c>
      <c r="D376" s="4">
        <f>_xll.ciqfunctions.udf.CIQ(InputTicker, "IQ_TBV",Input!F$2,Date,,,Ccy,Conv)</f>
        <v>891.50099999999998</v>
      </c>
      <c r="E376" s="4">
        <f>_xll.ciqfunctions.udf.CIQ(InputTicker, "IQ_TBV",Input!G$2,Date,,,Ccy,Conv)</f>
        <v>927.33699999999999</v>
      </c>
      <c r="F376" s="4">
        <f>_xll.ciqfunctions.udf.CIQ(InputTicker, "IQ_TBV",Input!H$2,Date,,,Ccy,Conv)</f>
        <v>951.33399999999995</v>
      </c>
      <c r="G376" s="4">
        <f>_xll.ciqfunctions.udf.CIQ(InputTicker, "IQ_TBV",Input!I$2,Date,,,Ccy,Conv)</f>
        <v>956.91499999999996</v>
      </c>
      <c r="H376" s="4">
        <f>_xll.ciqfunctions.udf.CIQ(InputTicker, "IQ_TBV",Input!J$2,Date,,,Ccy,Conv)</f>
        <v>1042.414</v>
      </c>
      <c r="I376" s="4">
        <f>_xll.ciqfunctions.udf.CIQ(InputTicker, "IQ_TBV",Input!K$2,Date,,,Ccy,Conv)</f>
        <v>1551.1780000000001</v>
      </c>
      <c r="J376" s="4">
        <f>_xll.ciqfunctions.udf.CIQ(InputTicker, "IQ_TBV",Input!L$2,Date,,,Ccy,Conv)</f>
        <v>1738.375</v>
      </c>
      <c r="K376" s="4">
        <f>_xll.ciqfunctions.udf.CIQ(InputTicker, "IQ_TBV",Input!M$2,Date,,,Ccy,Conv)</f>
        <v>2498.6909999999998</v>
      </c>
      <c r="L376" s="4">
        <f>_xll.ciqfunctions.udf.CIQ(InputTicker, "IQ_TBV",Input!N$2,Date,,,Ccy,Conv)</f>
        <v>2462.5430000000001</v>
      </c>
      <c r="M376" s="4">
        <f>_xll.ciqfunctions.udf.CIQ(InputTicker, "IQ_TBV",Input!O$2,Date,,,Ccy,Conv)</f>
        <v>2462.5430000000001</v>
      </c>
      <c r="N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  <c r="BM376" s="42"/>
      <c r="BN376" s="42"/>
    </row>
    <row r="377" spans="1:66" ht="12.75" customHeight="1" x14ac:dyDescent="0.2">
      <c r="A377" s="1" t="s">
        <v>435</v>
      </c>
      <c r="B377" s="11">
        <f>_xll.ciqfunctions.udf.CIQ(InputTicker, "IQ_GW_INTAN",Input!D$2,Date,,,Ccy,Conv)</f>
        <v>34.154000000000003</v>
      </c>
      <c r="C377" s="11">
        <f>_xll.ciqfunctions.udf.CIQ(InputTicker, "IQ_GW_INTAN",Input!E$2,Date,,,Ccy,Conv)</f>
        <v>64.674000000000007</v>
      </c>
      <c r="D377" s="11">
        <f>_xll.ciqfunctions.udf.CIQ(InputTicker, "IQ_GW_INTAN",Input!F$2,Date,,,Ccy,Conv)</f>
        <v>61.832000000000001</v>
      </c>
      <c r="E377" s="11">
        <f>_xll.ciqfunctions.udf.CIQ(InputTicker, "IQ_GW_INTAN",Input!G$2,Date,,,Ccy,Conv)</f>
        <v>59.286999999999999</v>
      </c>
      <c r="F377" s="11">
        <f>_xll.ciqfunctions.udf.CIQ(InputTicker, "IQ_GW_INTAN",Input!H$2,Date,,,Ccy,Conv)</f>
        <v>58.341000000000001</v>
      </c>
      <c r="G377" s="11">
        <f>_xll.ciqfunctions.udf.CIQ(InputTicker, "IQ_GW_INTAN",Input!I$2,Date,,,Ccy,Conv)</f>
        <v>55.866</v>
      </c>
      <c r="H377" s="11">
        <f>_xll.ciqfunctions.udf.CIQ(InputTicker, "IQ_GW_INTAN",Input!J$2,Date,,,Ccy,Conv)</f>
        <v>62.137</v>
      </c>
      <c r="I377" s="11">
        <f>_xll.ciqfunctions.udf.CIQ(InputTicker, "IQ_GW_INTAN",Input!K$2,Date,,,Ccy,Conv)</f>
        <v>59.902999999999999</v>
      </c>
      <c r="J377" s="11">
        <f>_xll.ciqfunctions.udf.CIQ(InputTicker, "IQ_GW_INTAN",Input!L$2,Date,,,Ccy,Conv)</f>
        <v>61.771999999999998</v>
      </c>
      <c r="K377" s="11">
        <f>_xll.ciqfunctions.udf.CIQ(InputTicker, "IQ_GW_INTAN",Input!M$2,Date,,,Ccy,Conv)</f>
        <v>61.933</v>
      </c>
      <c r="L377" s="11">
        <f>_xll.ciqfunctions.udf.CIQ(InputTicker, "IQ_GW_INTAN",Input!N$2,Date,,,Ccy,Conv)</f>
        <v>170.18899999999999</v>
      </c>
      <c r="M377" s="11">
        <f>_xll.ciqfunctions.udf.CIQ(InputTicker, "IQ_GW_INTAN",Input!O$2,Date,,,Ccy,Conv)</f>
        <v>170.18899999999999</v>
      </c>
      <c r="N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  <c r="BM377" s="42"/>
      <c r="BN377" s="42"/>
    </row>
    <row r="378" spans="1:66" ht="12.75" customHeight="1" x14ac:dyDescent="0.2">
      <c r="A378" s="1" t="s">
        <v>352</v>
      </c>
      <c r="B378" s="11">
        <f>_xll.ciqfunctions.udf.CIQ(InputTicker, "IQ_CASH_SHARE",Input!D$2,Date,,,Ccy,Conv)</f>
        <v>0.59843000000000002</v>
      </c>
      <c r="C378" s="11">
        <f>_xll.ciqfunctions.udf.CIQ(InputTicker, "IQ_CASH_SHARE",Input!E$2,Date,,,Ccy,Conv)</f>
        <v>0.36157</v>
      </c>
      <c r="D378" s="11">
        <f>_xll.ciqfunctions.udf.CIQ(InputTicker, "IQ_CASH_SHARE",Input!F$2,Date,,,Ccy,Conv)</f>
        <v>0.99589000000000005</v>
      </c>
      <c r="E378" s="11">
        <f>_xll.ciqfunctions.udf.CIQ(InputTicker, "IQ_CASH_SHARE",Input!G$2,Date,,,Ccy,Conv)</f>
        <v>1.42208</v>
      </c>
      <c r="F378" s="11">
        <f>_xll.ciqfunctions.udf.CIQ(InputTicker, "IQ_CASH_SHARE",Input!H$2,Date,,,Ccy,Conv)</f>
        <v>1.60188</v>
      </c>
      <c r="G378" s="11">
        <f>_xll.ciqfunctions.udf.CIQ(InputTicker, "IQ_CASH_SHARE",Input!I$2,Date,,,Ccy,Conv)</f>
        <v>1.17384</v>
      </c>
      <c r="H378" s="11">
        <f>_xll.ciqfunctions.udf.CIQ(InputTicker, "IQ_CASH_SHARE",Input!J$2,Date,,,Ccy,Conv)</f>
        <v>1.2072700000000001</v>
      </c>
      <c r="I378" s="11">
        <f>_xll.ciqfunctions.udf.CIQ(InputTicker, "IQ_CASH_SHARE",Input!K$2,Date,,,Ccy,Conv)</f>
        <v>5.9779499999999999</v>
      </c>
      <c r="J378" s="11">
        <f>_xll.ciqfunctions.udf.CIQ(InputTicker, "IQ_CASH_SHARE",Input!L$2,Date,,,Ccy,Conv)</f>
        <v>4.8508199999999997</v>
      </c>
      <c r="K378" s="11">
        <f>_xll.ciqfunctions.udf.CIQ(InputTicker, "IQ_CASH_SHARE",Input!M$2,Date,,,Ccy,Conv)</f>
        <v>10.298019999999999</v>
      </c>
      <c r="L378" s="11">
        <f>_xll.ciqfunctions.udf.CIQ(InputTicker, "IQ_CASH_SHARE",Input!N$2,Date,,,Ccy,Conv)</f>
        <v>2.2821400000000001</v>
      </c>
      <c r="M378" s="11">
        <f>_xll.ciqfunctions.udf.CIQ(InputTicker, "IQ_CASH_SHARE",Input!O$2,Date,,,Ccy,Conv)</f>
        <v>2.2821400000000001</v>
      </c>
      <c r="N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  <c r="BM378" s="42"/>
      <c r="BN378" s="42"/>
    </row>
    <row r="379" spans="1:66" ht="12.75" customHeight="1" x14ac:dyDescent="0.2">
      <c r="A379" s="1" t="s">
        <v>51</v>
      </c>
      <c r="B379" s="4">
        <f>_xll.ciqfunctions.udf.CIQ(InputTicker, "IQ_TOTAL_DEBT",Input!D$2,Date,,,Ccy,Conv)</f>
        <v>25.57</v>
      </c>
      <c r="C379" s="4">
        <f>_xll.ciqfunctions.udf.CIQ(InputTicker, "IQ_TOTAL_DEBT",Input!E$2,Date,,,Ccy,Conv)</f>
        <v>10.939</v>
      </c>
      <c r="D379" s="4">
        <f>_xll.ciqfunctions.udf.CIQ(InputTicker, "IQ_TOTAL_DEBT",Input!F$2,Date,,,Ccy,Conv)</f>
        <v>6.09</v>
      </c>
      <c r="E379" s="4">
        <f>_xll.ciqfunctions.udf.CIQ(InputTicker, "IQ_TOTAL_DEBT",Input!G$2,Date,,,Ccy,Conv)</f>
        <v>2.5539999999999998</v>
      </c>
      <c r="F379" s="4">
        <f>_xll.ciqfunctions.udf.CIQ(InputTicker, "IQ_TOTAL_DEBT",Input!H$2,Date,,,Ccy,Conv)</f>
        <v>3.3879999999999999</v>
      </c>
      <c r="G379" s="4">
        <f>_xll.ciqfunctions.udf.CIQ(InputTicker, "IQ_TOTAL_DEBT",Input!I$2,Date,,,Ccy,Conv)</f>
        <v>2.3780000000000001</v>
      </c>
      <c r="H379" s="4">
        <f>_xll.ciqfunctions.udf.CIQ(InputTicker, "IQ_TOTAL_DEBT",Input!J$2,Date,,,Ccy,Conv)</f>
        <v>0</v>
      </c>
      <c r="I379" s="4">
        <f>_xll.ciqfunctions.udf.CIQ(InputTicker, "IQ_TOTAL_DEBT",Input!K$2,Date,,,Ccy,Conv)</f>
        <v>0</v>
      </c>
      <c r="J379" s="4">
        <f>_xll.ciqfunctions.udf.CIQ(InputTicker, "IQ_TOTAL_DEBT",Input!L$2,Date,,,Ccy,Conv)</f>
        <v>0</v>
      </c>
      <c r="K379" s="4">
        <f>_xll.ciqfunctions.udf.CIQ(InputTicker, "IQ_TOTAL_DEBT",Input!M$2,Date,,,Ccy,Conv)</f>
        <v>0</v>
      </c>
      <c r="L379" s="4">
        <f>_xll.ciqfunctions.udf.CIQ(InputTicker, "IQ_TOTAL_DEBT",Input!N$2,Date,,,Ccy,Conv)</f>
        <v>0</v>
      </c>
      <c r="M379" s="4">
        <f>_xll.ciqfunctions.udf.CIQ(InputTicker, "IQ_TOTAL_DEBT",Input!O$2,Date,,,Ccy,Conv)</f>
        <v>0</v>
      </c>
      <c r="N379" s="53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  <c r="BM379" s="42"/>
      <c r="BN379" s="42"/>
    </row>
    <row r="380" spans="1:66" ht="12.75" customHeight="1" x14ac:dyDescent="0.2">
      <c r="A380" s="1" t="s">
        <v>377</v>
      </c>
      <c r="B380" s="4">
        <f>_xll.ciqfunctions.udf.CIQ(InputTicker, "IQ_TOTAL_DEBT_CURRENT",Input!D$2,Date,,,Ccy,Conv)</f>
        <v>16.32</v>
      </c>
      <c r="C380" s="4">
        <f>_xll.ciqfunctions.udf.CIQ(InputTicker, "IQ_TOTAL_DEBT_CURRENT",Input!E$2,Date,,,Ccy,Conv)</f>
        <v>4.8259999999999996</v>
      </c>
      <c r="D380" s="4">
        <f>_xll.ciqfunctions.udf.CIQ(InputTicker, "IQ_TOTAL_DEBT_CURRENT",Input!F$2,Date,,,Ccy,Conv)</f>
        <v>3.536</v>
      </c>
      <c r="E380" s="4">
        <f>_xll.ciqfunctions.udf.CIQ(InputTicker, "IQ_TOTAL_DEBT_CURRENT",Input!G$2,Date,,,Ccy,Conv)</f>
        <v>1.696</v>
      </c>
      <c r="F380" s="4">
        <f>_xll.ciqfunctions.udf.CIQ(InputTicker, "IQ_TOTAL_DEBT_CURRENT",Input!H$2,Date,,,Ccy,Conv)</f>
        <v>1.0009999999999999</v>
      </c>
      <c r="G380" s="4">
        <f>_xll.ciqfunctions.udf.CIQ(InputTicker, "IQ_TOTAL_DEBT_CURRENT",Input!I$2,Date,,,Ccy,Conv)</f>
        <v>0.90600000000000003</v>
      </c>
      <c r="H380" s="4">
        <f>_xll.ciqfunctions.udf.CIQ(InputTicker, "IQ_TOTAL_DEBT_CURRENT",Input!J$2,Date,,,Ccy,Conv)</f>
        <v>0</v>
      </c>
      <c r="I380" s="4">
        <f>_xll.ciqfunctions.udf.CIQ(InputTicker, "IQ_TOTAL_DEBT_CURRENT",Input!K$2,Date,,,Ccy,Conv)</f>
        <v>0</v>
      </c>
      <c r="J380" s="4">
        <f>_xll.ciqfunctions.udf.CIQ(InputTicker, "IQ_TOTAL_DEBT_CURRENT",Input!L$2,Date,,,Ccy,Conv)</f>
        <v>0</v>
      </c>
      <c r="K380" s="4">
        <f>_xll.ciqfunctions.udf.CIQ(InputTicker, "IQ_TOTAL_DEBT_CURRENT",Input!M$2,Date,,,Ccy,Conv)</f>
        <v>0</v>
      </c>
      <c r="L380" s="4">
        <f>_xll.ciqfunctions.udf.CIQ(InputTicker, "IQ_TOTAL_DEBT_CURRENT",Input!N$2,Date,,,Ccy,Conv)</f>
        <v>0</v>
      </c>
      <c r="M380" s="4">
        <f>_xll.ciqfunctions.udf.CIQ(InputTicker, "IQ_TOTAL_DEBT_CURRENT",Input!O$2,Date,,,Ccy,Conv)</f>
        <v>0</v>
      </c>
      <c r="N380" s="53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  <c r="BN380" s="42"/>
    </row>
    <row r="381" spans="1:66" ht="12.75" customHeight="1" x14ac:dyDescent="0.2">
      <c r="A381" s="1" t="s">
        <v>512</v>
      </c>
      <c r="B381" s="4">
        <f>_xll.ciqfunctions.udf.CIQ(InputTicker, "IQ_TOTAL_DEBT_NON_CURRENT",Input!D$2,Date,,,Ccy,Conv)</f>
        <v>9.25</v>
      </c>
      <c r="C381" s="4">
        <f>_xll.ciqfunctions.udf.CIQ(InputTicker, "IQ_TOTAL_DEBT_NON_CURRENT",Input!E$2,Date,,,Ccy,Conv)</f>
        <v>6.1130000000000004</v>
      </c>
      <c r="D381" s="4">
        <f>_xll.ciqfunctions.udf.CIQ(InputTicker, "IQ_TOTAL_DEBT_NON_CURRENT",Input!F$2,Date,,,Ccy,Conv)</f>
        <v>2.5539999999999998</v>
      </c>
      <c r="E381" s="4">
        <f>_xll.ciqfunctions.udf.CIQ(InputTicker, "IQ_TOTAL_DEBT_NON_CURRENT",Input!G$2,Date,,,Ccy,Conv)</f>
        <v>0.85799999999999998</v>
      </c>
      <c r="F381" s="4">
        <f>_xll.ciqfunctions.udf.CIQ(InputTicker, "IQ_TOTAL_DEBT_NON_CURRENT",Input!H$2,Date,,,Ccy,Conv)</f>
        <v>2.387</v>
      </c>
      <c r="G381" s="4">
        <f>_xll.ciqfunctions.udf.CIQ(InputTicker, "IQ_TOTAL_DEBT_NON_CURRENT",Input!I$2,Date,,,Ccy,Conv)</f>
        <v>1.472</v>
      </c>
      <c r="H381" s="4">
        <f>_xll.ciqfunctions.udf.CIQ(InputTicker, "IQ_TOTAL_DEBT_NON_CURRENT",Input!J$2,Date,,,Ccy,Conv)</f>
        <v>0</v>
      </c>
      <c r="I381" s="4">
        <f>_xll.ciqfunctions.udf.CIQ(InputTicker, "IQ_TOTAL_DEBT_NON_CURRENT",Input!K$2,Date,,,Ccy,Conv)</f>
        <v>0</v>
      </c>
      <c r="J381" s="4">
        <f>_xll.ciqfunctions.udf.CIQ(InputTicker, "IQ_TOTAL_DEBT_NON_CURRENT",Input!L$2,Date,,,Ccy,Conv)</f>
        <v>0</v>
      </c>
      <c r="K381" s="4">
        <f>_xll.ciqfunctions.udf.CIQ(InputTicker, "IQ_TOTAL_DEBT_NON_CURRENT",Input!M$2,Date,,,Ccy,Conv)</f>
        <v>0</v>
      </c>
      <c r="L381" s="4">
        <f>_xll.ciqfunctions.udf.CIQ(InputTicker, "IQ_TOTAL_DEBT_NON_CURRENT",Input!N$2,Date,,,Ccy,Conv)</f>
        <v>0</v>
      </c>
      <c r="M381" s="4">
        <f>_xll.ciqfunctions.udf.CIQ(InputTicker, "IQ_TOTAL_DEBT_NON_CURRENT",Input!O$2,Date,,,Ccy,Conv)</f>
        <v>0</v>
      </c>
      <c r="N381" s="53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  <c r="BN381" s="42"/>
    </row>
    <row r="382" spans="1:66" ht="12.75" customHeight="1" x14ac:dyDescent="0.2">
      <c r="A382" s="1" t="s">
        <v>102</v>
      </c>
      <c r="B382" s="4">
        <f>_xll.ciqfunctions.udf.CIQ(InputTicker, "IQ_NET_DEBT",Input!D$2,Date,,,Ccy,Conv)</f>
        <v>-363.97500000000002</v>
      </c>
      <c r="C382" s="4">
        <f>_xll.ciqfunctions.udf.CIQ(InputTicker, "IQ_NET_DEBT",Input!E$2,Date,,,Ccy,Conv)</f>
        <v>-145.08699999999999</v>
      </c>
      <c r="D382" s="4">
        <f>_xll.ciqfunctions.udf.CIQ(InputTicker, "IQ_NET_DEBT",Input!F$2,Date,,,Ccy,Conv)</f>
        <v>-324.92700000000002</v>
      </c>
      <c r="E382" s="4">
        <f>_xll.ciqfunctions.udf.CIQ(InputTicker, "IQ_NET_DEBT",Input!G$2,Date,,,Ccy,Conv)</f>
        <v>-316.87400000000002</v>
      </c>
      <c r="F382" s="4">
        <f>_xll.ciqfunctions.udf.CIQ(InputTicker, "IQ_NET_DEBT",Input!H$2,Date,,,Ccy,Conv)</f>
        <v>-228.905</v>
      </c>
      <c r="G382" s="4">
        <f>_xll.ciqfunctions.udf.CIQ(InputTicker, "IQ_NET_DEBT",Input!I$2,Date,,,Ccy,Conv)</f>
        <v>-167.13200000000001</v>
      </c>
      <c r="H382" s="4">
        <f>_xll.ciqfunctions.udf.CIQ(InputTicker, "IQ_NET_DEBT",Input!J$2,Date,,,Ccy,Conv)</f>
        <v>-174.51300000000001</v>
      </c>
      <c r="I382" s="4">
        <f>_xll.ciqfunctions.udf.CIQ(InputTicker, "IQ_NET_DEBT",Input!K$2,Date,,,Ccy,Conv)</f>
        <v>-647.91399999999999</v>
      </c>
      <c r="J382" s="4">
        <f>_xll.ciqfunctions.udf.CIQ(InputTicker, "IQ_NET_DEBT",Input!L$2,Date,,,Ccy,Conv)</f>
        <v>-812.37699999999995</v>
      </c>
      <c r="K382" s="4">
        <f>_xll.ciqfunctions.udf.CIQ(InputTicker, "IQ_NET_DEBT",Input!M$2,Date,,,Ccy,Conv)</f>
        <v>-1392.1</v>
      </c>
      <c r="L382" s="4">
        <f>_xll.ciqfunctions.udf.CIQ(InputTicker, "IQ_NET_DEBT",Input!N$2,Date,,,Ccy,Conv)</f>
        <v>-924.05700000000002</v>
      </c>
      <c r="M382" s="4">
        <f>_xll.ciqfunctions.udf.CIQ(InputTicker, "IQ_NET_DEBT",Input!O$2,Date,,,Ccy,Conv)</f>
        <v>-924.05700000000002</v>
      </c>
      <c r="N382" s="53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  <c r="BM382" s="42"/>
      <c r="BN382" s="42"/>
    </row>
    <row r="383" spans="1:66" ht="12.75" customHeight="1" x14ac:dyDescent="0.2">
      <c r="A383" s="1" t="s">
        <v>368</v>
      </c>
      <c r="B383" s="4">
        <f>_xll.ciqfunctions.udf.CIQ(InputTicker, "IQ_MINORITY_INTEREST_TOTAL",Input!D$2,Date,,,Ccy,Conv)</f>
        <v>2.0859999999999999</v>
      </c>
      <c r="C383" s="4">
        <f>_xll.ciqfunctions.udf.CIQ(InputTicker, "IQ_MINORITY_INTEREST_TOTAL",Input!E$2,Date,,,Ccy,Conv)</f>
        <v>1.806</v>
      </c>
      <c r="D383" s="4">
        <f>_xll.ciqfunctions.udf.CIQ(InputTicker, "IQ_MINORITY_INTEREST_TOTAL",Input!F$2,Date,,,Ccy,Conv)</f>
        <v>2.3490000000000002</v>
      </c>
      <c r="E383" s="4">
        <f>_xll.ciqfunctions.udf.CIQ(InputTicker, "IQ_MINORITY_INTEREST_TOTAL",Input!G$2,Date,,,Ccy,Conv)</f>
        <v>3.1819999999999999</v>
      </c>
      <c r="F383" s="4">
        <f>_xll.ciqfunctions.udf.CIQ(InputTicker, "IQ_MINORITY_INTEREST_TOTAL",Input!H$2,Date,,,Ccy,Conv)</f>
        <v>0</v>
      </c>
      <c r="G383" s="4">
        <f>_xll.ciqfunctions.udf.CIQ(InputTicker, "IQ_MINORITY_INTEREST_TOTAL",Input!I$2,Date,,,Ccy,Conv)</f>
        <v>0</v>
      </c>
      <c r="H383" s="4">
        <f>_xll.ciqfunctions.udf.CIQ(InputTicker, "IQ_MINORITY_INTEREST_TOTAL",Input!J$2,Date,,,Ccy,Conv)</f>
        <v>-0.20599999999999999</v>
      </c>
      <c r="I383" s="4">
        <f>_xll.ciqfunctions.udf.CIQ(InputTicker, "IQ_MINORITY_INTEREST_TOTAL",Input!K$2,Date,,,Ccy,Conv)</f>
        <v>-1.498</v>
      </c>
      <c r="J383" s="4">
        <f>_xll.ciqfunctions.udf.CIQ(InputTicker, "IQ_MINORITY_INTEREST_TOTAL",Input!L$2,Date,,,Ccy,Conv)</f>
        <v>-3.1040000000000001</v>
      </c>
      <c r="K383" s="4">
        <f>_xll.ciqfunctions.udf.CIQ(InputTicker, "IQ_MINORITY_INTEREST_TOTAL",Input!M$2,Date,,,Ccy,Conv)</f>
        <v>5.391</v>
      </c>
      <c r="L383" s="4">
        <f>_xll.ciqfunctions.udf.CIQ(InputTicker, "IQ_MINORITY_INTEREST_TOTAL",Input!N$2,Date,,,Ccy,Conv)</f>
        <v>7.8</v>
      </c>
      <c r="M383" s="4">
        <f>_xll.ciqfunctions.udf.CIQ(InputTicker, "IQ_MINORITY_INTEREST_TOTAL",Input!O$2,Date,,,Ccy,Conv)</f>
        <v>7.8</v>
      </c>
      <c r="N383" s="53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  <c r="BM383" s="42"/>
      <c r="BN383" s="42"/>
    </row>
    <row r="384" spans="1:66" ht="12.75" customHeight="1" x14ac:dyDescent="0.2">
      <c r="A384" s="1" t="s">
        <v>218</v>
      </c>
      <c r="B384" s="4">
        <f>_xll.ciqfunctions.udf.CIQ(InputTicker, "IQ_TOTAL_CAP",Input!D$2,Date,,,Ccy,Conv)</f>
        <v>942.93100000000004</v>
      </c>
      <c r="C384" s="4">
        <f>_xll.ciqfunctions.udf.CIQ(InputTicker, "IQ_TOTAL_CAP",Input!E$2,Date,,,Ccy,Conv)</f>
        <v>855.43200000000002</v>
      </c>
      <c r="D384" s="4">
        <f>_xll.ciqfunctions.udf.CIQ(InputTicker, "IQ_TOTAL_CAP",Input!F$2,Date,,,Ccy,Conv)</f>
        <v>961.77200000000005</v>
      </c>
      <c r="E384" s="4">
        <f>_xll.ciqfunctions.udf.CIQ(InputTicker, "IQ_TOTAL_CAP",Input!G$2,Date,,,Ccy,Conv)</f>
        <v>992.36</v>
      </c>
      <c r="F384" s="4">
        <f>_xll.ciqfunctions.udf.CIQ(InputTicker, "IQ_TOTAL_CAP",Input!H$2,Date,,,Ccy,Conv)</f>
        <v>1013.063</v>
      </c>
      <c r="G384" s="4">
        <f>_xll.ciqfunctions.udf.CIQ(InputTicker, "IQ_TOTAL_CAP",Input!I$2,Date,,,Ccy,Conv)</f>
        <v>1015.159</v>
      </c>
      <c r="H384" s="4">
        <f>_xll.ciqfunctions.udf.CIQ(InputTicker, "IQ_TOTAL_CAP",Input!J$2,Date,,,Ccy,Conv)</f>
        <v>1104.345</v>
      </c>
      <c r="I384" s="4">
        <f>_xll.ciqfunctions.udf.CIQ(InputTicker, "IQ_TOTAL_CAP",Input!K$2,Date,,,Ccy,Conv)</f>
        <v>1609.5830000000001</v>
      </c>
      <c r="J384" s="4">
        <f>_xll.ciqfunctions.udf.CIQ(InputTicker, "IQ_TOTAL_CAP",Input!L$2,Date,,,Ccy,Conv)</f>
        <v>1797.0429999999999</v>
      </c>
      <c r="K384" s="4">
        <f>_xll.ciqfunctions.udf.CIQ(InputTicker, "IQ_TOTAL_CAP",Input!M$2,Date,,,Ccy,Conv)</f>
        <v>2566.0149999999999</v>
      </c>
      <c r="L384" s="4">
        <f>_xll.ciqfunctions.udf.CIQ(InputTicker, "IQ_TOTAL_CAP",Input!N$2,Date,,,Ccy,Conv)</f>
        <v>2640.5320000000002</v>
      </c>
      <c r="M384" s="4">
        <f>_xll.ciqfunctions.udf.CIQ(InputTicker, "IQ_TOTAL_CAP",Input!O$2,Date,,,Ccy,Conv)</f>
        <v>2640.5320000000002</v>
      </c>
      <c r="N384" s="53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  <c r="BN384" s="42"/>
    </row>
    <row r="385" spans="1:66" ht="12.75" customHeight="1" x14ac:dyDescent="0.2">
      <c r="A385" s="1" t="s">
        <v>353</v>
      </c>
      <c r="B385" s="4">
        <f>_xll.ciqfunctions.udf.CIQ(InputTicker, "IQ_WORKING_CAP",Input!D$2,Date,,,Ccy,Conv)</f>
        <v>542.83199999999999</v>
      </c>
      <c r="C385" s="4">
        <f>_xll.ciqfunctions.udf.CIQ(InputTicker, "IQ_WORKING_CAP",Input!E$2,Date,,,Ccy,Conv)</f>
        <v>371.52699999999999</v>
      </c>
      <c r="D385" s="4">
        <f>_xll.ciqfunctions.udf.CIQ(InputTicker, "IQ_WORKING_CAP",Input!F$2,Date,,,Ccy,Conv)</f>
        <v>479.68200000000002</v>
      </c>
      <c r="E385" s="4">
        <f>_xll.ciqfunctions.udf.CIQ(InputTicker, "IQ_WORKING_CAP",Input!G$2,Date,,,Ccy,Conv)</f>
        <v>492.846</v>
      </c>
      <c r="F385" s="4">
        <f>_xll.ciqfunctions.udf.CIQ(InputTicker, "IQ_WORKING_CAP",Input!H$2,Date,,,Ccy,Conv)</f>
        <v>429.06799999999998</v>
      </c>
      <c r="G385" s="4">
        <f>_xll.ciqfunctions.udf.CIQ(InputTicker, "IQ_WORKING_CAP",Input!I$2,Date,,,Ccy,Conv)</f>
        <v>429.834</v>
      </c>
      <c r="H385" s="4">
        <f>_xll.ciqfunctions.udf.CIQ(InputTicker, "IQ_WORKING_CAP",Input!J$2,Date,,,Ccy,Conv)</f>
        <v>476.84500000000003</v>
      </c>
      <c r="I385" s="4">
        <f>_xll.ciqfunctions.udf.CIQ(InputTicker, "IQ_WORKING_CAP",Input!K$2,Date,,,Ccy,Conv)</f>
        <v>942.19399999999996</v>
      </c>
      <c r="J385" s="4">
        <f>_xll.ciqfunctions.udf.CIQ(InputTicker, "IQ_WORKING_CAP",Input!L$2,Date,,,Ccy,Conv)</f>
        <v>1014.096</v>
      </c>
      <c r="K385" s="4">
        <f>_xll.ciqfunctions.udf.CIQ(InputTicker, "IQ_WORKING_CAP",Input!M$2,Date,,,Ccy,Conv)</f>
        <v>1659.739</v>
      </c>
      <c r="L385" s="4">
        <f>_xll.ciqfunctions.udf.CIQ(InputTicker, "IQ_WORKING_CAP",Input!N$2,Date,,,Ccy,Conv)</f>
        <v>1376.0260000000001</v>
      </c>
      <c r="M385" s="4">
        <f>_xll.ciqfunctions.udf.CIQ(InputTicker, "IQ_WORKING_CAP",Input!O$2,Date,,,Ccy,Conv)</f>
        <v>1376.0260000000001</v>
      </c>
      <c r="N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  <c r="BM385" s="42"/>
      <c r="BN385" s="42"/>
    </row>
    <row r="386" spans="1:66" ht="12.75" customHeight="1" x14ac:dyDescent="0.2">
      <c r="A386" s="1" t="s">
        <v>354</v>
      </c>
      <c r="B386" s="4">
        <f>_xll.ciqfunctions.udf.CIQ(InputTicker, "IQ_NET_WORKING_CAP",Input!D$2,Date,,,Ccy,Conv)</f>
        <v>169.607</v>
      </c>
      <c r="C386" s="4">
        <f>_xll.ciqfunctions.udf.CIQ(InputTicker, "IQ_NET_WORKING_CAP",Input!E$2,Date,,,Ccy,Conv)</f>
        <v>220.327</v>
      </c>
      <c r="D386" s="4">
        <f>_xll.ciqfunctions.udf.CIQ(InputTicker, "IQ_NET_WORKING_CAP",Input!F$2,Date,,,Ccy,Conv)</f>
        <v>152.20099999999999</v>
      </c>
      <c r="E386" s="4">
        <f>_xll.ciqfunctions.udf.CIQ(InputTicker, "IQ_NET_WORKING_CAP",Input!G$2,Date,,,Ccy,Conv)</f>
        <v>175.114</v>
      </c>
      <c r="F386" s="4">
        <f>_xll.ciqfunctions.udf.CIQ(InputTicker, "IQ_NET_WORKING_CAP",Input!H$2,Date,,,Ccy,Conv)</f>
        <v>197.77600000000001</v>
      </c>
      <c r="G386" s="4">
        <f>_xll.ciqfunctions.udf.CIQ(InputTicker, "IQ_NET_WORKING_CAP",Input!I$2,Date,,,Ccy,Conv)</f>
        <v>261.23</v>
      </c>
      <c r="H386" s="4">
        <f>_xll.ciqfunctions.udf.CIQ(InputTicker, "IQ_NET_WORKING_CAP",Input!J$2,Date,,,Ccy,Conv)</f>
        <v>302.33199999999999</v>
      </c>
      <c r="I386" s="4">
        <f>_xll.ciqfunctions.udf.CIQ(InputTicker, "IQ_NET_WORKING_CAP",Input!K$2,Date,,,Ccy,Conv)</f>
        <v>294.27999999999997</v>
      </c>
      <c r="J386" s="4">
        <f>_xll.ciqfunctions.udf.CIQ(InputTicker, "IQ_NET_WORKING_CAP",Input!L$2,Date,,,Ccy,Conv)</f>
        <v>201.71899999999999</v>
      </c>
      <c r="K386" s="4">
        <f>_xll.ciqfunctions.udf.CIQ(InputTicker, "IQ_NET_WORKING_CAP",Input!M$2,Date,,,Ccy,Conv)</f>
        <v>267.63900000000001</v>
      </c>
      <c r="L386" s="4">
        <f>_xll.ciqfunctions.udf.CIQ(InputTicker, "IQ_NET_WORKING_CAP",Input!N$2,Date,,,Ccy,Conv)</f>
        <v>451.96899999999999</v>
      </c>
      <c r="M386" s="4">
        <f>_xll.ciqfunctions.udf.CIQ(InputTicker, "IQ_NET_WORKING_CAP",Input!O$2,Date,,,Ccy,Conv)</f>
        <v>451.96899999999999</v>
      </c>
      <c r="N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  <c r="BM386" s="42"/>
      <c r="BN386" s="42"/>
    </row>
    <row r="387" spans="1:66" ht="12.75" customHeight="1" x14ac:dyDescent="0.2">
      <c r="A387" s="1" t="s">
        <v>367</v>
      </c>
      <c r="B387" s="4">
        <f>_xll.ciqfunctions.udf.CIQ(InputTicker, "IQ_ALLOW_DOUBT_ACCT",Input!D$2,Date,,,Ccy,Conv)</f>
        <v>0.72699999999999998</v>
      </c>
      <c r="C387" s="4">
        <f>_xll.ciqfunctions.udf.CIQ(InputTicker, "IQ_ALLOW_DOUBT_ACCT",Input!E$2,Date,,,Ccy,Conv)</f>
        <v>0.38600000000000001</v>
      </c>
      <c r="D387" s="4">
        <f>_xll.ciqfunctions.udf.CIQ(InputTicker, "IQ_ALLOW_DOUBT_ACCT",Input!F$2,Date,,,Ccy,Conv)</f>
        <v>0.26800000000000002</v>
      </c>
      <c r="E387" s="4">
        <f>_xll.ciqfunctions.udf.CIQ(InputTicker, "IQ_ALLOW_DOUBT_ACCT",Input!G$2,Date,,,Ccy,Conv)</f>
        <v>0.20599999999999999</v>
      </c>
      <c r="F387" s="4">
        <f>_xll.ciqfunctions.udf.CIQ(InputTicker, "IQ_ALLOW_DOUBT_ACCT",Input!H$2,Date,,,Ccy,Conv)</f>
        <v>0.74399999999999999</v>
      </c>
      <c r="G387" s="4">
        <f>_xll.ciqfunctions.udf.CIQ(InputTicker, "IQ_ALLOW_DOUBT_ACCT",Input!I$2,Date,,,Ccy,Conv)</f>
        <v>0.79500000000000004</v>
      </c>
      <c r="H387" s="4">
        <f>_xll.ciqfunctions.udf.CIQ(InputTicker, "IQ_ALLOW_DOUBT_ACCT",Input!J$2,Date,,,Ccy,Conv)</f>
        <v>0.77500000000000002</v>
      </c>
      <c r="I387" s="4">
        <f>_xll.ciqfunctions.udf.CIQ(InputTicker, "IQ_ALLOW_DOUBT_ACCT",Input!K$2,Date,,,Ccy,Conv)</f>
        <v>0.57899999999999996</v>
      </c>
      <c r="J387" s="4">
        <f>_xll.ciqfunctions.udf.CIQ(InputTicker, "IQ_ALLOW_DOUBT_ACCT",Input!L$2,Date,,,Ccy,Conv)</f>
        <v>0.49</v>
      </c>
      <c r="K387" s="4">
        <f>_xll.ciqfunctions.udf.CIQ(InputTicker, "IQ_ALLOW_DOUBT_ACCT",Input!M$2,Date,,,Ccy,Conv)</f>
        <v>0.745</v>
      </c>
      <c r="L387" s="4">
        <f>_xll.ciqfunctions.udf.CIQ(InputTicker, "IQ_ALLOW_DOUBT_ACCT",Input!N$2,Date,,,Ccy,Conv)</f>
        <v>0.71899999999999997</v>
      </c>
      <c r="M387" s="4">
        <f>_xll.ciqfunctions.udf.CIQ(InputTicker, "IQ_ALLOW_DOUBT_ACCT",Input!O$2,Date,,,Ccy,Conv)</f>
        <v>0.71899999999999997</v>
      </c>
      <c r="N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  <c r="BM387" s="42"/>
      <c r="BN387" s="42"/>
    </row>
    <row r="388" spans="1:66" ht="12.75" customHeight="1" x14ac:dyDescent="0.2">
      <c r="A388" s="1" t="s">
        <v>355</v>
      </c>
      <c r="B388" s="4">
        <f>_xll.ciqfunctions.udf.CIQ(InputTicker, "IQ_EQUITY_METHOD",Input!D$2,Date,,,Ccy,Conv)</f>
        <v>47.5</v>
      </c>
      <c r="C388" s="4">
        <f>_xll.ciqfunctions.udf.CIQ(InputTicker, "IQ_EQUITY_METHOD",Input!E$2,Date,,,Ccy,Conv)</f>
        <v>65.730999999999995</v>
      </c>
      <c r="D388" s="4">
        <f>_xll.ciqfunctions.udf.CIQ(InputTicker, "IQ_EQUITY_METHOD",Input!F$2,Date,,,Ccy,Conv)</f>
        <v>66.805999999999997</v>
      </c>
      <c r="E388" s="4">
        <f>_xll.ciqfunctions.udf.CIQ(InputTicker, "IQ_EQUITY_METHOD",Input!G$2,Date,,,Ccy,Conv)</f>
        <v>67.554000000000002</v>
      </c>
      <c r="F388" s="4">
        <f>_xll.ciqfunctions.udf.CIQ(InputTicker, "IQ_EQUITY_METHOD",Input!H$2,Date,,,Ccy,Conv)</f>
        <v>60.981999999999999</v>
      </c>
      <c r="G388" s="4">
        <f>_xll.ciqfunctions.udf.CIQ(InputTicker, "IQ_EQUITY_METHOD",Input!I$2,Date,,,Ccy,Conv)</f>
        <v>54.941000000000003</v>
      </c>
      <c r="H388" s="4">
        <f>_xll.ciqfunctions.udf.CIQ(InputTicker, "IQ_EQUITY_METHOD",Input!J$2,Date,,,Ccy,Conv)</f>
        <v>15.53</v>
      </c>
      <c r="I388" s="4">
        <f>_xll.ciqfunctions.udf.CIQ(InputTicker, "IQ_EQUITY_METHOD",Input!K$2,Date,,,Ccy,Conv)</f>
        <v>14.449</v>
      </c>
      <c r="J388" s="4">
        <f>_xll.ciqfunctions.udf.CIQ(InputTicker, "IQ_EQUITY_METHOD",Input!L$2,Date,,,Ccy,Conv)</f>
        <v>11.195</v>
      </c>
      <c r="K388" s="4">
        <f>_xll.ciqfunctions.udf.CIQ(InputTicker, "IQ_EQUITY_METHOD",Input!M$2,Date,,,Ccy,Conv)</f>
        <v>0</v>
      </c>
      <c r="L388" s="4">
        <f>_xll.ciqfunctions.udf.CIQ(InputTicker, "IQ_EQUITY_METHOD",Input!N$2,Date,,,Ccy,Conv)</f>
        <v>0</v>
      </c>
      <c r="M388" s="4">
        <f>_xll.ciqfunctions.udf.CIQ(InputTicker, "IQ_EQUITY_METHOD",Input!O$2,Date,,,Ccy,Conv)</f>
        <v>0</v>
      </c>
      <c r="N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</row>
    <row r="389" spans="1:66" ht="12.75" customHeight="1" x14ac:dyDescent="0.2">
      <c r="A389" s="1" t="s">
        <v>43</v>
      </c>
      <c r="B389" s="4">
        <f>_xll.ciqfunctions.udf.CIQ(InputTicker, "IQ_AR_UNBILLED",Input!D$2,Date,,,Ccy,Conv)</f>
        <v>0</v>
      </c>
      <c r="C389" s="4">
        <f>_xll.ciqfunctions.udf.CIQ(InputTicker, "IQ_AR_UNBILLED",Input!E$2,Date,,,Ccy,Conv)</f>
        <v>0</v>
      </c>
      <c r="D389" s="4">
        <f>_xll.ciqfunctions.udf.CIQ(InputTicker, "IQ_AR_UNBILLED",Input!F$2,Date,,,Ccy,Conv)</f>
        <v>0</v>
      </c>
      <c r="E389" s="4">
        <f>_xll.ciqfunctions.udf.CIQ(InputTicker, "IQ_AR_UNBILLED",Input!G$2,Date,,,Ccy,Conv)</f>
        <v>0</v>
      </c>
      <c r="F389" s="4">
        <f>_xll.ciqfunctions.udf.CIQ(InputTicker, "IQ_AR_UNBILLED",Input!H$2,Date,,,Ccy,Conv)</f>
        <v>0</v>
      </c>
      <c r="G389" s="4">
        <f>_xll.ciqfunctions.udf.CIQ(InputTicker, "IQ_AR_UNBILLED",Input!I$2,Date,,,Ccy,Conv)</f>
        <v>0</v>
      </c>
      <c r="H389" s="4">
        <f>_xll.ciqfunctions.udf.CIQ(InputTicker, "IQ_AR_UNBILLED",Input!J$2,Date,,,Ccy,Conv)</f>
        <v>0</v>
      </c>
      <c r="I389" s="4">
        <f>_xll.ciqfunctions.udf.CIQ(InputTicker, "IQ_AR_UNBILLED",Input!K$2,Date,,,Ccy,Conv)</f>
        <v>0</v>
      </c>
      <c r="J389" s="4">
        <f>_xll.ciqfunctions.udf.CIQ(InputTicker, "IQ_AR_UNBILLED",Input!L$2,Date,,,Ccy,Conv)</f>
        <v>0</v>
      </c>
      <c r="K389" s="4">
        <f>_xll.ciqfunctions.udf.CIQ(InputTicker, "IQ_AR_UNBILLED",Input!M$2,Date,,,Ccy,Conv)</f>
        <v>0</v>
      </c>
      <c r="L389" s="4">
        <f>_xll.ciqfunctions.udf.CIQ(InputTicker, "IQ_AR_UNBILLED",Input!N$2,Date,,,Ccy,Conv)</f>
        <v>0</v>
      </c>
      <c r="M389" s="4">
        <f>_xll.ciqfunctions.udf.CIQ(InputTicker, "IQ_AR_UNBILLED",Input!O$2,Date,,,Ccy,Conv)</f>
        <v>0</v>
      </c>
      <c r="N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  <c r="BM389" s="42"/>
      <c r="BN389" s="42"/>
    </row>
    <row r="390" spans="1:66" ht="12.75" customHeight="1" x14ac:dyDescent="0.2">
      <c r="A390" s="1" t="s">
        <v>356</v>
      </c>
      <c r="B390" s="4" t="str">
        <f>_xll.ciqfunctions.udf.CIQ(InputTicker, "IQ_INV_METHOD",Input!D$2,Date)</f>
        <v>FIFO</v>
      </c>
      <c r="C390" s="4" t="str">
        <f>_xll.ciqfunctions.udf.CIQ(InputTicker, "IQ_INV_METHOD",Input!E$2,Date)</f>
        <v>FIFO</v>
      </c>
      <c r="D390" s="4" t="str">
        <f>_xll.ciqfunctions.udf.CIQ(InputTicker, "IQ_INV_METHOD",Input!F$2,Date)</f>
        <v>FIFO</v>
      </c>
      <c r="E390" s="4" t="str">
        <f>_xll.ciqfunctions.udf.CIQ(InputTicker, "IQ_INV_METHOD",Input!G$2,Date)</f>
        <v>FIFO</v>
      </c>
      <c r="F390" s="4" t="str">
        <f>_xll.ciqfunctions.udf.CIQ(InputTicker, "IQ_INV_METHOD",Input!H$2,Date)</f>
        <v>FIFO</v>
      </c>
      <c r="G390" s="4" t="str">
        <f>_xll.ciqfunctions.udf.CIQ(InputTicker, "IQ_INV_METHOD",Input!I$2,Date)</f>
        <v>FIFO</v>
      </c>
      <c r="H390" s="4" t="str">
        <f>_xll.ciqfunctions.udf.CIQ(InputTicker, "IQ_INV_METHOD",Input!J$2,Date)</f>
        <v>FIFO</v>
      </c>
      <c r="I390" s="4" t="str">
        <f>_xll.ciqfunctions.udf.CIQ(InputTicker, "IQ_INV_METHOD",Input!K$2,Date)</f>
        <v>FIFO</v>
      </c>
      <c r="J390" s="4" t="str">
        <f>_xll.ciqfunctions.udf.CIQ(InputTicker, "IQ_INV_METHOD",Input!L$2,Date)</f>
        <v>FIFO</v>
      </c>
      <c r="K390" s="4" t="str">
        <f>_xll.ciqfunctions.udf.CIQ(InputTicker, "IQ_INV_METHOD",Input!M$2,Date)</f>
        <v>FIFO</v>
      </c>
      <c r="L390" s="4" t="str">
        <f>_xll.ciqfunctions.udf.CIQ(InputTicker, "IQ_INV_METHOD",Input!N$2,Date)</f>
        <v>FIFO</v>
      </c>
      <c r="M390" s="4" t="str">
        <f>_xll.ciqfunctions.udf.CIQ(InputTicker, "IQ_INV_METHOD",Input!O$2,Date)</f>
        <v>FIFO</v>
      </c>
      <c r="N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  <c r="BM390" s="42"/>
      <c r="BN390" s="42"/>
    </row>
    <row r="391" spans="1:66" ht="12.75" customHeight="1" x14ac:dyDescent="0.2">
      <c r="A391" s="1" t="s">
        <v>219</v>
      </c>
      <c r="B391" s="4">
        <f>_xll.ciqfunctions.udf.CIQ(InputTicker, "IQ_LIFOR",Input!D$2,Date,,,Ccy,Conv)</f>
        <v>0</v>
      </c>
      <c r="C391" s="4">
        <f>_xll.ciqfunctions.udf.CIQ(InputTicker, "IQ_LIFOR",Input!E$2,Date,,,Ccy,Conv)</f>
        <v>0</v>
      </c>
      <c r="D391" s="4">
        <f>_xll.ciqfunctions.udf.CIQ(InputTicker, "IQ_LIFOR",Input!F$2,Date,,,Ccy,Conv)</f>
        <v>0</v>
      </c>
      <c r="E391" s="4">
        <f>_xll.ciqfunctions.udf.CIQ(InputTicker, "IQ_LIFOR",Input!G$2,Date,,,Ccy,Conv)</f>
        <v>0</v>
      </c>
      <c r="F391" s="4">
        <f>_xll.ciqfunctions.udf.CIQ(InputTicker, "IQ_LIFOR",Input!H$2,Date,,,Ccy,Conv)</f>
        <v>0</v>
      </c>
      <c r="G391" s="4">
        <f>_xll.ciqfunctions.udf.CIQ(InputTicker, "IQ_LIFOR",Input!I$2,Date,,,Ccy,Conv)</f>
        <v>0</v>
      </c>
      <c r="H391" s="4">
        <f>_xll.ciqfunctions.udf.CIQ(InputTicker, "IQ_LIFOR",Input!J$2,Date,,,Ccy,Conv)</f>
        <v>0</v>
      </c>
      <c r="I391" s="4">
        <f>_xll.ciqfunctions.udf.CIQ(InputTicker, "IQ_LIFOR",Input!K$2,Date,,,Ccy,Conv)</f>
        <v>0</v>
      </c>
      <c r="J391" s="4">
        <f>_xll.ciqfunctions.udf.CIQ(InputTicker, "IQ_LIFOR",Input!L$2,Date,,,Ccy,Conv)</f>
        <v>0</v>
      </c>
      <c r="K391" s="4">
        <f>_xll.ciqfunctions.udf.CIQ(InputTicker, "IQ_LIFOR",Input!M$2,Date,,,Ccy,Conv)</f>
        <v>0</v>
      </c>
      <c r="L391" s="4">
        <f>_xll.ciqfunctions.udf.CIQ(InputTicker, "IQ_LIFOR",Input!N$2,Date,,,Ccy,Conv)</f>
        <v>0</v>
      </c>
      <c r="M391" s="4">
        <f>_xll.ciqfunctions.udf.CIQ(InputTicker, "IQ_LIFOR",Input!O$2,Date,,,Ccy,Conv)</f>
        <v>0</v>
      </c>
      <c r="N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  <c r="BM391" s="42"/>
      <c r="BN391" s="42"/>
    </row>
    <row r="392" spans="1:66" ht="12.75" customHeight="1" x14ac:dyDescent="0.2">
      <c r="A392" s="1" t="s">
        <v>220</v>
      </c>
      <c r="B392" s="4">
        <f>_xll.ciqfunctions.udf.CIQ(InputTicker,"IQ_RAW_INV",Input!D$2,Date,,,Ccy,Conv)</f>
        <v>94.311999999999998</v>
      </c>
      <c r="C392" s="4">
        <f>_xll.ciqfunctions.udf.CIQ(InputTicker,"IQ_RAW_INV",Input!E$2,Date,,,Ccy,Conv)</f>
        <v>98.058999999999997</v>
      </c>
      <c r="D392" s="4">
        <f>_xll.ciqfunctions.udf.CIQ(InputTicker,"IQ_RAW_INV",Input!F$2,Date,,,Ccy,Conv)</f>
        <v>96.593999999999994</v>
      </c>
      <c r="E392" s="4">
        <f>_xll.ciqfunctions.udf.CIQ(InputTicker,"IQ_RAW_INV",Input!G$2,Date,,,Ccy,Conv)</f>
        <v>105.536</v>
      </c>
      <c r="F392" s="4">
        <f>_xll.ciqfunctions.udf.CIQ(InputTicker,"IQ_RAW_INV",Input!H$2,Date,,,Ccy,Conv)</f>
        <v>110.19799999999999</v>
      </c>
      <c r="G392" s="4">
        <f>_xll.ciqfunctions.udf.CIQ(InputTicker,"IQ_RAW_INV",Input!I$2,Date,,,Ccy,Conv)</f>
        <v>123.86</v>
      </c>
      <c r="H392" s="4">
        <f>_xll.ciqfunctions.udf.CIQ(InputTicker,"IQ_RAW_INV",Input!J$2,Date,,,Ccy,Conv)</f>
        <v>144.05099999999999</v>
      </c>
      <c r="I392" s="4">
        <f>_xll.ciqfunctions.udf.CIQ(InputTicker,"IQ_RAW_INV",Input!K$2,Date,,,Ccy,Conv)</f>
        <v>164.54</v>
      </c>
      <c r="J392" s="4">
        <f>_xll.ciqfunctions.udf.CIQ(InputTicker,"IQ_RAW_INV",Input!L$2,Date,,,Ccy,Conv)</f>
        <v>149.98500000000001</v>
      </c>
      <c r="K392" s="4">
        <f>_xll.ciqfunctions.udf.CIQ(InputTicker,"IQ_RAW_INV",Input!M$2,Date,,,Ccy,Conv)</f>
        <v>230.47800000000001</v>
      </c>
      <c r="L392" s="4">
        <f>_xll.ciqfunctions.udf.CIQ(InputTicker,"IQ_RAW_INV",Input!N$2,Date,,,Ccy,Conv)</f>
        <v>290.49599999999998</v>
      </c>
      <c r="M392" s="4">
        <f>_xll.ciqfunctions.udf.CIQ(InputTicker,"IQ_RAW_INV",Input!O$2,Date,,,Ccy,Conv)</f>
        <v>290.49599999999998</v>
      </c>
      <c r="N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  <c r="BM392" s="42"/>
      <c r="BN392" s="42"/>
    </row>
    <row r="393" spans="1:66" ht="12.75" customHeight="1" x14ac:dyDescent="0.2">
      <c r="A393" s="1" t="s">
        <v>221</v>
      </c>
      <c r="B393" s="4">
        <f>_xll.ciqfunctions.udf.CIQ(InputTicker, "IQ_WIP_INV",Input!D$2,Date,,,Ccy,Conv)</f>
        <v>0</v>
      </c>
      <c r="C393" s="4">
        <f>_xll.ciqfunctions.udf.CIQ(InputTicker, "IQ_WIP_INV",Input!E$2,Date,,,Ccy,Conv)</f>
        <v>0</v>
      </c>
      <c r="D393" s="4">
        <f>_xll.ciqfunctions.udf.CIQ(InputTicker, "IQ_WIP_INV",Input!F$2,Date,,,Ccy,Conv)</f>
        <v>0</v>
      </c>
      <c r="E393" s="4">
        <f>_xll.ciqfunctions.udf.CIQ(InputTicker, "IQ_WIP_INV",Input!G$2,Date,,,Ccy,Conv)</f>
        <v>0</v>
      </c>
      <c r="F393" s="4">
        <f>_xll.ciqfunctions.udf.CIQ(InputTicker, "IQ_WIP_INV",Input!H$2,Date,,,Ccy,Conv)</f>
        <v>0</v>
      </c>
      <c r="G393" s="4">
        <f>_xll.ciqfunctions.udf.CIQ(InputTicker, "IQ_WIP_INV",Input!I$2,Date,,,Ccy,Conv)</f>
        <v>0</v>
      </c>
      <c r="H393" s="4">
        <f>_xll.ciqfunctions.udf.CIQ(InputTicker, "IQ_WIP_INV",Input!J$2,Date,,,Ccy,Conv)</f>
        <v>0</v>
      </c>
      <c r="I393" s="4">
        <f>_xll.ciqfunctions.udf.CIQ(InputTicker, "IQ_WIP_INV",Input!K$2,Date,,,Ccy,Conv)</f>
        <v>0</v>
      </c>
      <c r="J393" s="4">
        <f>_xll.ciqfunctions.udf.CIQ(InputTicker, "IQ_WIP_INV",Input!L$2,Date,,,Ccy,Conv)</f>
        <v>0</v>
      </c>
      <c r="K393" s="4">
        <f>_xll.ciqfunctions.udf.CIQ(InputTicker, "IQ_WIP_INV",Input!M$2,Date,,,Ccy,Conv)</f>
        <v>0</v>
      </c>
      <c r="L393" s="4">
        <f>_xll.ciqfunctions.udf.CIQ(InputTicker, "IQ_WIP_INV",Input!N$2,Date,,,Ccy,Conv)</f>
        <v>0</v>
      </c>
      <c r="M393" s="4">
        <f>_xll.ciqfunctions.udf.CIQ(InputTicker, "IQ_WIP_INV",Input!O$2,Date,,,Ccy,Conv)</f>
        <v>0</v>
      </c>
      <c r="N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</row>
    <row r="394" spans="1:66" ht="12.75" customHeight="1" x14ac:dyDescent="0.2">
      <c r="A394" s="1" t="s">
        <v>222</v>
      </c>
      <c r="B394" s="4">
        <f>_xll.ciqfunctions.udf.CIQ(InputTicker, "IQ_FINISHED_INV",Input!D$2,Date,,,Ccy,Conv)</f>
        <v>60.487000000000002</v>
      </c>
      <c r="C394" s="4">
        <f>_xll.ciqfunctions.udf.CIQ(InputTicker, "IQ_FINISHED_INV",Input!E$2,Date,,,Ccy,Conv)</f>
        <v>62.633000000000003</v>
      </c>
      <c r="D394" s="4">
        <f>_xll.ciqfunctions.udf.CIQ(InputTicker, "IQ_FINISHED_INV",Input!F$2,Date,,,Ccy,Conv)</f>
        <v>72.05</v>
      </c>
      <c r="E394" s="4">
        <f>_xll.ciqfunctions.udf.CIQ(InputTicker, "IQ_FINISHED_INV",Input!G$2,Date,,,Ccy,Conv)</f>
        <v>66.700999999999993</v>
      </c>
      <c r="F394" s="4">
        <f>_xll.ciqfunctions.udf.CIQ(InputTicker, "IQ_FINISHED_INV",Input!H$2,Date,,,Ccy,Conv)</f>
        <v>77.018000000000001</v>
      </c>
      <c r="G394" s="4">
        <f>_xll.ciqfunctions.udf.CIQ(InputTicker, "IQ_FINISHED_INV",Input!I$2,Date,,,Ccy,Conv)</f>
        <v>94.515000000000001</v>
      </c>
      <c r="H394" s="4">
        <f>_xll.ciqfunctions.udf.CIQ(InputTicker, "IQ_FINISHED_INV",Input!J$2,Date,,,Ccy,Conv)</f>
        <v>119.265</v>
      </c>
      <c r="I394" s="4">
        <f>_xll.ciqfunctions.udf.CIQ(InputTicker, "IQ_FINISHED_INV",Input!K$2,Date,,,Ccy,Conv)</f>
        <v>119.878</v>
      </c>
      <c r="J394" s="4">
        <f>_xll.ciqfunctions.udf.CIQ(InputTicker, "IQ_FINISHED_INV",Input!L$2,Date,,,Ccy,Conv)</f>
        <v>111.797</v>
      </c>
      <c r="K394" s="4">
        <f>_xll.ciqfunctions.udf.CIQ(InputTicker, "IQ_FINISHED_INV",Input!M$2,Date,,,Ccy,Conv)</f>
        <v>65.191999999999993</v>
      </c>
      <c r="L394" s="4">
        <f>_xll.ciqfunctions.udf.CIQ(InputTicker, "IQ_FINISHED_INV",Input!N$2,Date,,,Ccy,Conv)</f>
        <v>84.769000000000005</v>
      </c>
      <c r="M394" s="4">
        <f>_xll.ciqfunctions.udf.CIQ(InputTicker, "IQ_FINISHED_INV",Input!O$2,Date,,,Ccy,Conv)</f>
        <v>84.769000000000005</v>
      </c>
      <c r="N394" s="53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  <c r="BM394" s="42"/>
      <c r="BN394" s="42"/>
    </row>
    <row r="395" spans="1:66" ht="12.75" customHeight="1" x14ac:dyDescent="0.2">
      <c r="A395" s="1" t="s">
        <v>223</v>
      </c>
      <c r="B395" s="4">
        <f>_xll.ciqfunctions.udf.CIQ(InputTicker, "IQ_OTHER_INV",Input!D$2,Date,,,Ccy,Conv)</f>
        <v>0</v>
      </c>
      <c r="C395" s="4">
        <f>_xll.ciqfunctions.udf.CIQ(InputTicker, "IQ_OTHER_INV",Input!E$2,Date,,,Ccy,Conv)</f>
        <v>0</v>
      </c>
      <c r="D395" s="4">
        <f>_xll.ciqfunctions.udf.CIQ(InputTicker, "IQ_OTHER_INV",Input!F$2,Date,,,Ccy,Conv)</f>
        <v>0</v>
      </c>
      <c r="E395" s="4">
        <f>_xll.ciqfunctions.udf.CIQ(InputTicker, "IQ_OTHER_INV",Input!G$2,Date,,,Ccy,Conv)</f>
        <v>0</v>
      </c>
      <c r="F395" s="4">
        <f>_xll.ciqfunctions.udf.CIQ(InputTicker, "IQ_OTHER_INV",Input!H$2,Date,,,Ccy,Conv)</f>
        <v>0</v>
      </c>
      <c r="G395" s="4">
        <f>_xll.ciqfunctions.udf.CIQ(InputTicker, "IQ_OTHER_INV",Input!I$2,Date,,,Ccy,Conv)</f>
        <v>0</v>
      </c>
      <c r="H395" s="4">
        <f>_xll.ciqfunctions.udf.CIQ(InputTicker, "IQ_OTHER_INV",Input!J$2,Date,,,Ccy,Conv)</f>
        <v>0</v>
      </c>
      <c r="I395" s="4">
        <f>_xll.ciqfunctions.udf.CIQ(InputTicker, "IQ_OTHER_INV",Input!K$2,Date,,,Ccy,Conv)</f>
        <v>0</v>
      </c>
      <c r="J395" s="4">
        <f>_xll.ciqfunctions.udf.CIQ(InputTicker, "IQ_OTHER_INV",Input!L$2,Date,,,Ccy,Conv)</f>
        <v>0</v>
      </c>
      <c r="K395" s="4">
        <f>_xll.ciqfunctions.udf.CIQ(InputTicker, "IQ_OTHER_INV",Input!M$2,Date,,,Ccy,Conv)</f>
        <v>0</v>
      </c>
      <c r="L395" s="4">
        <f>_xll.ciqfunctions.udf.CIQ(InputTicker, "IQ_OTHER_INV",Input!N$2,Date,,,Ccy,Conv)</f>
        <v>0</v>
      </c>
      <c r="M395" s="4">
        <f>_xll.ciqfunctions.udf.CIQ(InputTicker, "IQ_OTHER_INV",Input!O$2,Date,,,Ccy,Conv)</f>
        <v>0</v>
      </c>
      <c r="N395" s="53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  <c r="BM395" s="42"/>
      <c r="BN395" s="42"/>
    </row>
    <row r="396" spans="1:66" ht="12.75" customHeight="1" x14ac:dyDescent="0.2">
      <c r="A396" s="1" t="s">
        <v>224</v>
      </c>
      <c r="B396" s="4">
        <f>_xll.ciqfunctions.udf.CIQ(InputTicker, "IQ_LAND",Input!D$2,Date,,,Ccy,Conv)</f>
        <v>80.775000000000006</v>
      </c>
      <c r="C396" s="4">
        <f>_xll.ciqfunctions.udf.CIQ(InputTicker, "IQ_LAND",Input!E$2,Date,,,Ccy,Conv)</f>
        <v>87.275999999999996</v>
      </c>
      <c r="D396" s="4">
        <f>_xll.ciqfunctions.udf.CIQ(InputTicker, "IQ_LAND",Input!F$2,Date,,,Ccy,Conv)</f>
        <v>90.757000000000005</v>
      </c>
      <c r="E396" s="4">
        <f>_xll.ciqfunctions.udf.CIQ(InputTicker, "IQ_LAND",Input!G$2,Date,,,Ccy,Conv)</f>
        <v>93.046000000000006</v>
      </c>
      <c r="F396" s="4">
        <f>_xll.ciqfunctions.udf.CIQ(InputTicker, "IQ_LAND",Input!H$2,Date,,,Ccy,Conv)</f>
        <v>91.864999999999995</v>
      </c>
      <c r="G396" s="4">
        <f>_xll.ciqfunctions.udf.CIQ(InputTicker, "IQ_LAND",Input!I$2,Date,,,Ccy,Conv)</f>
        <v>101.17400000000001</v>
      </c>
      <c r="H396" s="4">
        <f>_xll.ciqfunctions.udf.CIQ(InputTicker, "IQ_LAND",Input!J$2,Date,,,Ccy,Conv)</f>
        <v>109.833</v>
      </c>
      <c r="I396" s="4">
        <f>_xll.ciqfunctions.udf.CIQ(InputTicker, "IQ_LAND",Input!K$2,Date,,,Ccy,Conv)</f>
        <v>117.279</v>
      </c>
      <c r="J396" s="4">
        <f>_xll.ciqfunctions.udf.CIQ(InputTicker, "IQ_LAND",Input!L$2,Date,,,Ccy,Conv)</f>
        <v>131.05099999999999</v>
      </c>
      <c r="K396" s="4">
        <f>_xll.ciqfunctions.udf.CIQ(InputTicker, "IQ_LAND",Input!M$2,Date,,,Ccy,Conv)</f>
        <v>158.62700000000001</v>
      </c>
      <c r="L396" s="4">
        <f>_xll.ciqfunctions.udf.CIQ(InputTicker, "IQ_LAND",Input!N$2,Date,,,Ccy,Conv)</f>
        <v>176.24299999999999</v>
      </c>
      <c r="M396" s="4">
        <f>_xll.ciqfunctions.udf.CIQ(InputTicker, "IQ_LAND",Input!O$2,Date,,,Ccy,Conv)</f>
        <v>176.24299999999999</v>
      </c>
      <c r="N396" s="53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  <c r="BN396" s="42"/>
    </row>
    <row r="397" spans="1:66" ht="12.75" customHeight="1" x14ac:dyDescent="0.2">
      <c r="A397" s="1" t="s">
        <v>225</v>
      </c>
      <c r="B397" s="4">
        <f>_xll.ciqfunctions.udf.CIQ(InputTicker, "IQ_BUILDINGS",Input!D$2,Date,,,Ccy,Conv)</f>
        <v>291.88799999999998</v>
      </c>
      <c r="C397" s="4">
        <f>_xll.ciqfunctions.udf.CIQ(InputTicker, "IQ_BUILDINGS",Input!E$2,Date,,,Ccy,Conv)</f>
        <v>342.93299999999999</v>
      </c>
      <c r="D397" s="4">
        <f>_xll.ciqfunctions.udf.CIQ(InputTicker, "IQ_BUILDINGS",Input!F$2,Date,,,Ccy,Conv)</f>
        <v>360.03</v>
      </c>
      <c r="E397" s="4">
        <f>_xll.ciqfunctions.udf.CIQ(InputTicker, "IQ_BUILDINGS",Input!G$2,Date,,,Ccy,Conv)</f>
        <v>370.45100000000002</v>
      </c>
      <c r="F397" s="4">
        <f>_xll.ciqfunctions.udf.CIQ(InputTicker, "IQ_BUILDINGS",Input!H$2,Date,,,Ccy,Conv)</f>
        <v>393.19499999999999</v>
      </c>
      <c r="G397" s="4">
        <f>_xll.ciqfunctions.udf.CIQ(InputTicker, "IQ_BUILDINGS",Input!I$2,Date,,,Ccy,Conv)</f>
        <v>454.33199999999999</v>
      </c>
      <c r="H397" s="4">
        <f>_xll.ciqfunctions.udf.CIQ(InputTicker, "IQ_BUILDINGS",Input!J$2,Date,,,Ccy,Conv)</f>
        <v>517.85900000000004</v>
      </c>
      <c r="I397" s="4">
        <f>_xll.ciqfunctions.udf.CIQ(InputTicker, "IQ_BUILDINGS",Input!K$2,Date,,,Ccy,Conv)</f>
        <v>552.66899999999998</v>
      </c>
      <c r="J397" s="4">
        <f>_xll.ciqfunctions.udf.CIQ(InputTicker, "IQ_BUILDINGS",Input!L$2,Date,,,Ccy,Conv)</f>
        <v>627.12099999999998</v>
      </c>
      <c r="K397" s="4">
        <f>_xll.ciqfunctions.udf.CIQ(InputTicker, "IQ_BUILDINGS",Input!M$2,Date,,,Ccy,Conv)</f>
        <v>722.55200000000002</v>
      </c>
      <c r="L397" s="4">
        <f>_xll.ciqfunctions.udf.CIQ(InputTicker, "IQ_BUILDINGS",Input!N$2,Date,,,Ccy,Conv)</f>
        <v>835.67</v>
      </c>
      <c r="M397" s="4">
        <f>_xll.ciqfunctions.udf.CIQ(InputTicker, "IQ_BUILDINGS",Input!O$2,Date,,,Ccy,Conv)</f>
        <v>835.67</v>
      </c>
      <c r="N397" s="53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  <c r="BM397" s="42"/>
      <c r="BN397" s="42"/>
    </row>
    <row r="398" spans="1:66" ht="12.75" customHeight="1" x14ac:dyDescent="0.2">
      <c r="A398" s="1" t="s">
        <v>226</v>
      </c>
      <c r="B398" s="4">
        <f>_xll.ciqfunctions.udf.CIQ(InputTicker, "IQ_MACHINERY",Input!D$2,Date,,,Ccy,Conv)</f>
        <v>399.80399999999997</v>
      </c>
      <c r="C398" s="4">
        <f>_xll.ciqfunctions.udf.CIQ(InputTicker, "IQ_MACHINERY",Input!E$2,Date,,,Ccy,Conv)</f>
        <v>460.21800000000002</v>
      </c>
      <c r="D398" s="4">
        <f>_xll.ciqfunctions.udf.CIQ(InputTicker, "IQ_MACHINERY",Input!F$2,Date,,,Ccy,Conv)</f>
        <v>478.99700000000001</v>
      </c>
      <c r="E398" s="4">
        <f>_xll.ciqfunctions.udf.CIQ(InputTicker, "IQ_MACHINERY",Input!G$2,Date,,,Ccy,Conv)</f>
        <v>494.93700000000001</v>
      </c>
      <c r="F398" s="4">
        <f>_xll.ciqfunctions.udf.CIQ(InputTicker, "IQ_MACHINERY",Input!H$2,Date,,,Ccy,Conv)</f>
        <v>531.54499999999996</v>
      </c>
      <c r="G398" s="4">
        <f>_xll.ciqfunctions.udf.CIQ(InputTicker, "IQ_MACHINERY",Input!I$2,Date,,,Ccy,Conv)</f>
        <v>584.77800000000002</v>
      </c>
      <c r="H398" s="4">
        <f>_xll.ciqfunctions.udf.CIQ(InputTicker, "IQ_MACHINERY",Input!J$2,Date,,,Ccy,Conv)</f>
        <v>655.92499999999995</v>
      </c>
      <c r="I398" s="4">
        <f>_xll.ciqfunctions.udf.CIQ(InputTicker, "IQ_MACHINERY",Input!K$2,Date,,,Ccy,Conv)</f>
        <v>715.20500000000004</v>
      </c>
      <c r="J398" s="4">
        <f>_xll.ciqfunctions.udf.CIQ(InputTicker, "IQ_MACHINERY",Input!L$2,Date,,,Ccy,Conv)</f>
        <v>782.73599999999999</v>
      </c>
      <c r="K398" s="4">
        <f>_xll.ciqfunctions.udf.CIQ(InputTicker, "IQ_MACHINERY",Input!M$2,Date,,,Ccy,Conv)</f>
        <v>876.024</v>
      </c>
      <c r="L398" s="4">
        <f>_xll.ciqfunctions.udf.CIQ(InputTicker, "IQ_MACHINERY",Input!N$2,Date,,,Ccy,Conv)</f>
        <v>1085.789</v>
      </c>
      <c r="M398" s="4">
        <f>_xll.ciqfunctions.udf.CIQ(InputTicker, "IQ_MACHINERY",Input!O$2,Date,,,Ccy,Conv)</f>
        <v>1085.789</v>
      </c>
      <c r="N398" s="53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  <c r="BM398" s="42"/>
      <c r="BN398" s="42"/>
    </row>
    <row r="399" spans="1:66" ht="12.75" customHeight="1" x14ac:dyDescent="0.2">
      <c r="A399" s="1" t="s">
        <v>28</v>
      </c>
      <c r="B399" s="4">
        <f>_xll.ciqfunctions.udf.CIQ(InputTicker, "IQ_SOFTWARE",Input!D$2,Date,,,Ccy,Conv)</f>
        <v>0</v>
      </c>
      <c r="C399" s="4">
        <f>_xll.ciqfunctions.udf.CIQ(InputTicker, "IQ_SOFTWARE",Input!E$2,Date,,,Ccy,Conv)</f>
        <v>0</v>
      </c>
      <c r="D399" s="4">
        <f>_xll.ciqfunctions.udf.CIQ(InputTicker, "IQ_SOFTWARE",Input!F$2,Date,,,Ccy,Conv)</f>
        <v>0</v>
      </c>
      <c r="E399" s="4">
        <f>_xll.ciqfunctions.udf.CIQ(InputTicker, "IQ_SOFTWARE",Input!G$2,Date,,,Ccy,Conv)</f>
        <v>0</v>
      </c>
      <c r="F399" s="4">
        <f>_xll.ciqfunctions.udf.CIQ(InputTicker, "IQ_SOFTWARE",Input!H$2,Date,,,Ccy,Conv)</f>
        <v>0</v>
      </c>
      <c r="G399" s="4">
        <f>_xll.ciqfunctions.udf.CIQ(InputTicker, "IQ_SOFTWARE",Input!I$2,Date,,,Ccy,Conv)</f>
        <v>0</v>
      </c>
      <c r="H399" s="4">
        <f>_xll.ciqfunctions.udf.CIQ(InputTicker, "IQ_SOFTWARE",Input!J$2,Date,,,Ccy,Conv)</f>
        <v>0</v>
      </c>
      <c r="I399" s="4">
        <f>_xll.ciqfunctions.udf.CIQ(InputTicker, "IQ_SOFTWARE",Input!K$2,Date,,,Ccy,Conv)</f>
        <v>0</v>
      </c>
      <c r="J399" s="4">
        <f>_xll.ciqfunctions.udf.CIQ(InputTicker, "IQ_SOFTWARE",Input!L$2,Date,,,Ccy,Conv)</f>
        <v>0</v>
      </c>
      <c r="K399" s="4">
        <f>_xll.ciqfunctions.udf.CIQ(InputTicker, "IQ_SOFTWARE",Input!M$2,Date,,,Ccy,Conv)</f>
        <v>0</v>
      </c>
      <c r="L399" s="4">
        <f>_xll.ciqfunctions.udf.CIQ(InputTicker, "IQ_SOFTWARE",Input!N$2,Date,,,Ccy,Conv)</f>
        <v>0</v>
      </c>
      <c r="M399" s="4">
        <f>_xll.ciqfunctions.udf.CIQ(InputTicker, "IQ_SOFTWARE",Input!O$2,Date,,,Ccy,Conv)</f>
        <v>0</v>
      </c>
      <c r="N399" s="53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  <c r="BN399" s="42"/>
    </row>
    <row r="400" spans="1:66" ht="12.75" customHeight="1" x14ac:dyDescent="0.2">
      <c r="A400" s="1" t="s">
        <v>501</v>
      </c>
      <c r="B400" s="4">
        <f>_xll.ciqfunctions.udf.CIQ(InputTicker, "IQ_NATURAL_RESOURCES_COST",Input!D$2,Date,,,Ccy,Conv)</f>
        <v>0</v>
      </c>
      <c r="C400" s="4">
        <f>_xll.ciqfunctions.udf.CIQ(InputTicker, "IQ_NATURAL_RESOURCES_COST",Input!E$2,Date,,,Ccy,Conv)</f>
        <v>0</v>
      </c>
      <c r="D400" s="4">
        <f>_xll.ciqfunctions.udf.CIQ(InputTicker, "IQ_NATURAL_RESOURCES_COST",Input!F$2,Date,,,Ccy,Conv)</f>
        <v>0</v>
      </c>
      <c r="E400" s="4">
        <f>_xll.ciqfunctions.udf.CIQ(InputTicker, "IQ_NATURAL_RESOURCES_COST",Input!G$2,Date,,,Ccy,Conv)</f>
        <v>0</v>
      </c>
      <c r="F400" s="4">
        <f>_xll.ciqfunctions.udf.CIQ(InputTicker, "IQ_NATURAL_RESOURCES_COST",Input!H$2,Date,,,Ccy,Conv)</f>
        <v>0</v>
      </c>
      <c r="G400" s="4">
        <f>_xll.ciqfunctions.udf.CIQ(InputTicker, "IQ_NATURAL_RESOURCES_COST",Input!I$2,Date,,,Ccy,Conv)</f>
        <v>0</v>
      </c>
      <c r="H400" s="4">
        <f>_xll.ciqfunctions.udf.CIQ(InputTicker, "IQ_NATURAL_RESOURCES_COST",Input!J$2,Date,,,Ccy,Conv)</f>
        <v>0</v>
      </c>
      <c r="I400" s="4">
        <f>_xll.ciqfunctions.udf.CIQ(InputTicker, "IQ_NATURAL_RESOURCES_COST",Input!K$2,Date,,,Ccy,Conv)</f>
        <v>0</v>
      </c>
      <c r="J400" s="4">
        <f>_xll.ciqfunctions.udf.CIQ(InputTicker, "IQ_NATURAL_RESOURCES_COST",Input!L$2,Date,,,Ccy,Conv)</f>
        <v>0</v>
      </c>
      <c r="K400" s="4">
        <f>_xll.ciqfunctions.udf.CIQ(InputTicker, "IQ_NATURAL_RESOURCES_COST",Input!M$2,Date,,,Ccy,Conv)</f>
        <v>0</v>
      </c>
      <c r="L400" s="4">
        <f>_xll.ciqfunctions.udf.CIQ(InputTicker, "IQ_NATURAL_RESOURCES_COST",Input!N$2,Date,,,Ccy,Conv)</f>
        <v>0</v>
      </c>
      <c r="M400" s="4">
        <f>_xll.ciqfunctions.udf.CIQ(InputTicker, "IQ_NATURAL_RESOURCES_COST",Input!O$2,Date,,,Ccy,Conv)</f>
        <v>0</v>
      </c>
      <c r="N400" s="53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</row>
    <row r="401" spans="1:66" ht="12.75" customHeight="1" x14ac:dyDescent="0.2">
      <c r="A401" s="1" t="s">
        <v>437</v>
      </c>
      <c r="B401" s="4">
        <f>_xll.ciqfunctions.udf.CIQ(InputTicker, "IQ_CIP",Input!D$2,Date,,,Ccy,Conv)</f>
        <v>50.177999999999997</v>
      </c>
      <c r="C401" s="4">
        <f>_xll.ciqfunctions.udf.CIQ(InputTicker, "IQ_CIP",Input!E$2,Date,,,Ccy,Conv)</f>
        <v>36.752000000000002</v>
      </c>
      <c r="D401" s="4">
        <f>_xll.ciqfunctions.udf.CIQ(InputTicker, "IQ_CIP",Input!F$2,Date,,,Ccy,Conv)</f>
        <v>9.3070000000000004</v>
      </c>
      <c r="E401" s="4">
        <f>_xll.ciqfunctions.udf.CIQ(InputTicker, "IQ_CIP",Input!G$2,Date,,,Ccy,Conv)</f>
        <v>52.551000000000002</v>
      </c>
      <c r="F401" s="4">
        <f>_xll.ciqfunctions.udf.CIQ(InputTicker, "IQ_CIP",Input!H$2,Date,,,Ccy,Conv)</f>
        <v>126.06100000000001</v>
      </c>
      <c r="G401" s="4">
        <f>_xll.ciqfunctions.udf.CIQ(InputTicker, "IQ_CIP",Input!I$2,Date,,,Ccy,Conv)</f>
        <v>72.879000000000005</v>
      </c>
      <c r="H401" s="4">
        <f>_xll.ciqfunctions.udf.CIQ(InputTicker, "IQ_CIP",Input!J$2,Date,,,Ccy,Conv)</f>
        <v>71.966999999999999</v>
      </c>
      <c r="I401" s="4">
        <f>_xll.ciqfunctions.udf.CIQ(InputTicker, "IQ_CIP",Input!K$2,Date,,,Ccy,Conv)</f>
        <v>98.605000000000004</v>
      </c>
      <c r="J401" s="4">
        <f>_xll.ciqfunctions.udf.CIQ(InputTicker, "IQ_CIP",Input!L$2,Date,,,Ccy,Conv)</f>
        <v>121.26600000000001</v>
      </c>
      <c r="K401" s="4">
        <f>_xll.ciqfunctions.udf.CIQ(InputTicker, "IQ_CIP",Input!M$2,Date,,,Ccy,Conv)</f>
        <v>148.62100000000001</v>
      </c>
      <c r="L401" s="4">
        <f>_xll.ciqfunctions.udf.CIQ(InputTicker, "IQ_CIP",Input!N$2,Date,,,Ccy,Conv)</f>
        <v>207.006</v>
      </c>
      <c r="M401" s="4">
        <f>_xll.ciqfunctions.udf.CIQ(InputTicker, "IQ_CIP",Input!O$2,Date,,,Ccy,Conv)</f>
        <v>207.006</v>
      </c>
      <c r="N401" s="53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  <c r="BN401" s="42"/>
    </row>
    <row r="402" spans="1:66" ht="12.75" customHeight="1" x14ac:dyDescent="0.2">
      <c r="A402" s="1" t="s">
        <v>438</v>
      </c>
      <c r="B402" s="4">
        <f>_xll.ciqfunctions.udf.CIQ(InputTicker, "IQ_LEASEHOLD_IMPROVEMENT",Input!D$2,Date,,,Ccy,Conv)</f>
        <v>0</v>
      </c>
      <c r="C402" s="4">
        <f>_xll.ciqfunctions.udf.CIQ(InputTicker, "IQ_LEASEHOLD_IMPROVEMENT",Input!E$2,Date,,,Ccy,Conv)</f>
        <v>0</v>
      </c>
      <c r="D402" s="4">
        <f>_xll.ciqfunctions.udf.CIQ(InputTicker, "IQ_LEASEHOLD_IMPROVEMENT",Input!F$2,Date,,,Ccy,Conv)</f>
        <v>0</v>
      </c>
      <c r="E402" s="4">
        <f>_xll.ciqfunctions.udf.CIQ(InputTicker, "IQ_LEASEHOLD_IMPROVEMENT",Input!G$2,Date,,,Ccy,Conv)</f>
        <v>0</v>
      </c>
      <c r="F402" s="4">
        <f>_xll.ciqfunctions.udf.CIQ(InputTicker, "IQ_LEASEHOLD_IMPROVEMENT",Input!H$2,Date,,,Ccy,Conv)</f>
        <v>0</v>
      </c>
      <c r="G402" s="4">
        <f>_xll.ciqfunctions.udf.CIQ(InputTicker, "IQ_LEASEHOLD_IMPROVEMENT",Input!I$2,Date,,,Ccy,Conv)</f>
        <v>0</v>
      </c>
      <c r="H402" s="4">
        <f>_xll.ciqfunctions.udf.CIQ(InputTicker, "IQ_LEASEHOLD_IMPROVEMENT",Input!J$2,Date,,,Ccy,Conv)</f>
        <v>0</v>
      </c>
      <c r="I402" s="4">
        <f>_xll.ciqfunctions.udf.CIQ(InputTicker, "IQ_LEASEHOLD_IMPROVEMENT",Input!K$2,Date,,,Ccy,Conv)</f>
        <v>0</v>
      </c>
      <c r="J402" s="4">
        <f>_xll.ciqfunctions.udf.CIQ(InputTicker, "IQ_LEASEHOLD_IMPROVEMENT",Input!L$2,Date,,,Ccy,Conv)</f>
        <v>0</v>
      </c>
      <c r="K402" s="4">
        <f>_xll.ciqfunctions.udf.CIQ(InputTicker, "IQ_LEASEHOLD_IMPROVEMENT",Input!M$2,Date,,,Ccy,Conv)</f>
        <v>0</v>
      </c>
      <c r="L402" s="4">
        <f>_xll.ciqfunctions.udf.CIQ(InputTicker, "IQ_LEASEHOLD_IMPROVEMENT",Input!N$2,Date,,,Ccy,Conv)</f>
        <v>0</v>
      </c>
      <c r="M402" s="4">
        <f>_xll.ciqfunctions.udf.CIQ(InputTicker, "IQ_LEASEHOLD_IMPROVEMENT",Input!O$2,Date,,,Ccy,Conv)</f>
        <v>0</v>
      </c>
      <c r="N402" s="53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  <c r="BM402" s="42"/>
      <c r="BN402" s="42"/>
    </row>
    <row r="403" spans="1:66" ht="12.75" customHeight="1" x14ac:dyDescent="0.2">
      <c r="A403" s="1" t="s">
        <v>24</v>
      </c>
      <c r="B403" s="4">
        <f>_xll.ciqfunctions.udf.CIQ(InputTicker, "IQ_MINORITY_INT_REDEEM",Input!D$2,Date,,,Ccy,Conv)</f>
        <v>0</v>
      </c>
      <c r="C403" s="4">
        <f>_xll.ciqfunctions.udf.CIQ(InputTicker, "IQ_MINORITY_INT_REDEEM",Input!E$2,Date,,,Ccy,Conv)</f>
        <v>0</v>
      </c>
      <c r="D403" s="4">
        <f>_xll.ciqfunctions.udf.CIQ(InputTicker, "IQ_MINORITY_INT_REDEEM",Input!F$2,Date,,,Ccy,Conv)</f>
        <v>0</v>
      </c>
      <c r="E403" s="4">
        <f>_xll.ciqfunctions.udf.CIQ(InputTicker, "IQ_MINORITY_INT_REDEEM",Input!G$2,Date,,,Ccy,Conv)</f>
        <v>0</v>
      </c>
      <c r="F403" s="4">
        <f>_xll.ciqfunctions.udf.CIQ(InputTicker, "IQ_MINORITY_INT_REDEEM",Input!H$2,Date,,,Ccy,Conv)</f>
        <v>0</v>
      </c>
      <c r="G403" s="4">
        <f>_xll.ciqfunctions.udf.CIQ(InputTicker, "IQ_MINORITY_INT_REDEEM",Input!I$2,Date,,,Ccy,Conv)</f>
        <v>0</v>
      </c>
      <c r="H403" s="4">
        <f>_xll.ciqfunctions.udf.CIQ(InputTicker, "IQ_MINORITY_INT_REDEEM",Input!J$2,Date,,,Ccy,Conv)</f>
        <v>0</v>
      </c>
      <c r="I403" s="4">
        <f>_xll.ciqfunctions.udf.CIQ(InputTicker, "IQ_MINORITY_INT_REDEEM",Input!K$2,Date,,,Ccy,Conv)</f>
        <v>0</v>
      </c>
      <c r="J403" s="4">
        <f>_xll.ciqfunctions.udf.CIQ(InputTicker, "IQ_MINORITY_INT_REDEEM",Input!L$2,Date,,,Ccy,Conv)</f>
        <v>0</v>
      </c>
      <c r="K403" s="4">
        <f>_xll.ciqfunctions.udf.CIQ(InputTicker, "IQ_MINORITY_INT_REDEEM",Input!M$2,Date,,,Ccy,Conv)</f>
        <v>0</v>
      </c>
      <c r="L403" s="4">
        <f>_xll.ciqfunctions.udf.CIQ(InputTicker, "IQ_MINORITY_INT_REDEEM",Input!N$2,Date,,,Ccy,Conv)</f>
        <v>0</v>
      </c>
      <c r="M403" s="4">
        <f>_xll.ciqfunctions.udf.CIQ(InputTicker, "IQ_MINORITY_INT_REDEEM",Input!O$2,Date,,,Ccy,Conv)</f>
        <v>0</v>
      </c>
      <c r="N403" s="53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  <c r="BM403" s="42"/>
      <c r="BN403" s="42"/>
    </row>
    <row r="404" spans="1:66" ht="12.75" customHeight="1" x14ac:dyDescent="0.2">
      <c r="A404" s="1" t="s">
        <v>25</v>
      </c>
      <c r="B404" s="4">
        <f>_xll.ciqfunctions.udf.CIQ(InputTicker, "IQ_FIN_DIV_MINORITY_INT_REDEEM",Input!D$2,Date,,,Ccy,Conv)</f>
        <v>0</v>
      </c>
      <c r="C404" s="4">
        <f>_xll.ciqfunctions.udf.CIQ(InputTicker, "IQ_FIN_DIV_MINORITY_INT_REDEEM",Input!E$2,Date,,,Ccy,Conv)</f>
        <v>0</v>
      </c>
      <c r="D404" s="4">
        <f>_xll.ciqfunctions.udf.CIQ(InputTicker, "IQ_FIN_DIV_MINORITY_INT_REDEEM",Input!F$2,Date,,,Ccy,Conv)</f>
        <v>0</v>
      </c>
      <c r="E404" s="4">
        <f>_xll.ciqfunctions.udf.CIQ(InputTicker, "IQ_FIN_DIV_MINORITY_INT_REDEEM",Input!G$2,Date,,,Ccy,Conv)</f>
        <v>0</v>
      </c>
      <c r="F404" s="4">
        <f>_xll.ciqfunctions.udf.CIQ(InputTicker, "IQ_FIN_DIV_MINORITY_INT_REDEEM",Input!H$2,Date,,,Ccy,Conv)</f>
        <v>0</v>
      </c>
      <c r="G404" s="4">
        <f>_xll.ciqfunctions.udf.CIQ(InputTicker, "IQ_FIN_DIV_MINORITY_INT_REDEEM",Input!I$2,Date,,,Ccy,Conv)</f>
        <v>0</v>
      </c>
      <c r="H404" s="4">
        <f>_xll.ciqfunctions.udf.CIQ(InputTicker, "IQ_FIN_DIV_MINORITY_INT_REDEEM",Input!J$2,Date,,,Ccy,Conv)</f>
        <v>0</v>
      </c>
      <c r="I404" s="4">
        <f>_xll.ciqfunctions.udf.CIQ(InputTicker, "IQ_FIN_DIV_MINORITY_INT_REDEEM",Input!K$2,Date,,,Ccy,Conv)</f>
        <v>0</v>
      </c>
      <c r="J404" s="4">
        <f>_xll.ciqfunctions.udf.CIQ(InputTicker, "IQ_FIN_DIV_MINORITY_INT_REDEEM",Input!L$2,Date,,,Ccy,Conv)</f>
        <v>0</v>
      </c>
      <c r="K404" s="4">
        <f>_xll.ciqfunctions.udf.CIQ(InputTicker, "IQ_FIN_DIV_MINORITY_INT_REDEEM",Input!M$2,Date,,,Ccy,Conv)</f>
        <v>0</v>
      </c>
      <c r="L404" s="4">
        <f>_xll.ciqfunctions.udf.CIQ(InputTicker, "IQ_FIN_DIV_MINORITY_INT_REDEEM",Input!N$2,Date,,,Ccy,Conv)</f>
        <v>0</v>
      </c>
      <c r="M404" s="4">
        <f>_xll.ciqfunctions.udf.CIQ(InputTicker, "IQ_FIN_DIV_MINORITY_INT_REDEEM",Input!O$2,Date,,,Ccy,Conv)</f>
        <v>0</v>
      </c>
      <c r="N404" s="53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  <c r="BN404" s="42"/>
    </row>
    <row r="405" spans="1:66" ht="12.75" customHeight="1" x14ac:dyDescent="0.2">
      <c r="A405" s="1" t="s">
        <v>26</v>
      </c>
      <c r="B405" s="4">
        <f>_xll.ciqfunctions.udf.CIQ(InputTicker, "IQ_MINORITY_INT_REDEEM_TOT",Input!D$2,Date,,,Ccy,Conv)</f>
        <v>0</v>
      </c>
      <c r="C405" s="4">
        <f>_xll.ciqfunctions.udf.CIQ(InputTicker, "IQ_MINORITY_INT_REDEEM_TOT",Input!E$2,Date,,,Ccy,Conv)</f>
        <v>0</v>
      </c>
      <c r="D405" s="4">
        <f>_xll.ciqfunctions.udf.CIQ(InputTicker, "IQ_MINORITY_INT_REDEEM_TOT",Input!F$2,Date,,,Ccy,Conv)</f>
        <v>0</v>
      </c>
      <c r="E405" s="4">
        <f>_xll.ciqfunctions.udf.CIQ(InputTicker, "IQ_MINORITY_INT_REDEEM_TOT",Input!G$2,Date,,,Ccy,Conv)</f>
        <v>0</v>
      </c>
      <c r="F405" s="4">
        <f>_xll.ciqfunctions.udf.CIQ(InputTicker, "IQ_MINORITY_INT_REDEEM_TOT",Input!H$2,Date,,,Ccy,Conv)</f>
        <v>0</v>
      </c>
      <c r="G405" s="4">
        <f>_xll.ciqfunctions.udf.CIQ(InputTicker, "IQ_MINORITY_INT_REDEEM_TOT",Input!I$2,Date,,,Ccy,Conv)</f>
        <v>0</v>
      </c>
      <c r="H405" s="4">
        <f>_xll.ciqfunctions.udf.CIQ(InputTicker, "IQ_MINORITY_INT_REDEEM_TOT",Input!J$2,Date,,,Ccy,Conv)</f>
        <v>0</v>
      </c>
      <c r="I405" s="4">
        <f>_xll.ciqfunctions.udf.CIQ(InputTicker, "IQ_MINORITY_INT_REDEEM_TOT",Input!K$2,Date,,,Ccy,Conv)</f>
        <v>0</v>
      </c>
      <c r="J405" s="4">
        <f>_xll.ciqfunctions.udf.CIQ(InputTicker, "IQ_MINORITY_INT_REDEEM_TOT",Input!L$2,Date,,,Ccy,Conv)</f>
        <v>0</v>
      </c>
      <c r="K405" s="4">
        <f>_xll.ciqfunctions.udf.CIQ(InputTicker, "IQ_MINORITY_INT_REDEEM_TOT",Input!M$2,Date,,,Ccy,Conv)</f>
        <v>0</v>
      </c>
      <c r="L405" s="4">
        <f>_xll.ciqfunctions.udf.CIQ(InputTicker, "IQ_MINORITY_INT_REDEEM_TOT",Input!N$2,Date,,,Ccy,Conv)</f>
        <v>0</v>
      </c>
      <c r="M405" s="4">
        <f>_xll.ciqfunctions.udf.CIQ(InputTicker, "IQ_MINORITY_INT_REDEEM_TOT",Input!O$2,Date,,,Ccy,Conv)</f>
        <v>0</v>
      </c>
      <c r="N405" s="53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  <c r="BN405" s="42"/>
    </row>
    <row r="406" spans="1:66" ht="12.75" customHeight="1" x14ac:dyDescent="0.2">
      <c r="A406" s="1" t="s">
        <v>27</v>
      </c>
      <c r="B406" s="4">
        <f>_xll.ciqfunctions.udf.CIQ(InputTicker, "IQ_FIN_DIV_MINORITY_INTEREST",Input!D$2,Date,,,Ccy,Conv)</f>
        <v>0</v>
      </c>
      <c r="C406" s="4">
        <f>_xll.ciqfunctions.udf.CIQ(InputTicker, "IQ_FIN_DIV_MINORITY_INTEREST",Input!E$2,Date,,,Ccy,Conv)</f>
        <v>0</v>
      </c>
      <c r="D406" s="4">
        <f>_xll.ciqfunctions.udf.CIQ(InputTicker, "IQ_FIN_DIV_MINORITY_INTEREST",Input!F$2,Date,,,Ccy,Conv)</f>
        <v>0</v>
      </c>
      <c r="E406" s="4">
        <f>_xll.ciqfunctions.udf.CIQ(InputTicker, "IQ_FIN_DIV_MINORITY_INTEREST",Input!G$2,Date,,,Ccy,Conv)</f>
        <v>0</v>
      </c>
      <c r="F406" s="4">
        <f>_xll.ciqfunctions.udf.CIQ(InputTicker, "IQ_FIN_DIV_MINORITY_INTEREST",Input!H$2,Date,,,Ccy,Conv)</f>
        <v>0</v>
      </c>
      <c r="G406" s="4">
        <f>_xll.ciqfunctions.udf.CIQ(InputTicker, "IQ_FIN_DIV_MINORITY_INTEREST",Input!I$2,Date,,,Ccy,Conv)</f>
        <v>0</v>
      </c>
      <c r="H406" s="4">
        <f>_xll.ciqfunctions.udf.CIQ(InputTicker, "IQ_FIN_DIV_MINORITY_INTEREST",Input!J$2,Date,,,Ccy,Conv)</f>
        <v>0</v>
      </c>
      <c r="I406" s="4">
        <f>_xll.ciqfunctions.udf.CIQ(InputTicker, "IQ_FIN_DIV_MINORITY_INTEREST",Input!K$2,Date,,,Ccy,Conv)</f>
        <v>0</v>
      </c>
      <c r="J406" s="4">
        <f>_xll.ciqfunctions.udf.CIQ(InputTicker, "IQ_FIN_DIV_MINORITY_INTEREST",Input!L$2,Date,,,Ccy,Conv)</f>
        <v>0</v>
      </c>
      <c r="K406" s="4">
        <f>_xll.ciqfunctions.udf.CIQ(InputTicker, "IQ_FIN_DIV_MINORITY_INTEREST",Input!M$2,Date,,,Ccy,Conv)</f>
        <v>0</v>
      </c>
      <c r="L406" s="4">
        <f>_xll.ciqfunctions.udf.CIQ(InputTicker, "IQ_FIN_DIV_MINORITY_INTEREST",Input!N$2,Date,,,Ccy,Conv)</f>
        <v>0</v>
      </c>
      <c r="M406" s="4">
        <f>_xll.ciqfunctions.udf.CIQ(InputTicker, "IQ_FIN_DIV_MINORITY_INTEREST",Input!O$2,Date,,,Ccy,Conv)</f>
        <v>0</v>
      </c>
      <c r="N406" s="53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  <c r="BN406" s="42"/>
    </row>
    <row r="407" spans="1:66" ht="12.75" customHeight="1" x14ac:dyDescent="0.2">
      <c r="A407" s="1" t="s">
        <v>441</v>
      </c>
      <c r="B407" s="4">
        <f>_xll.ciqfunctions.udf.CIQ(InputTicker, "IQ_DEF_TAX_VALUATION_ALLOWANCE",Input!D$2,Date,,,Ccy,Conv)</f>
        <v>0</v>
      </c>
      <c r="C407" s="4">
        <f>_xll.ciqfunctions.udf.CIQ(InputTicker, "IQ_DEF_TAX_VALUATION_ALLOWANCE",Input!E$2,Date,,,Ccy,Conv)</f>
        <v>0</v>
      </c>
      <c r="D407" s="4">
        <f>_xll.ciqfunctions.udf.CIQ(InputTicker, "IQ_DEF_TAX_VALUATION_ALLOWANCE",Input!F$2,Date,,,Ccy,Conv)</f>
        <v>0</v>
      </c>
      <c r="E407" s="4">
        <f>_xll.ciqfunctions.udf.CIQ(InputTicker, "IQ_DEF_TAX_VALUATION_ALLOWANCE",Input!G$2,Date,,,Ccy,Conv)</f>
        <v>0</v>
      </c>
      <c r="F407" s="4">
        <f>_xll.ciqfunctions.udf.CIQ(InputTicker, "IQ_DEF_TAX_VALUATION_ALLOWANCE",Input!H$2,Date,,,Ccy,Conv)</f>
        <v>0</v>
      </c>
      <c r="G407" s="4">
        <f>_xll.ciqfunctions.udf.CIQ(InputTicker, "IQ_DEF_TAX_VALUATION_ALLOWANCE",Input!I$2,Date,,,Ccy,Conv)</f>
        <v>0</v>
      </c>
      <c r="H407" s="4">
        <f>_xll.ciqfunctions.udf.CIQ(InputTicker, "IQ_DEF_TAX_VALUATION_ALLOWANCE",Input!J$2,Date,,,Ccy,Conv)</f>
        <v>0</v>
      </c>
      <c r="I407" s="4">
        <f>_xll.ciqfunctions.udf.CIQ(InputTicker, "IQ_DEF_TAX_VALUATION_ALLOWANCE",Input!K$2,Date,,,Ccy,Conv)</f>
        <v>0</v>
      </c>
      <c r="J407" s="4">
        <f>_xll.ciqfunctions.udf.CIQ(InputTicker, "IQ_DEF_TAX_VALUATION_ALLOWANCE",Input!L$2,Date,,,Ccy,Conv)</f>
        <v>0</v>
      </c>
      <c r="K407" s="4">
        <f>_xll.ciqfunctions.udf.CIQ(InputTicker, "IQ_DEF_TAX_VALUATION_ALLOWANCE",Input!M$2,Date,,,Ccy,Conv)</f>
        <v>0</v>
      </c>
      <c r="L407" s="4">
        <f>_xll.ciqfunctions.udf.CIQ(InputTicker, "IQ_DEF_TAX_VALUATION_ALLOWANCE",Input!N$2,Date,,,Ccy,Conv)</f>
        <v>0</v>
      </c>
      <c r="M407" s="4">
        <f>_xll.ciqfunctions.udf.CIQ(InputTicker, "IQ_DEF_TAX_VALUATION_ALLOWANCE",Input!O$2,Date,,,Ccy,Conv)</f>
        <v>0</v>
      </c>
      <c r="N407" s="53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  <c r="BN407" s="42"/>
    </row>
    <row r="408" spans="1:66" ht="12.75" customHeight="1" x14ac:dyDescent="0.2">
      <c r="A408" s="1" t="s">
        <v>1</v>
      </c>
      <c r="B408" s="4">
        <f>_xll.ciqfunctions.udf.CIQ(InputTicker, "IQ_GENERAL_PARTNER_COMMON_EQUITY",Input!D$2,Date,,,Ccy,Conv)</f>
        <v>0</v>
      </c>
      <c r="C408" s="4">
        <f>_xll.ciqfunctions.udf.CIQ(InputTicker, "IQ_GENERAL_PARTNER_COMMON_EQUITY",Input!E$2,Date,,,Ccy,Conv)</f>
        <v>0</v>
      </c>
      <c r="D408" s="4">
        <f>_xll.ciqfunctions.udf.CIQ(InputTicker, "IQ_GENERAL_PARTNER_COMMON_EQUITY",Input!F$2,Date,,,Ccy,Conv)</f>
        <v>0</v>
      </c>
      <c r="E408" s="4">
        <f>_xll.ciqfunctions.udf.CIQ(InputTicker, "IQ_GENERAL_PARTNER_COMMON_EQUITY",Input!G$2,Date,,,Ccy,Conv)</f>
        <v>0</v>
      </c>
      <c r="F408" s="4">
        <f>_xll.ciqfunctions.udf.CIQ(InputTicker, "IQ_GENERAL_PARTNER_COMMON_EQUITY",Input!H$2,Date,,,Ccy,Conv)</f>
        <v>0</v>
      </c>
      <c r="G408" s="4">
        <f>_xll.ciqfunctions.udf.CIQ(InputTicker, "IQ_GENERAL_PARTNER_COMMON_EQUITY",Input!I$2,Date,,,Ccy,Conv)</f>
        <v>0</v>
      </c>
      <c r="H408" s="4">
        <f>_xll.ciqfunctions.udf.CIQ(InputTicker, "IQ_GENERAL_PARTNER_COMMON_EQUITY",Input!J$2,Date,,,Ccy,Conv)</f>
        <v>0</v>
      </c>
      <c r="I408" s="4">
        <f>_xll.ciqfunctions.udf.CIQ(InputTicker, "IQ_GENERAL_PARTNER_COMMON_EQUITY",Input!K$2,Date,,,Ccy,Conv)</f>
        <v>0</v>
      </c>
      <c r="J408" s="4">
        <f>_xll.ciqfunctions.udf.CIQ(InputTicker, "IQ_GENERAL_PARTNER_COMMON_EQUITY",Input!L$2,Date,,,Ccy,Conv)</f>
        <v>0</v>
      </c>
      <c r="K408" s="4">
        <f>_xll.ciqfunctions.udf.CIQ(InputTicker, "IQ_GENERAL_PARTNER_COMMON_EQUITY",Input!M$2,Date,,,Ccy,Conv)</f>
        <v>0</v>
      </c>
      <c r="L408" s="4">
        <f>_xll.ciqfunctions.udf.CIQ(InputTicker, "IQ_GENERAL_PARTNER_COMMON_EQUITY",Input!N$2,Date,,,Ccy,Conv)</f>
        <v>0</v>
      </c>
      <c r="M408" s="4">
        <f>_xll.ciqfunctions.udf.CIQ(InputTicker, "IQ_GENERAL_PARTNER_COMMON_EQUITY",Input!O$2,Date,,,Ccy,Conv)</f>
        <v>0</v>
      </c>
      <c r="N408" s="53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</row>
    <row r="409" spans="1:66" ht="12.75" customHeight="1" x14ac:dyDescent="0.2">
      <c r="A409" s="1" t="s">
        <v>2</v>
      </c>
      <c r="B409" s="4">
        <f>_xll.ciqfunctions.udf.CIQ(InputTicker, "IQ_GENERAL_PARTNER_PREF_EQUITY",Input!D$2,Date,,,Ccy,Conv)</f>
        <v>0</v>
      </c>
      <c r="C409" s="4">
        <f>_xll.ciqfunctions.udf.CIQ(InputTicker, "IQ_GENERAL_PARTNER_PREF_EQUITY",Input!E$2,Date,,,Ccy,Conv)</f>
        <v>0</v>
      </c>
      <c r="D409" s="4">
        <f>_xll.ciqfunctions.udf.CIQ(InputTicker, "IQ_GENERAL_PARTNER_PREF_EQUITY",Input!F$2,Date,,,Ccy,Conv)</f>
        <v>0</v>
      </c>
      <c r="E409" s="4">
        <f>_xll.ciqfunctions.udf.CIQ(InputTicker, "IQ_GENERAL_PARTNER_PREF_EQUITY",Input!G$2,Date,,,Ccy,Conv)</f>
        <v>0</v>
      </c>
      <c r="F409" s="4">
        <f>_xll.ciqfunctions.udf.CIQ(InputTicker, "IQ_GENERAL_PARTNER_PREF_EQUITY",Input!H$2,Date,,,Ccy,Conv)</f>
        <v>0</v>
      </c>
      <c r="G409" s="4">
        <f>_xll.ciqfunctions.udf.CIQ(InputTicker, "IQ_GENERAL_PARTNER_PREF_EQUITY",Input!I$2,Date,,,Ccy,Conv)</f>
        <v>0</v>
      </c>
      <c r="H409" s="4">
        <f>_xll.ciqfunctions.udf.CIQ(InputTicker, "IQ_GENERAL_PARTNER_PREF_EQUITY",Input!J$2,Date,,,Ccy,Conv)</f>
        <v>0</v>
      </c>
      <c r="I409" s="4">
        <f>_xll.ciqfunctions.udf.CIQ(InputTicker, "IQ_GENERAL_PARTNER_PREF_EQUITY",Input!K$2,Date,,,Ccy,Conv)</f>
        <v>0</v>
      </c>
      <c r="J409" s="4">
        <f>_xll.ciqfunctions.udf.CIQ(InputTicker, "IQ_GENERAL_PARTNER_PREF_EQUITY",Input!L$2,Date,,,Ccy,Conv)</f>
        <v>0</v>
      </c>
      <c r="K409" s="4">
        <f>_xll.ciqfunctions.udf.CIQ(InputTicker, "IQ_GENERAL_PARTNER_PREF_EQUITY",Input!M$2,Date,,,Ccy,Conv)</f>
        <v>0</v>
      </c>
      <c r="L409" s="4">
        <f>_xll.ciqfunctions.udf.CIQ(InputTicker, "IQ_GENERAL_PARTNER_PREF_EQUITY",Input!N$2,Date,,,Ccy,Conv)</f>
        <v>0</v>
      </c>
      <c r="M409" s="4">
        <f>_xll.ciqfunctions.udf.CIQ(InputTicker, "IQ_GENERAL_PARTNER_PREF_EQUITY",Input!O$2,Date,,,Ccy,Conv)</f>
        <v>0</v>
      </c>
      <c r="N409" s="53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  <c r="BM409" s="42"/>
      <c r="BN409" s="42"/>
    </row>
    <row r="410" spans="1:66" ht="12.75" customHeight="1" x14ac:dyDescent="0.2">
      <c r="A410" s="1" t="s">
        <v>3</v>
      </c>
      <c r="B410" s="4">
        <f>_xll.ciqfunctions.udf.CIQ(InputTicker, "IQ_GENERAL_PARTNER_MINORITY_INTEREST",Input!D$2,Date,,,Ccy,Conv)</f>
        <v>0</v>
      </c>
      <c r="C410" s="4">
        <f>_xll.ciqfunctions.udf.CIQ(InputTicker, "IQ_GENERAL_PARTNER_MINORITY_INTEREST",Input!E$2,Date,,,Ccy,Conv)</f>
        <v>0</v>
      </c>
      <c r="D410" s="4">
        <f>_xll.ciqfunctions.udf.CIQ(InputTicker, "IQ_GENERAL_PARTNER_MINORITY_INTEREST",Input!F$2,Date,,,Ccy,Conv)</f>
        <v>0</v>
      </c>
      <c r="E410" s="4">
        <f>_xll.ciqfunctions.udf.CIQ(InputTicker, "IQ_GENERAL_PARTNER_MINORITY_INTEREST",Input!G$2,Date,,,Ccy,Conv)</f>
        <v>0</v>
      </c>
      <c r="F410" s="4">
        <f>_xll.ciqfunctions.udf.CIQ(InputTicker, "IQ_GENERAL_PARTNER_MINORITY_INTEREST",Input!H$2,Date,,,Ccy,Conv)</f>
        <v>0</v>
      </c>
      <c r="G410" s="4">
        <f>_xll.ciqfunctions.udf.CIQ(InputTicker, "IQ_GENERAL_PARTNER_MINORITY_INTEREST",Input!I$2,Date,,,Ccy,Conv)</f>
        <v>0</v>
      </c>
      <c r="H410" s="4">
        <f>_xll.ciqfunctions.udf.CIQ(InputTicker, "IQ_GENERAL_PARTNER_MINORITY_INTEREST",Input!J$2,Date,,,Ccy,Conv)</f>
        <v>0</v>
      </c>
      <c r="I410" s="4">
        <f>_xll.ciqfunctions.udf.CIQ(InputTicker, "IQ_GENERAL_PARTNER_MINORITY_INTEREST",Input!K$2,Date,,,Ccy,Conv)</f>
        <v>0</v>
      </c>
      <c r="J410" s="4">
        <f>_xll.ciqfunctions.udf.CIQ(InputTicker, "IQ_GENERAL_PARTNER_MINORITY_INTEREST",Input!L$2,Date,,,Ccy,Conv)</f>
        <v>0</v>
      </c>
      <c r="K410" s="4">
        <f>_xll.ciqfunctions.udf.CIQ(InputTicker, "IQ_GENERAL_PARTNER_MINORITY_INTEREST",Input!M$2,Date,,,Ccy,Conv)</f>
        <v>0</v>
      </c>
      <c r="L410" s="4">
        <f>_xll.ciqfunctions.udf.CIQ(InputTicker, "IQ_GENERAL_PARTNER_MINORITY_INTEREST",Input!N$2,Date,,,Ccy,Conv)</f>
        <v>0</v>
      </c>
      <c r="M410" s="4">
        <f>_xll.ciqfunctions.udf.CIQ(InputTicker, "IQ_GENERAL_PARTNER_MINORITY_INTEREST",Input!O$2,Date,,,Ccy,Conv)</f>
        <v>0</v>
      </c>
      <c r="N410" s="53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  <c r="BM410" s="42"/>
      <c r="BN410" s="42"/>
    </row>
    <row r="411" spans="1:66" ht="12.75" customHeight="1" x14ac:dyDescent="0.2">
      <c r="A411" s="1" t="s">
        <v>4</v>
      </c>
      <c r="B411" s="4">
        <f>_xll.ciqfunctions.udf.CIQ(InputTicker, "IQ_TOTAL_GENERAL_PARTNER_INTEREST",Input!D$2,Date,,,Ccy,Conv)</f>
        <v>0</v>
      </c>
      <c r="C411" s="4">
        <f>_xll.ciqfunctions.udf.CIQ(InputTicker, "IQ_TOTAL_GENERAL_PARTNER_INTEREST",Input!E$2,Date,,,Ccy,Conv)</f>
        <v>0</v>
      </c>
      <c r="D411" s="4">
        <f>_xll.ciqfunctions.udf.CIQ(InputTicker, "IQ_TOTAL_GENERAL_PARTNER_INTEREST",Input!F$2,Date,,,Ccy,Conv)</f>
        <v>0</v>
      </c>
      <c r="E411" s="4">
        <f>_xll.ciqfunctions.udf.CIQ(InputTicker, "IQ_TOTAL_GENERAL_PARTNER_INTEREST",Input!G$2,Date,,,Ccy,Conv)</f>
        <v>0</v>
      </c>
      <c r="F411" s="4">
        <f>_xll.ciqfunctions.udf.CIQ(InputTicker, "IQ_TOTAL_GENERAL_PARTNER_INTEREST",Input!H$2,Date,,,Ccy,Conv)</f>
        <v>0</v>
      </c>
      <c r="G411" s="4">
        <f>_xll.ciqfunctions.udf.CIQ(InputTicker, "IQ_TOTAL_GENERAL_PARTNER_INTEREST",Input!I$2,Date,,,Ccy,Conv)</f>
        <v>0</v>
      </c>
      <c r="H411" s="4">
        <f>_xll.ciqfunctions.udf.CIQ(InputTicker, "IQ_TOTAL_GENERAL_PARTNER_INTEREST",Input!J$2,Date,,,Ccy,Conv)</f>
        <v>0</v>
      </c>
      <c r="I411" s="4">
        <f>_xll.ciqfunctions.udf.CIQ(InputTicker, "IQ_TOTAL_GENERAL_PARTNER_INTEREST",Input!K$2,Date,,,Ccy,Conv)</f>
        <v>0</v>
      </c>
      <c r="J411" s="4">
        <f>_xll.ciqfunctions.udf.CIQ(InputTicker, "IQ_TOTAL_GENERAL_PARTNER_INTEREST",Input!L$2,Date,,,Ccy,Conv)</f>
        <v>0</v>
      </c>
      <c r="K411" s="4">
        <f>_xll.ciqfunctions.udf.CIQ(InputTicker, "IQ_TOTAL_GENERAL_PARTNER_INTEREST",Input!M$2,Date,,,Ccy,Conv)</f>
        <v>0</v>
      </c>
      <c r="L411" s="4">
        <f>_xll.ciqfunctions.udf.CIQ(InputTicker, "IQ_TOTAL_GENERAL_PARTNER_INTEREST",Input!N$2,Date,,,Ccy,Conv)</f>
        <v>0</v>
      </c>
      <c r="M411" s="4">
        <f>_xll.ciqfunctions.udf.CIQ(InputTicker, "IQ_TOTAL_GENERAL_PARTNER_INTEREST",Input!O$2,Date,,,Ccy,Conv)</f>
        <v>0</v>
      </c>
      <c r="N411" s="53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  <c r="BM411" s="42"/>
      <c r="BN411" s="42"/>
    </row>
    <row r="412" spans="1:66" ht="12.75" customHeight="1" x14ac:dyDescent="0.2">
      <c r="A412" s="1" t="s">
        <v>396</v>
      </c>
      <c r="B412" s="4">
        <f>_xll.ciqfunctions.udf.CIQ(InputTicker, "IQ_LIQUIDATION_VALUE_PREFERRED_CONVERT",Input!D$2,Date,,,Ccy,Conv)</f>
        <v>0</v>
      </c>
      <c r="C412" s="4">
        <f>_xll.ciqfunctions.udf.CIQ(InputTicker, "IQ_LIQUIDATION_VALUE_PREFERRED_CONVERT",Input!E$2,Date,,,Ccy,Conv)</f>
        <v>0</v>
      </c>
      <c r="D412" s="4">
        <f>_xll.ciqfunctions.udf.CIQ(InputTicker, "IQ_LIQUIDATION_VALUE_PREFERRED_CONVERT",Input!F$2,Date,,,Ccy,Conv)</f>
        <v>0</v>
      </c>
      <c r="E412" s="4">
        <f>_xll.ciqfunctions.udf.CIQ(InputTicker, "IQ_LIQUIDATION_VALUE_PREFERRED_CONVERT",Input!G$2,Date,,,Ccy,Conv)</f>
        <v>0</v>
      </c>
      <c r="F412" s="4">
        <f>_xll.ciqfunctions.udf.CIQ(InputTicker, "IQ_LIQUIDATION_VALUE_PREFERRED_CONVERT",Input!H$2,Date,,,Ccy,Conv)</f>
        <v>0</v>
      </c>
      <c r="G412" s="4">
        <f>_xll.ciqfunctions.udf.CIQ(InputTicker, "IQ_LIQUIDATION_VALUE_PREFERRED_CONVERT",Input!I$2,Date,,,Ccy,Conv)</f>
        <v>0</v>
      </c>
      <c r="H412" s="4">
        <f>_xll.ciqfunctions.udf.CIQ(InputTicker, "IQ_LIQUIDATION_VALUE_PREFERRED_CONVERT",Input!J$2,Date,,,Ccy,Conv)</f>
        <v>0</v>
      </c>
      <c r="I412" s="4">
        <f>_xll.ciqfunctions.udf.CIQ(InputTicker, "IQ_LIQUIDATION_VALUE_PREFERRED_CONVERT",Input!K$2,Date,,,Ccy,Conv)</f>
        <v>0</v>
      </c>
      <c r="J412" s="4">
        <f>_xll.ciqfunctions.udf.CIQ(InputTicker, "IQ_LIQUIDATION_VALUE_PREFERRED_CONVERT",Input!L$2,Date,,,Ccy,Conv)</f>
        <v>0</v>
      </c>
      <c r="K412" s="4">
        <f>_xll.ciqfunctions.udf.CIQ(InputTicker, "IQ_LIQUIDATION_VALUE_PREFERRED_CONVERT",Input!M$2,Date,,,Ccy,Conv)</f>
        <v>0</v>
      </c>
      <c r="L412" s="4">
        <f>_xll.ciqfunctions.udf.CIQ(InputTicker, "IQ_LIQUIDATION_VALUE_PREFERRED_CONVERT",Input!N$2,Date,,,Ccy,Conv)</f>
        <v>0</v>
      </c>
      <c r="M412" s="4">
        <f>_xll.ciqfunctions.udf.CIQ(InputTicker, "IQ_LIQUIDATION_VALUE_PREFERRED_CONVERT",Input!O$2,Date,,,Ccy,Conv)</f>
        <v>0</v>
      </c>
      <c r="N412" s="53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  <c r="BM412" s="42"/>
      <c r="BN412" s="42"/>
    </row>
    <row r="413" spans="1:66" ht="12.75" customHeight="1" x14ac:dyDescent="0.2">
      <c r="A413" s="1" t="s">
        <v>397</v>
      </c>
      <c r="B413" s="4">
        <f>_xll.ciqfunctions.udf.CIQ(InputTicker, "IQ_LIQUIDATION_VALUE_PREFERRED_NON_REDEEM",Input!D$2,Date,,,Ccy,Conv)</f>
        <v>0</v>
      </c>
      <c r="C413" s="4">
        <f>_xll.ciqfunctions.udf.CIQ(InputTicker, "IQ_LIQUIDATION_VALUE_PREFERRED_NON_REDEEM",Input!E$2,Date,,,Ccy,Conv)</f>
        <v>0</v>
      </c>
      <c r="D413" s="4">
        <f>_xll.ciqfunctions.udf.CIQ(InputTicker, "IQ_LIQUIDATION_VALUE_PREFERRED_NON_REDEEM",Input!F$2,Date,,,Ccy,Conv)</f>
        <v>0</v>
      </c>
      <c r="E413" s="4">
        <f>_xll.ciqfunctions.udf.CIQ(InputTicker, "IQ_LIQUIDATION_VALUE_PREFERRED_NON_REDEEM",Input!G$2,Date,,,Ccy,Conv)</f>
        <v>0</v>
      </c>
      <c r="F413" s="4">
        <f>_xll.ciqfunctions.udf.CIQ(InputTicker, "IQ_LIQUIDATION_VALUE_PREFERRED_NON_REDEEM",Input!H$2,Date,,,Ccy,Conv)</f>
        <v>0</v>
      </c>
      <c r="G413" s="4">
        <f>_xll.ciqfunctions.udf.CIQ(InputTicker, "IQ_LIQUIDATION_VALUE_PREFERRED_NON_REDEEM",Input!I$2,Date,,,Ccy,Conv)</f>
        <v>0</v>
      </c>
      <c r="H413" s="4">
        <f>_xll.ciqfunctions.udf.CIQ(InputTicker, "IQ_LIQUIDATION_VALUE_PREFERRED_NON_REDEEM",Input!J$2,Date,,,Ccy,Conv)</f>
        <v>0</v>
      </c>
      <c r="I413" s="4">
        <f>_xll.ciqfunctions.udf.CIQ(InputTicker, "IQ_LIQUIDATION_VALUE_PREFERRED_NON_REDEEM",Input!K$2,Date,,,Ccy,Conv)</f>
        <v>0</v>
      </c>
      <c r="J413" s="4">
        <f>_xll.ciqfunctions.udf.CIQ(InputTicker, "IQ_LIQUIDATION_VALUE_PREFERRED_NON_REDEEM",Input!L$2,Date,,,Ccy,Conv)</f>
        <v>0</v>
      </c>
      <c r="K413" s="4">
        <f>_xll.ciqfunctions.udf.CIQ(InputTicker, "IQ_LIQUIDATION_VALUE_PREFERRED_NON_REDEEM",Input!M$2,Date,,,Ccy,Conv)</f>
        <v>0</v>
      </c>
      <c r="L413" s="4">
        <f>_xll.ciqfunctions.udf.CIQ(InputTicker, "IQ_LIQUIDATION_VALUE_PREFERRED_NON_REDEEM",Input!N$2,Date,,,Ccy,Conv)</f>
        <v>0</v>
      </c>
      <c r="M413" s="4">
        <f>_xll.ciqfunctions.udf.CIQ(InputTicker, "IQ_LIQUIDATION_VALUE_PREFERRED_NON_REDEEM",Input!O$2,Date,,,Ccy,Conv)</f>
        <v>0</v>
      </c>
      <c r="N413" s="53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  <c r="BN413" s="42"/>
    </row>
    <row r="414" spans="1:66" ht="12.75" customHeight="1" x14ac:dyDescent="0.2">
      <c r="A414" s="1" t="s">
        <v>398</v>
      </c>
      <c r="B414" s="4">
        <f>_xll.ciqfunctions.udf.CIQ(InputTicker, "IQ_LIQUIDATION_VALUE_PREFERRED_REDEEM",Input!D$2,Date,,,Ccy,Conv)</f>
        <v>0</v>
      </c>
      <c r="C414" s="4">
        <f>_xll.ciqfunctions.udf.CIQ(InputTicker, "IQ_LIQUIDATION_VALUE_PREFERRED_REDEEM",Input!E$2,Date,,,Ccy,Conv)</f>
        <v>0</v>
      </c>
      <c r="D414" s="4">
        <f>_xll.ciqfunctions.udf.CIQ(InputTicker, "IQ_LIQUIDATION_VALUE_PREFERRED_REDEEM",Input!F$2,Date,,,Ccy,Conv)</f>
        <v>0</v>
      </c>
      <c r="E414" s="4">
        <f>_xll.ciqfunctions.udf.CIQ(InputTicker, "IQ_LIQUIDATION_VALUE_PREFERRED_REDEEM",Input!G$2,Date,,,Ccy,Conv)</f>
        <v>0</v>
      </c>
      <c r="F414" s="4">
        <f>_xll.ciqfunctions.udf.CIQ(InputTicker, "IQ_LIQUIDATION_VALUE_PREFERRED_REDEEM",Input!H$2,Date,,,Ccy,Conv)</f>
        <v>0</v>
      </c>
      <c r="G414" s="4">
        <f>_xll.ciqfunctions.udf.CIQ(InputTicker, "IQ_LIQUIDATION_VALUE_PREFERRED_REDEEM",Input!I$2,Date,,,Ccy,Conv)</f>
        <v>0</v>
      </c>
      <c r="H414" s="4">
        <f>_xll.ciqfunctions.udf.CIQ(InputTicker, "IQ_LIQUIDATION_VALUE_PREFERRED_REDEEM",Input!J$2,Date,,,Ccy,Conv)</f>
        <v>0</v>
      </c>
      <c r="I414" s="4">
        <f>_xll.ciqfunctions.udf.CIQ(InputTicker, "IQ_LIQUIDATION_VALUE_PREFERRED_REDEEM",Input!K$2,Date,,,Ccy,Conv)</f>
        <v>0</v>
      </c>
      <c r="J414" s="4">
        <f>_xll.ciqfunctions.udf.CIQ(InputTicker, "IQ_LIQUIDATION_VALUE_PREFERRED_REDEEM",Input!L$2,Date,,,Ccy,Conv)</f>
        <v>0</v>
      </c>
      <c r="K414" s="4">
        <f>_xll.ciqfunctions.udf.CIQ(InputTicker, "IQ_LIQUIDATION_VALUE_PREFERRED_REDEEM",Input!M$2,Date,,,Ccy,Conv)</f>
        <v>0</v>
      </c>
      <c r="L414" s="4">
        <f>_xll.ciqfunctions.udf.CIQ(InputTicker, "IQ_LIQUIDATION_VALUE_PREFERRED_REDEEM",Input!N$2,Date,,,Ccy,Conv)</f>
        <v>0</v>
      </c>
      <c r="M414" s="4">
        <f>_xll.ciqfunctions.udf.CIQ(InputTicker, "IQ_LIQUIDATION_VALUE_PREFERRED_REDEEM",Input!O$2,Date,,,Ccy,Conv)</f>
        <v>0</v>
      </c>
      <c r="N414" s="53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  <c r="BM414" s="42"/>
      <c r="BN414" s="42"/>
    </row>
    <row r="415" spans="1:66" ht="12.75" customHeight="1" x14ac:dyDescent="0.2">
      <c r="A415" s="1" t="s">
        <v>399</v>
      </c>
      <c r="B415" s="4">
        <f>_xll.ciqfunctions.udf.CIQ(InputTicker, "IQ_ASSETS_LEVEL_1",Input!D$2,Date,,,Ccy,Conv)</f>
        <v>5.5030000000000001</v>
      </c>
      <c r="C415" s="4">
        <f>_xll.ciqfunctions.udf.CIQ(InputTicker, "IQ_ASSETS_LEVEL_1",Input!E$2,Date,,,Ccy,Conv)</f>
        <v>2.4590000000000001</v>
      </c>
      <c r="D415" s="4">
        <f>_xll.ciqfunctions.udf.CIQ(InputTicker, "IQ_ASSETS_LEVEL_1",Input!F$2,Date,,,Ccy,Conv)</f>
        <v>3.0710000000000002</v>
      </c>
      <c r="E415" s="4">
        <f>_xll.ciqfunctions.udf.CIQ(InputTicker, "IQ_ASSETS_LEVEL_1",Input!G$2,Date,,,Ccy,Conv)</f>
        <v>3.3570000000000002</v>
      </c>
      <c r="F415" s="4">
        <f>_xll.ciqfunctions.udf.CIQ(InputTicker, "IQ_ASSETS_LEVEL_1",Input!H$2,Date,,,Ccy,Conv)</f>
        <v>2.7490000000000001</v>
      </c>
      <c r="G415" s="4">
        <f>_xll.ciqfunctions.udf.CIQ(InputTicker, "IQ_ASSETS_LEVEL_1",Input!I$2,Date,,,Ccy,Conv)</f>
        <v>4.1159999999999997</v>
      </c>
      <c r="H415" s="4">
        <f>_xll.ciqfunctions.udf.CIQ(InputTicker, "IQ_ASSETS_LEVEL_1",Input!J$2,Date,,,Ccy,Conv)</f>
        <v>3.7519999999999998</v>
      </c>
      <c r="I415" s="4">
        <f>_xll.ciqfunctions.udf.CIQ(InputTicker, "IQ_ASSETS_LEVEL_1",Input!K$2,Date,,,Ccy,Conv)</f>
        <v>0</v>
      </c>
      <c r="J415" s="4">
        <f>_xll.ciqfunctions.udf.CIQ(InputTicker, "IQ_ASSETS_LEVEL_1",Input!L$2,Date,,,Ccy,Conv)</f>
        <v>0</v>
      </c>
      <c r="K415" s="4">
        <f>_xll.ciqfunctions.udf.CIQ(InputTicker, "IQ_ASSETS_LEVEL_1",Input!M$2,Date,,,Ccy,Conv)</f>
        <v>0</v>
      </c>
      <c r="L415" s="4">
        <f>_xll.ciqfunctions.udf.CIQ(InputTicker, "IQ_ASSETS_LEVEL_1",Input!N$2,Date,,,Ccy,Conv)</f>
        <v>0</v>
      </c>
      <c r="M415" s="4">
        <f>_xll.ciqfunctions.udf.CIQ(InputTicker, "IQ_ASSETS_LEVEL_1",Input!O$2,Date,,,Ccy,Conv)</f>
        <v>0</v>
      </c>
      <c r="N415" s="53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</row>
    <row r="416" spans="1:66" ht="12.75" customHeight="1" x14ac:dyDescent="0.2">
      <c r="A416" s="1" t="s">
        <v>420</v>
      </c>
      <c r="B416" s="4">
        <f>_xll.ciqfunctions.udf.CIQ(InputTicker, "IQ_ASSETS_LEVEL_2",Input!D$2,Date,,,Ccy,Conv)</f>
        <v>356.93299999999999</v>
      </c>
      <c r="C416" s="4">
        <f>_xll.ciqfunctions.udf.CIQ(InputTicker, "IQ_ASSETS_LEVEL_2",Input!E$2,Date,,,Ccy,Conv)</f>
        <v>138.46199999999999</v>
      </c>
      <c r="D416" s="4">
        <f>_xll.ciqfunctions.udf.CIQ(InputTicker, "IQ_ASSETS_LEVEL_2",Input!F$2,Date,,,Ccy,Conv)</f>
        <v>282.58600000000001</v>
      </c>
      <c r="E416" s="4">
        <f>_xll.ciqfunctions.udf.CIQ(InputTicker, "IQ_ASSETS_LEVEL_2",Input!G$2,Date,,,Ccy,Conv)</f>
        <v>250.18100000000001</v>
      </c>
      <c r="F416" s="4">
        <f>_xll.ciqfunctions.udf.CIQ(InputTicker, "IQ_ASSETS_LEVEL_2",Input!H$2,Date,,,Ccy,Conv)</f>
        <v>154.16300000000001</v>
      </c>
      <c r="G416" s="4">
        <f>_xll.ciqfunctions.udf.CIQ(InputTicker, "IQ_ASSETS_LEVEL_2",Input!I$2,Date,,,Ccy,Conv)</f>
        <v>112.158</v>
      </c>
      <c r="H416" s="4">
        <f>_xll.ciqfunctions.udf.CIQ(InputTicker, "IQ_ASSETS_LEVEL_2",Input!J$2,Date,,,Ccy,Conv)</f>
        <v>115.429</v>
      </c>
      <c r="I416" s="4">
        <f>_xll.ciqfunctions.udf.CIQ(InputTicker, "IQ_ASSETS_LEVEL_2",Input!K$2,Date,,,Ccy,Conv)</f>
        <v>355.09</v>
      </c>
      <c r="J416" s="4">
        <f>_xll.ciqfunctions.udf.CIQ(InputTicker, "IQ_ASSETS_LEVEL_2",Input!L$2,Date,,,Ccy,Conv)</f>
        <v>574.49900000000002</v>
      </c>
      <c r="K416" s="4">
        <f>_xll.ciqfunctions.udf.CIQ(InputTicker, "IQ_ASSETS_LEVEL_2",Input!M$2,Date,,,Ccy,Conv)</f>
        <v>892.70799999999997</v>
      </c>
      <c r="L416" s="4">
        <f>_xll.ciqfunctions.udf.CIQ(InputTicker, "IQ_ASSETS_LEVEL_2",Input!N$2,Date,,,Ccy,Conv)</f>
        <v>816.84</v>
      </c>
      <c r="M416" s="4">
        <f>_xll.ciqfunctions.udf.CIQ(InputTicker, "IQ_ASSETS_LEVEL_2",Input!O$2,Date,,,Ccy,Conv)</f>
        <v>816.84</v>
      </c>
      <c r="N416" s="53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  <c r="BN416" s="42"/>
    </row>
    <row r="417" spans="1:66" ht="12.75" customHeight="1" x14ac:dyDescent="0.2">
      <c r="A417" s="1" t="s">
        <v>421</v>
      </c>
      <c r="B417" s="4">
        <f>_xll.ciqfunctions.udf.CIQ(InputTicker, "IQ_ASSETS_LEVEL_3",Input!D$2,Date,,,Ccy,Conv)</f>
        <v>0</v>
      </c>
      <c r="C417" s="4">
        <f>_xll.ciqfunctions.udf.CIQ(InputTicker, "IQ_ASSETS_LEVEL_3",Input!E$2,Date,,,Ccy,Conv)</f>
        <v>0</v>
      </c>
      <c r="D417" s="4">
        <f>_xll.ciqfunctions.udf.CIQ(InputTicker, "IQ_ASSETS_LEVEL_3",Input!F$2,Date,,,Ccy,Conv)</f>
        <v>0</v>
      </c>
      <c r="E417" s="4">
        <f>_xll.ciqfunctions.udf.CIQ(InputTicker, "IQ_ASSETS_LEVEL_3",Input!G$2,Date,,,Ccy,Conv)</f>
        <v>0</v>
      </c>
      <c r="F417" s="4">
        <f>_xll.ciqfunctions.udf.CIQ(InputTicker, "IQ_ASSETS_LEVEL_3",Input!H$2,Date,,,Ccy,Conv)</f>
        <v>0</v>
      </c>
      <c r="G417" s="4">
        <f>_xll.ciqfunctions.udf.CIQ(InputTicker, "IQ_ASSETS_LEVEL_3",Input!I$2,Date,,,Ccy,Conv)</f>
        <v>0</v>
      </c>
      <c r="H417" s="4">
        <f>_xll.ciqfunctions.udf.CIQ(InputTicker, "IQ_ASSETS_LEVEL_3",Input!J$2,Date,,,Ccy,Conv)</f>
        <v>0</v>
      </c>
      <c r="I417" s="4">
        <f>_xll.ciqfunctions.udf.CIQ(InputTicker, "IQ_ASSETS_LEVEL_3",Input!K$2,Date,,,Ccy,Conv)</f>
        <v>0</v>
      </c>
      <c r="J417" s="4">
        <f>_xll.ciqfunctions.udf.CIQ(InputTicker, "IQ_ASSETS_LEVEL_3",Input!L$2,Date,,,Ccy,Conv)</f>
        <v>0</v>
      </c>
      <c r="K417" s="4">
        <f>_xll.ciqfunctions.udf.CIQ(InputTicker, "IQ_ASSETS_LEVEL_3",Input!M$2,Date,,,Ccy,Conv)</f>
        <v>0</v>
      </c>
      <c r="L417" s="4">
        <f>_xll.ciqfunctions.udf.CIQ(InputTicker, "IQ_ASSETS_LEVEL_3",Input!N$2,Date,,,Ccy,Conv)</f>
        <v>0</v>
      </c>
      <c r="M417" s="4">
        <f>_xll.ciqfunctions.udf.CIQ(InputTicker, "IQ_ASSETS_LEVEL_3",Input!O$2,Date,,,Ccy,Conv)</f>
        <v>0</v>
      </c>
      <c r="N417" s="53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  <c r="BN417" s="42"/>
    </row>
    <row r="418" spans="1:66" ht="12.75" customHeight="1" x14ac:dyDescent="0.2">
      <c r="A418" s="1" t="s">
        <v>400</v>
      </c>
      <c r="B418" s="4">
        <f>_xll.ciqfunctions.udf.CIQ(InputTicker, "IQ_ASSETS_NETTING_OTHER_ADJUSTMENTS",Input!D$2,Date,,,Ccy,Conv)</f>
        <v>0</v>
      </c>
      <c r="C418" s="4">
        <f>_xll.ciqfunctions.udf.CIQ(InputTicker, "IQ_ASSETS_NETTING_OTHER_ADJUSTMENTS",Input!E$2,Date,,,Ccy,Conv)</f>
        <v>0</v>
      </c>
      <c r="D418" s="4">
        <f>_xll.ciqfunctions.udf.CIQ(InputTicker, "IQ_ASSETS_NETTING_OTHER_ADJUSTMENTS",Input!F$2,Date,,,Ccy,Conv)</f>
        <v>0</v>
      </c>
      <c r="E418" s="4">
        <f>_xll.ciqfunctions.udf.CIQ(InputTicker, "IQ_ASSETS_NETTING_OTHER_ADJUSTMENTS",Input!G$2,Date,,,Ccy,Conv)</f>
        <v>0</v>
      </c>
      <c r="F418" s="4">
        <f>_xll.ciqfunctions.udf.CIQ(InputTicker, "IQ_ASSETS_NETTING_OTHER_ADJUSTMENTS",Input!H$2,Date,,,Ccy,Conv)</f>
        <v>0</v>
      </c>
      <c r="G418" s="4">
        <f>_xll.ciqfunctions.udf.CIQ(InputTicker, "IQ_ASSETS_NETTING_OTHER_ADJUSTMENTS",Input!I$2,Date,,,Ccy,Conv)</f>
        <v>0</v>
      </c>
      <c r="H418" s="4">
        <f>_xll.ciqfunctions.udf.CIQ(InputTicker, "IQ_ASSETS_NETTING_OTHER_ADJUSTMENTS",Input!J$2,Date,,,Ccy,Conv)</f>
        <v>0</v>
      </c>
      <c r="I418" s="4">
        <f>_xll.ciqfunctions.udf.CIQ(InputTicker, "IQ_ASSETS_NETTING_OTHER_ADJUSTMENTS",Input!K$2,Date,,,Ccy,Conv)</f>
        <v>0</v>
      </c>
      <c r="J418" s="4">
        <f>_xll.ciqfunctions.udf.CIQ(InputTicker, "IQ_ASSETS_NETTING_OTHER_ADJUSTMENTS",Input!L$2,Date,,,Ccy,Conv)</f>
        <v>0</v>
      </c>
      <c r="K418" s="4">
        <f>_xll.ciqfunctions.udf.CIQ(InputTicker, "IQ_ASSETS_NETTING_OTHER_ADJUSTMENTS",Input!M$2,Date,,,Ccy,Conv)</f>
        <v>0</v>
      </c>
      <c r="L418" s="4">
        <f>_xll.ciqfunctions.udf.CIQ(InputTicker, "IQ_ASSETS_NETTING_OTHER_ADJUSTMENTS",Input!N$2,Date,,,Ccy,Conv)</f>
        <v>0</v>
      </c>
      <c r="M418" s="4">
        <f>_xll.ciqfunctions.udf.CIQ(InputTicker, "IQ_ASSETS_NETTING_OTHER_ADJUSTMENTS",Input!O$2,Date,,,Ccy,Conv)</f>
        <v>0</v>
      </c>
      <c r="N418" s="53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  <c r="BN418" s="42"/>
    </row>
    <row r="419" spans="1:66" ht="12.75" customHeight="1" x14ac:dyDescent="0.2">
      <c r="A419" s="1" t="s">
        <v>401</v>
      </c>
      <c r="B419" s="4">
        <f>_xll.ciqfunctions.udf.CIQ(InputTicker, "IQ_ASSETS_FAIR_VALUE",Input!D$2,Date,,,Ccy,Conv)</f>
        <v>362.43599999999998</v>
      </c>
      <c r="C419" s="4">
        <f>_xll.ciqfunctions.udf.CIQ(InputTicker, "IQ_ASSETS_FAIR_VALUE",Input!E$2,Date,,,Ccy,Conv)</f>
        <v>140.92099999999999</v>
      </c>
      <c r="D419" s="4">
        <f>_xll.ciqfunctions.udf.CIQ(InputTicker, "IQ_ASSETS_FAIR_VALUE",Input!F$2,Date,,,Ccy,Conv)</f>
        <v>285.65699999999998</v>
      </c>
      <c r="E419" s="4">
        <f>_xll.ciqfunctions.udf.CIQ(InputTicker, "IQ_ASSETS_FAIR_VALUE",Input!G$2,Date,,,Ccy,Conv)</f>
        <v>253.53800000000001</v>
      </c>
      <c r="F419" s="4">
        <f>_xll.ciqfunctions.udf.CIQ(InputTicker, "IQ_ASSETS_FAIR_VALUE",Input!H$2,Date,,,Ccy,Conv)</f>
        <v>156.91200000000001</v>
      </c>
      <c r="G419" s="4">
        <f>_xll.ciqfunctions.udf.CIQ(InputTicker, "IQ_ASSETS_FAIR_VALUE",Input!I$2,Date,,,Ccy,Conv)</f>
        <v>116.274</v>
      </c>
      <c r="H419" s="4">
        <f>_xll.ciqfunctions.udf.CIQ(InputTicker, "IQ_ASSETS_FAIR_VALUE",Input!J$2,Date,,,Ccy,Conv)</f>
        <v>119.181</v>
      </c>
      <c r="I419" s="4">
        <f>_xll.ciqfunctions.udf.CIQ(InputTicker, "IQ_ASSETS_FAIR_VALUE",Input!K$2,Date,,,Ccy,Conv)</f>
        <v>355.09</v>
      </c>
      <c r="J419" s="4">
        <f>_xll.ciqfunctions.udf.CIQ(InputTicker, "IQ_ASSETS_FAIR_VALUE",Input!L$2,Date,,,Ccy,Conv)</f>
        <v>574.49900000000002</v>
      </c>
      <c r="K419" s="4">
        <f>_xll.ciqfunctions.udf.CIQ(InputTicker, "IQ_ASSETS_FAIR_VALUE",Input!M$2,Date,,,Ccy,Conv)</f>
        <v>892.70799999999997</v>
      </c>
      <c r="L419" s="4">
        <f>_xll.ciqfunctions.udf.CIQ(InputTicker, "IQ_ASSETS_FAIR_VALUE",Input!N$2,Date,,,Ccy,Conv)</f>
        <v>816.84</v>
      </c>
      <c r="M419" s="4">
        <f>_xll.ciqfunctions.udf.CIQ(InputTicker, "IQ_ASSETS_FAIR_VALUE",Input!O$2,Date,,,Ccy,Conv)</f>
        <v>816.84</v>
      </c>
      <c r="N419" s="53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  <c r="BN419" s="42"/>
    </row>
    <row r="420" spans="1:66" ht="12.75" customHeight="1" x14ac:dyDescent="0.2">
      <c r="A420" s="1" t="s">
        <v>402</v>
      </c>
      <c r="B420" s="4">
        <f>_xll.ciqfunctions.udf.CIQ(InputTicker, "IQ_LIABILITIES_LEVEL_1",Input!D$2,Date,,,Ccy,Conv)</f>
        <v>0</v>
      </c>
      <c r="C420" s="4">
        <f>_xll.ciqfunctions.udf.CIQ(InputTicker, "IQ_LIABILITIES_LEVEL_1",Input!E$2,Date,,,Ccy,Conv)</f>
        <v>0</v>
      </c>
      <c r="D420" s="4">
        <f>_xll.ciqfunctions.udf.CIQ(InputTicker, "IQ_LIABILITIES_LEVEL_1",Input!F$2,Date,,,Ccy,Conv)</f>
        <v>0</v>
      </c>
      <c r="E420" s="4">
        <f>_xll.ciqfunctions.udf.CIQ(InputTicker, "IQ_LIABILITIES_LEVEL_1",Input!G$2,Date,,,Ccy,Conv)</f>
        <v>0</v>
      </c>
      <c r="F420" s="4">
        <f>_xll.ciqfunctions.udf.CIQ(InputTicker, "IQ_LIABILITIES_LEVEL_1",Input!H$2,Date,,,Ccy,Conv)</f>
        <v>0</v>
      </c>
      <c r="G420" s="4">
        <f>_xll.ciqfunctions.udf.CIQ(InputTicker, "IQ_LIABILITIES_LEVEL_1",Input!I$2,Date,,,Ccy,Conv)</f>
        <v>0</v>
      </c>
      <c r="H420" s="4">
        <f>_xll.ciqfunctions.udf.CIQ(InputTicker, "IQ_LIABILITIES_LEVEL_1",Input!J$2,Date,,,Ccy,Conv)</f>
        <v>0</v>
      </c>
      <c r="I420" s="4">
        <f>_xll.ciqfunctions.udf.CIQ(InputTicker, "IQ_LIABILITIES_LEVEL_1",Input!K$2,Date,,,Ccy,Conv)</f>
        <v>0</v>
      </c>
      <c r="J420" s="4">
        <f>_xll.ciqfunctions.udf.CIQ(InputTicker, "IQ_LIABILITIES_LEVEL_1",Input!L$2,Date,,,Ccy,Conv)</f>
        <v>0</v>
      </c>
      <c r="K420" s="4">
        <f>_xll.ciqfunctions.udf.CIQ(InputTicker, "IQ_LIABILITIES_LEVEL_1",Input!M$2,Date,,,Ccy,Conv)</f>
        <v>0</v>
      </c>
      <c r="L420" s="4">
        <f>_xll.ciqfunctions.udf.CIQ(InputTicker, "IQ_LIABILITIES_LEVEL_1",Input!N$2,Date,,,Ccy,Conv)</f>
        <v>0</v>
      </c>
      <c r="M420" s="4">
        <f>_xll.ciqfunctions.udf.CIQ(InputTicker, "IQ_LIABILITIES_LEVEL_1",Input!O$2,Date,,,Ccy,Conv)</f>
        <v>0</v>
      </c>
      <c r="N420" s="53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  <c r="BN420" s="42"/>
    </row>
    <row r="421" spans="1:66" ht="12.75" customHeight="1" x14ac:dyDescent="0.2">
      <c r="A421" s="1" t="s">
        <v>422</v>
      </c>
      <c r="B421" s="4">
        <f>_xll.ciqfunctions.udf.CIQ(InputTicker, "IQ_LIABILITIES_LEVEL_2",Input!D$2,Date,,,Ccy,Conv)</f>
        <v>25.824000000000002</v>
      </c>
      <c r="C421" s="4">
        <f>_xll.ciqfunctions.udf.CIQ(InputTicker, "IQ_LIABILITIES_LEVEL_2",Input!E$2,Date,,,Ccy,Conv)</f>
        <v>10.815</v>
      </c>
      <c r="D421" s="4">
        <f>_xll.ciqfunctions.udf.CIQ(InputTicker, "IQ_LIABILITIES_LEVEL_2",Input!F$2,Date,,,Ccy,Conv)</f>
        <v>5.9029999999999996</v>
      </c>
      <c r="E421" s="4">
        <f>_xll.ciqfunctions.udf.CIQ(InputTicker, "IQ_LIABILITIES_LEVEL_2",Input!G$2,Date,,,Ccy,Conv)</f>
        <v>0</v>
      </c>
      <c r="F421" s="4">
        <f>_xll.ciqfunctions.udf.CIQ(InputTicker, "IQ_LIABILITIES_LEVEL_2",Input!H$2,Date,,,Ccy,Conv)</f>
        <v>0</v>
      </c>
      <c r="G421" s="4">
        <f>_xll.ciqfunctions.udf.CIQ(InputTicker, "IQ_LIABILITIES_LEVEL_2",Input!I$2,Date,,,Ccy,Conv)</f>
        <v>0</v>
      </c>
      <c r="H421" s="4">
        <f>_xll.ciqfunctions.udf.CIQ(InputTicker, "IQ_LIABILITIES_LEVEL_2",Input!J$2,Date,,,Ccy,Conv)</f>
        <v>0</v>
      </c>
      <c r="I421" s="4">
        <f>_xll.ciqfunctions.udf.CIQ(InputTicker, "IQ_LIABILITIES_LEVEL_2",Input!K$2,Date,,,Ccy,Conv)</f>
        <v>0</v>
      </c>
      <c r="J421" s="4">
        <f>_xll.ciqfunctions.udf.CIQ(InputTicker, "IQ_LIABILITIES_LEVEL_2",Input!L$2,Date,,,Ccy,Conv)</f>
        <v>0</v>
      </c>
      <c r="K421" s="4">
        <f>_xll.ciqfunctions.udf.CIQ(InputTicker, "IQ_LIABILITIES_LEVEL_2",Input!M$2,Date,,,Ccy,Conv)</f>
        <v>0</v>
      </c>
      <c r="L421" s="4">
        <f>_xll.ciqfunctions.udf.CIQ(InputTicker, "IQ_LIABILITIES_LEVEL_2",Input!N$2,Date,,,Ccy,Conv)</f>
        <v>0</v>
      </c>
      <c r="M421" s="4">
        <f>_xll.ciqfunctions.udf.CIQ(InputTicker, "IQ_LIABILITIES_LEVEL_2",Input!O$2,Date,,,Ccy,Conv)</f>
        <v>0</v>
      </c>
      <c r="N421" s="53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  <c r="BN421" s="42"/>
    </row>
    <row r="422" spans="1:66" ht="12.75" customHeight="1" x14ac:dyDescent="0.2">
      <c r="A422" s="1" t="s">
        <v>423</v>
      </c>
      <c r="B422" s="4">
        <f>_xll.ciqfunctions.udf.CIQ(InputTicker, "IQ_LIABILITIES_LEVEL_3",Input!D$2,Date,,,Ccy,Conv)</f>
        <v>0</v>
      </c>
      <c r="C422" s="4">
        <f>_xll.ciqfunctions.udf.CIQ(InputTicker, "IQ_LIABILITIES_LEVEL_3",Input!E$2,Date,,,Ccy,Conv)</f>
        <v>0</v>
      </c>
      <c r="D422" s="4">
        <f>_xll.ciqfunctions.udf.CIQ(InputTicker, "IQ_LIABILITIES_LEVEL_3",Input!F$2,Date,,,Ccy,Conv)</f>
        <v>0</v>
      </c>
      <c r="E422" s="4">
        <f>_xll.ciqfunctions.udf.CIQ(InputTicker, "IQ_LIABILITIES_LEVEL_3",Input!G$2,Date,,,Ccy,Conv)</f>
        <v>0</v>
      </c>
      <c r="F422" s="4">
        <f>_xll.ciqfunctions.udf.CIQ(InputTicker, "IQ_LIABILITIES_LEVEL_3",Input!H$2,Date,,,Ccy,Conv)</f>
        <v>0</v>
      </c>
      <c r="G422" s="4">
        <f>_xll.ciqfunctions.udf.CIQ(InputTicker, "IQ_LIABILITIES_LEVEL_3",Input!I$2,Date,,,Ccy,Conv)</f>
        <v>0</v>
      </c>
      <c r="H422" s="4">
        <f>_xll.ciqfunctions.udf.CIQ(InputTicker, "IQ_LIABILITIES_LEVEL_3",Input!J$2,Date,,,Ccy,Conv)</f>
        <v>0</v>
      </c>
      <c r="I422" s="4">
        <f>_xll.ciqfunctions.udf.CIQ(InputTicker, "IQ_LIABILITIES_LEVEL_3",Input!K$2,Date,,,Ccy,Conv)</f>
        <v>0</v>
      </c>
      <c r="J422" s="4">
        <f>_xll.ciqfunctions.udf.CIQ(InputTicker, "IQ_LIABILITIES_LEVEL_3",Input!L$2,Date,,,Ccy,Conv)</f>
        <v>6.5</v>
      </c>
      <c r="K422" s="4">
        <f>_xll.ciqfunctions.udf.CIQ(InputTicker, "IQ_LIABILITIES_LEVEL_3",Input!M$2,Date,,,Ccy,Conv)</f>
        <v>21.5</v>
      </c>
      <c r="L422" s="4">
        <f>_xll.ciqfunctions.udf.CIQ(InputTicker, "IQ_LIABILITIES_LEVEL_3",Input!N$2,Date,,,Ccy,Conv)</f>
        <v>21.5</v>
      </c>
      <c r="M422" s="4">
        <f>_xll.ciqfunctions.udf.CIQ(InputTicker, "IQ_LIABILITIES_LEVEL_3",Input!O$2,Date,,,Ccy,Conv)</f>
        <v>21.5</v>
      </c>
      <c r="N422" s="53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  <c r="BN422" s="42"/>
    </row>
    <row r="423" spans="1:66" ht="12.75" customHeight="1" x14ac:dyDescent="0.2">
      <c r="A423" s="1" t="s">
        <v>403</v>
      </c>
      <c r="B423" s="4">
        <f>_xll.ciqfunctions.udf.CIQ(InputTicker, "IQ_LIABILITIES_NETTING_OTHER_ADJUSTMENTS",Input!D$2,Date,,,Ccy,Conv)</f>
        <v>0</v>
      </c>
      <c r="C423" s="4">
        <f>_xll.ciqfunctions.udf.CIQ(InputTicker, "IQ_LIABILITIES_NETTING_OTHER_ADJUSTMENTS",Input!E$2,Date,,,Ccy,Conv)</f>
        <v>0</v>
      </c>
      <c r="D423" s="4">
        <f>_xll.ciqfunctions.udf.CIQ(InputTicker, "IQ_LIABILITIES_NETTING_OTHER_ADJUSTMENTS",Input!F$2,Date,,,Ccy,Conv)</f>
        <v>0</v>
      </c>
      <c r="E423" s="4">
        <f>_xll.ciqfunctions.udf.CIQ(InputTicker, "IQ_LIABILITIES_NETTING_OTHER_ADJUSTMENTS",Input!G$2,Date,,,Ccy,Conv)</f>
        <v>0</v>
      </c>
      <c r="F423" s="4">
        <f>_xll.ciqfunctions.udf.CIQ(InputTicker, "IQ_LIABILITIES_NETTING_OTHER_ADJUSTMENTS",Input!H$2,Date,,,Ccy,Conv)</f>
        <v>0</v>
      </c>
      <c r="G423" s="4">
        <f>_xll.ciqfunctions.udf.CIQ(InputTicker, "IQ_LIABILITIES_NETTING_OTHER_ADJUSTMENTS",Input!I$2,Date,,,Ccy,Conv)</f>
        <v>0</v>
      </c>
      <c r="H423" s="4">
        <f>_xll.ciqfunctions.udf.CIQ(InputTicker, "IQ_LIABILITIES_NETTING_OTHER_ADJUSTMENTS",Input!J$2,Date,,,Ccy,Conv)</f>
        <v>0</v>
      </c>
      <c r="I423" s="4">
        <f>_xll.ciqfunctions.udf.CIQ(InputTicker, "IQ_LIABILITIES_NETTING_OTHER_ADJUSTMENTS",Input!K$2,Date,,,Ccy,Conv)</f>
        <v>0</v>
      </c>
      <c r="J423" s="4">
        <f>_xll.ciqfunctions.udf.CIQ(InputTicker, "IQ_LIABILITIES_NETTING_OTHER_ADJUSTMENTS",Input!L$2,Date,,,Ccy,Conv)</f>
        <v>0</v>
      </c>
      <c r="K423" s="4">
        <f>_xll.ciqfunctions.udf.CIQ(InputTicker, "IQ_LIABILITIES_NETTING_OTHER_ADJUSTMENTS",Input!M$2,Date,,,Ccy,Conv)</f>
        <v>0</v>
      </c>
      <c r="L423" s="4">
        <f>_xll.ciqfunctions.udf.CIQ(InputTicker, "IQ_LIABILITIES_NETTING_OTHER_ADJUSTMENTS",Input!N$2,Date,,,Ccy,Conv)</f>
        <v>0</v>
      </c>
      <c r="M423" s="4">
        <f>_xll.ciqfunctions.udf.CIQ(InputTicker, "IQ_LIABILITIES_NETTING_OTHER_ADJUSTMENTS",Input!O$2,Date,,,Ccy,Conv)</f>
        <v>0</v>
      </c>
      <c r="N423" s="53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  <c r="BN423" s="42"/>
    </row>
    <row r="424" spans="1:66" ht="12.75" customHeight="1" x14ac:dyDescent="0.2">
      <c r="A424" s="1" t="s">
        <v>404</v>
      </c>
      <c r="B424" s="4">
        <f>_xll.ciqfunctions.udf.CIQ(InputTicker, "IQ_LIABILITIES_FAIR_VALUE",Input!D$2,Date,,,Ccy,Conv)</f>
        <v>25.824000000000002</v>
      </c>
      <c r="C424" s="4">
        <f>_xll.ciqfunctions.udf.CIQ(InputTicker, "IQ_LIABILITIES_FAIR_VALUE",Input!E$2,Date,,,Ccy,Conv)</f>
        <v>10.815</v>
      </c>
      <c r="D424" s="4">
        <f>_xll.ciqfunctions.udf.CIQ(InputTicker, "IQ_LIABILITIES_FAIR_VALUE",Input!F$2,Date,,,Ccy,Conv)</f>
        <v>5.9029999999999996</v>
      </c>
      <c r="E424" s="4">
        <f>_xll.ciqfunctions.udf.CIQ(InputTicker, "IQ_LIABILITIES_FAIR_VALUE",Input!G$2,Date,,,Ccy,Conv)</f>
        <v>0</v>
      </c>
      <c r="F424" s="4">
        <f>_xll.ciqfunctions.udf.CIQ(InputTicker, "IQ_LIABILITIES_FAIR_VALUE",Input!H$2,Date,,,Ccy,Conv)</f>
        <v>0</v>
      </c>
      <c r="G424" s="4">
        <f>_xll.ciqfunctions.udf.CIQ(InputTicker, "IQ_LIABILITIES_FAIR_VALUE",Input!I$2,Date,,,Ccy,Conv)</f>
        <v>0</v>
      </c>
      <c r="H424" s="4">
        <f>_xll.ciqfunctions.udf.CIQ(InputTicker, "IQ_LIABILITIES_FAIR_VALUE",Input!J$2,Date,,,Ccy,Conv)</f>
        <v>0</v>
      </c>
      <c r="I424" s="4">
        <f>_xll.ciqfunctions.udf.CIQ(InputTicker, "IQ_LIABILITIES_FAIR_VALUE",Input!K$2,Date,,,Ccy,Conv)</f>
        <v>0</v>
      </c>
      <c r="J424" s="4">
        <f>_xll.ciqfunctions.udf.CIQ(InputTicker, "IQ_LIABILITIES_FAIR_VALUE",Input!L$2,Date,,,Ccy,Conv)</f>
        <v>6.5</v>
      </c>
      <c r="K424" s="4">
        <f>_xll.ciqfunctions.udf.CIQ(InputTicker, "IQ_LIABILITIES_FAIR_VALUE",Input!M$2,Date,,,Ccy,Conv)</f>
        <v>21.5</v>
      </c>
      <c r="L424" s="4">
        <f>_xll.ciqfunctions.udf.CIQ(InputTicker, "IQ_LIABILITIES_FAIR_VALUE",Input!N$2,Date,,,Ccy,Conv)</f>
        <v>21.5</v>
      </c>
      <c r="M424" s="4">
        <f>_xll.ciqfunctions.udf.CIQ(InputTicker, "IQ_LIABILITIES_FAIR_VALUE",Input!O$2,Date,,,Ccy,Conv)</f>
        <v>21.5</v>
      </c>
      <c r="N424" s="54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  <c r="BN424" s="42"/>
    </row>
    <row r="425" spans="1:66" ht="12.75" customHeight="1" x14ac:dyDescent="0.2">
      <c r="A425" s="1" t="s">
        <v>405</v>
      </c>
      <c r="B425" s="4">
        <f>_xll.ciqfunctions.udf.CIQ(InputTicker, "IQ_FAIR_VALUE_CHANGE_INCL_EARNINGS",Input!D$2,Date,,,Ccy,Conv)</f>
        <v>0</v>
      </c>
      <c r="C425" s="4">
        <f>_xll.ciqfunctions.udf.CIQ(InputTicker, "IQ_FAIR_VALUE_CHANGE_INCL_EARNINGS",Input!E$2,Date,,,Ccy,Conv)</f>
        <v>0</v>
      </c>
      <c r="D425" s="4">
        <f>_xll.ciqfunctions.udf.CIQ(InputTicker, "IQ_FAIR_VALUE_CHANGE_INCL_EARNINGS",Input!F$2,Date,,,Ccy,Conv)</f>
        <v>0</v>
      </c>
      <c r="E425" s="4">
        <f>_xll.ciqfunctions.udf.CIQ(InputTicker, "IQ_FAIR_VALUE_CHANGE_INCL_EARNINGS",Input!G$2,Date,,,Ccy,Conv)</f>
        <v>0</v>
      </c>
      <c r="F425" s="4">
        <f>_xll.ciqfunctions.udf.CIQ(InputTicker, "IQ_FAIR_VALUE_CHANGE_INCL_EARNINGS",Input!H$2,Date,,,Ccy,Conv)</f>
        <v>0</v>
      </c>
      <c r="G425" s="4">
        <f>_xll.ciqfunctions.udf.CIQ(InputTicker, "IQ_FAIR_VALUE_CHANGE_INCL_EARNINGS",Input!I$2,Date,,,Ccy,Conv)</f>
        <v>0</v>
      </c>
      <c r="H425" s="4">
        <f>_xll.ciqfunctions.udf.CIQ(InputTicker, "IQ_FAIR_VALUE_CHANGE_INCL_EARNINGS",Input!J$2,Date,,,Ccy,Conv)</f>
        <v>0</v>
      </c>
      <c r="I425" s="4">
        <f>_xll.ciqfunctions.udf.CIQ(InputTicker, "IQ_FAIR_VALUE_CHANGE_INCL_EARNINGS",Input!K$2,Date,,,Ccy,Conv)</f>
        <v>0</v>
      </c>
      <c r="J425" s="4">
        <f>_xll.ciqfunctions.udf.CIQ(InputTicker, "IQ_FAIR_VALUE_CHANGE_INCL_EARNINGS",Input!L$2,Date,,,Ccy,Conv)</f>
        <v>-5.5</v>
      </c>
      <c r="K425" s="4">
        <f>_xll.ciqfunctions.udf.CIQ(InputTicker, "IQ_FAIR_VALUE_CHANGE_INCL_EARNINGS",Input!M$2,Date,,,Ccy,Conv)</f>
        <v>-15</v>
      </c>
      <c r="L425" s="4">
        <f>_xll.ciqfunctions.udf.CIQ(InputTicker, "IQ_FAIR_VALUE_CHANGE_INCL_EARNINGS",Input!N$2,Date,,,Ccy,Conv)</f>
        <v>0</v>
      </c>
      <c r="M425" s="4">
        <f>_xll.ciqfunctions.udf.CIQ(InputTicker, "IQ_FAIR_VALUE_CHANGE_INCL_EARNINGS",Input!O$2,Date,,,Ccy,Conv)</f>
        <v>0</v>
      </c>
      <c r="N425" s="54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  <c r="BN425" s="42"/>
    </row>
    <row r="426" spans="1:66" ht="12.75" customHeight="1" x14ac:dyDescent="0.2">
      <c r="A426" s="1" t="s">
        <v>357</v>
      </c>
      <c r="B426" s="18">
        <f>_xll.ciqfunctions.udf.CIQ(InputTicker, "IQ_FULL_TIME",Input!D$2,Date)</f>
        <v>3143</v>
      </c>
      <c r="C426" s="18">
        <f>_xll.ciqfunctions.udf.CIQ(InputTicker, "IQ_FULL_TIME",Input!E$2,Date)</f>
        <v>3438</v>
      </c>
      <c r="D426" s="18">
        <f>_xll.ciqfunctions.udf.CIQ(InputTicker, "IQ_FULL_TIME",Input!F$2,Date)</f>
        <v>3419</v>
      </c>
      <c r="E426" s="18">
        <f>_xll.ciqfunctions.udf.CIQ(InputTicker, "IQ_FULL_TIME",Input!G$2,Date)</f>
        <v>3312</v>
      </c>
      <c r="F426" s="18">
        <f>_xll.ciqfunctions.udf.CIQ(InputTicker, "IQ_FULL_TIME",Input!H$2,Date)</f>
        <v>3461</v>
      </c>
      <c r="G426" s="18">
        <f>_xll.ciqfunctions.udf.CIQ(InputTicker, "IQ_FULL_TIME",Input!I$2,Date)</f>
        <v>3151</v>
      </c>
      <c r="H426" s="18">
        <f>_xll.ciqfunctions.udf.CIQ(InputTicker, "IQ_FULL_TIME",Input!J$2,Date)</f>
        <v>2845</v>
      </c>
      <c r="I426" s="18">
        <f>_xll.ciqfunctions.udf.CIQ(InputTicker, "IQ_FULL_TIME",Input!K$2,Date)</f>
        <v>2815</v>
      </c>
      <c r="J426" s="18">
        <f>_xll.ciqfunctions.udf.CIQ(InputTicker, "IQ_FULL_TIME",Input!L$2,Date)</f>
        <v>2929</v>
      </c>
      <c r="K426" s="18">
        <f>_xll.ciqfunctions.udf.CIQ(InputTicker, "IQ_FULL_TIME",Input!M$2,Date)</f>
        <v>3683</v>
      </c>
      <c r="L426" s="18">
        <f>_xll.ciqfunctions.udf.CIQ(InputTicker, "IQ_FULL_TIME",Input!N$2,Date)</f>
        <v>4762</v>
      </c>
      <c r="M426" s="18">
        <f>_xll.ciqfunctions.udf.CIQ(InputTicker, "IQ_FULL_TIME",Input!O$2,Date)</f>
        <v>4762</v>
      </c>
      <c r="N426" s="53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  <c r="BN426" s="42"/>
    </row>
    <row r="427" spans="1:66" ht="12.75" customHeight="1" x14ac:dyDescent="0.2">
      <c r="A427" s="1" t="s">
        <v>358</v>
      </c>
      <c r="B427" s="18">
        <f>_xll.ciqfunctions.udf.CIQ(InputTicker, "IQ_PART_TIME",Input!D$2,Date)</f>
        <v>134</v>
      </c>
      <c r="C427" s="18">
        <f>_xll.ciqfunctions.udf.CIQ(InputTicker, "IQ_PART_TIME",Input!E$2,Date)</f>
        <v>140</v>
      </c>
      <c r="D427" s="18">
        <f>_xll.ciqfunctions.udf.CIQ(InputTicker, "IQ_PART_TIME",Input!F$2,Date)</f>
        <v>154</v>
      </c>
      <c r="E427" s="18">
        <f>_xll.ciqfunctions.udf.CIQ(InputTicker, "IQ_PART_TIME",Input!G$2,Date)</f>
        <v>178</v>
      </c>
      <c r="F427" s="18">
        <f>_xll.ciqfunctions.udf.CIQ(InputTicker, "IQ_PART_TIME",Input!H$2,Date)</f>
        <v>175</v>
      </c>
      <c r="G427" s="18">
        <f>_xll.ciqfunctions.udf.CIQ(InputTicker, "IQ_PART_TIME",Input!I$2,Date)</f>
        <v>135</v>
      </c>
      <c r="H427" s="18">
        <f>_xll.ciqfunctions.udf.CIQ(InputTicker, "IQ_PART_TIME",Input!J$2,Date)</f>
        <v>140</v>
      </c>
      <c r="I427" s="18">
        <f>_xll.ciqfunctions.udf.CIQ(InputTicker, "IQ_PART_TIME",Input!K$2,Date)</f>
        <v>161</v>
      </c>
      <c r="J427" s="18">
        <f>_xll.ciqfunctions.udf.CIQ(InputTicker, "IQ_PART_TIME",Input!L$2,Date)</f>
        <v>138</v>
      </c>
      <c r="K427" s="18">
        <f>_xll.ciqfunctions.udf.CIQ(InputTicker, "IQ_PART_TIME",Input!M$2,Date)</f>
        <v>145</v>
      </c>
      <c r="L427" s="18">
        <f>_xll.ciqfunctions.udf.CIQ(InputTicker, "IQ_PART_TIME",Input!N$2,Date)</f>
        <v>147</v>
      </c>
      <c r="M427" s="18">
        <f>_xll.ciqfunctions.udf.CIQ(InputTicker, "IQ_PART_TIME",Input!O$2,Date)</f>
        <v>147</v>
      </c>
      <c r="N427" s="53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  <c r="BN427" s="42"/>
    </row>
    <row r="428" spans="1:66" ht="12.75" customHeight="1" x14ac:dyDescent="0.2">
      <c r="A428" s="1" t="s">
        <v>359</v>
      </c>
      <c r="B428" s="18">
        <f>_xll.ciqfunctions.udf.CIQ(InputTicker, "IQ_TOTAL_EMPLOYEES",Input!D$2,Date)</f>
        <v>3210</v>
      </c>
      <c r="C428" s="18">
        <f>_xll.ciqfunctions.udf.CIQ(InputTicker, "IQ_TOTAL_EMPLOYEES",Input!E$2,Date)</f>
        <v>3508</v>
      </c>
      <c r="D428" s="18">
        <f>_xll.ciqfunctions.udf.CIQ(InputTicker, "IQ_TOTAL_EMPLOYEES",Input!F$2,Date)</f>
        <v>3496</v>
      </c>
      <c r="E428" s="18">
        <f>_xll.ciqfunctions.udf.CIQ(InputTicker, "IQ_TOTAL_EMPLOYEES",Input!G$2,Date)</f>
        <v>3401</v>
      </c>
      <c r="F428" s="18">
        <f>_xll.ciqfunctions.udf.CIQ(InputTicker, "IQ_TOTAL_EMPLOYEES",Input!H$2,Date)</f>
        <v>3549</v>
      </c>
      <c r="G428" s="18">
        <f>_xll.ciqfunctions.udf.CIQ(InputTicker, "IQ_TOTAL_EMPLOYEES",Input!I$2,Date)</f>
        <v>3219</v>
      </c>
      <c r="H428" s="18">
        <f>_xll.ciqfunctions.udf.CIQ(InputTicker, "IQ_TOTAL_EMPLOYEES",Input!J$2,Date)</f>
        <v>2915</v>
      </c>
      <c r="I428" s="18">
        <f>_xll.ciqfunctions.udf.CIQ(InputTicker, "IQ_TOTAL_EMPLOYEES",Input!K$2,Date)</f>
        <v>2896</v>
      </c>
      <c r="J428" s="18">
        <f>_xll.ciqfunctions.udf.CIQ(InputTicker, "IQ_TOTAL_EMPLOYEES",Input!L$2,Date)</f>
        <v>2998</v>
      </c>
      <c r="K428" s="18">
        <f>_xll.ciqfunctions.udf.CIQ(InputTicker, "IQ_TOTAL_EMPLOYEES",Input!M$2,Date)</f>
        <v>3756</v>
      </c>
      <c r="L428" s="18">
        <f>_xll.ciqfunctions.udf.CIQ(InputTicker, "IQ_TOTAL_EMPLOYEES",Input!N$2,Date)</f>
        <v>4836</v>
      </c>
      <c r="M428" s="18">
        <f>_xll.ciqfunctions.udf.CIQ(InputTicker, "IQ_TOTAL_EMPLOYEES",Input!O$2,Date)</f>
        <v>4836</v>
      </c>
      <c r="N428" s="53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</row>
    <row r="429" spans="1:66" ht="12.75" customHeight="1" x14ac:dyDescent="0.2">
      <c r="A429" s="1" t="s">
        <v>394</v>
      </c>
      <c r="B429" s="18">
        <f>_xll.ciqfunctions.udf.CIQ(InputTicker, "IQ_EMPLOYEES_UNDER_UNION_CONTRACTS",Input!D$2,Date)</f>
        <v>0</v>
      </c>
      <c r="C429" s="18">
        <f>_xll.ciqfunctions.udf.CIQ(InputTicker, "IQ_EMPLOYEES_UNDER_UNION_CONTRACTS",Input!E$2,Date)</f>
        <v>0</v>
      </c>
      <c r="D429" s="18">
        <f>_xll.ciqfunctions.udf.CIQ(InputTicker, "IQ_EMPLOYEES_UNDER_UNION_CONTRACTS",Input!F$2,Date)</f>
        <v>0</v>
      </c>
      <c r="E429" s="18">
        <f>_xll.ciqfunctions.udf.CIQ(InputTicker, "IQ_EMPLOYEES_UNDER_UNION_CONTRACTS",Input!G$2,Date)</f>
        <v>0</v>
      </c>
      <c r="F429" s="18">
        <f>_xll.ciqfunctions.udf.CIQ(InputTicker, "IQ_EMPLOYEES_UNDER_UNION_CONTRACTS",Input!H$2,Date)</f>
        <v>0</v>
      </c>
      <c r="G429" s="18">
        <f>_xll.ciqfunctions.udf.CIQ(InputTicker, "IQ_EMPLOYEES_UNDER_UNION_CONTRACTS",Input!I$2,Date)</f>
        <v>0</v>
      </c>
      <c r="H429" s="18">
        <f>_xll.ciqfunctions.udf.CIQ(InputTicker, "IQ_EMPLOYEES_UNDER_UNION_CONTRACTS",Input!J$2,Date)</f>
        <v>0</v>
      </c>
      <c r="I429" s="18">
        <f>_xll.ciqfunctions.udf.CIQ(InputTicker, "IQ_EMPLOYEES_UNDER_UNION_CONTRACTS",Input!K$2,Date)</f>
        <v>0</v>
      </c>
      <c r="J429" s="18">
        <f>_xll.ciqfunctions.udf.CIQ(InputTicker, "IQ_EMPLOYEES_UNDER_UNION_CONTRACTS",Input!L$2,Date)</f>
        <v>0</v>
      </c>
      <c r="K429" s="18">
        <f>_xll.ciqfunctions.udf.CIQ(InputTicker, "IQ_EMPLOYEES_UNDER_UNION_CONTRACTS",Input!M$2,Date)</f>
        <v>43</v>
      </c>
      <c r="L429" s="18">
        <f>_xll.ciqfunctions.udf.CIQ(InputTicker, "IQ_EMPLOYEES_UNDER_UNION_CONTRACTS",Input!N$2,Date)</f>
        <v>40</v>
      </c>
      <c r="M429" s="18">
        <f>_xll.ciqfunctions.udf.CIQ(InputTicker, "IQ_EMPLOYEES_UNDER_UNION_CONTRACTS",Input!O$2,Date)</f>
        <v>40</v>
      </c>
      <c r="N429" s="53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  <c r="BN429" s="42"/>
    </row>
    <row r="430" spans="1:66" ht="12.75" customHeight="1" x14ac:dyDescent="0.2">
      <c r="A430" s="1" t="s">
        <v>371</v>
      </c>
      <c r="B430" s="18">
        <f>_xll.ciqfunctions.udf.CIQ(InputTicker, "IQ_AVG_EMPLOYEES",Input!D$2,Date)</f>
        <v>0</v>
      </c>
      <c r="C430" s="18">
        <f>_xll.ciqfunctions.udf.CIQ(InputTicker, "IQ_AVG_EMPLOYEES",Input!E$2,Date)</f>
        <v>0</v>
      </c>
      <c r="D430" s="18">
        <f>_xll.ciqfunctions.udf.CIQ(InputTicker, "IQ_AVG_EMPLOYEES",Input!F$2,Date)</f>
        <v>0</v>
      </c>
      <c r="E430" s="18">
        <f>_xll.ciqfunctions.udf.CIQ(InputTicker, "IQ_AVG_EMPLOYEES",Input!G$2,Date)</f>
        <v>0</v>
      </c>
      <c r="F430" s="18">
        <f>_xll.ciqfunctions.udf.CIQ(InputTicker, "IQ_AVG_EMPLOYEES",Input!H$2,Date)</f>
        <v>0</v>
      </c>
      <c r="G430" s="18">
        <f>_xll.ciqfunctions.udf.CIQ(InputTicker, "IQ_AVG_EMPLOYEES",Input!I$2,Date)</f>
        <v>0</v>
      </c>
      <c r="H430" s="18">
        <f>_xll.ciqfunctions.udf.CIQ(InputTicker, "IQ_AVG_EMPLOYEES",Input!J$2,Date)</f>
        <v>0</v>
      </c>
      <c r="I430" s="18">
        <f>_xll.ciqfunctions.udf.CIQ(InputTicker, "IQ_AVG_EMPLOYEES",Input!K$2,Date)</f>
        <v>0</v>
      </c>
      <c r="J430" s="18">
        <f>_xll.ciqfunctions.udf.CIQ(InputTicker, "IQ_AVG_EMPLOYEES",Input!L$2,Date)</f>
        <v>0</v>
      </c>
      <c r="K430" s="18">
        <f>_xll.ciqfunctions.udf.CIQ(InputTicker, "IQ_AVG_EMPLOYEES",Input!M$2,Date)</f>
        <v>0</v>
      </c>
      <c r="L430" s="18">
        <f>_xll.ciqfunctions.udf.CIQ(InputTicker, "IQ_AVG_EMPLOYEES",Input!N$2,Date)</f>
        <v>0</v>
      </c>
      <c r="M430" s="18">
        <f>_xll.ciqfunctions.udf.CIQ(InputTicker, "IQ_AVG_EMPLOYEES",Input!O$2,Date)</f>
        <v>0</v>
      </c>
      <c r="N430" s="53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  <c r="BN430" s="42"/>
    </row>
    <row r="431" spans="1:66" ht="12.75" customHeight="1" x14ac:dyDescent="0.2">
      <c r="A431" s="1" t="s">
        <v>372</v>
      </c>
      <c r="B431" s="18">
        <f>_xll.ciqfunctions.udf.CIQ(InputTicker, "IQ_AVG_TEMP_EMPLOYEES",Input!D$2,Date)</f>
        <v>0</v>
      </c>
      <c r="C431" s="18">
        <f>_xll.ciqfunctions.udf.CIQ(InputTicker, "IQ_AVG_TEMP_EMPLOYEES",Input!E$2,Date)</f>
        <v>0</v>
      </c>
      <c r="D431" s="18">
        <f>_xll.ciqfunctions.udf.CIQ(InputTicker, "IQ_AVG_TEMP_EMPLOYEES",Input!F$2,Date)</f>
        <v>0</v>
      </c>
      <c r="E431" s="18">
        <f>_xll.ciqfunctions.udf.CIQ(InputTicker, "IQ_AVG_TEMP_EMPLOYEES",Input!G$2,Date)</f>
        <v>0</v>
      </c>
      <c r="F431" s="18">
        <f>_xll.ciqfunctions.udf.CIQ(InputTicker, "IQ_AVG_TEMP_EMPLOYEES",Input!H$2,Date)</f>
        <v>0</v>
      </c>
      <c r="G431" s="18">
        <f>_xll.ciqfunctions.udf.CIQ(InputTicker, "IQ_AVG_TEMP_EMPLOYEES",Input!I$2,Date)</f>
        <v>0</v>
      </c>
      <c r="H431" s="18">
        <f>_xll.ciqfunctions.udf.CIQ(InputTicker, "IQ_AVG_TEMP_EMPLOYEES",Input!J$2,Date)</f>
        <v>0</v>
      </c>
      <c r="I431" s="18">
        <f>_xll.ciqfunctions.udf.CIQ(InputTicker, "IQ_AVG_TEMP_EMPLOYEES",Input!K$2,Date)</f>
        <v>0</v>
      </c>
      <c r="J431" s="18">
        <f>_xll.ciqfunctions.udf.CIQ(InputTicker, "IQ_AVG_TEMP_EMPLOYEES",Input!L$2,Date)</f>
        <v>0</v>
      </c>
      <c r="K431" s="18">
        <f>_xll.ciqfunctions.udf.CIQ(InputTicker, "IQ_AVG_TEMP_EMPLOYEES",Input!M$2,Date)</f>
        <v>0</v>
      </c>
      <c r="L431" s="18">
        <f>_xll.ciqfunctions.udf.CIQ(InputTicker, "IQ_AVG_TEMP_EMPLOYEES",Input!N$2,Date)</f>
        <v>0</v>
      </c>
      <c r="M431" s="18">
        <f>_xll.ciqfunctions.udf.CIQ(InputTicker, "IQ_AVG_TEMP_EMPLOYEES",Input!O$2,Date)</f>
        <v>0</v>
      </c>
      <c r="N431" s="53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</row>
    <row r="432" spans="1:66" ht="12.75" customHeight="1" x14ac:dyDescent="0.2">
      <c r="A432" s="1" t="s">
        <v>502</v>
      </c>
      <c r="B432" s="18">
        <f>_xll.ciqfunctions.udf.CIQ(InputTicker, "IQ_NUMBER_ADRHOLDERS",Input!D$2,Date)</f>
        <v>0</v>
      </c>
      <c r="C432" s="18">
        <f>_xll.ciqfunctions.udf.CIQ(InputTicker, "IQ_NUMBER_ADRHOLDERS",Input!E$2,Date)</f>
        <v>0</v>
      </c>
      <c r="D432" s="18">
        <f>_xll.ciqfunctions.udf.CIQ(InputTicker, "IQ_NUMBER_ADRHOLDERS",Input!F$2,Date)</f>
        <v>0</v>
      </c>
      <c r="E432" s="18">
        <f>_xll.ciqfunctions.udf.CIQ(InputTicker, "IQ_NUMBER_ADRHOLDERS",Input!G$2,Date)</f>
        <v>0</v>
      </c>
      <c r="F432" s="18">
        <f>_xll.ciqfunctions.udf.CIQ(InputTicker, "IQ_NUMBER_ADRHOLDERS",Input!H$2,Date)</f>
        <v>0</v>
      </c>
      <c r="G432" s="18">
        <f>_xll.ciqfunctions.udf.CIQ(InputTicker, "IQ_NUMBER_ADRHOLDERS",Input!I$2,Date)</f>
        <v>0</v>
      </c>
      <c r="H432" s="18">
        <f>_xll.ciqfunctions.udf.CIQ(InputTicker, "IQ_NUMBER_ADRHOLDERS",Input!J$2,Date)</f>
        <v>0</v>
      </c>
      <c r="I432" s="18">
        <f>_xll.ciqfunctions.udf.CIQ(InputTicker, "IQ_NUMBER_ADRHOLDERS",Input!K$2,Date)</f>
        <v>0</v>
      </c>
      <c r="J432" s="18">
        <f>_xll.ciqfunctions.udf.CIQ(InputTicker, "IQ_NUMBER_ADRHOLDERS",Input!L$2,Date)</f>
        <v>0</v>
      </c>
      <c r="K432" s="18">
        <f>_xll.ciqfunctions.udf.CIQ(InputTicker, "IQ_NUMBER_ADRHOLDERS",Input!M$2,Date)</f>
        <v>0</v>
      </c>
      <c r="L432" s="18">
        <f>_xll.ciqfunctions.udf.CIQ(InputTicker, "IQ_NUMBER_ADRHOLDERS",Input!N$2,Date)</f>
        <v>0</v>
      </c>
      <c r="M432" s="18">
        <f>_xll.ciqfunctions.udf.CIQ(InputTicker, "IQ_NUMBER_ADRHOLDERS",Input!O$2,Date)</f>
        <v>0</v>
      </c>
      <c r="N432" s="53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  <c r="BN432" s="42"/>
    </row>
    <row r="433" spans="1:66" ht="12.75" customHeight="1" x14ac:dyDescent="0.2">
      <c r="A433" s="1" t="s">
        <v>360</v>
      </c>
      <c r="B433" s="4">
        <f>_xll.ciqfunctions.udf.CIQ(InputTicker, "IQ_FIN_DIV_LT_DEBT_TOTAL",Input!D$2,Date,,,Ccy,Conv)</f>
        <v>0</v>
      </c>
      <c r="C433" s="4">
        <f>_xll.ciqfunctions.udf.CIQ(InputTicker, "IQ_FIN_DIV_LT_DEBT_TOTAL",Input!E$2,Date,,,Ccy,Conv)</f>
        <v>0</v>
      </c>
      <c r="D433" s="4">
        <f>_xll.ciqfunctions.udf.CIQ(InputTicker, "IQ_FIN_DIV_LT_DEBT_TOTAL",Input!F$2,Date,,,Ccy,Conv)</f>
        <v>0</v>
      </c>
      <c r="E433" s="4">
        <f>_xll.ciqfunctions.udf.CIQ(InputTicker, "IQ_FIN_DIV_LT_DEBT_TOTAL",Input!G$2,Date,,,Ccy,Conv)</f>
        <v>0</v>
      </c>
      <c r="F433" s="4">
        <f>_xll.ciqfunctions.udf.CIQ(InputTicker, "IQ_FIN_DIV_LT_DEBT_TOTAL",Input!H$2,Date,,,Ccy,Conv)</f>
        <v>0</v>
      </c>
      <c r="G433" s="4">
        <f>_xll.ciqfunctions.udf.CIQ(InputTicker, "IQ_FIN_DIV_LT_DEBT_TOTAL",Input!I$2,Date,,,Ccy,Conv)</f>
        <v>0</v>
      </c>
      <c r="H433" s="4">
        <f>_xll.ciqfunctions.udf.CIQ(InputTicker, "IQ_FIN_DIV_LT_DEBT_TOTAL",Input!J$2,Date,,,Ccy,Conv)</f>
        <v>0</v>
      </c>
      <c r="I433" s="4">
        <f>_xll.ciqfunctions.udf.CIQ(InputTicker, "IQ_FIN_DIV_LT_DEBT_TOTAL",Input!K$2,Date,,,Ccy,Conv)</f>
        <v>0</v>
      </c>
      <c r="J433" s="4">
        <f>_xll.ciqfunctions.udf.CIQ(InputTicker, "IQ_FIN_DIV_LT_DEBT_TOTAL",Input!L$2,Date,,,Ccy,Conv)</f>
        <v>0</v>
      </c>
      <c r="K433" s="4">
        <f>_xll.ciqfunctions.udf.CIQ(InputTicker, "IQ_FIN_DIV_LT_DEBT_TOTAL",Input!M$2,Date,,,Ccy,Conv)</f>
        <v>0</v>
      </c>
      <c r="L433" s="4">
        <f>_xll.ciqfunctions.udf.CIQ(InputTicker, "IQ_FIN_DIV_LT_DEBT_TOTAL",Input!N$2,Date,,,Ccy,Conv)</f>
        <v>0</v>
      </c>
      <c r="M433" s="4">
        <f>_xll.ciqfunctions.udf.CIQ(InputTicker, "IQ_FIN_DIV_LT_DEBT_TOTAL",Input!O$2,Date,,,Ccy,Conv)</f>
        <v>0</v>
      </c>
      <c r="N433" s="53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</row>
    <row r="434" spans="1:66" ht="12.75" customHeight="1" x14ac:dyDescent="0.2">
      <c r="A434" s="1" t="s">
        <v>361</v>
      </c>
      <c r="B434" s="4">
        <f>_xll.ciqfunctions.udf.CIQ(InputTicker,"IQ_FIN_DIV_ST_DEBT_TOTAL",Input!D$2,Date,,,Ccy,Conv)</f>
        <v>0</v>
      </c>
      <c r="C434" s="4">
        <f>_xll.ciqfunctions.udf.CIQ(InputTicker,"IQ_FIN_DIV_ST_DEBT_TOTAL",Input!E$2,Date,,,Ccy,Conv)</f>
        <v>0</v>
      </c>
      <c r="D434" s="4">
        <f>_xll.ciqfunctions.udf.CIQ(InputTicker,"IQ_FIN_DIV_ST_DEBT_TOTAL",Input!F$2,Date,,,Ccy,Conv)</f>
        <v>0</v>
      </c>
      <c r="E434" s="4">
        <f>_xll.ciqfunctions.udf.CIQ(InputTicker,"IQ_FIN_DIV_ST_DEBT_TOTAL",Input!G$2,Date,,,Ccy,Conv)</f>
        <v>0</v>
      </c>
      <c r="F434" s="4">
        <f>_xll.ciqfunctions.udf.CIQ(InputTicker,"IQ_FIN_DIV_ST_DEBT_TOTAL",Input!H$2,Date,,,Ccy,Conv)</f>
        <v>0</v>
      </c>
      <c r="G434" s="4">
        <f>_xll.ciqfunctions.udf.CIQ(InputTicker,"IQ_FIN_DIV_ST_DEBT_TOTAL",Input!I$2,Date,,,Ccy,Conv)</f>
        <v>0</v>
      </c>
      <c r="H434" s="4">
        <f>_xll.ciqfunctions.udf.CIQ(InputTicker,"IQ_FIN_DIV_ST_DEBT_TOTAL",Input!J$2,Date,,,Ccy,Conv)</f>
        <v>0</v>
      </c>
      <c r="I434" s="4">
        <f>_xll.ciqfunctions.udf.CIQ(InputTicker,"IQ_FIN_DIV_ST_DEBT_TOTAL",Input!K$2,Date,,,Ccy,Conv)</f>
        <v>0</v>
      </c>
      <c r="J434" s="4">
        <f>_xll.ciqfunctions.udf.CIQ(InputTicker,"IQ_FIN_DIV_ST_DEBT_TOTAL",Input!L$2,Date,,,Ccy,Conv)</f>
        <v>0</v>
      </c>
      <c r="K434" s="4">
        <f>_xll.ciqfunctions.udf.CIQ(InputTicker,"IQ_FIN_DIV_ST_DEBT_TOTAL",Input!M$2,Date,,,Ccy,Conv)</f>
        <v>0</v>
      </c>
      <c r="L434" s="4">
        <f>_xll.ciqfunctions.udf.CIQ(InputTicker,"IQ_FIN_DIV_ST_DEBT_TOTAL",Input!N$2,Date,,,Ccy,Conv)</f>
        <v>0</v>
      </c>
      <c r="M434" s="4">
        <f>_xll.ciqfunctions.udf.CIQ(InputTicker,"IQ_FIN_DIV_ST_DEBT_TOTAL",Input!O$2,Date,,,Ccy,Conv)</f>
        <v>0</v>
      </c>
      <c r="N434" s="53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  <c r="BN434" s="42"/>
    </row>
    <row r="435" spans="1:66" ht="12.75" customHeight="1" x14ac:dyDescent="0.2">
      <c r="A435" s="1" t="s">
        <v>375</v>
      </c>
      <c r="B435" s="4">
        <f>_xll.ciqfunctions.udf.CIQ(InputTicker,"IQ_FIN_DIV_DEBT_TOTAL",Input!D$2,Date,,,Ccy,Conv)</f>
        <v>0</v>
      </c>
      <c r="C435" s="4">
        <f>_xll.ciqfunctions.udf.CIQ(InputTicker,"IQ_FIN_DIV_DEBT_TOTAL",Input!E$2,Date,,,Ccy,Conv)</f>
        <v>0</v>
      </c>
      <c r="D435" s="4">
        <f>_xll.ciqfunctions.udf.CIQ(InputTicker,"IQ_FIN_DIV_DEBT_TOTAL",Input!F$2,Date,,,Ccy,Conv)</f>
        <v>0</v>
      </c>
      <c r="E435" s="4">
        <f>_xll.ciqfunctions.udf.CIQ(InputTicker,"IQ_FIN_DIV_DEBT_TOTAL",Input!G$2,Date,,,Ccy,Conv)</f>
        <v>0</v>
      </c>
      <c r="F435" s="4">
        <f>_xll.ciqfunctions.udf.CIQ(InputTicker,"IQ_FIN_DIV_DEBT_TOTAL",Input!H$2,Date,,,Ccy,Conv)</f>
        <v>0</v>
      </c>
      <c r="G435" s="4">
        <f>_xll.ciqfunctions.udf.CIQ(InputTicker,"IQ_FIN_DIV_DEBT_TOTAL",Input!I$2,Date,,,Ccy,Conv)</f>
        <v>0</v>
      </c>
      <c r="H435" s="4">
        <f>_xll.ciqfunctions.udf.CIQ(InputTicker,"IQ_FIN_DIV_DEBT_TOTAL",Input!J$2,Date,,,Ccy,Conv)</f>
        <v>0</v>
      </c>
      <c r="I435" s="4">
        <f>_xll.ciqfunctions.udf.CIQ(InputTicker,"IQ_FIN_DIV_DEBT_TOTAL",Input!K$2,Date,,,Ccy,Conv)</f>
        <v>0</v>
      </c>
      <c r="J435" s="4">
        <f>_xll.ciqfunctions.udf.CIQ(InputTicker,"IQ_FIN_DIV_DEBT_TOTAL",Input!L$2,Date,,,Ccy,Conv)</f>
        <v>0</v>
      </c>
      <c r="K435" s="4">
        <f>_xll.ciqfunctions.udf.CIQ(InputTicker,"IQ_FIN_DIV_DEBT_TOTAL",Input!M$2,Date,,,Ccy,Conv)</f>
        <v>0</v>
      </c>
      <c r="L435" s="4">
        <f>_xll.ciqfunctions.udf.CIQ(InputTicker,"IQ_FIN_DIV_DEBT_TOTAL",Input!N$2,Date,,,Ccy,Conv)</f>
        <v>0</v>
      </c>
      <c r="M435" s="4">
        <f>_xll.ciqfunctions.udf.CIQ(InputTicker,"IQ_FIN_DIV_DEBT_TOTAL",Input!O$2,Date,,,Ccy,Conv)</f>
        <v>0</v>
      </c>
      <c r="N435" s="53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  <c r="BN435" s="42"/>
    </row>
    <row r="436" spans="1:66" ht="12.75" customHeight="1" x14ac:dyDescent="0.2">
      <c r="A436" s="1" t="s">
        <v>379</v>
      </c>
      <c r="B436" s="4">
        <f>_xll.ciqfunctions.udf.CIQ(InputTicker, "IQ_FIN_DIV_CASH_EQUIV",Input!D$2,Date,,,Ccy,Conv)</f>
        <v>0</v>
      </c>
      <c r="C436" s="4">
        <f>_xll.ciqfunctions.udf.CIQ(InputTicker, "IQ_FIN_DIV_CASH_EQUIV",Input!E$2,Date,,,Ccy,Conv)</f>
        <v>0</v>
      </c>
      <c r="D436" s="4">
        <f>_xll.ciqfunctions.udf.CIQ(InputTicker, "IQ_FIN_DIV_CASH_EQUIV",Input!F$2,Date,,,Ccy,Conv)</f>
        <v>0</v>
      </c>
      <c r="E436" s="4">
        <f>_xll.ciqfunctions.udf.CIQ(InputTicker, "IQ_FIN_DIV_CASH_EQUIV",Input!G$2,Date,,,Ccy,Conv)</f>
        <v>0</v>
      </c>
      <c r="F436" s="4">
        <f>_xll.ciqfunctions.udf.CIQ(InputTicker, "IQ_FIN_DIV_CASH_EQUIV",Input!H$2,Date,,,Ccy,Conv)</f>
        <v>0</v>
      </c>
      <c r="G436" s="4">
        <f>_xll.ciqfunctions.udf.CIQ(InputTicker, "IQ_FIN_DIV_CASH_EQUIV",Input!I$2,Date,,,Ccy,Conv)</f>
        <v>0</v>
      </c>
      <c r="H436" s="4">
        <f>_xll.ciqfunctions.udf.CIQ(InputTicker, "IQ_FIN_DIV_CASH_EQUIV",Input!J$2,Date,,,Ccy,Conv)</f>
        <v>0</v>
      </c>
      <c r="I436" s="4">
        <f>_xll.ciqfunctions.udf.CIQ(InputTicker, "IQ_FIN_DIV_CASH_EQUIV",Input!K$2,Date,,,Ccy,Conv)</f>
        <v>0</v>
      </c>
      <c r="J436" s="4">
        <f>_xll.ciqfunctions.udf.CIQ(InputTicker, "IQ_FIN_DIV_CASH_EQUIV",Input!L$2,Date,,,Ccy,Conv)</f>
        <v>0</v>
      </c>
      <c r="K436" s="4">
        <f>_xll.ciqfunctions.udf.CIQ(InputTicker, "IQ_FIN_DIV_CASH_EQUIV",Input!M$2,Date,,,Ccy,Conv)</f>
        <v>0</v>
      </c>
      <c r="L436" s="4">
        <f>_xll.ciqfunctions.udf.CIQ(InputTicker, "IQ_FIN_DIV_CASH_EQUIV",Input!N$2,Date,,,Ccy,Conv)</f>
        <v>0</v>
      </c>
      <c r="M436" s="4">
        <f>_xll.ciqfunctions.udf.CIQ(InputTicker, "IQ_FIN_DIV_CASH_EQUIV",Input!O$2,Date,,,Ccy,Conv)</f>
        <v>0</v>
      </c>
      <c r="N436" s="53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  <c r="BN436" s="42"/>
    </row>
    <row r="437" spans="1:66" ht="12.75" customHeight="1" x14ac:dyDescent="0.2">
      <c r="A437" s="1" t="s">
        <v>380</v>
      </c>
      <c r="B437" s="4">
        <f>_xll.ciqfunctions.udf.CIQ(InputTicker, "IQ_FIN_DIV_ST_INVEST",Input!D$2,Date,,,Ccy,Conv)</f>
        <v>0</v>
      </c>
      <c r="C437" s="4">
        <f>_xll.ciqfunctions.udf.CIQ(InputTicker, "IQ_FIN_DIV_ST_INVEST",Input!E$2,Date,,,Ccy,Conv)</f>
        <v>0</v>
      </c>
      <c r="D437" s="4">
        <f>_xll.ciqfunctions.udf.CIQ(InputTicker, "IQ_FIN_DIV_ST_INVEST",Input!F$2,Date,,,Ccy,Conv)</f>
        <v>0</v>
      </c>
      <c r="E437" s="4">
        <f>_xll.ciqfunctions.udf.CIQ(InputTicker, "IQ_FIN_DIV_ST_INVEST",Input!G$2,Date,,,Ccy,Conv)</f>
        <v>0</v>
      </c>
      <c r="F437" s="4">
        <f>_xll.ciqfunctions.udf.CIQ(InputTicker, "IQ_FIN_DIV_ST_INVEST",Input!H$2,Date,,,Ccy,Conv)</f>
        <v>0</v>
      </c>
      <c r="G437" s="4">
        <f>_xll.ciqfunctions.udf.CIQ(InputTicker, "IQ_FIN_DIV_ST_INVEST",Input!I$2,Date,,,Ccy,Conv)</f>
        <v>0</v>
      </c>
      <c r="H437" s="4">
        <f>_xll.ciqfunctions.udf.CIQ(InputTicker, "IQ_FIN_DIV_ST_INVEST",Input!J$2,Date,,,Ccy,Conv)</f>
        <v>0</v>
      </c>
      <c r="I437" s="4">
        <f>_xll.ciqfunctions.udf.CIQ(InputTicker, "IQ_FIN_DIV_ST_INVEST",Input!K$2,Date,,,Ccy,Conv)</f>
        <v>0</v>
      </c>
      <c r="J437" s="4">
        <f>_xll.ciqfunctions.udf.CIQ(InputTicker, "IQ_FIN_DIV_ST_INVEST",Input!L$2,Date,,,Ccy,Conv)</f>
        <v>0</v>
      </c>
      <c r="K437" s="4">
        <f>_xll.ciqfunctions.udf.CIQ(InputTicker, "IQ_FIN_DIV_ST_INVEST",Input!M$2,Date,,,Ccy,Conv)</f>
        <v>0</v>
      </c>
      <c r="L437" s="4">
        <f>_xll.ciqfunctions.udf.CIQ(InputTicker, "IQ_FIN_DIV_ST_INVEST",Input!N$2,Date,,,Ccy,Conv)</f>
        <v>0</v>
      </c>
      <c r="M437" s="4">
        <f>_xll.ciqfunctions.udf.CIQ(InputTicker, "IQ_FIN_DIV_ST_INVEST",Input!O$2,Date,,,Ccy,Conv)</f>
        <v>0</v>
      </c>
      <c r="N437" s="53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  <c r="BM437" s="42"/>
      <c r="BN437" s="42"/>
    </row>
    <row r="438" spans="1:66" ht="12.75" customHeight="1" x14ac:dyDescent="0.2">
      <c r="A438" s="1" t="s">
        <v>503</v>
      </c>
      <c r="B438" s="4">
        <f>_xll.ciqfunctions.udf.CIQ(InputTicker, "IQ_DEBT_EQUIV_NET_PBO",Input!D$2,Date,,,Ccy,Conv)</f>
        <v>3.5</v>
      </c>
      <c r="C438" s="4">
        <f>_xll.ciqfunctions.udf.CIQ(InputTicker, "IQ_DEBT_EQUIV_NET_PBO",Input!E$2,Date,,,Ccy,Conv)</f>
        <v>4.0999999999999996</v>
      </c>
      <c r="D438" s="4">
        <f>_xll.ciqfunctions.udf.CIQ(InputTicker, "IQ_DEBT_EQUIV_NET_PBO",Input!F$2,Date,,,Ccy,Conv)</f>
        <v>4.5999999999999996</v>
      </c>
      <c r="E438" s="4">
        <f>_xll.ciqfunctions.udf.CIQ(InputTicker, "IQ_DEBT_EQUIV_NET_PBO",Input!G$2,Date,,,Ccy,Conv)</f>
        <v>4.9000000000000004</v>
      </c>
      <c r="F438" s="4">
        <f>_xll.ciqfunctions.udf.CIQ(InputTicker, "IQ_DEBT_EQUIV_NET_PBO",Input!H$2,Date,,,Ccy,Conv)</f>
        <v>4.0999999999999996</v>
      </c>
      <c r="G438" s="4">
        <f>_xll.ciqfunctions.udf.CIQ(InputTicker, "IQ_DEBT_EQUIV_NET_PBO",Input!I$2,Date,,,Ccy,Conv)</f>
        <v>5.5</v>
      </c>
      <c r="H438" s="4">
        <f>_xll.ciqfunctions.udf.CIQ(InputTicker, "IQ_DEBT_EQUIV_NET_PBO",Input!J$2,Date,,,Ccy,Conv)</f>
        <v>5.6</v>
      </c>
      <c r="I438" s="4">
        <f>_xll.ciqfunctions.udf.CIQ(InputTicker, "IQ_DEBT_EQUIV_NET_PBO",Input!K$2,Date,,,Ccy,Conv)</f>
        <v>5.6</v>
      </c>
      <c r="J438" s="4">
        <f>_xll.ciqfunctions.udf.CIQ(InputTicker, "IQ_DEBT_EQUIV_NET_PBO",Input!L$2,Date,,,Ccy,Conv)</f>
        <v>0</v>
      </c>
      <c r="K438" s="4">
        <f>_xll.ciqfunctions.udf.CIQ(InputTicker, "IQ_DEBT_EQUIV_NET_PBO",Input!M$2,Date,,,Ccy,Conv)</f>
        <v>0</v>
      </c>
      <c r="L438" s="4">
        <f>_xll.ciqfunctions.udf.CIQ(InputTicker, "IQ_DEBT_EQUIV_NET_PBO",Input!N$2,Date,,,Ccy,Conv)</f>
        <v>0</v>
      </c>
      <c r="M438" s="4">
        <f>_xll.ciqfunctions.udf.CIQ(InputTicker, "IQ_DEBT_EQUIV_NET_PBO",Input!O$2,Date,,,Ccy,Conv)</f>
        <v>0</v>
      </c>
      <c r="N438" s="53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  <c r="BN438" s="42"/>
    </row>
    <row r="439" spans="1:66" ht="12.75" customHeight="1" x14ac:dyDescent="0.2">
      <c r="A439" s="1" t="s">
        <v>504</v>
      </c>
      <c r="B439" s="4">
        <f>_xll.ciqfunctions.udf.CIQ(InputTicker, "IQ_DEBT_EQUIV_OPER_LEASE",Input!D$2,Date,,,Ccy,Conv)</f>
        <v>32.72</v>
      </c>
      <c r="C439" s="4">
        <f>_xll.ciqfunctions.udf.CIQ(InputTicker, "IQ_DEBT_EQUIV_OPER_LEASE",Input!E$2,Date,,,Ccy,Conv)</f>
        <v>31.8</v>
      </c>
      <c r="D439" s="4">
        <f>_xll.ciqfunctions.udf.CIQ(InputTicker, "IQ_DEBT_EQUIV_OPER_LEASE",Input!F$2,Date,,,Ccy,Conv)</f>
        <v>0</v>
      </c>
      <c r="E439" s="4">
        <f>_xll.ciqfunctions.udf.CIQ(InputTicker, "IQ_DEBT_EQUIV_OPER_LEASE",Input!G$2,Date,,,Ccy,Conv)</f>
        <v>0</v>
      </c>
      <c r="F439" s="4">
        <f>_xll.ciqfunctions.udf.CIQ(InputTicker, "IQ_DEBT_EQUIV_OPER_LEASE",Input!H$2,Date,,,Ccy,Conv)</f>
        <v>0</v>
      </c>
      <c r="G439" s="4">
        <f>_xll.ciqfunctions.udf.CIQ(InputTicker, "IQ_DEBT_EQUIV_OPER_LEASE",Input!I$2,Date,,,Ccy,Conv)</f>
        <v>0</v>
      </c>
      <c r="H439" s="4">
        <f>_xll.ciqfunctions.udf.CIQ(InputTicker, "IQ_DEBT_EQUIV_OPER_LEASE",Input!J$2,Date,,,Ccy,Conv)</f>
        <v>0</v>
      </c>
      <c r="I439" s="4">
        <f>_xll.ciqfunctions.udf.CIQ(InputTicker, "IQ_DEBT_EQUIV_OPER_LEASE",Input!K$2,Date,,,Ccy,Conv)</f>
        <v>0</v>
      </c>
      <c r="J439" s="4">
        <f>_xll.ciqfunctions.udf.CIQ(InputTicker, "IQ_DEBT_EQUIV_OPER_LEASE",Input!L$2,Date,,,Ccy,Conv)</f>
        <v>0</v>
      </c>
      <c r="K439" s="4">
        <f>_xll.ciqfunctions.udf.CIQ(InputTicker, "IQ_DEBT_EQUIV_OPER_LEASE",Input!M$2,Date,,,Ccy,Conv)</f>
        <v>0</v>
      </c>
      <c r="L439" s="4">
        <f>_xll.ciqfunctions.udf.CIQ(InputTicker, "IQ_DEBT_EQUIV_OPER_LEASE",Input!N$2,Date,,,Ccy,Conv)</f>
        <v>0</v>
      </c>
      <c r="M439" s="4">
        <f>_xll.ciqfunctions.udf.CIQ(InputTicker, "IQ_DEBT_EQUIV_OPER_LEASE",Input!O$2,Date,,,Ccy,Conv)</f>
        <v>0</v>
      </c>
      <c r="N439" s="53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  <c r="BN439" s="42"/>
    </row>
    <row r="440" spans="1:66" ht="12.75" customHeight="1" x14ac:dyDescent="0.2">
      <c r="A440" s="1" t="s">
        <v>362</v>
      </c>
      <c r="B440" s="4">
        <f>_xll.ciqfunctions.udf.CIQ(InputTicker,"IQ_COST_BORROWING",Input!D$2,Date)</f>
        <v>5.9034000000000004</v>
      </c>
      <c r="C440" s="4">
        <f>_xll.ciqfunctions.udf.CIQ(InputTicker,"IQ_COST_BORROWING",Input!E$2,Date)</f>
        <v>7.7679</v>
      </c>
      <c r="D440" s="4">
        <f>_xll.ciqfunctions.udf.CIQ(InputTicker,"IQ_COST_BORROWING",Input!F$2,Date)</f>
        <v>5.6608999999999998</v>
      </c>
      <c r="E440" s="4">
        <f>_xll.ciqfunctions.udf.CIQ(InputTicker,"IQ_COST_BORROWING",Input!G$2,Date)</f>
        <v>14.900499999999999</v>
      </c>
      <c r="F440" s="4">
        <f>_xll.ciqfunctions.udf.CIQ(InputTicker,"IQ_COST_BORROWING",Input!H$2,Date)</f>
        <v>16.762</v>
      </c>
      <c r="G440" s="4">
        <f>_xll.ciqfunctions.udf.CIQ(InputTicker,"IQ_COST_BORROWING",Input!I$2,Date)</f>
        <v>7.3880999999999997</v>
      </c>
      <c r="H440" s="4">
        <f>_xll.ciqfunctions.udf.CIQ(InputTicker,"IQ_COST_BORROWING",Input!J$2,Date)</f>
        <v>0</v>
      </c>
      <c r="I440" s="4">
        <f>_xll.ciqfunctions.udf.CIQ(InputTicker,"IQ_COST_BORROWING",Input!K$2,Date)</f>
        <v>0</v>
      </c>
      <c r="J440" s="4">
        <f>_xll.ciqfunctions.udf.CIQ(InputTicker,"IQ_COST_BORROWING",Input!L$2,Date)</f>
        <v>0</v>
      </c>
      <c r="K440" s="4">
        <f>_xll.ciqfunctions.udf.CIQ(InputTicker,"IQ_COST_BORROWING",Input!M$2,Date)</f>
        <v>0</v>
      </c>
      <c r="L440" s="4">
        <f>_xll.ciqfunctions.udf.CIQ(InputTicker,"IQ_COST_BORROWING",Input!N$2,Date)</f>
        <v>0</v>
      </c>
      <c r="M440" s="4">
        <f>_xll.ciqfunctions.udf.CIQ(InputTicker,"IQ_COST_BORROWING",Input!O$2,Date)</f>
        <v>0</v>
      </c>
      <c r="N440" s="53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  <c r="BN440" s="42"/>
    </row>
    <row r="441" spans="1:66" ht="12.75" customHeight="1" x14ac:dyDescent="0.2">
      <c r="A441" s="1" t="s">
        <v>378</v>
      </c>
      <c r="B441" s="4">
        <f>_xll.ciqfunctions.udf.CIQ(InputTicker,"IQ_RESTRICTED_CASH_NON_CURRENT",Input!D$2,Date,,,Ccy,Conv)</f>
        <v>0</v>
      </c>
      <c r="C441" s="4">
        <f>_xll.ciqfunctions.udf.CIQ(InputTicker,"IQ_RESTRICTED_CASH_NON_CURRENT",Input!E$2,Date,,,Ccy,Conv)</f>
        <v>0</v>
      </c>
      <c r="D441" s="4">
        <f>_xll.ciqfunctions.udf.CIQ(InputTicker,"IQ_RESTRICTED_CASH_NON_CURRENT",Input!F$2,Date,,,Ccy,Conv)</f>
        <v>0</v>
      </c>
      <c r="E441" s="4">
        <f>_xll.ciqfunctions.udf.CIQ(InputTicker,"IQ_RESTRICTED_CASH_NON_CURRENT",Input!G$2,Date,,,Ccy,Conv)</f>
        <v>0</v>
      </c>
      <c r="F441" s="4">
        <f>_xll.ciqfunctions.udf.CIQ(InputTicker,"IQ_RESTRICTED_CASH_NON_CURRENT",Input!H$2,Date,,,Ccy,Conv)</f>
        <v>0</v>
      </c>
      <c r="G441" s="4">
        <f>_xll.ciqfunctions.udf.CIQ(InputTicker,"IQ_RESTRICTED_CASH_NON_CURRENT",Input!I$2,Date,,,Ccy,Conv)</f>
        <v>0</v>
      </c>
      <c r="H441" s="4">
        <f>_xll.ciqfunctions.udf.CIQ(InputTicker,"IQ_RESTRICTED_CASH_NON_CURRENT",Input!J$2,Date,,,Ccy,Conv)</f>
        <v>0</v>
      </c>
      <c r="I441" s="4">
        <f>_xll.ciqfunctions.udf.CIQ(InputTicker,"IQ_RESTRICTED_CASH_NON_CURRENT",Input!K$2,Date,,,Ccy,Conv)</f>
        <v>0</v>
      </c>
      <c r="J441" s="4">
        <f>_xll.ciqfunctions.udf.CIQ(InputTicker,"IQ_RESTRICTED_CASH_NON_CURRENT",Input!L$2,Date,,,Ccy,Conv)</f>
        <v>0</v>
      </c>
      <c r="K441" s="4">
        <f>_xll.ciqfunctions.udf.CIQ(InputTicker,"IQ_RESTRICTED_CASH_NON_CURRENT",Input!M$2,Date,,,Ccy,Conv)</f>
        <v>0</v>
      </c>
      <c r="L441" s="4">
        <f>_xll.ciqfunctions.udf.CIQ(InputTicker,"IQ_RESTRICTED_CASH_NON_CURRENT",Input!N$2,Date,,,Ccy,Conv)</f>
        <v>0</v>
      </c>
      <c r="M441" s="4">
        <f>_xll.ciqfunctions.udf.CIQ(InputTicker,"IQ_RESTRICTED_CASH_NON_CURRENT",Input!O$2,Date,,,Ccy,Conv)</f>
        <v>0</v>
      </c>
      <c r="N441" s="53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</row>
    <row r="442" spans="1:66" ht="12.75" customHeight="1" x14ac:dyDescent="0.2">
      <c r="A442" s="1" t="s">
        <v>505</v>
      </c>
      <c r="B442" s="4">
        <f>_xll.ciqfunctions.udf.CIQ(InputTicker,"IQ_RESTRICTED_CASH_TOTAL",Input!D$2,Date,,,Ccy,Conv)</f>
        <v>0</v>
      </c>
      <c r="C442" s="4">
        <f>_xll.ciqfunctions.udf.CIQ(InputTicker,"IQ_RESTRICTED_CASH_TOTAL",Input!E$2,Date,,,Ccy,Conv)</f>
        <v>0</v>
      </c>
      <c r="D442" s="4">
        <f>_xll.ciqfunctions.udf.CIQ(InputTicker,"IQ_RESTRICTED_CASH_TOTAL",Input!F$2,Date,,,Ccy,Conv)</f>
        <v>0</v>
      </c>
      <c r="E442" s="4">
        <f>_xll.ciqfunctions.udf.CIQ(InputTicker,"IQ_RESTRICTED_CASH_TOTAL",Input!G$2,Date,,,Ccy,Conv)</f>
        <v>0</v>
      </c>
      <c r="F442" s="4">
        <f>_xll.ciqfunctions.udf.CIQ(InputTicker,"IQ_RESTRICTED_CASH_TOTAL",Input!H$2,Date,,,Ccy,Conv)</f>
        <v>0</v>
      </c>
      <c r="G442" s="4">
        <f>_xll.ciqfunctions.udf.CIQ(InputTicker,"IQ_RESTRICTED_CASH_TOTAL",Input!I$2,Date,,,Ccy,Conv)</f>
        <v>0</v>
      </c>
      <c r="H442" s="4">
        <f>_xll.ciqfunctions.udf.CIQ(InputTicker,"IQ_RESTRICTED_CASH_TOTAL",Input!J$2,Date,,,Ccy,Conv)</f>
        <v>0</v>
      </c>
      <c r="I442" s="4">
        <f>_xll.ciqfunctions.udf.CIQ(InputTicker,"IQ_RESTRICTED_CASH_TOTAL",Input!K$2,Date,,,Ccy,Conv)</f>
        <v>0</v>
      </c>
      <c r="J442" s="4">
        <f>_xll.ciqfunctions.udf.CIQ(InputTicker,"IQ_RESTRICTED_CASH_TOTAL",Input!L$2,Date,,,Ccy,Conv)</f>
        <v>0</v>
      </c>
      <c r="K442" s="4">
        <f>_xll.ciqfunctions.udf.CIQ(InputTicker,"IQ_RESTRICTED_CASH_TOTAL",Input!M$2,Date,,,Ccy,Conv)</f>
        <v>1</v>
      </c>
      <c r="L442" s="4">
        <f>_xll.ciqfunctions.udf.CIQ(InputTicker,"IQ_RESTRICTED_CASH_TOTAL",Input!N$2,Date,,,Ccy,Conv)</f>
        <v>6.3</v>
      </c>
      <c r="M442" s="4">
        <f>_xll.ciqfunctions.udf.CIQ(InputTicker,"IQ_RESTRICTED_CASH_TOTAL",Input!O$2,Date,,,Ccy,Conv)</f>
        <v>6.3</v>
      </c>
      <c r="N442" s="53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  <c r="BN442" s="42"/>
    </row>
    <row r="443" spans="1:66" ht="12.75" customHeight="1" x14ac:dyDescent="0.2">
      <c r="A443" s="1" t="s">
        <v>363</v>
      </c>
      <c r="B443" s="4">
        <f>_xll.ciqfunctions.udf.CIQ(InputTicker,"IQ_TOTAL_DEBT_EXCL_FIN",Input!D$2,Date,,,Ccy,Conv)</f>
        <v>25.57</v>
      </c>
      <c r="C443" s="4">
        <f>_xll.ciqfunctions.udf.CIQ(InputTicker,"IQ_TOTAL_DEBT_EXCL_FIN",Input!E$2,Date,,,Ccy,Conv)</f>
        <v>10.939</v>
      </c>
      <c r="D443" s="4">
        <f>_xll.ciqfunctions.udf.CIQ(InputTicker,"IQ_TOTAL_DEBT_EXCL_FIN",Input!F$2,Date,,,Ccy,Conv)</f>
        <v>6.09</v>
      </c>
      <c r="E443" s="4">
        <f>_xll.ciqfunctions.udf.CIQ(InputTicker,"IQ_TOTAL_DEBT_EXCL_FIN",Input!G$2,Date,,,Ccy,Conv)</f>
        <v>2.5539999999999998</v>
      </c>
      <c r="F443" s="4">
        <f>_xll.ciqfunctions.udf.CIQ(InputTicker,"IQ_TOTAL_DEBT_EXCL_FIN",Input!H$2,Date,,,Ccy,Conv)</f>
        <v>3.3879999999999999</v>
      </c>
      <c r="G443" s="4">
        <f>_xll.ciqfunctions.udf.CIQ(InputTicker,"IQ_TOTAL_DEBT_EXCL_FIN",Input!I$2,Date,,,Ccy,Conv)</f>
        <v>2.3780000000000001</v>
      </c>
      <c r="H443" s="4">
        <f>_xll.ciqfunctions.udf.CIQ(InputTicker,"IQ_TOTAL_DEBT_EXCL_FIN",Input!J$2,Date,,,Ccy,Conv)</f>
        <v>0</v>
      </c>
      <c r="I443" s="4">
        <f>_xll.ciqfunctions.udf.CIQ(InputTicker,"IQ_TOTAL_DEBT_EXCL_FIN",Input!K$2,Date,,,Ccy,Conv)</f>
        <v>0</v>
      </c>
      <c r="J443" s="4">
        <f>_xll.ciqfunctions.udf.CIQ(InputTicker,"IQ_TOTAL_DEBT_EXCL_FIN",Input!L$2,Date,,,Ccy,Conv)</f>
        <v>0</v>
      </c>
      <c r="K443" s="4">
        <f>_xll.ciqfunctions.udf.CIQ(InputTicker,"IQ_TOTAL_DEBT_EXCL_FIN",Input!M$2,Date,,,Ccy,Conv)</f>
        <v>0</v>
      </c>
      <c r="L443" s="4">
        <f>_xll.ciqfunctions.udf.CIQ(InputTicker,"IQ_TOTAL_DEBT_EXCL_FIN",Input!N$2,Date,,,Ccy,Conv)</f>
        <v>0</v>
      </c>
      <c r="M443" s="4">
        <f>_xll.ciqfunctions.udf.CIQ(InputTicker,"IQ_TOTAL_DEBT_EXCL_FIN",Input!O$2,Date,,,Ccy,Conv)</f>
        <v>0</v>
      </c>
      <c r="N443" s="53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  <c r="BN443" s="42"/>
    </row>
    <row r="444" spans="1:66" ht="12.75" customHeight="1" x14ac:dyDescent="0.2">
      <c r="A444" s="1" t="s">
        <v>364</v>
      </c>
      <c r="B444" s="4">
        <f>_xll.ciqfunctions.udf.CIQ(InputTicker,"IQ_ORDER_BACKLOG",Input!D$2,Date,,,Ccy,Conv)</f>
        <v>0</v>
      </c>
      <c r="C444" s="4">
        <f>_xll.ciqfunctions.udf.CIQ(InputTicker,"IQ_ORDER_BACKLOG",Input!E$2,Date,,,Ccy,Conv)</f>
        <v>0</v>
      </c>
      <c r="D444" s="4">
        <f>_xll.ciqfunctions.udf.CIQ(InputTicker,"IQ_ORDER_BACKLOG",Input!F$2,Date,,,Ccy,Conv)</f>
        <v>0</v>
      </c>
      <c r="E444" s="4">
        <f>_xll.ciqfunctions.udf.CIQ(InputTicker,"IQ_ORDER_BACKLOG",Input!G$2,Date,,,Ccy,Conv)</f>
        <v>0</v>
      </c>
      <c r="F444" s="4">
        <f>_xll.ciqfunctions.udf.CIQ(InputTicker,"IQ_ORDER_BACKLOG",Input!H$2,Date,,,Ccy,Conv)</f>
        <v>0</v>
      </c>
      <c r="G444" s="4">
        <f>_xll.ciqfunctions.udf.CIQ(InputTicker,"IQ_ORDER_BACKLOG",Input!I$2,Date,,,Ccy,Conv)</f>
        <v>0</v>
      </c>
      <c r="H444" s="4">
        <f>_xll.ciqfunctions.udf.CIQ(InputTicker,"IQ_ORDER_BACKLOG",Input!J$2,Date,,,Ccy,Conv)</f>
        <v>0</v>
      </c>
      <c r="I444" s="4">
        <f>_xll.ciqfunctions.udf.CIQ(InputTicker,"IQ_ORDER_BACKLOG",Input!K$2,Date,,,Ccy,Conv)</f>
        <v>0</v>
      </c>
      <c r="J444" s="4">
        <f>_xll.ciqfunctions.udf.CIQ(InputTicker,"IQ_ORDER_BACKLOG",Input!L$2,Date,,,Ccy,Conv)</f>
        <v>0</v>
      </c>
      <c r="K444" s="4">
        <f>_xll.ciqfunctions.udf.CIQ(InputTicker,"IQ_ORDER_BACKLOG",Input!M$2,Date,,,Ccy,Conv)</f>
        <v>0</v>
      </c>
      <c r="L444" s="4">
        <f>_xll.ciqfunctions.udf.CIQ(InputTicker,"IQ_ORDER_BACKLOG",Input!N$2,Date,,,Ccy,Conv)</f>
        <v>0</v>
      </c>
      <c r="M444" s="4">
        <f>_xll.ciqfunctions.udf.CIQ(InputTicker,"IQ_ORDER_BACKLOG",Input!O$2,Date,,,Ccy,Conv)</f>
        <v>0</v>
      </c>
      <c r="N444" s="53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  <c r="BN444" s="42"/>
    </row>
    <row r="445" spans="1:66" ht="12.75" customHeight="1" x14ac:dyDescent="0.2">
      <c r="A445" s="1" t="s">
        <v>395</v>
      </c>
      <c r="B445" s="4">
        <f>_xll.ciqfunctions.udf.CIQ(InputTicker,"IQ_CONTINGENT_LIABILITIES",Input!D$2,Date,,,Ccy,Conv)</f>
        <v>0</v>
      </c>
      <c r="C445" s="4">
        <f>_xll.ciqfunctions.udf.CIQ(InputTicker,"IQ_CONTINGENT_LIABILITIES",Input!E$2,Date,,,Ccy,Conv)</f>
        <v>0</v>
      </c>
      <c r="D445" s="4">
        <f>_xll.ciqfunctions.udf.CIQ(InputTicker,"IQ_CONTINGENT_LIABILITIES",Input!F$2,Date,,,Ccy,Conv)</f>
        <v>0</v>
      </c>
      <c r="E445" s="4">
        <f>_xll.ciqfunctions.udf.CIQ(InputTicker,"IQ_CONTINGENT_LIABILITIES",Input!G$2,Date,,,Ccy,Conv)</f>
        <v>0</v>
      </c>
      <c r="F445" s="4">
        <f>_xll.ciqfunctions.udf.CIQ(InputTicker,"IQ_CONTINGENT_LIABILITIES",Input!H$2,Date,,,Ccy,Conv)</f>
        <v>0</v>
      </c>
      <c r="G445" s="4">
        <f>_xll.ciqfunctions.udf.CIQ(InputTicker,"IQ_CONTINGENT_LIABILITIES",Input!I$2,Date,,,Ccy,Conv)</f>
        <v>0</v>
      </c>
      <c r="H445" s="4">
        <f>_xll.ciqfunctions.udf.CIQ(InputTicker,"IQ_CONTINGENT_LIABILITIES",Input!J$2,Date,,,Ccy,Conv)</f>
        <v>0</v>
      </c>
      <c r="I445" s="4">
        <f>_xll.ciqfunctions.udf.CIQ(InputTicker,"IQ_CONTINGENT_LIABILITIES",Input!K$2,Date,,,Ccy,Conv)</f>
        <v>0</v>
      </c>
      <c r="J445" s="4">
        <f>_xll.ciqfunctions.udf.CIQ(InputTicker,"IQ_CONTINGENT_LIABILITIES",Input!L$2,Date,,,Ccy,Conv)</f>
        <v>0</v>
      </c>
      <c r="K445" s="4">
        <f>_xll.ciqfunctions.udf.CIQ(InputTicker,"IQ_CONTINGENT_LIABILITIES",Input!M$2,Date,,,Ccy,Conv)</f>
        <v>0</v>
      </c>
      <c r="L445" s="4">
        <f>_xll.ciqfunctions.udf.CIQ(InputTicker,"IQ_CONTINGENT_LIABILITIES",Input!N$2,Date,,,Ccy,Conv)</f>
        <v>5.9</v>
      </c>
      <c r="M445" s="4">
        <f>_xll.ciqfunctions.udf.CIQ(InputTicker,"IQ_CONTINGENT_LIABILITIES",Input!O$2,Date,,,Ccy,Conv)</f>
        <v>5.9</v>
      </c>
      <c r="N445" s="53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</row>
    <row r="446" spans="1:66" ht="12.75" customHeight="1" x14ac:dyDescent="0.2">
      <c r="A446" s="1" t="s">
        <v>443</v>
      </c>
      <c r="B446" s="4">
        <f>_xll.ciqfunctions.udf.CIQ(InputTicker,"IQ_WARRANTY_LIABILITIES",Input!D$2,Date,,,Ccy,Conv)</f>
        <v>0</v>
      </c>
      <c r="C446" s="4">
        <f>_xll.ciqfunctions.udf.CIQ(InputTicker,"IQ_WARRANTY_LIABILITIES",Input!E$2,Date,,,Ccy,Conv)</f>
        <v>0</v>
      </c>
      <c r="D446" s="4">
        <f>_xll.ciqfunctions.udf.CIQ(InputTicker,"IQ_WARRANTY_LIABILITIES",Input!F$2,Date,,,Ccy,Conv)</f>
        <v>0</v>
      </c>
      <c r="E446" s="4">
        <f>_xll.ciqfunctions.udf.CIQ(InputTicker,"IQ_WARRANTY_LIABILITIES",Input!G$2,Date,,,Ccy,Conv)</f>
        <v>0</v>
      </c>
      <c r="F446" s="4">
        <f>_xll.ciqfunctions.udf.CIQ(InputTicker,"IQ_WARRANTY_LIABILITIES",Input!H$2,Date,,,Ccy,Conv)</f>
        <v>0</v>
      </c>
      <c r="G446" s="4">
        <f>_xll.ciqfunctions.udf.CIQ(InputTicker,"IQ_WARRANTY_LIABILITIES",Input!I$2,Date,,,Ccy,Conv)</f>
        <v>0</v>
      </c>
      <c r="H446" s="4">
        <f>_xll.ciqfunctions.udf.CIQ(InputTicker,"IQ_WARRANTY_LIABILITIES",Input!J$2,Date,,,Ccy,Conv)</f>
        <v>0</v>
      </c>
      <c r="I446" s="4">
        <f>_xll.ciqfunctions.udf.CIQ(InputTicker,"IQ_WARRANTY_LIABILITIES",Input!K$2,Date,,,Ccy,Conv)</f>
        <v>0</v>
      </c>
      <c r="J446" s="4">
        <f>_xll.ciqfunctions.udf.CIQ(InputTicker,"IQ_WARRANTY_LIABILITIES",Input!L$2,Date,,,Ccy,Conv)</f>
        <v>0</v>
      </c>
      <c r="K446" s="4">
        <f>_xll.ciqfunctions.udf.CIQ(InputTicker,"IQ_WARRANTY_LIABILITIES",Input!M$2,Date,,,Ccy,Conv)</f>
        <v>0</v>
      </c>
      <c r="L446" s="4">
        <f>_xll.ciqfunctions.udf.CIQ(InputTicker,"IQ_WARRANTY_LIABILITIES",Input!N$2,Date,,,Ccy,Conv)</f>
        <v>0</v>
      </c>
      <c r="M446" s="4">
        <f>_xll.ciqfunctions.udf.CIQ(InputTicker,"IQ_WARRANTY_LIABILITIES",Input!O$2,Date,,,Ccy,Conv)</f>
        <v>0</v>
      </c>
      <c r="N446" s="53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</row>
    <row r="447" spans="1:66" ht="12.75" customHeight="1" x14ac:dyDescent="0.2">
      <c r="A447" s="1" t="s">
        <v>8</v>
      </c>
      <c r="B447" s="4">
        <f>_xll.ciqfunctions.udf.CIQ(InputTicker,"IQ_ST_DEBT_DERIVATIVES",Input!D$2,Date,,,Ccy,Conv)</f>
        <v>0</v>
      </c>
      <c r="C447" s="4">
        <f>_xll.ciqfunctions.udf.CIQ(InputTicker,"IQ_ST_DEBT_DERIVATIVES",Input!E$2,Date,,,Ccy,Conv)</f>
        <v>0</v>
      </c>
      <c r="D447" s="4">
        <f>_xll.ciqfunctions.udf.CIQ(InputTicker,"IQ_ST_DEBT_DERIVATIVES",Input!F$2,Date,,,Ccy,Conv)</f>
        <v>0</v>
      </c>
      <c r="E447" s="4">
        <f>_xll.ciqfunctions.udf.CIQ(InputTicker,"IQ_ST_DEBT_DERIVATIVES",Input!G$2,Date,,,Ccy,Conv)</f>
        <v>0</v>
      </c>
      <c r="F447" s="4">
        <f>_xll.ciqfunctions.udf.CIQ(InputTicker,"IQ_ST_DEBT_DERIVATIVES",Input!H$2,Date,,,Ccy,Conv)</f>
        <v>0</v>
      </c>
      <c r="G447" s="4">
        <f>_xll.ciqfunctions.udf.CIQ(InputTicker,"IQ_ST_DEBT_DERIVATIVES",Input!I$2,Date,,,Ccy,Conv)</f>
        <v>0</v>
      </c>
      <c r="H447" s="4">
        <f>_xll.ciqfunctions.udf.CIQ(InputTicker,"IQ_ST_DEBT_DERIVATIVES",Input!J$2,Date,,,Ccy,Conv)</f>
        <v>0</v>
      </c>
      <c r="I447" s="4">
        <f>_xll.ciqfunctions.udf.CIQ(InputTicker,"IQ_ST_DEBT_DERIVATIVES",Input!K$2,Date,,,Ccy,Conv)</f>
        <v>0</v>
      </c>
      <c r="J447" s="4">
        <f>_xll.ciqfunctions.udf.CIQ(InputTicker,"IQ_ST_DEBT_DERIVATIVES",Input!L$2,Date,,,Ccy,Conv)</f>
        <v>0</v>
      </c>
      <c r="K447" s="4">
        <f>_xll.ciqfunctions.udf.CIQ(InputTicker,"IQ_ST_DEBT_DERIVATIVES",Input!M$2,Date,,,Ccy,Conv)</f>
        <v>0</v>
      </c>
      <c r="L447" s="4">
        <f>_xll.ciqfunctions.udf.CIQ(InputTicker,"IQ_ST_DEBT_DERIVATIVES",Input!N$2,Date,,,Ccy,Conv)</f>
        <v>0</v>
      </c>
      <c r="M447" s="4">
        <f>_xll.ciqfunctions.udf.CIQ(InputTicker,"IQ_ST_DEBT_DERIVATIVES",Input!O$2,Date,,,Ccy,Conv)</f>
        <v>0</v>
      </c>
      <c r="N447" s="53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  <c r="BG447" s="42"/>
      <c r="BH447" s="42"/>
      <c r="BI447" s="42"/>
      <c r="BJ447" s="42"/>
      <c r="BK447" s="42"/>
      <c r="BL447" s="42"/>
      <c r="BM447" s="42"/>
      <c r="BN447" s="42"/>
    </row>
    <row r="448" spans="1:66" ht="12.75" customHeight="1" x14ac:dyDescent="0.2">
      <c r="A448" s="1" t="s">
        <v>9</v>
      </c>
      <c r="B448" s="4">
        <f>_xll.ciqfunctions.udf.CIQ(InputTicker,"IQ_CURRENT_PORT_DEBT_DERIVATIVES",Input!D$2,Date,,,Ccy,Conv)</f>
        <v>0</v>
      </c>
      <c r="C448" s="4">
        <f>_xll.ciqfunctions.udf.CIQ(InputTicker,"IQ_CURRENT_PORT_DEBT_DERIVATIVES",Input!E$2,Date,,,Ccy,Conv)</f>
        <v>0</v>
      </c>
      <c r="D448" s="4">
        <f>_xll.ciqfunctions.udf.CIQ(InputTicker,"IQ_CURRENT_PORT_DEBT_DERIVATIVES",Input!F$2,Date,,,Ccy,Conv)</f>
        <v>0</v>
      </c>
      <c r="E448" s="4">
        <f>_xll.ciqfunctions.udf.CIQ(InputTicker,"IQ_CURRENT_PORT_DEBT_DERIVATIVES",Input!G$2,Date,,,Ccy,Conv)</f>
        <v>0</v>
      </c>
      <c r="F448" s="4">
        <f>_xll.ciqfunctions.udf.CIQ(InputTicker,"IQ_CURRENT_PORT_DEBT_DERIVATIVES",Input!H$2,Date,,,Ccy,Conv)</f>
        <v>0</v>
      </c>
      <c r="G448" s="4">
        <f>_xll.ciqfunctions.udf.CIQ(InputTicker,"IQ_CURRENT_PORT_DEBT_DERIVATIVES",Input!I$2,Date,,,Ccy,Conv)</f>
        <v>0</v>
      </c>
      <c r="H448" s="4">
        <f>_xll.ciqfunctions.udf.CIQ(InputTicker,"IQ_CURRENT_PORT_DEBT_DERIVATIVES",Input!J$2,Date,,,Ccy,Conv)</f>
        <v>0</v>
      </c>
      <c r="I448" s="4">
        <f>_xll.ciqfunctions.udf.CIQ(InputTicker,"IQ_CURRENT_PORT_DEBT_DERIVATIVES",Input!K$2,Date,,,Ccy,Conv)</f>
        <v>0</v>
      </c>
      <c r="J448" s="4">
        <f>_xll.ciqfunctions.udf.CIQ(InputTicker,"IQ_CURRENT_PORT_DEBT_DERIVATIVES",Input!L$2,Date,,,Ccy,Conv)</f>
        <v>0</v>
      </c>
      <c r="K448" s="4">
        <f>_xll.ciqfunctions.udf.CIQ(InputTicker,"IQ_CURRENT_PORT_DEBT_DERIVATIVES",Input!M$2,Date,,,Ccy,Conv)</f>
        <v>0</v>
      </c>
      <c r="L448" s="4">
        <f>_xll.ciqfunctions.udf.CIQ(InputTicker,"IQ_CURRENT_PORT_DEBT_DERIVATIVES",Input!N$2,Date,,,Ccy,Conv)</f>
        <v>0</v>
      </c>
      <c r="M448" s="4">
        <f>_xll.ciqfunctions.udf.CIQ(InputTicker,"IQ_CURRENT_PORT_DEBT_DERIVATIVES",Input!O$2,Date,,,Ccy,Conv)</f>
        <v>0</v>
      </c>
      <c r="N448" s="53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  <c r="BM448" s="42"/>
      <c r="BN448" s="42"/>
    </row>
    <row r="449" spans="1:66" ht="12.75" customHeight="1" x14ac:dyDescent="0.2">
      <c r="A449" s="1" t="s">
        <v>10</v>
      </c>
      <c r="B449" s="4">
        <f>_xll.ciqfunctions.udf.CIQ(InputTicker,"IQ_LT_DEBT_DERIVATIVES",Input!D$2,Date,,,Ccy,Conv)</f>
        <v>0</v>
      </c>
      <c r="C449" s="4">
        <f>_xll.ciqfunctions.udf.CIQ(InputTicker,"IQ_LT_DEBT_DERIVATIVES",Input!E$2,Date,,,Ccy,Conv)</f>
        <v>0</v>
      </c>
      <c r="D449" s="4">
        <f>_xll.ciqfunctions.udf.CIQ(InputTicker,"IQ_LT_DEBT_DERIVATIVES",Input!F$2,Date,,,Ccy,Conv)</f>
        <v>0</v>
      </c>
      <c r="E449" s="4">
        <f>_xll.ciqfunctions.udf.CIQ(InputTicker,"IQ_LT_DEBT_DERIVATIVES",Input!G$2,Date,,,Ccy,Conv)</f>
        <v>0</v>
      </c>
      <c r="F449" s="4">
        <f>_xll.ciqfunctions.udf.CIQ(InputTicker,"IQ_LT_DEBT_DERIVATIVES",Input!H$2,Date,,,Ccy,Conv)</f>
        <v>0</v>
      </c>
      <c r="G449" s="4">
        <f>_xll.ciqfunctions.udf.CIQ(InputTicker,"IQ_LT_DEBT_DERIVATIVES",Input!I$2,Date,,,Ccy,Conv)</f>
        <v>0</v>
      </c>
      <c r="H449" s="4">
        <f>_xll.ciqfunctions.udf.CIQ(InputTicker,"IQ_LT_DEBT_DERIVATIVES",Input!J$2,Date,,,Ccy,Conv)</f>
        <v>0</v>
      </c>
      <c r="I449" s="4">
        <f>_xll.ciqfunctions.udf.CIQ(InputTicker,"IQ_LT_DEBT_DERIVATIVES",Input!K$2,Date,,,Ccy,Conv)</f>
        <v>0</v>
      </c>
      <c r="J449" s="4">
        <f>_xll.ciqfunctions.udf.CIQ(InputTicker,"IQ_LT_DEBT_DERIVATIVES",Input!L$2,Date,,,Ccy,Conv)</f>
        <v>0</v>
      </c>
      <c r="K449" s="4">
        <f>_xll.ciqfunctions.udf.CIQ(InputTicker,"IQ_LT_DEBT_DERIVATIVES",Input!M$2,Date,,,Ccy,Conv)</f>
        <v>0</v>
      </c>
      <c r="L449" s="4">
        <f>_xll.ciqfunctions.udf.CIQ(InputTicker,"IQ_LT_DEBT_DERIVATIVES",Input!N$2,Date,,,Ccy,Conv)</f>
        <v>0</v>
      </c>
      <c r="M449" s="4">
        <f>_xll.ciqfunctions.udf.CIQ(InputTicker,"IQ_LT_DEBT_DERIVATIVES",Input!O$2,Date,,,Ccy,Conv)</f>
        <v>0</v>
      </c>
      <c r="N449" s="53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  <c r="BN449" s="42"/>
    </row>
    <row r="450" spans="1:66" ht="12.75" customHeight="1" x14ac:dyDescent="0.2">
      <c r="A450" s="1" t="s">
        <v>18</v>
      </c>
      <c r="B450" s="4">
        <f>_xll.ciqfunctions.udf.CIQ(InputTicker,"IQ_DERIVATIVE_LIAB_CURRENT",Input!D$2,Date,,,Ccy,Conv)</f>
        <v>0</v>
      </c>
      <c r="C450" s="4">
        <f>_xll.ciqfunctions.udf.CIQ(InputTicker,"IQ_DERIVATIVE_LIAB_CURRENT",Input!E$2,Date,,,Ccy,Conv)</f>
        <v>0</v>
      </c>
      <c r="D450" s="4">
        <f>_xll.ciqfunctions.udf.CIQ(InputTicker,"IQ_DERIVATIVE_LIAB_CURRENT",Input!F$2,Date,,,Ccy,Conv)</f>
        <v>0</v>
      </c>
      <c r="E450" s="4">
        <f>_xll.ciqfunctions.udf.CIQ(InputTicker,"IQ_DERIVATIVE_LIAB_CURRENT",Input!G$2,Date,,,Ccy,Conv)</f>
        <v>0</v>
      </c>
      <c r="F450" s="4">
        <f>_xll.ciqfunctions.udf.CIQ(InputTicker,"IQ_DERIVATIVE_LIAB_CURRENT",Input!H$2,Date,,,Ccy,Conv)</f>
        <v>0</v>
      </c>
      <c r="G450" s="4">
        <f>_xll.ciqfunctions.udf.CIQ(InputTicker,"IQ_DERIVATIVE_LIAB_CURRENT",Input!I$2,Date,,,Ccy,Conv)</f>
        <v>0</v>
      </c>
      <c r="H450" s="4">
        <f>_xll.ciqfunctions.udf.CIQ(InputTicker,"IQ_DERIVATIVE_LIAB_CURRENT",Input!J$2,Date,,,Ccy,Conv)</f>
        <v>0</v>
      </c>
      <c r="I450" s="4">
        <f>_xll.ciqfunctions.udf.CIQ(InputTicker,"IQ_DERIVATIVE_LIAB_CURRENT",Input!K$2,Date,,,Ccy,Conv)</f>
        <v>0</v>
      </c>
      <c r="J450" s="4">
        <f>_xll.ciqfunctions.udf.CIQ(InputTicker,"IQ_DERIVATIVE_LIAB_CURRENT",Input!L$2,Date,,,Ccy,Conv)</f>
        <v>0</v>
      </c>
      <c r="K450" s="4">
        <f>_xll.ciqfunctions.udf.CIQ(InputTicker,"IQ_DERIVATIVE_LIAB_CURRENT",Input!M$2,Date,,,Ccy,Conv)</f>
        <v>0</v>
      </c>
      <c r="L450" s="4">
        <f>_xll.ciqfunctions.udf.CIQ(InputTicker,"IQ_DERIVATIVE_LIAB_CURRENT",Input!N$2,Date,,,Ccy,Conv)</f>
        <v>0</v>
      </c>
      <c r="M450" s="4">
        <f>_xll.ciqfunctions.udf.CIQ(InputTicker,"IQ_DERIVATIVE_LIAB_CURRENT",Input!O$2,Date,,,Ccy,Conv)</f>
        <v>0</v>
      </c>
      <c r="N450" s="53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  <c r="BN450" s="42"/>
    </row>
    <row r="451" spans="1:66" ht="12.75" customHeight="1" x14ac:dyDescent="0.2">
      <c r="A451" s="1" t="s">
        <v>19</v>
      </c>
      <c r="B451" s="4">
        <f>_xll.ciqfunctions.udf.CIQ(InputTicker,"IQ_DERIVATIVE_LIAB_NON_CURRENT",Input!D$2,Date,,,Ccy,Conv)</f>
        <v>0</v>
      </c>
      <c r="C451" s="4">
        <f>_xll.ciqfunctions.udf.CIQ(InputTicker,"IQ_DERIVATIVE_LIAB_NON_CURRENT",Input!E$2,Date,,,Ccy,Conv)</f>
        <v>0</v>
      </c>
      <c r="D451" s="4">
        <f>_xll.ciqfunctions.udf.CIQ(InputTicker,"IQ_DERIVATIVE_LIAB_NON_CURRENT",Input!F$2,Date,,,Ccy,Conv)</f>
        <v>0</v>
      </c>
      <c r="E451" s="4">
        <f>_xll.ciqfunctions.udf.CIQ(InputTicker,"IQ_DERIVATIVE_LIAB_NON_CURRENT",Input!G$2,Date,,,Ccy,Conv)</f>
        <v>0</v>
      </c>
      <c r="F451" s="4">
        <f>_xll.ciqfunctions.udf.CIQ(InputTicker,"IQ_DERIVATIVE_LIAB_NON_CURRENT",Input!H$2,Date,,,Ccy,Conv)</f>
        <v>0</v>
      </c>
      <c r="G451" s="4">
        <f>_xll.ciqfunctions.udf.CIQ(InputTicker,"IQ_DERIVATIVE_LIAB_NON_CURRENT",Input!I$2,Date,,,Ccy,Conv)</f>
        <v>0</v>
      </c>
      <c r="H451" s="4">
        <f>_xll.ciqfunctions.udf.CIQ(InputTicker,"IQ_DERIVATIVE_LIAB_NON_CURRENT",Input!J$2,Date,,,Ccy,Conv)</f>
        <v>0</v>
      </c>
      <c r="I451" s="4">
        <f>_xll.ciqfunctions.udf.CIQ(InputTicker,"IQ_DERIVATIVE_LIAB_NON_CURRENT",Input!K$2,Date,,,Ccy,Conv)</f>
        <v>0</v>
      </c>
      <c r="J451" s="4">
        <f>_xll.ciqfunctions.udf.CIQ(InputTicker,"IQ_DERIVATIVE_LIAB_NON_CURRENT",Input!L$2,Date,,,Ccy,Conv)</f>
        <v>0</v>
      </c>
      <c r="K451" s="4">
        <f>_xll.ciqfunctions.udf.CIQ(InputTicker,"IQ_DERIVATIVE_LIAB_NON_CURRENT",Input!M$2,Date,,,Ccy,Conv)</f>
        <v>0</v>
      </c>
      <c r="L451" s="4">
        <f>_xll.ciqfunctions.udf.CIQ(InputTicker,"IQ_DERIVATIVE_LIAB_NON_CURRENT",Input!N$2,Date,,,Ccy,Conv)</f>
        <v>0</v>
      </c>
      <c r="M451" s="4">
        <f>_xll.ciqfunctions.udf.CIQ(InputTicker,"IQ_DERIVATIVE_LIAB_NON_CURRENT",Input!O$2,Date,,,Ccy,Conv)</f>
        <v>0</v>
      </c>
      <c r="N451" s="53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  <c r="BM451" s="42"/>
      <c r="BN451" s="42"/>
    </row>
    <row r="452" spans="1:66" ht="12.75" customHeight="1" x14ac:dyDescent="0.2">
      <c r="A452" s="1" t="s">
        <v>20</v>
      </c>
      <c r="B452" s="4">
        <f>_xll.ciqfunctions.udf.CIQ(InputTicker,"IQ_DERIVATIVE_TRADING_ASSETS",Input!D$2,Date,,,Ccy,Conv)</f>
        <v>0</v>
      </c>
      <c r="C452" s="4">
        <f>_xll.ciqfunctions.udf.CIQ(InputTicker,"IQ_DERIVATIVE_TRADING_ASSETS",Input!E$2,Date,,,Ccy,Conv)</f>
        <v>0</v>
      </c>
      <c r="D452" s="4">
        <f>_xll.ciqfunctions.udf.CIQ(InputTicker,"IQ_DERIVATIVE_TRADING_ASSETS",Input!F$2,Date,,,Ccy,Conv)</f>
        <v>0</v>
      </c>
      <c r="E452" s="4">
        <f>_xll.ciqfunctions.udf.CIQ(InputTicker,"IQ_DERIVATIVE_TRADING_ASSETS",Input!G$2,Date,,,Ccy,Conv)</f>
        <v>0</v>
      </c>
      <c r="F452" s="4">
        <f>_xll.ciqfunctions.udf.CIQ(InputTicker,"IQ_DERIVATIVE_TRADING_ASSETS",Input!H$2,Date,,,Ccy,Conv)</f>
        <v>0</v>
      </c>
      <c r="G452" s="4">
        <f>_xll.ciqfunctions.udf.CIQ(InputTicker,"IQ_DERIVATIVE_TRADING_ASSETS",Input!I$2,Date,,,Ccy,Conv)</f>
        <v>0</v>
      </c>
      <c r="H452" s="4">
        <f>_xll.ciqfunctions.udf.CIQ(InputTicker,"IQ_DERIVATIVE_TRADING_ASSETS",Input!J$2,Date,,,Ccy,Conv)</f>
        <v>0</v>
      </c>
      <c r="I452" s="4">
        <f>_xll.ciqfunctions.udf.CIQ(InputTicker,"IQ_DERIVATIVE_TRADING_ASSETS",Input!K$2,Date,,,Ccy,Conv)</f>
        <v>0</v>
      </c>
      <c r="J452" s="4">
        <f>_xll.ciqfunctions.udf.CIQ(InputTicker,"IQ_DERIVATIVE_TRADING_ASSETS",Input!L$2,Date,,,Ccy,Conv)</f>
        <v>0</v>
      </c>
      <c r="K452" s="4">
        <f>_xll.ciqfunctions.udf.CIQ(InputTicker,"IQ_DERIVATIVE_TRADING_ASSETS",Input!M$2,Date,,,Ccy,Conv)</f>
        <v>0</v>
      </c>
      <c r="L452" s="4">
        <f>_xll.ciqfunctions.udf.CIQ(InputTicker,"IQ_DERIVATIVE_TRADING_ASSETS",Input!N$2,Date,,,Ccy,Conv)</f>
        <v>0</v>
      </c>
      <c r="M452" s="4">
        <f>_xll.ciqfunctions.udf.CIQ(InputTicker,"IQ_DERIVATIVE_TRADING_ASSETS",Input!O$2,Date,,,Ccy,Conv)</f>
        <v>0</v>
      </c>
      <c r="N452" s="53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  <c r="BM452" s="42"/>
      <c r="BN452" s="42"/>
    </row>
    <row r="453" spans="1:66" ht="12.75" customHeight="1" x14ac:dyDescent="0.2">
      <c r="A453" s="1" t="s">
        <v>11</v>
      </c>
      <c r="B453" s="4">
        <f>_xll.ciqfunctions.udf.CIQ(InputTicker,"IQ_DERIVATIVE_ASSETS_CURRENT",Input!D$2,Date,,,Ccy,Conv)</f>
        <v>0</v>
      </c>
      <c r="C453" s="4">
        <f>_xll.ciqfunctions.udf.CIQ(InputTicker,"IQ_DERIVATIVE_ASSETS_CURRENT",Input!E$2,Date,,,Ccy,Conv)</f>
        <v>0</v>
      </c>
      <c r="D453" s="4">
        <f>_xll.ciqfunctions.udf.CIQ(InputTicker,"IQ_DERIVATIVE_ASSETS_CURRENT",Input!F$2,Date,,,Ccy,Conv)</f>
        <v>0</v>
      </c>
      <c r="E453" s="4">
        <f>_xll.ciqfunctions.udf.CIQ(InputTicker,"IQ_DERIVATIVE_ASSETS_CURRENT",Input!G$2,Date,,,Ccy,Conv)</f>
        <v>0</v>
      </c>
      <c r="F453" s="4">
        <f>_xll.ciqfunctions.udf.CIQ(InputTicker,"IQ_DERIVATIVE_ASSETS_CURRENT",Input!H$2,Date,,,Ccy,Conv)</f>
        <v>0</v>
      </c>
      <c r="G453" s="4">
        <f>_xll.ciqfunctions.udf.CIQ(InputTicker,"IQ_DERIVATIVE_ASSETS_CURRENT",Input!I$2,Date,,,Ccy,Conv)</f>
        <v>0</v>
      </c>
      <c r="H453" s="4">
        <f>_xll.ciqfunctions.udf.CIQ(InputTicker,"IQ_DERIVATIVE_ASSETS_CURRENT",Input!J$2,Date,,,Ccy,Conv)</f>
        <v>0</v>
      </c>
      <c r="I453" s="4">
        <f>_xll.ciqfunctions.udf.CIQ(InputTicker,"IQ_DERIVATIVE_ASSETS_CURRENT",Input!K$2,Date,,,Ccy,Conv)</f>
        <v>0</v>
      </c>
      <c r="J453" s="4">
        <f>_xll.ciqfunctions.udf.CIQ(InputTicker,"IQ_DERIVATIVE_ASSETS_CURRENT",Input!L$2,Date,,,Ccy,Conv)</f>
        <v>0</v>
      </c>
      <c r="K453" s="4">
        <f>_xll.ciqfunctions.udf.CIQ(InputTicker,"IQ_DERIVATIVE_ASSETS_CURRENT",Input!M$2,Date,,,Ccy,Conv)</f>
        <v>0</v>
      </c>
      <c r="L453" s="4">
        <f>_xll.ciqfunctions.udf.CIQ(InputTicker,"IQ_DERIVATIVE_ASSETS_CURRENT",Input!N$2,Date,,,Ccy,Conv)</f>
        <v>0</v>
      </c>
      <c r="M453" s="4">
        <f>_xll.ciqfunctions.udf.CIQ(InputTicker,"IQ_DERIVATIVE_ASSETS_CURRENT",Input!O$2,Date,,,Ccy,Conv)</f>
        <v>0</v>
      </c>
      <c r="N453" s="53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  <c r="BM453" s="42"/>
      <c r="BN453" s="42"/>
    </row>
    <row r="454" spans="1:66" ht="12.75" customHeight="1" x14ac:dyDescent="0.2">
      <c r="A454" s="1" t="s">
        <v>12</v>
      </c>
      <c r="B454" s="4">
        <f>_xll.ciqfunctions.udf.CIQ(InputTicker,"IQ_DERIVATIVE_ASSETS_LT",Input!D$2,Date,,,Ccy,Conv)</f>
        <v>0</v>
      </c>
      <c r="C454" s="4">
        <f>_xll.ciqfunctions.udf.CIQ(InputTicker,"IQ_DERIVATIVE_ASSETS_LT",Input!E$2,Date,,,Ccy,Conv)</f>
        <v>0</v>
      </c>
      <c r="D454" s="4">
        <f>_xll.ciqfunctions.udf.CIQ(InputTicker,"IQ_DERIVATIVE_ASSETS_LT",Input!F$2,Date,,,Ccy,Conv)</f>
        <v>0</v>
      </c>
      <c r="E454" s="4">
        <f>_xll.ciqfunctions.udf.CIQ(InputTicker,"IQ_DERIVATIVE_ASSETS_LT",Input!G$2,Date,,,Ccy,Conv)</f>
        <v>0</v>
      </c>
      <c r="F454" s="4">
        <f>_xll.ciqfunctions.udf.CIQ(InputTicker,"IQ_DERIVATIVE_ASSETS_LT",Input!H$2,Date,,,Ccy,Conv)</f>
        <v>0</v>
      </c>
      <c r="G454" s="4">
        <f>_xll.ciqfunctions.udf.CIQ(InputTicker,"IQ_DERIVATIVE_ASSETS_LT",Input!I$2,Date,,,Ccy,Conv)</f>
        <v>0</v>
      </c>
      <c r="H454" s="4">
        <f>_xll.ciqfunctions.udf.CIQ(InputTicker,"IQ_DERIVATIVE_ASSETS_LT",Input!J$2,Date,,,Ccy,Conv)</f>
        <v>0</v>
      </c>
      <c r="I454" s="4">
        <f>_xll.ciqfunctions.udf.CIQ(InputTicker,"IQ_DERIVATIVE_ASSETS_LT",Input!K$2,Date,,,Ccy,Conv)</f>
        <v>0</v>
      </c>
      <c r="J454" s="4">
        <f>_xll.ciqfunctions.udf.CIQ(InputTicker,"IQ_DERIVATIVE_ASSETS_LT",Input!L$2,Date,,,Ccy,Conv)</f>
        <v>0</v>
      </c>
      <c r="K454" s="4">
        <f>_xll.ciqfunctions.udf.CIQ(InputTicker,"IQ_DERIVATIVE_ASSETS_LT",Input!M$2,Date,,,Ccy,Conv)</f>
        <v>0</v>
      </c>
      <c r="L454" s="4">
        <f>_xll.ciqfunctions.udf.CIQ(InputTicker,"IQ_DERIVATIVE_ASSETS_LT",Input!N$2,Date,,,Ccy,Conv)</f>
        <v>0</v>
      </c>
      <c r="M454" s="4">
        <f>_xll.ciqfunctions.udf.CIQ(InputTicker,"IQ_DERIVATIVE_ASSETS_LT",Input!O$2,Date,,,Ccy,Conv)</f>
        <v>0</v>
      </c>
      <c r="N454" s="53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  <c r="BM454" s="42"/>
      <c r="BN454" s="42"/>
    </row>
    <row r="455" spans="1:66" ht="12.75" customHeight="1" x14ac:dyDescent="0.2">
      <c r="A455" s="1" t="s">
        <v>13</v>
      </c>
      <c r="B455" s="4">
        <f>_xll.ciqfunctions.udf.CIQ(InputTicker,"IQ_GROSS_INTAN_ASSETS",Input!D$2,Date,,,Ccy,Conv)</f>
        <v>23.939</v>
      </c>
      <c r="C455" s="4">
        <f>_xll.ciqfunctions.udf.CIQ(InputTicker,"IQ_GROSS_INTAN_ASSETS",Input!E$2,Date,,,Ccy,Conv)</f>
        <v>50.338999999999999</v>
      </c>
      <c r="D455" s="4">
        <f>_xll.ciqfunctions.udf.CIQ(InputTicker,"IQ_GROSS_INTAN_ASSETS",Input!F$2,Date,,,Ccy,Conv)</f>
        <v>50.338999999999999</v>
      </c>
      <c r="E455" s="4">
        <f>_xll.ciqfunctions.udf.CIQ(InputTicker,"IQ_GROSS_INTAN_ASSETS",Input!G$2,Date,,,Ccy,Conv)</f>
        <v>50.588999999999999</v>
      </c>
      <c r="F455" s="4">
        <f>_xll.ciqfunctions.udf.CIQ(InputTicker,"IQ_GROSS_INTAN_ASSETS",Input!H$2,Date,,,Ccy,Conv)</f>
        <v>52.588999999999999</v>
      </c>
      <c r="G455" s="4">
        <f>_xll.ciqfunctions.udf.CIQ(InputTicker,"IQ_GROSS_INTAN_ASSETS",Input!I$2,Date,,,Ccy,Conv)</f>
        <v>0</v>
      </c>
      <c r="H455" s="4">
        <f>_xll.ciqfunctions.udf.CIQ(InputTicker,"IQ_GROSS_INTAN_ASSETS",Input!J$2,Date,,,Ccy,Conv)</f>
        <v>20.350999999999999</v>
      </c>
      <c r="I455" s="4">
        <f>_xll.ciqfunctions.udf.CIQ(InputTicker,"IQ_GROSS_INTAN_ASSETS",Input!K$2,Date,,,Ccy,Conv)</f>
        <v>41.497999999999998</v>
      </c>
      <c r="J455" s="4">
        <f>_xll.ciqfunctions.udf.CIQ(InputTicker,"IQ_GROSS_INTAN_ASSETS",Input!L$2,Date,,,Ccy,Conv)</f>
        <v>37.026000000000003</v>
      </c>
      <c r="K455" s="4">
        <f>_xll.ciqfunctions.udf.CIQ(InputTicker,"IQ_GROSS_INTAN_ASSETS",Input!M$2,Date,,,Ccy,Conv)</f>
        <v>35.695</v>
      </c>
      <c r="L455" s="4">
        <f>_xll.ciqfunctions.udf.CIQ(InputTicker,"IQ_GROSS_INTAN_ASSETS",Input!N$2,Date,,,Ccy,Conv)</f>
        <v>99.128</v>
      </c>
      <c r="M455" s="4">
        <f>_xll.ciqfunctions.udf.CIQ(InputTicker,"IQ_GROSS_INTAN_ASSETS",Input!O$2,Date,,,Ccy,Conv)</f>
        <v>99.128</v>
      </c>
      <c r="N455" s="53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  <c r="BM455" s="42"/>
      <c r="BN455" s="42"/>
    </row>
    <row r="456" spans="1:66" ht="12.75" customHeight="1" x14ac:dyDescent="0.2">
      <c r="A456" s="1" t="s">
        <v>14</v>
      </c>
      <c r="B456" s="4">
        <f>_xll.ciqfunctions.udf.CIQ(InputTicker,"IQ_ACCUM_AMORT_INTAN_ASSETS",Input!D$2,Date,,,Ccy,Conv)</f>
        <v>-18.981000000000002</v>
      </c>
      <c r="C456" s="4">
        <f>_xll.ciqfunctions.udf.CIQ(InputTicker,"IQ_ACCUM_AMORT_INTAN_ASSETS",Input!E$2,Date,,,Ccy,Conv)</f>
        <v>-21.19</v>
      </c>
      <c r="D456" s="4">
        <f>_xll.ciqfunctions.udf.CIQ(InputTicker,"IQ_ACCUM_AMORT_INTAN_ASSETS",Input!F$2,Date,,,Ccy,Conv)</f>
        <v>-24.032</v>
      </c>
      <c r="E456" s="4">
        <f>_xll.ciqfunctions.udf.CIQ(InputTicker,"IQ_ACCUM_AMORT_INTAN_ASSETS",Input!G$2,Date,,,Ccy,Conv)</f>
        <v>-26.827000000000002</v>
      </c>
      <c r="F456" s="4">
        <f>_xll.ciqfunctions.udf.CIQ(InputTicker,"IQ_ACCUM_AMORT_INTAN_ASSETS",Input!H$2,Date,,,Ccy,Conv)</f>
        <v>-29.773</v>
      </c>
      <c r="G456" s="4">
        <f>_xll.ciqfunctions.udf.CIQ(InputTicker,"IQ_ACCUM_AMORT_INTAN_ASSETS",Input!I$2,Date,,,Ccy,Conv)</f>
        <v>0</v>
      </c>
      <c r="H456" s="4">
        <f>_xll.ciqfunctions.udf.CIQ(InputTicker,"IQ_ACCUM_AMORT_INTAN_ASSETS",Input!J$2,Date,,,Ccy,Conv)</f>
        <v>-2.2200000000000002</v>
      </c>
      <c r="I456" s="4">
        <f>_xll.ciqfunctions.udf.CIQ(InputTicker,"IQ_ACCUM_AMORT_INTAN_ASSETS",Input!K$2,Date,,,Ccy,Conv)</f>
        <v>-25.600999999999999</v>
      </c>
      <c r="J456" s="4">
        <f>_xll.ciqfunctions.udf.CIQ(InputTicker,"IQ_ACCUM_AMORT_INTAN_ASSETS",Input!L$2,Date,,,Ccy,Conv)</f>
        <v>-21.03</v>
      </c>
      <c r="K456" s="4">
        <f>_xll.ciqfunctions.udf.CIQ(InputTicker,"IQ_ACCUM_AMORT_INTAN_ASSETS",Input!M$2,Date,,,Ccy,Conv)</f>
        <v>-20.538</v>
      </c>
      <c r="L456" s="4">
        <f>_xll.ciqfunctions.udf.CIQ(InputTicker,"IQ_ACCUM_AMORT_INTAN_ASSETS",Input!N$2,Date,,,Ccy,Conv)</f>
        <v>-25.998000000000001</v>
      </c>
      <c r="M456" s="4">
        <f>_xll.ciqfunctions.udf.CIQ(InputTicker,"IQ_ACCUM_AMORT_INTAN_ASSETS",Input!O$2,Date,,,Ccy,Conv)</f>
        <v>-25.998000000000001</v>
      </c>
      <c r="N456" s="53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  <c r="BM456" s="42"/>
      <c r="BN456" s="42"/>
    </row>
    <row r="457" spans="1:66" ht="12.75" customHeight="1" x14ac:dyDescent="0.2">
      <c r="A457" s="1" t="s">
        <v>15</v>
      </c>
      <c r="B457" s="4">
        <f>_xll.ciqfunctions.udf.CIQ(InputTicker,"IQ_GROSS_GW",Input!D$2,Date,,,Ccy,Conv)</f>
        <v>0</v>
      </c>
      <c r="C457" s="4">
        <f>_xll.ciqfunctions.udf.CIQ(InputTicker,"IQ_GROSS_GW",Input!E$2,Date,,,Ccy,Conv)</f>
        <v>0</v>
      </c>
      <c r="D457" s="4">
        <f>_xll.ciqfunctions.udf.CIQ(InputTicker,"IQ_GROSS_GW",Input!F$2,Date,,,Ccy,Conv)</f>
        <v>0</v>
      </c>
      <c r="E457" s="4">
        <f>_xll.ciqfunctions.udf.CIQ(InputTicker,"IQ_GROSS_GW",Input!G$2,Date,,,Ccy,Conv)</f>
        <v>0</v>
      </c>
      <c r="F457" s="4">
        <f>_xll.ciqfunctions.udf.CIQ(InputTicker,"IQ_GROSS_GW",Input!H$2,Date,,,Ccy,Conv)</f>
        <v>0</v>
      </c>
      <c r="G457" s="4">
        <f>_xll.ciqfunctions.udf.CIQ(InputTicker,"IQ_GROSS_GW",Input!I$2,Date,,,Ccy,Conv)</f>
        <v>0</v>
      </c>
      <c r="H457" s="4">
        <f>_xll.ciqfunctions.udf.CIQ(InputTicker,"IQ_GROSS_GW",Input!J$2,Date,,,Ccy,Conv)</f>
        <v>0</v>
      </c>
      <c r="I457" s="4">
        <f>_xll.ciqfunctions.udf.CIQ(InputTicker,"IQ_GROSS_GW",Input!K$2,Date,,,Ccy,Conv)</f>
        <v>0</v>
      </c>
      <c r="J457" s="4">
        <f>_xll.ciqfunctions.udf.CIQ(InputTicker,"IQ_GROSS_GW",Input!L$2,Date,,,Ccy,Conv)</f>
        <v>0</v>
      </c>
      <c r="K457" s="4">
        <f>_xll.ciqfunctions.udf.CIQ(InputTicker,"IQ_GROSS_GW",Input!M$2,Date,,,Ccy,Conv)</f>
        <v>0</v>
      </c>
      <c r="L457" s="4">
        <f>_xll.ciqfunctions.udf.CIQ(InputTicker,"IQ_GROSS_GW",Input!N$2,Date,,,Ccy,Conv)</f>
        <v>0</v>
      </c>
      <c r="M457" s="4">
        <f>_xll.ciqfunctions.udf.CIQ(InputTicker,"IQ_GROSS_GW",Input!O$2,Date,,,Ccy,Conv)</f>
        <v>0</v>
      </c>
      <c r="N457" s="55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  <c r="BN457" s="42"/>
    </row>
    <row r="458" spans="1:66" ht="12.75" customHeight="1" x14ac:dyDescent="0.2">
      <c r="A458" s="1" t="s">
        <v>16</v>
      </c>
      <c r="B458" s="4">
        <f>_xll.ciqfunctions.udf.CIQ(InputTicker,"IQ_ACCUM_AMORT_GW",Input!D$2,Date,,,Ccy,Conv)</f>
        <v>0</v>
      </c>
      <c r="C458" s="4">
        <f>_xll.ciqfunctions.udf.CIQ(InputTicker,"IQ_ACCUM_AMORT_GW",Input!E$2,Date,,,Ccy,Conv)</f>
        <v>0</v>
      </c>
      <c r="D458" s="4">
        <f>_xll.ciqfunctions.udf.CIQ(InputTicker,"IQ_ACCUM_AMORT_GW",Input!F$2,Date,,,Ccy,Conv)</f>
        <v>0</v>
      </c>
      <c r="E458" s="4">
        <f>_xll.ciqfunctions.udf.CIQ(InputTicker,"IQ_ACCUM_AMORT_GW",Input!G$2,Date,,,Ccy,Conv)</f>
        <v>0</v>
      </c>
      <c r="F458" s="4">
        <f>_xll.ciqfunctions.udf.CIQ(InputTicker,"IQ_ACCUM_AMORT_GW",Input!H$2,Date,,,Ccy,Conv)</f>
        <v>0</v>
      </c>
      <c r="G458" s="4">
        <f>_xll.ciqfunctions.udf.CIQ(InputTicker,"IQ_ACCUM_AMORT_GW",Input!I$2,Date,,,Ccy,Conv)</f>
        <v>0</v>
      </c>
      <c r="H458" s="4">
        <f>_xll.ciqfunctions.udf.CIQ(InputTicker,"IQ_ACCUM_AMORT_GW",Input!J$2,Date,,,Ccy,Conv)</f>
        <v>0</v>
      </c>
      <c r="I458" s="4">
        <f>_xll.ciqfunctions.udf.CIQ(InputTicker,"IQ_ACCUM_AMORT_GW",Input!K$2,Date,,,Ccy,Conv)</f>
        <v>0</v>
      </c>
      <c r="J458" s="4">
        <f>_xll.ciqfunctions.udf.CIQ(InputTicker,"IQ_ACCUM_AMORT_GW",Input!L$2,Date,,,Ccy,Conv)</f>
        <v>0</v>
      </c>
      <c r="K458" s="4">
        <f>_xll.ciqfunctions.udf.CIQ(InputTicker,"IQ_ACCUM_AMORT_GW",Input!M$2,Date,,,Ccy,Conv)</f>
        <v>0</v>
      </c>
      <c r="L458" s="4">
        <f>_xll.ciqfunctions.udf.CIQ(InputTicker,"IQ_ACCUM_AMORT_GW",Input!N$2,Date,,,Ccy,Conv)</f>
        <v>0</v>
      </c>
      <c r="M458" s="4">
        <f>_xll.ciqfunctions.udf.CIQ(InputTicker,"IQ_ACCUM_AMORT_GW",Input!O$2,Date,,,Ccy,Conv)</f>
        <v>0</v>
      </c>
      <c r="N458" s="55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  <c r="BM458" s="42"/>
      <c r="BN458" s="42"/>
    </row>
    <row r="459" spans="1:66" ht="12.75" customHeight="1" x14ac:dyDescent="0.2">
      <c r="A459" s="1" t="s">
        <v>487</v>
      </c>
      <c r="B459" s="4">
        <f>_xll.ciqfunctions.udf.CIQ(InputTicker,"IQ_LT_MARK_SECURITIES",Input!D$2,Date,,,Ccy,Conv)</f>
        <v>0</v>
      </c>
      <c r="C459" s="4">
        <f>_xll.ciqfunctions.udf.CIQ(InputTicker,"IQ_LT_MARK_SECURITIES",Input!E$2,Date,,,Ccy,Conv)</f>
        <v>0</v>
      </c>
      <c r="D459" s="4">
        <f>_xll.ciqfunctions.udf.CIQ(InputTicker,"IQ_LT_MARK_SECURITIES",Input!F$2,Date,,,Ccy,Conv)</f>
        <v>0</v>
      </c>
      <c r="E459" s="4">
        <f>_xll.ciqfunctions.udf.CIQ(InputTicker,"IQ_LT_MARK_SECURITIES",Input!G$2,Date,,,Ccy,Conv)</f>
        <v>0</v>
      </c>
      <c r="F459" s="4">
        <f>_xll.ciqfunctions.udf.CIQ(InputTicker,"IQ_LT_MARK_SECURITIES",Input!H$2,Date,,,Ccy,Conv)</f>
        <v>0</v>
      </c>
      <c r="G459" s="4">
        <f>_xll.ciqfunctions.udf.CIQ(InputTicker,"IQ_LT_MARK_SECURITIES",Input!I$2,Date,,,Ccy,Conv)</f>
        <v>0</v>
      </c>
      <c r="H459" s="4">
        <f>_xll.ciqfunctions.udf.CIQ(InputTicker,"IQ_LT_MARK_SECURITIES",Input!J$2,Date,,,Ccy,Conv)</f>
        <v>0</v>
      </c>
      <c r="I459" s="4">
        <f>_xll.ciqfunctions.udf.CIQ(InputTicker,"IQ_LT_MARK_SECURITIES",Input!K$2,Date,,,Ccy,Conv)</f>
        <v>0</v>
      </c>
      <c r="J459" s="4">
        <f>_xll.ciqfunctions.udf.CIQ(InputTicker,"IQ_LT_MARK_SECURITIES",Input!L$2,Date,,,Ccy,Conv)</f>
        <v>0</v>
      </c>
      <c r="K459" s="4">
        <f>_xll.ciqfunctions.udf.CIQ(InputTicker,"IQ_LT_MARK_SECURITIES",Input!M$2,Date,,,Ccy,Conv)</f>
        <v>0</v>
      </c>
      <c r="L459" s="4">
        <f>_xll.ciqfunctions.udf.CIQ(InputTicker,"IQ_LT_MARK_SECURITIES",Input!N$2,Date,,,Ccy,Conv)</f>
        <v>0</v>
      </c>
      <c r="M459" s="4">
        <f>_xll.ciqfunctions.udf.CIQ(InputTicker,"IQ_LT_MARK_SECURITIES",Input!O$2,Date,,,Ccy,Conv)</f>
        <v>0</v>
      </c>
      <c r="N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  <c r="BM459" s="42"/>
      <c r="BN459" s="42"/>
    </row>
    <row r="460" spans="1:66" ht="12.75" customHeight="1" x14ac:dyDescent="0.2">
      <c r="A460" s="1" t="s">
        <v>488</v>
      </c>
      <c r="B460" s="4">
        <f>_xll.ciqfunctions.udf.CIQ(InputTicker,"IQ_ADVANCES_FOR_SUPPLIES",Input!D$2,Date,,,Ccy,Conv)</f>
        <v>0</v>
      </c>
      <c r="C460" s="4">
        <f>_xll.ciqfunctions.udf.CIQ(InputTicker,"IQ_ADVANCES_FOR_SUPPLIES",Input!E$2,Date,,,Ccy,Conv)</f>
        <v>0</v>
      </c>
      <c r="D460" s="4">
        <f>_xll.ciqfunctions.udf.CIQ(InputTicker,"IQ_ADVANCES_FOR_SUPPLIES",Input!F$2,Date,,,Ccy,Conv)</f>
        <v>0</v>
      </c>
      <c r="E460" s="4">
        <f>_xll.ciqfunctions.udf.CIQ(InputTicker,"IQ_ADVANCES_FOR_SUPPLIES",Input!G$2,Date,,,Ccy,Conv)</f>
        <v>0</v>
      </c>
      <c r="F460" s="4">
        <f>_xll.ciqfunctions.udf.CIQ(InputTicker,"IQ_ADVANCES_FOR_SUPPLIES",Input!H$2,Date,,,Ccy,Conv)</f>
        <v>0</v>
      </c>
      <c r="G460" s="4">
        <f>_xll.ciqfunctions.udf.CIQ(InputTicker,"IQ_ADVANCES_FOR_SUPPLIES",Input!I$2,Date,,,Ccy,Conv)</f>
        <v>0</v>
      </c>
      <c r="H460" s="4">
        <f>_xll.ciqfunctions.udf.CIQ(InputTicker,"IQ_ADVANCES_FOR_SUPPLIES",Input!J$2,Date,,,Ccy,Conv)</f>
        <v>0</v>
      </c>
      <c r="I460" s="4">
        <f>_xll.ciqfunctions.udf.CIQ(InputTicker,"IQ_ADVANCES_FOR_SUPPLIES",Input!K$2,Date,,,Ccy,Conv)</f>
        <v>0</v>
      </c>
      <c r="J460" s="4">
        <f>_xll.ciqfunctions.udf.CIQ(InputTicker,"IQ_ADVANCES_FOR_SUPPLIES",Input!L$2,Date,,,Ccy,Conv)</f>
        <v>0</v>
      </c>
      <c r="K460" s="4">
        <f>_xll.ciqfunctions.udf.CIQ(InputTicker,"IQ_ADVANCES_FOR_SUPPLIES",Input!M$2,Date,,,Ccy,Conv)</f>
        <v>0</v>
      </c>
      <c r="L460" s="4">
        <f>_xll.ciqfunctions.udf.CIQ(InputTicker,"IQ_ADVANCES_FOR_SUPPLIES",Input!N$2,Date,,,Ccy,Conv)</f>
        <v>0</v>
      </c>
      <c r="M460" s="4">
        <f>_xll.ciqfunctions.udf.CIQ(InputTicker,"IQ_ADVANCES_FOR_SUPPLIES",Input!O$2,Date,,,Ccy,Conv)</f>
        <v>0</v>
      </c>
      <c r="N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  <c r="BM460" s="42"/>
      <c r="BN460" s="42"/>
    </row>
    <row r="461" spans="1:66" ht="12.75" customHeight="1" x14ac:dyDescent="0.2">
      <c r="A461" s="1" t="s">
        <v>489</v>
      </c>
      <c r="B461" s="4">
        <f>_xll.ciqfunctions.udf.CIQ(InputTicker,"IQ_GW_INTAN_NET",Input!D$2,Date,,,Ccy,Conv)</f>
        <v>0</v>
      </c>
      <c r="C461" s="4">
        <f>_xll.ciqfunctions.udf.CIQ(InputTicker,"IQ_GW_INTAN_NET",Input!E$2,Date,,,Ccy,Conv)</f>
        <v>0</v>
      </c>
      <c r="D461" s="4">
        <f>_xll.ciqfunctions.udf.CIQ(InputTicker,"IQ_GW_INTAN_NET",Input!F$2,Date,,,Ccy,Conv)</f>
        <v>0</v>
      </c>
      <c r="E461" s="4">
        <f>_xll.ciqfunctions.udf.CIQ(InputTicker,"IQ_GW_INTAN_NET",Input!G$2,Date,,,Ccy,Conv)</f>
        <v>0</v>
      </c>
      <c r="F461" s="4">
        <f>_xll.ciqfunctions.udf.CIQ(InputTicker,"IQ_GW_INTAN_NET",Input!H$2,Date,,,Ccy,Conv)</f>
        <v>0</v>
      </c>
      <c r="G461" s="4">
        <f>_xll.ciqfunctions.udf.CIQ(InputTicker,"IQ_GW_INTAN_NET",Input!I$2,Date,,,Ccy,Conv)</f>
        <v>0</v>
      </c>
      <c r="H461" s="4">
        <f>_xll.ciqfunctions.udf.CIQ(InputTicker,"IQ_GW_INTAN_NET",Input!J$2,Date,,,Ccy,Conv)</f>
        <v>0</v>
      </c>
      <c r="I461" s="4">
        <f>_xll.ciqfunctions.udf.CIQ(InputTicker,"IQ_GW_INTAN_NET",Input!K$2,Date,,,Ccy,Conv)</f>
        <v>0</v>
      </c>
      <c r="J461" s="4">
        <f>_xll.ciqfunctions.udf.CIQ(InputTicker,"IQ_GW_INTAN_NET",Input!L$2,Date,,,Ccy,Conv)</f>
        <v>0</v>
      </c>
      <c r="K461" s="4">
        <f>_xll.ciqfunctions.udf.CIQ(InputTicker,"IQ_GW_INTAN_NET",Input!M$2,Date,,,Ccy,Conv)</f>
        <v>0</v>
      </c>
      <c r="L461" s="4">
        <f>_xll.ciqfunctions.udf.CIQ(InputTicker,"IQ_GW_INTAN_NET",Input!N$2,Date,,,Ccy,Conv)</f>
        <v>0</v>
      </c>
      <c r="M461" s="4">
        <f>_xll.ciqfunctions.udf.CIQ(InputTicker,"IQ_GW_INTAN_NET",Input!O$2,Date,,,Ccy,Conv)</f>
        <v>0</v>
      </c>
      <c r="N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  <c r="BN461" s="42"/>
    </row>
    <row r="462" spans="1:66" ht="12.75" customHeight="1" x14ac:dyDescent="0.2">
      <c r="A462" s="1" t="s">
        <v>490</v>
      </c>
      <c r="B462" s="4">
        <f>_xll.ciqfunctions.udf.CIQ(InputTicker,"IQ_GW_NET",Input!D$2,Date,,,Ccy,Conv)</f>
        <v>0</v>
      </c>
      <c r="C462" s="4">
        <f>_xll.ciqfunctions.udf.CIQ(InputTicker,"IQ_GW_NET",Input!E$2,Date,,,Ccy,Conv)</f>
        <v>0</v>
      </c>
      <c r="D462" s="4">
        <f>_xll.ciqfunctions.udf.CIQ(InputTicker,"IQ_GW_NET",Input!F$2,Date,,,Ccy,Conv)</f>
        <v>0</v>
      </c>
      <c r="E462" s="4">
        <f>_xll.ciqfunctions.udf.CIQ(InputTicker,"IQ_GW_NET",Input!G$2,Date,,,Ccy,Conv)</f>
        <v>35.524999999999999</v>
      </c>
      <c r="F462" s="4">
        <f>_xll.ciqfunctions.udf.CIQ(InputTicker,"IQ_GW_NET",Input!H$2,Date,,,Ccy,Conv)</f>
        <v>35.524999999999999</v>
      </c>
      <c r="G462" s="4">
        <f>_xll.ciqfunctions.udf.CIQ(InputTicker,"IQ_GW_NET",Input!I$2,Date,,,Ccy,Conv)</f>
        <v>35.524999999999999</v>
      </c>
      <c r="H462" s="4">
        <f>_xll.ciqfunctions.udf.CIQ(InputTicker,"IQ_GW_NET",Input!J$2,Date,,,Ccy,Conv)</f>
        <v>44.006</v>
      </c>
      <c r="I462" s="4">
        <f>_xll.ciqfunctions.udf.CIQ(InputTicker,"IQ_GW_NET",Input!K$2,Date,,,Ccy,Conv)</f>
        <v>44.006</v>
      </c>
      <c r="J462" s="4">
        <f>_xll.ciqfunctions.udf.CIQ(InputTicker,"IQ_GW_NET",Input!L$2,Date,,,Ccy,Conv)</f>
        <v>45.776000000000003</v>
      </c>
      <c r="K462" s="4">
        <f>_xll.ciqfunctions.udf.CIQ(InputTicker,"IQ_GW_NET",Input!M$2,Date,,,Ccy,Conv)</f>
        <v>46.776000000000003</v>
      </c>
      <c r="L462" s="4">
        <f>_xll.ciqfunctions.udf.CIQ(InputTicker,"IQ_GW_NET",Input!N$2,Date,,,Ccy,Conv)</f>
        <v>97.058999999999997</v>
      </c>
      <c r="M462" s="4">
        <f>_xll.ciqfunctions.udf.CIQ(InputTicker,"IQ_GW_NET",Input!O$2,Date,,,Ccy,Conv)</f>
        <v>97.058999999999997</v>
      </c>
      <c r="N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  <c r="BN462" s="42"/>
    </row>
    <row r="463" spans="1:66" ht="12.75" customHeight="1" x14ac:dyDescent="0.2">
      <c r="A463" s="1" t="s">
        <v>491</v>
      </c>
      <c r="B463" s="4">
        <f>_xll.ciqfunctions.udf.CIQ(InputTicker,"IQ_INTAN_NET",Input!D$2,Date,,,Ccy,Conv)</f>
        <v>0</v>
      </c>
      <c r="C463" s="4">
        <f>_xll.ciqfunctions.udf.CIQ(InputTicker,"IQ_INTAN_NET",Input!E$2,Date,,,Ccy,Conv)</f>
        <v>0</v>
      </c>
      <c r="D463" s="4">
        <f>_xll.ciqfunctions.udf.CIQ(InputTicker,"IQ_INTAN_NET",Input!F$2,Date,,,Ccy,Conv)</f>
        <v>0</v>
      </c>
      <c r="E463" s="4">
        <f>_xll.ciqfunctions.udf.CIQ(InputTicker,"IQ_INTAN_NET",Input!G$2,Date,,,Ccy,Conv)</f>
        <v>23.762</v>
      </c>
      <c r="F463" s="4">
        <f>_xll.ciqfunctions.udf.CIQ(InputTicker,"IQ_INTAN_NET",Input!H$2,Date,,,Ccy,Conv)</f>
        <v>22.815999999999999</v>
      </c>
      <c r="G463" s="4">
        <f>_xll.ciqfunctions.udf.CIQ(InputTicker,"IQ_INTAN_NET",Input!I$2,Date,,,Ccy,Conv)</f>
        <v>20.341000000000001</v>
      </c>
      <c r="H463" s="4">
        <f>_xll.ciqfunctions.udf.CIQ(InputTicker,"IQ_INTAN_NET",Input!J$2,Date,,,Ccy,Conv)</f>
        <v>18.131</v>
      </c>
      <c r="I463" s="4">
        <f>_xll.ciqfunctions.udf.CIQ(InputTicker,"IQ_INTAN_NET",Input!K$2,Date,,,Ccy,Conv)</f>
        <v>15.897</v>
      </c>
      <c r="J463" s="4">
        <f>_xll.ciqfunctions.udf.CIQ(InputTicker,"IQ_INTAN_NET",Input!L$2,Date,,,Ccy,Conv)</f>
        <v>15.996</v>
      </c>
      <c r="K463" s="4">
        <f>_xll.ciqfunctions.udf.CIQ(InputTicker,"IQ_INTAN_NET",Input!M$2,Date,,,Ccy,Conv)</f>
        <v>15.157</v>
      </c>
      <c r="L463" s="4">
        <f>_xll.ciqfunctions.udf.CIQ(InputTicker,"IQ_INTAN_NET",Input!N$2,Date,,,Ccy,Conv)</f>
        <v>73.13</v>
      </c>
      <c r="M463" s="4">
        <f>_xll.ciqfunctions.udf.CIQ(InputTicker,"IQ_INTAN_NET",Input!O$2,Date,,,Ccy,Conv)</f>
        <v>73.13</v>
      </c>
      <c r="N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  <c r="BN463" s="42"/>
    </row>
    <row r="464" spans="1:66" ht="12.75" customHeight="1" x14ac:dyDescent="0.2">
      <c r="A464" s="1" t="s">
        <v>506</v>
      </c>
      <c r="B464" s="4">
        <f>_xll.ciqfunctions.udf.CIQ(InputTicker,"IQ_INTERCOMPANY_CA",Input!D$2,Date,,,Ccy,Conv)</f>
        <v>0</v>
      </c>
      <c r="C464" s="4">
        <f>_xll.ciqfunctions.udf.CIQ(InputTicker,"IQ_INTERCOMPANY_CA",Input!E$2,Date,,,Ccy,Conv)</f>
        <v>0</v>
      </c>
      <c r="D464" s="4">
        <f>_xll.ciqfunctions.udf.CIQ(InputTicker,"IQ_INTERCOMPANY_CA",Input!F$2,Date,,,Ccy,Conv)</f>
        <v>0</v>
      </c>
      <c r="E464" s="4">
        <f>_xll.ciqfunctions.udf.CIQ(InputTicker,"IQ_INTERCOMPANY_CA",Input!G$2,Date,,,Ccy,Conv)</f>
        <v>0</v>
      </c>
      <c r="F464" s="4">
        <f>_xll.ciqfunctions.udf.CIQ(InputTicker,"IQ_INTERCOMPANY_CA",Input!H$2,Date,,,Ccy,Conv)</f>
        <v>0</v>
      </c>
      <c r="G464" s="4">
        <f>_xll.ciqfunctions.udf.CIQ(InputTicker,"IQ_INTERCOMPANY_CA",Input!I$2,Date,,,Ccy,Conv)</f>
        <v>0</v>
      </c>
      <c r="H464" s="4">
        <f>_xll.ciqfunctions.udf.CIQ(InputTicker,"IQ_INTERCOMPANY_CA",Input!J$2,Date,,,Ccy,Conv)</f>
        <v>0</v>
      </c>
      <c r="I464" s="4">
        <f>_xll.ciqfunctions.udf.CIQ(InputTicker,"IQ_INTERCOMPANY_CA",Input!K$2,Date,,,Ccy,Conv)</f>
        <v>0</v>
      </c>
      <c r="J464" s="4">
        <f>_xll.ciqfunctions.udf.CIQ(InputTicker,"IQ_INTERCOMPANY_CA",Input!L$2,Date,,,Ccy,Conv)</f>
        <v>0</v>
      </c>
      <c r="K464" s="4">
        <f>_xll.ciqfunctions.udf.CIQ(InputTicker,"IQ_INTERCOMPANY_CA",Input!M$2,Date,,,Ccy,Conv)</f>
        <v>0</v>
      </c>
      <c r="L464" s="4">
        <f>_xll.ciqfunctions.udf.CIQ(InputTicker,"IQ_INTERCOMPANY_CA",Input!N$2,Date,,,Ccy,Conv)</f>
        <v>0</v>
      </c>
      <c r="M464" s="4">
        <f>_xll.ciqfunctions.udf.CIQ(InputTicker,"IQ_INTERCOMPANY_CA",Input!O$2,Date,,,Ccy,Conv)</f>
        <v>0</v>
      </c>
      <c r="N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  <c r="BM464" s="42"/>
      <c r="BN464" s="42"/>
    </row>
    <row r="465" spans="1:66" ht="12.75" customHeight="1" x14ac:dyDescent="0.2">
      <c r="A465" s="1" t="s">
        <v>492</v>
      </c>
      <c r="B465" s="4">
        <f>_xll.ciqfunctions.udf.CIQ(InputTicker,"IQ_INTERCOMPANY_NON_CA",Input!D$2,Date,,,Ccy,Conv)</f>
        <v>0</v>
      </c>
      <c r="C465" s="4">
        <f>_xll.ciqfunctions.udf.CIQ(InputTicker,"IQ_INTERCOMPANY_NON_CA",Input!E$2,Date,,,Ccy,Conv)</f>
        <v>0</v>
      </c>
      <c r="D465" s="4">
        <f>_xll.ciqfunctions.udf.CIQ(InputTicker,"IQ_INTERCOMPANY_NON_CA",Input!F$2,Date,,,Ccy,Conv)</f>
        <v>0</v>
      </c>
      <c r="E465" s="4">
        <f>_xll.ciqfunctions.udf.CIQ(InputTicker,"IQ_INTERCOMPANY_NON_CA",Input!G$2,Date,,,Ccy,Conv)</f>
        <v>0</v>
      </c>
      <c r="F465" s="4">
        <f>_xll.ciqfunctions.udf.CIQ(InputTicker,"IQ_INTERCOMPANY_NON_CA",Input!H$2,Date,,,Ccy,Conv)</f>
        <v>0</v>
      </c>
      <c r="G465" s="4">
        <f>_xll.ciqfunctions.udf.CIQ(InputTicker,"IQ_INTERCOMPANY_NON_CA",Input!I$2,Date,,,Ccy,Conv)</f>
        <v>0</v>
      </c>
      <c r="H465" s="4">
        <f>_xll.ciqfunctions.udf.CIQ(InputTicker,"IQ_INTERCOMPANY_NON_CA",Input!J$2,Date,,,Ccy,Conv)</f>
        <v>0</v>
      </c>
      <c r="I465" s="4">
        <f>_xll.ciqfunctions.udf.CIQ(InputTicker,"IQ_INTERCOMPANY_NON_CA",Input!K$2,Date,,,Ccy,Conv)</f>
        <v>0</v>
      </c>
      <c r="J465" s="4">
        <f>_xll.ciqfunctions.udf.CIQ(InputTicker,"IQ_INTERCOMPANY_NON_CA",Input!L$2,Date,,,Ccy,Conv)</f>
        <v>0</v>
      </c>
      <c r="K465" s="4">
        <f>_xll.ciqfunctions.udf.CIQ(InputTicker,"IQ_INTERCOMPANY_NON_CA",Input!M$2,Date,,,Ccy,Conv)</f>
        <v>0</v>
      </c>
      <c r="L465" s="4">
        <f>_xll.ciqfunctions.udf.CIQ(InputTicker,"IQ_INTERCOMPANY_NON_CA",Input!N$2,Date,,,Ccy,Conv)</f>
        <v>0</v>
      </c>
      <c r="M465" s="4">
        <f>_xll.ciqfunctions.udf.CIQ(InputTicker,"IQ_INTERCOMPANY_NON_CA",Input!O$2,Date,,,Ccy,Conv)</f>
        <v>0</v>
      </c>
      <c r="N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  <c r="BM465" s="42"/>
      <c r="BN465" s="42"/>
    </row>
    <row r="466" spans="1:66" ht="12.75" customHeight="1" x14ac:dyDescent="0.2">
      <c r="A466" s="1" t="s">
        <v>493</v>
      </c>
      <c r="B466" s="4">
        <f>_xll.ciqfunctions.udf.CIQ(InputTicker,"IQ_INTERCOMPANY_CL",Input!D$2,Date,,,Ccy,Conv)</f>
        <v>0</v>
      </c>
      <c r="C466" s="4">
        <f>_xll.ciqfunctions.udf.CIQ(InputTicker,"IQ_INTERCOMPANY_CL",Input!E$2,Date,,,Ccy,Conv)</f>
        <v>0</v>
      </c>
      <c r="D466" s="4">
        <f>_xll.ciqfunctions.udf.CIQ(InputTicker,"IQ_INTERCOMPANY_CL",Input!F$2,Date,,,Ccy,Conv)</f>
        <v>0</v>
      </c>
      <c r="E466" s="4">
        <f>_xll.ciqfunctions.udf.CIQ(InputTicker,"IQ_INTERCOMPANY_CL",Input!G$2,Date,,,Ccy,Conv)</f>
        <v>0</v>
      </c>
      <c r="F466" s="4">
        <f>_xll.ciqfunctions.udf.CIQ(InputTicker,"IQ_INTERCOMPANY_CL",Input!H$2,Date,,,Ccy,Conv)</f>
        <v>0</v>
      </c>
      <c r="G466" s="4">
        <f>_xll.ciqfunctions.udf.CIQ(InputTicker,"IQ_INTERCOMPANY_CL",Input!I$2,Date,,,Ccy,Conv)</f>
        <v>0</v>
      </c>
      <c r="H466" s="4">
        <f>_xll.ciqfunctions.udf.CIQ(InputTicker,"IQ_INTERCOMPANY_CL",Input!J$2,Date,,,Ccy,Conv)</f>
        <v>0</v>
      </c>
      <c r="I466" s="4">
        <f>_xll.ciqfunctions.udf.CIQ(InputTicker,"IQ_INTERCOMPANY_CL",Input!K$2,Date,,,Ccy,Conv)</f>
        <v>0</v>
      </c>
      <c r="J466" s="4">
        <f>_xll.ciqfunctions.udf.CIQ(InputTicker,"IQ_INTERCOMPANY_CL",Input!L$2,Date,,,Ccy,Conv)</f>
        <v>0</v>
      </c>
      <c r="K466" s="4">
        <f>_xll.ciqfunctions.udf.CIQ(InputTicker,"IQ_INTERCOMPANY_CL",Input!M$2,Date,,,Ccy,Conv)</f>
        <v>0</v>
      </c>
      <c r="L466" s="4">
        <f>_xll.ciqfunctions.udf.CIQ(InputTicker,"IQ_INTERCOMPANY_CL",Input!N$2,Date,,,Ccy,Conv)</f>
        <v>0</v>
      </c>
      <c r="M466" s="4">
        <f>_xll.ciqfunctions.udf.CIQ(InputTicker,"IQ_INTERCOMPANY_CL",Input!O$2,Date,,,Ccy,Conv)</f>
        <v>0</v>
      </c>
      <c r="N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  <c r="BN466" s="42"/>
    </row>
    <row r="467" spans="1:66" ht="12.75" customHeight="1" x14ac:dyDescent="0.2">
      <c r="A467" s="1" t="s">
        <v>494</v>
      </c>
      <c r="B467" s="4">
        <f>_xll.ciqfunctions.udf.CIQ(InputTicker,"IQ_INTERCOMPANY_NON_CL",Input!D$2,Date,,,Ccy,Conv)</f>
        <v>0</v>
      </c>
      <c r="C467" s="4">
        <f>_xll.ciqfunctions.udf.CIQ(InputTicker,"IQ_INTERCOMPANY_NON_CL",Input!E$2,Date,,,Ccy,Conv)</f>
        <v>0</v>
      </c>
      <c r="D467" s="4">
        <f>_xll.ciqfunctions.udf.CIQ(InputTicker,"IQ_INTERCOMPANY_NON_CL",Input!F$2,Date,,,Ccy,Conv)</f>
        <v>0</v>
      </c>
      <c r="E467" s="4">
        <f>_xll.ciqfunctions.udf.CIQ(InputTicker,"IQ_INTERCOMPANY_NON_CL",Input!G$2,Date,,,Ccy,Conv)</f>
        <v>0</v>
      </c>
      <c r="F467" s="4">
        <f>_xll.ciqfunctions.udf.CIQ(InputTicker,"IQ_INTERCOMPANY_NON_CL",Input!H$2,Date,,,Ccy,Conv)</f>
        <v>0</v>
      </c>
      <c r="G467" s="4">
        <f>_xll.ciqfunctions.udf.CIQ(InputTicker,"IQ_INTERCOMPANY_NON_CL",Input!I$2,Date,,,Ccy,Conv)</f>
        <v>0</v>
      </c>
      <c r="H467" s="4">
        <f>_xll.ciqfunctions.udf.CIQ(InputTicker,"IQ_INTERCOMPANY_NON_CL",Input!J$2,Date,,,Ccy,Conv)</f>
        <v>0</v>
      </c>
      <c r="I467" s="4">
        <f>_xll.ciqfunctions.udf.CIQ(InputTicker,"IQ_INTERCOMPANY_NON_CL",Input!K$2,Date,,,Ccy,Conv)</f>
        <v>0</v>
      </c>
      <c r="J467" s="4">
        <f>_xll.ciqfunctions.udf.CIQ(InputTicker,"IQ_INTERCOMPANY_NON_CL",Input!L$2,Date,,,Ccy,Conv)</f>
        <v>0</v>
      </c>
      <c r="K467" s="4">
        <f>_xll.ciqfunctions.udf.CIQ(InputTicker,"IQ_INTERCOMPANY_NON_CL",Input!M$2,Date,,,Ccy,Conv)</f>
        <v>0</v>
      </c>
      <c r="L467" s="4">
        <f>_xll.ciqfunctions.udf.CIQ(InputTicker,"IQ_INTERCOMPANY_NON_CL",Input!N$2,Date,,,Ccy,Conv)</f>
        <v>0</v>
      </c>
      <c r="M467" s="4">
        <f>_xll.ciqfunctions.udf.CIQ(InputTicker,"IQ_INTERCOMPANY_NON_CL",Input!O$2,Date,,,Ccy,Conv)</f>
        <v>0</v>
      </c>
      <c r="N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  <c r="BN467" s="42"/>
    </row>
    <row r="468" spans="1:66" ht="12.75" customHeight="1" x14ac:dyDescent="0.2">
      <c r="A468" s="1" t="s">
        <v>347</v>
      </c>
      <c r="B468" s="15" t="str">
        <f>_xll.ciqfunctions.udf.CIQ(InputTicker, "IQ_FILING_CURRENCY",Input!D$2,Date)</f>
        <v>USD</v>
      </c>
      <c r="C468" s="15" t="str">
        <f>_xll.ciqfunctions.udf.CIQ(InputTicker, "IQ_FILING_CURRENCY",Input!E$2,Date)</f>
        <v>USD</v>
      </c>
      <c r="D468" s="15" t="str">
        <f>_xll.ciqfunctions.udf.CIQ(InputTicker, "IQ_FILING_CURRENCY",Input!F$2,Date)</f>
        <v>USD</v>
      </c>
      <c r="E468" s="15" t="str">
        <f>_xll.ciqfunctions.udf.CIQ(InputTicker, "IQ_FILING_CURRENCY",Input!G$2,Date)</f>
        <v>USD</v>
      </c>
      <c r="F468" s="15" t="str">
        <f>_xll.ciqfunctions.udf.CIQ(InputTicker, "IQ_FILING_CURRENCY",Input!H$2,Date)</f>
        <v>USD</v>
      </c>
      <c r="G468" s="15" t="str">
        <f>_xll.ciqfunctions.udf.CIQ(InputTicker, "IQ_FILING_CURRENCY",Input!I$2,Date)</f>
        <v>USD</v>
      </c>
      <c r="H468" s="15" t="str">
        <f>_xll.ciqfunctions.udf.CIQ(InputTicker, "IQ_FILING_CURRENCY",Input!J$2,Date)</f>
        <v>USD</v>
      </c>
      <c r="I468" s="15" t="str">
        <f>_xll.ciqfunctions.udf.CIQ(InputTicker, "IQ_FILING_CURRENCY",Input!K$2,Date)</f>
        <v>USD</v>
      </c>
      <c r="J468" s="15" t="str">
        <f>_xll.ciqfunctions.udf.CIQ(InputTicker, "IQ_FILING_CURRENCY",Input!L$2,Date)</f>
        <v>USD</v>
      </c>
      <c r="K468" s="15" t="str">
        <f>_xll.ciqfunctions.udf.CIQ(InputTicker, "IQ_FILING_CURRENCY",Input!M$2,Date)</f>
        <v>USD</v>
      </c>
      <c r="L468" s="15" t="str">
        <f>_xll.ciqfunctions.udf.CIQ(InputTicker, "IQ_FILING_CURRENCY",Input!N$2,Date)</f>
        <v>USD</v>
      </c>
      <c r="M468" s="15" t="str">
        <f>_xll.ciqfunctions.udf.CIQ(InputTicker, "IQ_FILING_CURRENCY",Input!O$2,Date)</f>
        <v>USD</v>
      </c>
      <c r="N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</row>
    <row r="469" spans="1:66" ht="12.75" customHeight="1" x14ac:dyDescent="0.2">
      <c r="A469" s="1" t="s">
        <v>345</v>
      </c>
      <c r="B469" s="15" t="str">
        <f>_xll.ciqfunctions.udf.CIQ(InputTicker, "IQ_RESTATEMENT_BS",Input!D$2,Date)</f>
        <v>NC</v>
      </c>
      <c r="C469" s="15" t="str">
        <f>_xll.ciqfunctions.udf.CIQ(InputTicker, "IQ_RESTATEMENT_BS",Input!E$2,Date)</f>
        <v>NC</v>
      </c>
      <c r="D469" s="15" t="str">
        <f>_xll.ciqfunctions.udf.CIQ(InputTicker, "IQ_RESTATEMENT_BS",Input!F$2,Date)</f>
        <v>NC</v>
      </c>
      <c r="E469" s="15" t="str">
        <f>_xll.ciqfunctions.udf.CIQ(InputTicker, "IQ_RESTATEMENT_BS",Input!G$2,Date)</f>
        <v>NC</v>
      </c>
      <c r="F469" s="15" t="str">
        <f>_xll.ciqfunctions.udf.CIQ(InputTicker, "IQ_RESTATEMENT_BS",Input!H$2,Date)</f>
        <v>NC</v>
      </c>
      <c r="G469" s="15" t="str">
        <f>_xll.ciqfunctions.udf.CIQ(InputTicker, "IQ_RESTATEMENT_BS",Input!I$2,Date)</f>
        <v>NC</v>
      </c>
      <c r="H469" s="15" t="str">
        <f>_xll.ciqfunctions.udf.CIQ(InputTicker, "IQ_RESTATEMENT_BS",Input!J$2,Date)</f>
        <v>RD</v>
      </c>
      <c r="I469" s="15" t="str">
        <f>_xll.ciqfunctions.udf.CIQ(InputTicker, "IQ_RESTATEMENT_BS",Input!K$2,Date)</f>
        <v>NC</v>
      </c>
      <c r="J469" s="15" t="str">
        <f>_xll.ciqfunctions.udf.CIQ(InputTicker, "IQ_RESTATEMENT_BS",Input!L$2,Date)</f>
        <v>NC</v>
      </c>
      <c r="K469" s="15" t="str">
        <f>_xll.ciqfunctions.udf.CIQ(InputTicker, "IQ_RESTATEMENT_BS",Input!M$2,Date)</f>
        <v>NC</v>
      </c>
      <c r="L469" s="15" t="str">
        <f>_xll.ciqfunctions.udf.CIQ(InputTicker, "IQ_RESTATEMENT_BS",Input!N$2,Date)</f>
        <v>O</v>
      </c>
      <c r="M469" s="15" t="str">
        <f>_xll.ciqfunctions.udf.CIQ(InputTicker, "IQ_RESTATEMENT_BS",Input!O$2,Date)</f>
        <v>O</v>
      </c>
      <c r="N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  <c r="BN469" s="42"/>
    </row>
    <row r="470" spans="1:66" ht="12.75" customHeight="1" x14ac:dyDescent="0.2">
      <c r="A470" s="1" t="s">
        <v>346</v>
      </c>
      <c r="B470" s="15" t="str">
        <f>_xll.ciqfunctions.udf.CIQ(InputTicker, "IQ_CALC_TYPE_BS",Input!D$2,Date)</f>
        <v>RUP</v>
      </c>
      <c r="C470" s="15" t="str">
        <f>_xll.ciqfunctions.udf.CIQ(InputTicker, "IQ_CALC_TYPE_BS",Input!E$2,Date)</f>
        <v>RUP</v>
      </c>
      <c r="D470" s="15" t="str">
        <f>_xll.ciqfunctions.udf.CIQ(InputTicker, "IQ_CALC_TYPE_BS",Input!F$2,Date)</f>
        <v>RUP</v>
      </c>
      <c r="E470" s="15" t="str">
        <f>_xll.ciqfunctions.udf.CIQ(InputTicker, "IQ_CALC_TYPE_BS",Input!G$2,Date)</f>
        <v>RUP</v>
      </c>
      <c r="F470" s="15" t="str">
        <f>_xll.ciqfunctions.udf.CIQ(InputTicker, "IQ_CALC_TYPE_BS",Input!H$2,Date)</f>
        <v>RUP</v>
      </c>
      <c r="G470" s="15" t="str">
        <f>_xll.ciqfunctions.udf.CIQ(InputTicker, "IQ_CALC_TYPE_BS",Input!I$2,Date)</f>
        <v>RUP</v>
      </c>
      <c r="H470" s="15" t="str">
        <f>_xll.ciqfunctions.udf.CIQ(InputTicker, "IQ_CALC_TYPE_BS",Input!J$2,Date)</f>
        <v>RUP</v>
      </c>
      <c r="I470" s="15" t="str">
        <f>_xll.ciqfunctions.udf.CIQ(InputTicker, "IQ_CALC_TYPE_BS",Input!K$2,Date)</f>
        <v>RUP</v>
      </c>
      <c r="J470" s="15" t="str">
        <f>_xll.ciqfunctions.udf.CIQ(InputTicker, "IQ_CALC_TYPE_BS",Input!L$2,Date)</f>
        <v>RUP</v>
      </c>
      <c r="K470" s="15" t="str">
        <f>_xll.ciqfunctions.udf.CIQ(InputTicker, "IQ_CALC_TYPE_BS",Input!M$2,Date)</f>
        <v>REP</v>
      </c>
      <c r="L470" s="15" t="str">
        <f>_xll.ciqfunctions.udf.CIQ(InputTicker, "IQ_CALC_TYPE_BS",Input!N$2,Date)</f>
        <v>REP</v>
      </c>
      <c r="M470" s="15" t="str">
        <f>_xll.ciqfunctions.udf.CIQ(InputTicker, "IQ_CALC_TYPE_BS",Input!O$2,Date)</f>
        <v>REP</v>
      </c>
      <c r="N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  <c r="BM470" s="42"/>
      <c r="BN470" s="42"/>
    </row>
    <row r="471" spans="1:66" ht="12.75" customHeight="1" x14ac:dyDescent="0.2">
      <c r="A471" s="1" t="s">
        <v>376</v>
      </c>
      <c r="B471" s="15" t="str">
        <f>_xll.ciqfunctions.udf.CIQ(InputTicker, "IQ_GAAP_BS",Input!D$2,Date)</f>
        <v>US GAAP</v>
      </c>
      <c r="C471" s="15" t="str">
        <f>_xll.ciqfunctions.udf.CIQ(InputTicker, "IQ_GAAP_BS",Input!E$2,Date)</f>
        <v>US GAAP</v>
      </c>
      <c r="D471" s="15" t="str">
        <f>_xll.ciqfunctions.udf.CIQ(InputTicker, "IQ_GAAP_BS",Input!F$2,Date)</f>
        <v>US GAAP</v>
      </c>
      <c r="E471" s="15" t="str">
        <f>_xll.ciqfunctions.udf.CIQ(InputTicker, "IQ_GAAP_BS",Input!G$2,Date)</f>
        <v>US GAAP</v>
      </c>
      <c r="F471" s="15" t="str">
        <f>_xll.ciqfunctions.udf.CIQ(InputTicker, "IQ_GAAP_BS",Input!H$2,Date)</f>
        <v>US GAAP</v>
      </c>
      <c r="G471" s="15" t="str">
        <f>_xll.ciqfunctions.udf.CIQ(InputTicker, "IQ_GAAP_BS",Input!I$2,Date)</f>
        <v>US GAAP</v>
      </c>
      <c r="H471" s="15" t="str">
        <f>_xll.ciqfunctions.udf.CIQ(InputTicker, "IQ_GAAP_BS",Input!J$2,Date)</f>
        <v>US GAAP</v>
      </c>
      <c r="I471" s="15" t="str">
        <f>_xll.ciqfunctions.udf.CIQ(InputTicker, "IQ_GAAP_BS",Input!K$2,Date)</f>
        <v>US GAAP</v>
      </c>
      <c r="J471" s="15" t="str">
        <f>_xll.ciqfunctions.udf.CIQ(InputTicker, "IQ_GAAP_BS",Input!L$2,Date)</f>
        <v>US GAAP</v>
      </c>
      <c r="K471" s="15" t="str">
        <f>_xll.ciqfunctions.udf.CIQ(InputTicker, "IQ_GAAP_BS",Input!M$2,Date)</f>
        <v>US GAAP</v>
      </c>
      <c r="L471" s="15" t="str">
        <f>_xll.ciqfunctions.udf.CIQ(InputTicker, "IQ_GAAP_BS",Input!N$2,Date)</f>
        <v>US GAAP</v>
      </c>
      <c r="M471" s="15" t="str">
        <f>_xll.ciqfunctions.udf.CIQ(InputTicker, "IQ_GAAP_BS",Input!O$2,Date)</f>
        <v>US GAAP</v>
      </c>
      <c r="N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</row>
    <row r="472" spans="1:66" ht="12.75" customHeight="1" x14ac:dyDescent="0.2">
      <c r="A472" s="42" t="s">
        <v>602</v>
      </c>
      <c r="B472" s="13">
        <f>_xll.ciqfunctions.udf.CIQ(InputTicker, "IQ_PERIODDATE",Input!D$2-1,Date)</f>
        <v>42154</v>
      </c>
      <c r="C472" s="13">
        <f>_xll.ciqfunctions.udf.CIQ(InputTicker, "IQ_PERIODDATE",Input!E$2-1,Date)</f>
        <v>42518</v>
      </c>
      <c r="D472" s="13">
        <f>_xll.ciqfunctions.udf.CIQ(InputTicker, "IQ_PERIODDATE",Input!F$2-1,Date)</f>
        <v>42889</v>
      </c>
      <c r="E472" s="13">
        <f>_xll.ciqfunctions.udf.CIQ(InputTicker, "IQ_PERIODDATE",Input!G$2-1,Date)</f>
        <v>43253</v>
      </c>
      <c r="F472" s="13">
        <f>_xll.ciqfunctions.udf.CIQ(InputTicker, "IQ_PERIODDATE",Input!H$2-1,Date)</f>
        <v>43617</v>
      </c>
      <c r="G472" s="13">
        <f>_xll.ciqfunctions.udf.CIQ(InputTicker, "IQ_PERIODDATE",Input!I$2-1,Date)</f>
        <v>43981</v>
      </c>
      <c r="H472" s="13">
        <f>_xll.ciqfunctions.udf.CIQ(InputTicker, "IQ_PERIODDATE",Input!J$2-1,Date)</f>
        <v>44345</v>
      </c>
      <c r="I472" s="13">
        <f>_xll.ciqfunctions.udf.CIQ(InputTicker, "IQ_PERIODDATE",Input!K$2-1,Date)</f>
        <v>44709</v>
      </c>
      <c r="J472" s="13">
        <f>_xll.ciqfunctions.udf.CIQ(InputTicker, "IQ_PERIODDATE",Input!L$2-1,Date)</f>
        <v>45080</v>
      </c>
      <c r="K472" s="13">
        <f>_xll.ciqfunctions.udf.CIQ(InputTicker, "IQ_PERIODDATE",Input!M$2-1,Date)</f>
        <v>45444</v>
      </c>
      <c r="L472" s="13">
        <f>_xll.ciqfunctions.udf.CIQ(InputTicker, "IQ_PERIODDATE",Input!N$2-1,Date)</f>
        <v>45808</v>
      </c>
      <c r="M472" s="13">
        <f>_xll.ciqfunctions.udf.CIQ(InputTicker, "IQ_PERIODDATE",Input!O$2-1,Date)</f>
        <v>46081</v>
      </c>
      <c r="N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</row>
    <row r="473" spans="1:66" ht="12.75" customHeight="1" x14ac:dyDescent="0.2">
      <c r="A473" s="19" t="s">
        <v>268</v>
      </c>
      <c r="B473" s="20">
        <f>_xll.ciqfunctions.udf.CIQAVG(InputTicker, "IQ_TEV_TOTAL_REV",[0]!IQ_LTM,B$472,B$2)</f>
        <v>1.2543200000000001</v>
      </c>
      <c r="C473" s="20">
        <f>_xll.ciqfunctions.udf.CIQAVG(InputTicker, "IQ_TEV_TOTAL_REV",[0]!IQ_LTM,C$472,C$2)</f>
        <v>1.18736</v>
      </c>
      <c r="D473" s="20">
        <f>_xll.ciqfunctions.udf.CIQAVG(InputTicker, "IQ_TEV_TOTAL_REV",[0]!IQ_LTM,D$472,D$2)</f>
        <v>1.63544</v>
      </c>
      <c r="E473" s="20">
        <f>_xll.ciqfunctions.udf.CIQAVG(InputTicker, "IQ_TEV_TOTAL_REV",[0]!IQ_LTM,E$472,E$2)</f>
        <v>1.2576499999999999</v>
      </c>
      <c r="F473" s="20">
        <f>_xll.ciqfunctions.udf.CIQAVG(InputTicker, "IQ_TEV_TOTAL_REV",[0]!IQ_LTM,F$472,F$2)</f>
        <v>1.3733</v>
      </c>
      <c r="G473" s="20">
        <f>_xll.ciqfunctions.udf.CIQAVG(InputTicker, "IQ_TEV_TOTAL_REV",[0]!IQ_LTM,G$472,G$2)</f>
        <v>1.2889299999999999</v>
      </c>
      <c r="H473" s="20">
        <f>_xll.ciqfunctions.udf.CIQAVG(InputTicker, "IQ_TEV_TOTAL_REV",[0]!IQ_LTM,H$472,H$2)</f>
        <v>1.3018700000000001</v>
      </c>
      <c r="I473" s="20">
        <f>_xll.ciqfunctions.udf.CIQAVG(InputTicker, "IQ_TEV_TOTAL_REV",[0]!IQ_LTM,I$472,I$2)</f>
        <v>1.1086199999999999</v>
      </c>
      <c r="J473" s="20">
        <f>_xll.ciqfunctions.udf.CIQAVG(InputTicker, "IQ_TEV_TOTAL_REV",[0]!IQ_LTM,J$472,J$2)</f>
        <v>0.69296999999999997</v>
      </c>
      <c r="K473" s="20">
        <f>_xll.ciqfunctions.udf.CIQAVG(InputTicker, "IQ_TEV_TOTAL_REV",[0]!IQ_LTM,K$472,K$2)</f>
        <v>1.2093499999999999</v>
      </c>
      <c r="L473" s="20">
        <f>_xll.ciqfunctions.udf.CIQAVG(InputTicker, "IQ_TEV_TOTAL_REV",[0]!IQ_LTM,L$472,L$2)</f>
        <v>0.76644000000000001</v>
      </c>
      <c r="M473" s="20">
        <f>_xll.ciqfunctions.udf.CIQAVG(InputTicker, "IQ_TEV_TOTAL_REV",[0]!IQ_LTM,M$472,M$2)</f>
        <v>0.70745999999999998</v>
      </c>
      <c r="N473" s="49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</row>
    <row r="474" spans="1:66" ht="12.75" customHeight="1" x14ac:dyDescent="0.2">
      <c r="A474" s="19" t="s">
        <v>269</v>
      </c>
      <c r="B474" s="20">
        <f>_xll.ciqfunctions.udf.CIQAVG(InputTicker, "IQ_TEV_EBITDA",[0]!IQ_LTM,B$472,B$2)</f>
        <v>5.67204</v>
      </c>
      <c r="C474" s="20">
        <f>_xll.ciqfunctions.udf.CIQAVG(InputTicker, "IQ_TEV_EBITDA",[0]!IQ_LTM,C$472,C$2)</f>
        <v>15.25498</v>
      </c>
      <c r="D474" s="20">
        <f>_xll.ciqfunctions.udf.CIQAVG(InputTicker, "IQ_TEV_EBITDA",[0]!IQ_LTM,D$472,D$2)</f>
        <v>45.937840000000001</v>
      </c>
      <c r="E474" s="20">
        <f>_xll.ciqfunctions.udf.CIQAVG(InputTicker, "IQ_TEV_EBITDA",[0]!IQ_LTM,E$472,E$2)</f>
        <v>8.83446</v>
      </c>
      <c r="F474" s="20">
        <f>_xll.ciqfunctions.udf.CIQAVG(InputTicker, "IQ_TEV_EBITDA",[0]!IQ_LTM,F$472,F$2)</f>
        <v>29.859929999999999</v>
      </c>
      <c r="G474" s="20">
        <f>_xll.ciqfunctions.udf.CIQAVG(InputTicker, "IQ_TEV_EBITDA",[0]!IQ_LTM,G$472,G$2)</f>
        <v>16.816659999999999</v>
      </c>
      <c r="H474" s="20">
        <f>_xll.ciqfunctions.udf.CIQAVG(InputTicker, "IQ_TEV_EBITDA",[0]!IQ_LTM,H$472,H$2)</f>
        <v>61.83193</v>
      </c>
      <c r="I474" s="20">
        <f>_xll.ciqfunctions.udf.CIQAVG(InputTicker, "IQ_TEV_EBITDA",[0]!IQ_LTM,I$472,I$2)</f>
        <v>10.25577</v>
      </c>
      <c r="J474" s="20">
        <f>_xll.ciqfunctions.udf.CIQAVG(InputTicker, "IQ_TEV_EBITDA",[0]!IQ_LTM,J$472,J$2)</f>
        <v>2.82308</v>
      </c>
      <c r="K474" s="20">
        <f>_xll.ciqfunctions.udf.CIQAVG(InputTicker, "IQ_TEV_EBITDA",[0]!IQ_LTM,K$472,K$2)</f>
        <v>5.4414600000000002</v>
      </c>
      <c r="L474" s="20">
        <f>_xll.ciqfunctions.udf.CIQAVG(InputTicker, "IQ_TEV_EBITDA",[0]!IQ_LTM,L$472,L$2)</f>
        <v>2.1391499999999999</v>
      </c>
      <c r="M474" s="20">
        <f>_xll.ciqfunctions.udf.CIQAVG(InputTicker, "IQ_TEV_EBITDA",[0]!IQ_LTM,M$472,M$2)</f>
        <v>2.3023799999999999</v>
      </c>
      <c r="N474" s="56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</row>
    <row r="475" spans="1:66" ht="12.75" customHeight="1" x14ac:dyDescent="0.2">
      <c r="A475" s="19" t="s">
        <v>270</v>
      </c>
      <c r="B475" s="20">
        <f>_xll.ciqfunctions.udf.CIQAVG(InputTicker, "IQ_TEV_EBIT",[0]!IQ_LTM,B$472,B$2)</f>
        <v>6.4340599999999997</v>
      </c>
      <c r="C475" s="20">
        <f>_xll.ciqfunctions.udf.CIQAVG(InputTicker, "IQ_TEV_EBIT",[0]!IQ_LTM,C$472,C$2)</f>
        <v>5.3939599999999999</v>
      </c>
      <c r="D475" s="20">
        <f>_xll.ciqfunctions.udf.CIQAVG(InputTicker, "IQ_TEV_EBIT",[0]!IQ_LTM,D$472,D$2)</f>
        <v>35.477760000000004</v>
      </c>
      <c r="E475" s="20">
        <f>_xll.ciqfunctions.udf.CIQAVG(InputTicker, "IQ_TEV_EBIT",[0]!IQ_LTM,E$472,E$2)</f>
        <v>12.90185</v>
      </c>
      <c r="F475" s="20">
        <f>_xll.ciqfunctions.udf.CIQAVG(InputTicker, "IQ_TEV_EBIT",[0]!IQ_LTM,F$472,F$2)</f>
        <v>23.06372</v>
      </c>
      <c r="G475" s="20">
        <f>_xll.ciqfunctions.udf.CIQAVG(InputTicker, "IQ_TEV_EBIT",[0]!IQ_LTM,G$472,G$2)</f>
        <v>84.157740000000004</v>
      </c>
      <c r="H475" s="20">
        <f>_xll.ciqfunctions.udf.CIQAVG(InputTicker, "IQ_TEV_EBIT",[0]!IQ_LTM,H$472,H$2)</f>
        <v>23.812539999999998</v>
      </c>
      <c r="I475" s="20">
        <f>_xll.ciqfunctions.udf.CIQAVG(InputTicker, "IQ_TEV_EBIT",[0]!IQ_LTM,I$472,I$2)</f>
        <v>7.5971299999999999</v>
      </c>
      <c r="J475" s="20">
        <f>_xll.ciqfunctions.udf.CIQAVG(InputTicker, "IQ_TEV_EBIT",[0]!IQ_LTM,J$472,J$2)</f>
        <v>3.2854999999999999</v>
      </c>
      <c r="K475" s="20">
        <f>_xll.ciqfunctions.udf.CIQAVG(InputTicker, "IQ_TEV_EBIT",[0]!IQ_LTM,K$472,K$2)</f>
        <v>6.43668</v>
      </c>
      <c r="L475" s="20">
        <f>_xll.ciqfunctions.udf.CIQAVG(InputTicker, "IQ_TEV_EBIT",[0]!IQ_LTM,L$472,L$2)</f>
        <v>2.3102299999999998</v>
      </c>
      <c r="M475" s="20">
        <f>_xll.ciqfunctions.udf.CIQAVG(InputTicker, "IQ_TEV_EBIT",[0]!IQ_LTM,M$472,M$2)</f>
        <v>2.57124</v>
      </c>
      <c r="N475" s="56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</row>
    <row r="476" spans="1:66" ht="12.75" customHeight="1" x14ac:dyDescent="0.2">
      <c r="A476" s="19" t="s">
        <v>271</v>
      </c>
      <c r="B476" s="20">
        <f>_xll.ciqfunctions.udf.CIQAVG(InputTicker, "IQ_PE_EXCL",[0]!IQ_LTM,B$472,B$2)</f>
        <v>10.773149999999999</v>
      </c>
      <c r="C476" s="20">
        <f>_xll.ciqfunctions.udf.CIQAVG(InputTicker, "IQ_PE_EXCL",[0]!IQ_LTM,C$472,C$2)</f>
        <v>70.214870000000005</v>
      </c>
      <c r="D476" s="20">
        <f>_xll.ciqfunctions.udf.CIQAVG(InputTicker, "IQ_PE_EXCL",[0]!IQ_LTM,D$472,D$2)</f>
        <v>78.298349999999999</v>
      </c>
      <c r="E476" s="20">
        <f>_xll.ciqfunctions.udf.CIQAVG(InputTicker, "IQ_PE_EXCL",[0]!IQ_LTM,E$472,E$2)</f>
        <v>23.039860000000001</v>
      </c>
      <c r="F476" s="20">
        <f>_xll.ciqfunctions.udf.CIQAVG(InputTicker, "IQ_PE_EXCL",[0]!IQ_LTM,F$472,F$2)</f>
        <v>27.593589999999999</v>
      </c>
      <c r="G476" s="20">
        <f>_xll.ciqfunctions.udf.CIQAVG(InputTicker, "IQ_PE_EXCL",[0]!IQ_LTM,G$472,G$2)</f>
        <v>50.987160000000003</v>
      </c>
      <c r="H476" s="20">
        <f>_xll.ciqfunctions.udf.CIQAVG(InputTicker, "IQ_PE_EXCL",[0]!IQ_LTM,H$472,H$2)</f>
        <v>91.677070000000001</v>
      </c>
      <c r="I476" s="20">
        <f>_xll.ciqfunctions.udf.CIQAVG(InputTicker, "IQ_PE_EXCL",[0]!IQ_LTM,I$472,I$2)</f>
        <v>25.558309999999999</v>
      </c>
      <c r="J476" s="20">
        <f>_xll.ciqfunctions.udf.CIQAVG(InputTicker, "IQ_PE_EXCL",[0]!IQ_LTM,J$472,J$2)</f>
        <v>5.2680199999999999</v>
      </c>
      <c r="K476" s="20">
        <f>_xll.ciqfunctions.udf.CIQAVG(InputTicker, "IQ_PE_EXCL",[0]!IQ_LTM,K$472,K$2)</f>
        <v>9.4476600000000008</v>
      </c>
      <c r="L476" s="20">
        <f>_xll.ciqfunctions.udf.CIQAVG(InputTicker, "IQ_PE_EXCL",[0]!IQ_LTM,L$472,L$2)</f>
        <v>4.1167100000000003</v>
      </c>
      <c r="M476" s="20">
        <f>_xll.ciqfunctions.udf.CIQAVG(InputTicker, "IQ_PE_EXCL",[0]!IQ_LTM,M$472,M$2)</f>
        <v>4.7054200000000002</v>
      </c>
      <c r="N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  <c r="BN476" s="42"/>
    </row>
    <row r="477" spans="1:66" ht="12.75" customHeight="1" x14ac:dyDescent="0.2">
      <c r="A477" s="19" t="s">
        <v>272</v>
      </c>
      <c r="B477" s="20">
        <f>_xll.ciqfunctions.udf.CIQAVG(InputTicker, "IQ_PBV",[0]!IQ_LTM,B$472,B$2)</f>
        <v>3.2105800000000002</v>
      </c>
      <c r="C477" s="20">
        <f>_xll.ciqfunctions.udf.CIQAVG(InputTicker, "IQ_PBV",[0]!IQ_LTM,C$472,C$2)</f>
        <v>2.22593</v>
      </c>
      <c r="D477" s="20">
        <f>_xll.ciqfunctions.udf.CIQAVG(InputTicker, "IQ_PBV",[0]!IQ_LTM,D$472,D$2)</f>
        <v>2.4561799999999998</v>
      </c>
      <c r="E477" s="20">
        <f>_xll.ciqfunctions.udf.CIQAVG(InputTicker, "IQ_PBV",[0]!IQ_LTM,E$472,E$2)</f>
        <v>2.3028900000000001</v>
      </c>
      <c r="F477" s="20">
        <f>_xll.ciqfunctions.udf.CIQAVG(InputTicker, "IQ_PBV",[0]!IQ_LTM,F$472,F$2)</f>
        <v>2.0684</v>
      </c>
      <c r="G477" s="20">
        <f>_xll.ciqfunctions.udf.CIQAVG(InputTicker, "IQ_PBV",[0]!IQ_LTM,G$472,G$2)</f>
        <v>1.95888</v>
      </c>
      <c r="H477" s="20">
        <f>_xll.ciqfunctions.udf.CIQAVG(InputTicker, "IQ_PBV",[0]!IQ_LTM,H$472,H$2)</f>
        <v>1.96183</v>
      </c>
      <c r="I477" s="20">
        <f>_xll.ciqfunctions.udf.CIQAVG(InputTicker, "IQ_PBV",[0]!IQ_LTM,I$472,I$2)</f>
        <v>2.1715300000000002</v>
      </c>
      <c r="J477" s="20">
        <f>_xll.ciqfunctions.udf.CIQAVG(InputTicker, "IQ_PBV",[0]!IQ_LTM,J$472,J$2)</f>
        <v>1.56731</v>
      </c>
      <c r="K477" s="20">
        <f>_xll.ciqfunctions.udf.CIQAVG(InputTicker, "IQ_PBV",[0]!IQ_LTM,K$472,K$2)</f>
        <v>2.1492900000000001</v>
      </c>
      <c r="L477" s="20">
        <f>_xll.ciqfunctions.udf.CIQAVG(InputTicker, "IQ_PBV",[0]!IQ_LTM,L$472,L$2)</f>
        <v>1.67004</v>
      </c>
      <c r="M477" s="20">
        <f>_xll.ciqfunctions.udf.CIQAVG(InputTicker, "IQ_PBV",[0]!IQ_LTM,M$472,M$2)</f>
        <v>1.3975</v>
      </c>
      <c r="N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  <c r="BM477" s="42"/>
      <c r="BN477" s="42"/>
    </row>
    <row r="478" spans="1:66" ht="12.75" customHeight="1" x14ac:dyDescent="0.2">
      <c r="A478" s="19" t="s">
        <v>273</v>
      </c>
      <c r="B478" s="20">
        <f>_xll.ciqfunctions.udf.CIQAVG(InputTicker, "IQ_PTBV",[0]!IQ_LTM,B$472,B$2)</f>
        <v>3.3663699999999999</v>
      </c>
      <c r="C478" s="20">
        <f>_xll.ciqfunctions.udf.CIQAVG(InputTicker, "IQ_PTBV",[0]!IQ_LTM,C$472,C$2)</f>
        <v>2.35093</v>
      </c>
      <c r="D478" s="20">
        <f>_xll.ciqfunctions.udf.CIQAVG(InputTicker, "IQ_PTBV",[0]!IQ_LTM,D$472,D$2)</f>
        <v>2.65828</v>
      </c>
      <c r="E478" s="20">
        <f>_xll.ciqfunctions.udf.CIQAVG(InputTicker, "IQ_PTBV",[0]!IQ_LTM,E$472,E$2)</f>
        <v>2.4599799999999998</v>
      </c>
      <c r="F478" s="20">
        <f>_xll.ciqfunctions.udf.CIQAVG(InputTicker, "IQ_PTBV",[0]!IQ_LTM,F$472,F$2)</f>
        <v>2.2049500000000002</v>
      </c>
      <c r="G478" s="20">
        <f>_xll.ciqfunctions.udf.CIQAVG(InputTicker, "IQ_PTBV",[0]!IQ_LTM,G$472,G$2)</f>
        <v>2.0806100000000001</v>
      </c>
      <c r="H478" s="20">
        <f>_xll.ciqfunctions.udf.CIQAVG(InputTicker, "IQ_PTBV",[0]!IQ_LTM,H$472,H$2)</f>
        <v>2.0888800000000001</v>
      </c>
      <c r="I478" s="20">
        <f>_xll.ciqfunctions.udf.CIQAVG(InputTicker, "IQ_PTBV",[0]!IQ_LTM,I$472,I$2)</f>
        <v>2.2883800000000001</v>
      </c>
      <c r="J478" s="20">
        <f>_xll.ciqfunctions.udf.CIQAVG(InputTicker, "IQ_PTBV",[0]!IQ_LTM,J$472,J$2)</f>
        <v>1.62849</v>
      </c>
      <c r="K478" s="20">
        <f>_xll.ciqfunctions.udf.CIQAVG(InputTicker, "IQ_PTBV",[0]!IQ_LTM,K$472,K$2)</f>
        <v>2.2199</v>
      </c>
      <c r="L478" s="20">
        <f>_xll.ciqfunctions.udf.CIQAVG(InputTicker, "IQ_PTBV",[0]!IQ_LTM,L$472,L$2)</f>
        <v>1.7394099999999999</v>
      </c>
      <c r="M478" s="20">
        <f>_xll.ciqfunctions.udf.CIQAVG(InputTicker, "IQ_PTBV",[0]!IQ_LTM,M$472,M$2)</f>
        <v>1.4746300000000001</v>
      </c>
      <c r="N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  <c r="BM478" s="42"/>
      <c r="BN478" s="42"/>
    </row>
    <row r="479" spans="1:66" ht="12.75" customHeight="1" x14ac:dyDescent="0.2">
      <c r="A479" s="19" t="s">
        <v>227</v>
      </c>
      <c r="B479" s="4">
        <f>_xll.ciqfunctions.udf.CIQ(InputTicker, "IQ_RETURN_ASSETS",Input!D$2,Date)</f>
        <v>28.8123</v>
      </c>
      <c r="C479" s="4">
        <f>_xll.ciqfunctions.udf.CIQ(InputTicker, "IQ_RETURN_ASSETS",Input!E$2,Date)</f>
        <v>-7.6043000000000003</v>
      </c>
      <c r="D479" s="4">
        <f>_xll.ciqfunctions.udf.CIQ(InputTicker, "IQ_RETURN_ASSETS",Input!F$2,Date)</f>
        <v>10.4033</v>
      </c>
      <c r="E479" s="4">
        <f>_xll.ciqfunctions.udf.CIQ(InputTicker, "IQ_RETURN_ASSETS",Input!G$2,Date)</f>
        <v>2.4826000000000001</v>
      </c>
      <c r="F479" s="4">
        <f>_xll.ciqfunctions.udf.CIQ(InputTicker, "IQ_RETURN_ASSETS",Input!H$2,Date)</f>
        <v>7.1400000000000005E-2</v>
      </c>
      <c r="G479" s="4">
        <f>_xll.ciqfunctions.udf.CIQ(InputTicker, "IQ_RETURN_ASSETS",Input!I$2,Date)</f>
        <v>-1.1947000000000001</v>
      </c>
      <c r="H479" s="4">
        <f>_xll.ciqfunctions.udf.CIQ(InputTicker, "IQ_RETURN_ASSETS",Input!J$2,Date)</f>
        <v>6.5132000000000003</v>
      </c>
      <c r="I479" s="4">
        <f>_xll.ciqfunctions.udf.CIQ(InputTicker, "IQ_RETURN_ASSETS",Input!K$2,Date)</f>
        <v>35.638800000000003</v>
      </c>
      <c r="J479" s="4">
        <f>_xll.ciqfunctions.udf.CIQ(InputTicker, "IQ_RETURN_ASSETS",Input!L$2,Date)</f>
        <v>8.8917999999999999</v>
      </c>
      <c r="K479" s="4">
        <f>_xll.ciqfunctions.udf.CIQ(InputTicker, "IQ_RETURN_ASSETS",Input!M$2,Date)</f>
        <v>36.959600000000002</v>
      </c>
      <c r="L479" s="4">
        <f>_xll.ciqfunctions.udf.CIQ(InputTicker, "IQ_RETURN_ASSETS",Input!N$2,Date)</f>
        <v>6.9310999999999998</v>
      </c>
      <c r="M479" s="4">
        <f>_xll.ciqfunctions.udf.CIQ(InputTicker, "IQ_RETURN_ASSETS",Input!O$2,Date)</f>
        <v>6.9310999999999998</v>
      </c>
      <c r="N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  <c r="BM479" s="42"/>
      <c r="BN479" s="42"/>
    </row>
    <row r="480" spans="1:66" ht="12.75" customHeight="1" x14ac:dyDescent="0.2">
      <c r="A480" s="19" t="s">
        <v>228</v>
      </c>
      <c r="B480" s="4">
        <f>_xll.ciqfunctions.udf.CIQ(InputTicker, "IQ_RETURN_CAPITAL",Input!D$2,Date)</f>
        <v>34.615400000000001</v>
      </c>
      <c r="C480" s="4">
        <f>_xll.ciqfunctions.udf.CIQ(InputTicker, "IQ_RETURN_CAPITAL",Input!E$2,Date)</f>
        <v>-9.0693999999999999</v>
      </c>
      <c r="D480" s="4">
        <f>_xll.ciqfunctions.udf.CIQ(InputTicker, "IQ_RETURN_CAPITAL",Input!F$2,Date)</f>
        <v>12.5006</v>
      </c>
      <c r="E480" s="4">
        <f>_xll.ciqfunctions.udf.CIQ(InputTicker, "IQ_RETURN_CAPITAL",Input!G$2,Date)</f>
        <v>2.9304999999999999</v>
      </c>
      <c r="F480" s="4">
        <f>_xll.ciqfunctions.udf.CIQ(InputTicker, "IQ_RETURN_CAPITAL",Input!H$2,Date)</f>
        <v>8.4199999999999997E-2</v>
      </c>
      <c r="G480" s="4">
        <f>_xll.ciqfunctions.udf.CIQ(InputTicker, "IQ_RETURN_CAPITAL",Input!I$2,Date)</f>
        <v>-1.4348000000000001</v>
      </c>
      <c r="H480" s="4">
        <f>_xll.ciqfunctions.udf.CIQ(InputTicker, "IQ_RETURN_CAPITAL",Input!J$2,Date)</f>
        <v>8.1638999999999999</v>
      </c>
      <c r="I480" s="4">
        <f>_xll.ciqfunctions.udf.CIQ(InputTicker, "IQ_RETURN_CAPITAL",Input!K$2,Date)</f>
        <v>44.412100000000002</v>
      </c>
      <c r="J480" s="4">
        <f>_xll.ciqfunctions.udf.CIQ(InputTicker, "IQ_RETURN_CAPITAL",Input!L$2,Date)</f>
        <v>10.8041</v>
      </c>
      <c r="K480" s="4">
        <f>_xll.ciqfunctions.udf.CIQ(InputTicker, "IQ_RETURN_CAPITAL",Input!M$2,Date)</f>
        <v>44.637099999999997</v>
      </c>
      <c r="L480" s="4">
        <f>_xll.ciqfunctions.udf.CIQ(InputTicker, "IQ_RETURN_CAPITAL",Input!N$2,Date)</f>
        <v>8.2431999999999999</v>
      </c>
      <c r="M480" s="4">
        <f>_xll.ciqfunctions.udf.CIQ(InputTicker, "IQ_RETURN_CAPITAL",Input!O$2,Date)</f>
        <v>8.2431999999999999</v>
      </c>
      <c r="N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  <c r="BN480" s="42"/>
    </row>
    <row r="481" spans="1:66" ht="12.75" customHeight="1" x14ac:dyDescent="0.2">
      <c r="A481" s="19" t="s">
        <v>229</v>
      </c>
      <c r="B481" s="4">
        <f>_xll.ciqfunctions.udf.CIQ(InputTicker,  "IQ_RETURN_EQUITY",Input!D$2,Date)</f>
        <v>39.218499999999999</v>
      </c>
      <c r="C481" s="4">
        <f>_xll.ciqfunctions.udf.CIQ(InputTicker,  "IQ_RETURN_EQUITY",Input!E$2,Date)</f>
        <v>-8.4487000000000005</v>
      </c>
      <c r="D481" s="4">
        <f>_xll.ciqfunctions.udf.CIQ(InputTicker,  "IQ_RETURN_EQUITY",Input!F$2,Date)</f>
        <v>14.0204</v>
      </c>
      <c r="E481" s="4">
        <f>_xll.ciqfunctions.udf.CIQ(InputTicker,  "IQ_RETURN_EQUITY",Input!G$2,Date)</f>
        <v>5.6604000000000001</v>
      </c>
      <c r="F481" s="4">
        <f>_xll.ciqfunctions.udf.CIQ(InputTicker,  "IQ_RETURN_EQUITY",Input!H$2,Date)</f>
        <v>1.8331999999999999</v>
      </c>
      <c r="G481" s="4">
        <f>_xll.ciqfunctions.udf.CIQ(InputTicker,  "IQ_RETURN_EQUITY",Input!I$2,Date)</f>
        <v>0.20369999999999999</v>
      </c>
      <c r="H481" s="4">
        <f>_xll.ciqfunctions.udf.CIQ(InputTicker,  "IQ_RETURN_EQUITY",Input!J$2,Date)</f>
        <v>12.5113</v>
      </c>
      <c r="I481" s="4">
        <f>_xll.ciqfunctions.udf.CIQ(InputTicker,  "IQ_RETURN_EQUITY",Input!K$2,Date)</f>
        <v>55.766500000000001</v>
      </c>
      <c r="J481" s="4">
        <f>_xll.ciqfunctions.udf.CIQ(InputTicker,  "IQ_RETURN_EQUITY",Input!L$2,Date)</f>
        <v>16.220199999999998</v>
      </c>
      <c r="K481" s="4">
        <f>_xll.ciqfunctions.udf.CIQ(InputTicker,  "IQ_RETURN_EQUITY",Input!M$2,Date)</f>
        <v>55.843000000000004</v>
      </c>
      <c r="L481" s="4">
        <f>_xll.ciqfunctions.udf.CIQ(InputTicker,  "IQ_RETURN_EQUITY",Input!N$2,Date)</f>
        <v>12.2196</v>
      </c>
      <c r="M481" s="4">
        <f>_xll.ciqfunctions.udf.CIQ(InputTicker,  "IQ_RETURN_EQUITY",Input!O$2,Date)</f>
        <v>12.2196</v>
      </c>
      <c r="N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  <c r="BN481" s="42"/>
    </row>
    <row r="482" spans="1:66" ht="12.75" customHeight="1" x14ac:dyDescent="0.2">
      <c r="A482" s="19" t="s">
        <v>425</v>
      </c>
      <c r="B482" s="4">
        <f>_xll.ciqfunctions.udf.CIQ(InputTicker,  "IQ_RETURN_COMMON_EQUITY",Input!D$2,Date)</f>
        <v>39.045299999999997</v>
      </c>
      <c r="C482" s="4">
        <f>_xll.ciqfunctions.udf.CIQ(InputTicker,  "IQ_RETURN_COMMON_EQUITY",Input!E$2,Date)</f>
        <v>-8.4504000000000001</v>
      </c>
      <c r="D482" s="4">
        <f>_xll.ciqfunctions.udf.CIQ(InputTicker,  "IQ_RETURN_COMMON_EQUITY",Input!F$2,Date)</f>
        <v>14.023400000000001</v>
      </c>
      <c r="E482" s="4">
        <f>_xll.ciqfunctions.udf.CIQ(InputTicker,  "IQ_RETURN_COMMON_EQUITY",Input!G$2,Date)</f>
        <v>5.5907</v>
      </c>
      <c r="F482" s="4">
        <f>_xll.ciqfunctions.udf.CIQ(InputTicker,  "IQ_RETURN_COMMON_EQUITY",Input!H$2,Date)</f>
        <v>1.8425</v>
      </c>
      <c r="G482" s="4">
        <f>_xll.ciqfunctions.udf.CIQ(InputTicker,  "IQ_RETURN_COMMON_EQUITY",Input!I$2,Date)</f>
        <v>0.20369999999999999</v>
      </c>
      <c r="H482" s="4">
        <f>_xll.ciqfunctions.udf.CIQ(InputTicker,  "IQ_RETURN_COMMON_EQUITY",Input!J$2,Date)</f>
        <v>12.5299</v>
      </c>
      <c r="I482" s="4">
        <f>_xll.ciqfunctions.udf.CIQ(InputTicker,  "IQ_RETURN_COMMON_EQUITY",Input!K$2,Date)</f>
        <v>55.826700000000002</v>
      </c>
      <c r="J482" s="4">
        <f>_xll.ciqfunctions.udf.CIQ(InputTicker,  "IQ_RETURN_COMMON_EQUITY",Input!L$2,Date)</f>
        <v>16.2925</v>
      </c>
      <c r="K482" s="4">
        <f>_xll.ciqfunctions.udf.CIQ(InputTicker,  "IQ_RETURN_COMMON_EQUITY",Input!M$2,Date)</f>
        <v>55.955599999999997</v>
      </c>
      <c r="L482" s="4">
        <f>_xll.ciqfunctions.udf.CIQ(InputTicker,  "IQ_RETURN_COMMON_EQUITY",Input!N$2,Date)</f>
        <v>12.195600000000001</v>
      </c>
      <c r="M482" s="4">
        <f>_xll.ciqfunctions.udf.CIQ(InputTicker,  "IQ_RETURN_COMMON_EQUITY",Input!O$2,Date)</f>
        <v>12.195600000000001</v>
      </c>
      <c r="N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  <c r="BN482" s="42"/>
    </row>
    <row r="483" spans="1:66" ht="12.75" customHeight="1" x14ac:dyDescent="0.2">
      <c r="A483" s="19" t="s">
        <v>230</v>
      </c>
      <c r="B483" s="4">
        <f>_xll.ciqfunctions.udf.CIQ(InputTicker, "IQ_GROSS_MARGIN",Input!D$2,Date)</f>
        <v>33.954500000000003</v>
      </c>
      <c r="C483" s="4">
        <f>_xll.ciqfunctions.udf.CIQ(InputTicker, "IQ_GROSS_MARGIN",Input!E$2,Date)</f>
        <v>4.2390999999999996</v>
      </c>
      <c r="D483" s="4">
        <f>_xll.ciqfunctions.udf.CIQ(InputTicker, "IQ_GROSS_MARGIN",Input!F$2,Date)</f>
        <v>24.0227</v>
      </c>
      <c r="E483" s="4">
        <f>_xll.ciqfunctions.udf.CIQ(InputTicker, "IQ_GROSS_MARGIN",Input!G$2,Date)</f>
        <v>16.372299999999999</v>
      </c>
      <c r="F483" s="4">
        <f>_xll.ciqfunctions.udf.CIQ(InputTicker, "IQ_GROSS_MARGIN",Input!H$2,Date)</f>
        <v>13.286899999999999</v>
      </c>
      <c r="G483" s="4">
        <f>_xll.ciqfunctions.udf.CIQ(InputTicker, "IQ_GROSS_MARGIN",Input!I$2,Date)</f>
        <v>11.909700000000001</v>
      </c>
      <c r="H483" s="4">
        <f>_xll.ciqfunctions.udf.CIQ(InputTicker, "IQ_GROSS_MARGIN",Input!J$2,Date)</f>
        <v>18.966100000000001</v>
      </c>
      <c r="I483" s="4">
        <f>_xll.ciqfunctions.udf.CIQ(InputTicker, "IQ_GROSS_MARGIN",Input!K$2,Date)</f>
        <v>38.028399999999998</v>
      </c>
      <c r="J483" s="4">
        <f>_xll.ciqfunctions.udf.CIQ(InputTicker, "IQ_GROSS_MARGIN",Input!L$2,Date)</f>
        <v>23.2789</v>
      </c>
      <c r="K483" s="4">
        <f>_xll.ciqfunctions.udf.CIQ(InputTicker, "IQ_GROSS_MARGIN",Input!M$2,Date)</f>
        <v>43.428699999999999</v>
      </c>
      <c r="L483" s="4">
        <f>_xll.ciqfunctions.udf.CIQ(InputTicker, "IQ_GROSS_MARGIN",Input!N$2,Date)</f>
        <v>23.081499999999998</v>
      </c>
      <c r="M483" s="4">
        <f>_xll.ciqfunctions.udf.CIQ(InputTicker, "IQ_GROSS_MARGIN",Input!O$2,Date)</f>
        <v>23.081499999999998</v>
      </c>
      <c r="N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  <c r="BM483" s="42"/>
      <c r="BN483" s="42"/>
    </row>
    <row r="484" spans="1:66" ht="12.75" customHeight="1" x14ac:dyDescent="0.2">
      <c r="A484" s="19" t="s">
        <v>231</v>
      </c>
      <c r="B484" s="4">
        <f>_xll.ciqfunctions.udf.CIQ(InputTicker,  "IQ_EBITDA_MARGIN",Input!D$2,Date)</f>
        <v>26.977399999999999</v>
      </c>
      <c r="C484" s="4">
        <f>_xll.ciqfunctions.udf.CIQ(InputTicker,  "IQ_EBITDA_MARGIN",Input!E$2,Date)</f>
        <v>-7.5726000000000004</v>
      </c>
      <c r="D484" s="4">
        <f>_xll.ciqfunctions.udf.CIQ(InputTicker,  "IQ_EBITDA_MARGIN",Input!F$2,Date)</f>
        <v>15.686400000000001</v>
      </c>
      <c r="E484" s="4">
        <f>_xll.ciqfunctions.udf.CIQ(InputTicker,  "IQ_EBITDA_MARGIN",Input!G$2,Date)</f>
        <v>7.3806000000000003</v>
      </c>
      <c r="F484" s="4">
        <f>_xll.ciqfunctions.udf.CIQ(InputTicker,  "IQ_EBITDA_MARGIN",Input!H$2,Date)</f>
        <v>4.3986999999999998</v>
      </c>
      <c r="G484" s="4">
        <f>_xll.ciqfunctions.udf.CIQ(InputTicker,  "IQ_EBITDA_MARGIN",Input!I$2,Date)</f>
        <v>2.6831</v>
      </c>
      <c r="H484" s="4">
        <f>_xll.ciqfunctions.udf.CIQ(InputTicker,  "IQ_EBITDA_MARGIN",Input!J$2,Date)</f>
        <v>11.6378</v>
      </c>
      <c r="I484" s="4">
        <f>_xll.ciqfunctions.udf.CIQ(InputTicker,  "IQ_EBITDA_MARGIN",Input!K$2,Date)</f>
        <v>32.943800000000003</v>
      </c>
      <c r="J484" s="4">
        <f>_xll.ciqfunctions.udf.CIQ(InputTicker,  "IQ_EBITDA_MARGIN",Input!L$2,Date)</f>
        <v>16.105499999999999</v>
      </c>
      <c r="K484" s="4">
        <f>_xll.ciqfunctions.udf.CIQ(InputTicker,  "IQ_EBITDA_MARGIN",Input!M$2,Date)</f>
        <v>38.763500000000001</v>
      </c>
      <c r="L484" s="4">
        <f>_xll.ciqfunctions.udf.CIQ(InputTicker,  "IQ_EBITDA_MARGIN",Input!N$2,Date)</f>
        <v>16.062899999999999</v>
      </c>
      <c r="M484" s="4">
        <f>_xll.ciqfunctions.udf.CIQ(InputTicker,  "IQ_EBITDA_MARGIN",Input!O$2,Date)</f>
        <v>16.062899999999999</v>
      </c>
      <c r="N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</row>
    <row r="485" spans="1:66" ht="12.75" customHeight="1" x14ac:dyDescent="0.2">
      <c r="A485" s="19" t="s">
        <v>232</v>
      </c>
      <c r="B485" s="4">
        <f>_xll.ciqfunctions.udf.CIQ(InputTicker, "IQ_EBIT_MARGIN",Input!D$2,Date)</f>
        <v>24.641100000000002</v>
      </c>
      <c r="C485" s="4">
        <f>_xll.ciqfunctions.udf.CIQ(InputTicker, "IQ_EBIT_MARGIN",Input!E$2,Date)</f>
        <v>-12.1433</v>
      </c>
      <c r="D485" s="4">
        <f>_xll.ciqfunctions.udf.CIQ(InputTicker, "IQ_EBIT_MARGIN",Input!F$2,Date)</f>
        <v>12.0916</v>
      </c>
      <c r="E485" s="4">
        <f>_xll.ciqfunctions.udf.CIQ(InputTicker, "IQ_EBIT_MARGIN",Input!G$2,Date)</f>
        <v>3.3656999999999999</v>
      </c>
      <c r="F485" s="4">
        <f>_xll.ciqfunctions.udf.CIQ(InputTicker, "IQ_EBIT_MARGIN",Input!H$2,Date)</f>
        <v>9.9900000000000003E-2</v>
      </c>
      <c r="G485" s="4">
        <f>_xll.ciqfunctions.udf.CIQ(InputTicker, "IQ_EBIT_MARGIN",Input!I$2,Date)</f>
        <v>-1.7258</v>
      </c>
      <c r="H485" s="4">
        <f>_xll.ciqfunctions.udf.CIQ(InputTicker, "IQ_EBIT_MARGIN",Input!J$2,Date)</f>
        <v>7.7892000000000001</v>
      </c>
      <c r="I485" s="4">
        <f>_xll.ciqfunctions.udf.CIQ(InputTicker, "IQ_EBIT_MARGIN",Input!K$2,Date)</f>
        <v>30.6479</v>
      </c>
      <c r="J485" s="4">
        <f>_xll.ciqfunctions.udf.CIQ(InputTicker, "IQ_EBIT_MARGIN",Input!L$2,Date)</f>
        <v>12.6564</v>
      </c>
      <c r="K485" s="4">
        <f>_xll.ciqfunctions.udf.CIQ(InputTicker, "IQ_EBIT_MARGIN",Input!M$2,Date)</f>
        <v>36.557400000000001</v>
      </c>
      <c r="L485" s="4">
        <f>_xll.ciqfunctions.udf.CIQ(InputTicker, "IQ_EBIT_MARGIN",Input!N$2,Date)</f>
        <v>11.792400000000001</v>
      </c>
      <c r="M485" s="4">
        <f>_xll.ciqfunctions.udf.CIQ(InputTicker, "IQ_EBIT_MARGIN",Input!O$2,Date)</f>
        <v>11.792400000000001</v>
      </c>
      <c r="N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  <c r="BM485" s="42"/>
      <c r="BN485" s="42"/>
    </row>
    <row r="486" spans="1:66" ht="12.75" customHeight="1" x14ac:dyDescent="0.2">
      <c r="A486" s="19" t="s">
        <v>233</v>
      </c>
      <c r="B486" s="4">
        <f>_xll.ciqfunctions.udf.CIQ(InputTicker, "IQ_NI_MARGIN",Input!D$2,Date)</f>
        <v>16.558299999999999</v>
      </c>
      <c r="C486" s="4">
        <f>_xll.ciqfunctions.udf.CIQ(InputTicker, "IQ_NI_MARGIN",Input!E$2,Date)</f>
        <v>-6.9127000000000001</v>
      </c>
      <c r="D486" s="4">
        <f>_xll.ciqfunctions.udf.CIQ(InputTicker, "IQ_NI_MARGIN",Input!F$2,Date)</f>
        <v>8.3789999999999996</v>
      </c>
      <c r="E486" s="4">
        <f>_xll.ciqfunctions.udf.CIQ(InputTicker, "IQ_NI_MARGIN",Input!G$2,Date)</f>
        <v>3.9839000000000002</v>
      </c>
      <c r="F486" s="4">
        <f>_xll.ciqfunctions.udf.CIQ(InputTicker, "IQ_NI_MARGIN",Input!H$2,Date)</f>
        <v>1.3606</v>
      </c>
      <c r="G486" s="4">
        <f>_xll.ciqfunctions.udf.CIQ(InputTicker, "IQ_NI_MARGIN",Input!I$2,Date)</f>
        <v>0.1527</v>
      </c>
      <c r="H486" s="4">
        <f>_xll.ciqfunctions.udf.CIQ(InputTicker, "IQ_NI_MARGIN",Input!J$2,Date)</f>
        <v>7.4641000000000002</v>
      </c>
      <c r="I486" s="4">
        <f>_xll.ciqfunctions.udf.CIQ(InputTicker, "IQ_NI_MARGIN",Input!K$2,Date)</f>
        <v>24.0931</v>
      </c>
      <c r="J486" s="4">
        <f>_xll.ciqfunctions.udf.CIQ(InputTicker, "IQ_NI_MARGIN",Input!L$2,Date)</f>
        <v>11.944699999999999</v>
      </c>
      <c r="K486" s="4">
        <f>_xll.ciqfunctions.udf.CIQ(InputTicker, "IQ_NI_MARGIN",Input!M$2,Date)</f>
        <v>28.626899999999999</v>
      </c>
      <c r="L486" s="4">
        <f>_xll.ciqfunctions.udf.CIQ(InputTicker, "IQ_NI_MARGIN",Input!N$2,Date)</f>
        <v>10.8764</v>
      </c>
      <c r="M486" s="4">
        <f>_xll.ciqfunctions.udf.CIQ(InputTicker, "IQ_NI_MARGIN",Input!O$2,Date)</f>
        <v>10.8764</v>
      </c>
      <c r="N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  <c r="BN486" s="42"/>
    </row>
    <row r="487" spans="1:66" ht="12.75" customHeight="1" x14ac:dyDescent="0.2">
      <c r="A487" s="19" t="s">
        <v>434</v>
      </c>
      <c r="B487" s="21">
        <f>_xll.ciqfunctions.udf.CIQ(InputTicker, "IQ_CAPEX_PCT_REV",Input!D$2,Date)</f>
        <v>3.9883999999999999</v>
      </c>
      <c r="C487" s="21">
        <f>_xll.ciqfunctions.udf.CIQ(InputTicker, "IQ_CAPEX_PCT_REV",Input!E$2,Date)</f>
        <v>6.2034000000000002</v>
      </c>
      <c r="D487" s="21">
        <f>_xll.ciqfunctions.udf.CIQ(InputTicker, "IQ_CAPEX_PCT_REV",Input!F$2,Date)</f>
        <v>1.3088</v>
      </c>
      <c r="E487" s="21">
        <f>_xll.ciqfunctions.udf.CIQ(InputTicker, "IQ_CAPEX_PCT_REV",Input!G$2,Date)</f>
        <v>4.9947999999999997</v>
      </c>
      <c r="F487" s="21">
        <f>_xll.ciqfunctions.udf.CIQ(InputTicker, "IQ_CAPEX_PCT_REV",Input!H$2,Date)</f>
        <v>9.1874000000000002</v>
      </c>
      <c r="G487" s="21">
        <f>_xll.ciqfunctions.udf.CIQ(InputTicker, "IQ_CAPEX_PCT_REV",Input!I$2,Date)</f>
        <v>7.0473999999999997</v>
      </c>
      <c r="H487" s="21">
        <f>_xll.ciqfunctions.udf.CIQ(InputTicker, "IQ_CAPEX_PCT_REV",Input!J$2,Date)</f>
        <v>4.0738000000000003</v>
      </c>
      <c r="I487" s="21">
        <f>_xll.ciqfunctions.udf.CIQ(InputTicker, "IQ_CAPEX_PCT_REV",Input!K$2,Date)</f>
        <v>4.3407</v>
      </c>
      <c r="J487" s="21">
        <f>_xll.ciqfunctions.udf.CIQ(InputTicker, "IQ_CAPEX_PCT_REV",Input!L$2,Date)</f>
        <v>6.3235999999999999</v>
      </c>
      <c r="K487" s="21">
        <f>_xll.ciqfunctions.udf.CIQ(InputTicker, "IQ_CAPEX_PCT_REV",Input!M$2,Date)</f>
        <v>3.7835999999999999</v>
      </c>
      <c r="L487" s="21">
        <f>_xll.ciqfunctions.udf.CIQ(InputTicker, "IQ_CAPEX_PCT_REV",Input!N$2,Date)</f>
        <v>5.1936</v>
      </c>
      <c r="M487" s="21">
        <f>_xll.ciqfunctions.udf.CIQ(InputTicker, "IQ_CAPEX_PCT_REV",Input!O$2,Date)</f>
        <v>5.1936</v>
      </c>
      <c r="N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  <c r="BM487" s="42"/>
      <c r="BN487" s="42"/>
    </row>
    <row r="488" spans="1:66" ht="12.75" customHeight="1" x14ac:dyDescent="0.2">
      <c r="A488" s="19" t="s">
        <v>234</v>
      </c>
      <c r="B488" s="20">
        <f>_xll.ciqfunctions.udf.CIQ(InputTicker, "IQ_ASSET_TURNS",Input!D$2,Date)</f>
        <v>1.8708400000000001</v>
      </c>
      <c r="C488" s="20">
        <f>_xll.ciqfunctions.udf.CIQ(InputTicker, "IQ_ASSET_TURNS",Input!E$2,Date)</f>
        <v>1.0019400000000001</v>
      </c>
      <c r="D488" s="20">
        <f>_xll.ciqfunctions.udf.CIQ(InputTicker, "IQ_ASSET_TURNS",Input!F$2,Date)</f>
        <v>1.3766</v>
      </c>
      <c r="E488" s="20">
        <f>_xll.ciqfunctions.udf.CIQ(InputTicker, "IQ_ASSET_TURNS",Input!G$2,Date)</f>
        <v>1.1801900000000001</v>
      </c>
      <c r="F488" s="20">
        <f>_xll.ciqfunctions.udf.CIQ(InputTicker, "IQ_ASSET_TURNS",Input!H$2,Date)</f>
        <v>1.1439900000000001</v>
      </c>
      <c r="G488" s="20">
        <f>_xll.ciqfunctions.udf.CIQ(InputTicker, "IQ_ASSET_TURNS",Input!I$2,Date)</f>
        <v>1.1075999999999999</v>
      </c>
      <c r="H488" s="20">
        <f>_xll.ciqfunctions.udf.CIQ(InputTicker, "IQ_ASSET_TURNS",Input!J$2,Date)</f>
        <v>1.33789</v>
      </c>
      <c r="I488" s="20">
        <f>_xll.ciqfunctions.udf.CIQ(InputTicker, "IQ_ASSET_TURNS",Input!K$2,Date)</f>
        <v>1.86056</v>
      </c>
      <c r="J488" s="20">
        <f>_xll.ciqfunctions.udf.CIQ(InputTicker, "IQ_ASSET_TURNS",Input!L$2,Date)</f>
        <v>1.12408</v>
      </c>
      <c r="K488" s="20">
        <f>_xll.ciqfunctions.udf.CIQ(InputTicker, "IQ_ASSET_TURNS",Input!M$2,Date)</f>
        <v>1.6175999999999999</v>
      </c>
      <c r="L488" s="20">
        <f>_xll.ciqfunctions.udf.CIQ(InputTicker, "IQ_ASSET_TURNS",Input!N$2,Date)</f>
        <v>0.94042000000000003</v>
      </c>
      <c r="M488" s="20">
        <f>_xll.ciqfunctions.udf.CIQ(InputTicker, "IQ_ASSET_TURNS",Input!O$2,Date)</f>
        <v>0.94042000000000003</v>
      </c>
      <c r="N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  <c r="BM488" s="42"/>
      <c r="BN488" s="42"/>
    </row>
    <row r="489" spans="1:66" ht="12.75" customHeight="1" x14ac:dyDescent="0.2">
      <c r="A489" s="19" t="s">
        <v>235</v>
      </c>
      <c r="B489" s="20">
        <f>_xll.ciqfunctions.udf.CIQ(InputTicker,  "IQ_FIXED_ASSET_TURNS",Input!D$2,Date)</f>
        <v>5.0825199999999997</v>
      </c>
      <c r="C489" s="20">
        <f>_xll.ciqfunctions.udf.CIQ(InputTicker,  "IQ_FIXED_ASSET_TURNS",Input!E$2,Date)</f>
        <v>2.5268999999999999</v>
      </c>
      <c r="D489" s="20">
        <f>_xll.ciqfunctions.udf.CIQ(InputTicker,  "IQ_FIXED_ASSET_TURNS",Input!F$2,Date)</f>
        <v>3.4019599999999999</v>
      </c>
      <c r="E489" s="20">
        <f>_xll.ciqfunctions.udf.CIQ(InputTicker,  "IQ_FIXED_ASSET_TURNS",Input!G$2,Date)</f>
        <v>3.08772</v>
      </c>
      <c r="F489" s="20">
        <f>_xll.ciqfunctions.udf.CIQ(InputTicker,  "IQ_FIXED_ASSET_TURNS",Input!H$2,Date)</f>
        <v>2.65835</v>
      </c>
      <c r="G489" s="20">
        <f>_xll.ciqfunctions.udf.CIQ(InputTicker,  "IQ_FIXED_ASSET_TURNS",Input!I$2,Date)</f>
        <v>2.3414799999999998</v>
      </c>
      <c r="H489" s="20">
        <f>_xll.ciqfunctions.udf.CIQ(InputTicker,  "IQ_FIXED_ASSET_TURNS",Input!J$2,Date)</f>
        <v>2.7998599999999998</v>
      </c>
      <c r="I489" s="20">
        <f>_xll.ciqfunctions.udf.CIQ(InputTicker,  "IQ_FIXED_ASSET_TURNS",Input!K$2,Date)</f>
        <v>4.42401</v>
      </c>
      <c r="J489" s="20">
        <f>_xll.ciqfunctions.udf.CIQ(InputTicker,  "IQ_FIXED_ASSET_TURNS",Input!L$2,Date)</f>
        <v>2.90483</v>
      </c>
      <c r="K489" s="20">
        <f>_xll.ciqfunctions.udf.CIQ(InputTicker,  "IQ_FIXED_ASSET_TURNS",Input!M$2,Date)</f>
        <v>4.5244900000000001</v>
      </c>
      <c r="L489" s="20">
        <f>_xll.ciqfunctions.udf.CIQ(InputTicker,  "IQ_FIXED_ASSET_TURNS",Input!N$2,Date)</f>
        <v>2.48325</v>
      </c>
      <c r="M489" s="20">
        <f>_xll.ciqfunctions.udf.CIQ(InputTicker,  "IQ_FIXED_ASSET_TURNS",Input!O$2,Date)</f>
        <v>2.48325</v>
      </c>
      <c r="N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  <c r="BM489" s="42"/>
      <c r="BN489" s="42"/>
    </row>
    <row r="490" spans="1:66" ht="12.75" customHeight="1" x14ac:dyDescent="0.2">
      <c r="A490" s="19" t="s">
        <v>236</v>
      </c>
      <c r="B490" s="20">
        <f>_xll.ciqfunctions.udf.CIQ(InputTicker, "IQ_AR_TURNS",Input!D$2,Date)</f>
        <v>23.70626</v>
      </c>
      <c r="C490" s="20">
        <f>_xll.ciqfunctions.udf.CIQ(InputTicker, "IQ_AR_TURNS",Input!E$2,Date)</f>
        <v>17.433060000000001</v>
      </c>
      <c r="D490" s="20">
        <f>_xll.ciqfunctions.udf.CIQ(InputTicker, "IQ_AR_TURNS",Input!F$2,Date)</f>
        <v>21.169250000000002</v>
      </c>
      <c r="E490" s="20">
        <f>_xll.ciqfunctions.udf.CIQ(InputTicker, "IQ_AR_TURNS",Input!G$2,Date)</f>
        <v>19.757429999999999</v>
      </c>
      <c r="F490" s="20">
        <f>_xll.ciqfunctions.udf.CIQ(InputTicker, "IQ_AR_TURNS",Input!H$2,Date)</f>
        <v>19.032060000000001</v>
      </c>
      <c r="G490" s="20">
        <f>_xll.ciqfunctions.udf.CIQ(InputTicker, "IQ_AR_TURNS",Input!I$2,Date)</f>
        <v>16.446850000000001</v>
      </c>
      <c r="H490" s="20">
        <f>_xll.ciqfunctions.udf.CIQ(InputTicker, "IQ_AR_TURNS",Input!J$2,Date)</f>
        <v>14.321820000000001</v>
      </c>
      <c r="I490" s="20">
        <f>_xll.ciqfunctions.udf.CIQ(InputTicker, "IQ_AR_TURNS",Input!K$2,Date)</f>
        <v>22.46584</v>
      </c>
      <c r="J490" s="20">
        <f>_xll.ciqfunctions.udf.CIQ(InputTicker, "IQ_AR_TURNS",Input!L$2,Date)</f>
        <v>18.646599999999999</v>
      </c>
      <c r="K490" s="20">
        <f>_xll.ciqfunctions.udf.CIQ(InputTicker, "IQ_AR_TURNS",Input!M$2,Date)</f>
        <v>22.27685</v>
      </c>
      <c r="L490" s="20">
        <f>_xll.ciqfunctions.udf.CIQ(InputTicker, "IQ_AR_TURNS",Input!N$2,Date)</f>
        <v>15.311159999999999</v>
      </c>
      <c r="M490" s="20">
        <f>_xll.ciqfunctions.udf.CIQ(InputTicker, "IQ_AR_TURNS",Input!O$2,Date)</f>
        <v>15.311159999999999</v>
      </c>
      <c r="N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  <c r="BM490" s="42"/>
      <c r="BN490" s="42"/>
    </row>
    <row r="491" spans="1:66" ht="12.75" customHeight="1" x14ac:dyDescent="0.2">
      <c r="A491" s="19" t="s">
        <v>237</v>
      </c>
      <c r="B491" s="20">
        <f>_xll.ciqfunctions.udf.CIQ(InputTicker,"IQ_INVENTORY_TURNS",Input!D$2,Date)</f>
        <v>8.3742800000000006</v>
      </c>
      <c r="C491" s="20">
        <f>_xll.ciqfunctions.udf.CIQ(InputTicker,"IQ_INVENTORY_TURNS",Input!E$2,Date)</f>
        <v>6.5229299999999997</v>
      </c>
      <c r="D491" s="20">
        <f>_xll.ciqfunctions.udf.CIQ(InputTicker,"IQ_INVENTORY_TURNS",Input!F$2,Date)</f>
        <v>6.9344700000000001</v>
      </c>
      <c r="E491" s="20">
        <f>_xll.ciqfunctions.udf.CIQ(InputTicker,"IQ_INVENTORY_TURNS",Input!G$2,Date)</f>
        <v>6.67875</v>
      </c>
      <c r="F491" s="20">
        <f>_xll.ciqfunctions.udf.CIQ(InputTicker,"IQ_INVENTORY_TURNS",Input!H$2,Date)</f>
        <v>6.5211399999999999</v>
      </c>
      <c r="G491" s="20">
        <f>_xll.ciqfunctions.udf.CIQ(InputTicker,"IQ_INVENTORY_TURNS",Input!I$2,Date)</f>
        <v>5.8597299999999999</v>
      </c>
      <c r="H491" s="20">
        <f>_xll.ciqfunctions.udf.CIQ(InputTicker,"IQ_INVENTORY_TURNS",Input!J$2,Date)</f>
        <v>5.9793500000000002</v>
      </c>
      <c r="I491" s="20">
        <f>_xll.ciqfunctions.udf.CIQ(InputTicker,"IQ_INVENTORY_TURNS",Input!K$2,Date)</f>
        <v>7.11937</v>
      </c>
      <c r="J491" s="20">
        <f>_xll.ciqfunctions.udf.CIQ(InputTicker,"IQ_INVENTORY_TURNS",Input!L$2,Date)</f>
        <v>6.5355999999999996</v>
      </c>
      <c r="K491" s="20">
        <f>_xll.ciqfunctions.udf.CIQ(InputTicker,"IQ_INVENTORY_TURNS",Input!M$2,Date)</f>
        <v>8.6500699999999995</v>
      </c>
      <c r="L491" s="20">
        <f>_xll.ciqfunctions.udf.CIQ(InputTicker,"IQ_INVENTORY_TURNS",Input!N$2,Date)</f>
        <v>6.6760099999999998</v>
      </c>
      <c r="M491" s="20">
        <f>_xll.ciqfunctions.udf.CIQ(InputTicker,"IQ_INVENTORY_TURNS",Input!O$2,Date)</f>
        <v>6.6760099999999998</v>
      </c>
      <c r="N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  <c r="BM491" s="42"/>
      <c r="BN491" s="42"/>
    </row>
    <row r="492" spans="1:66" ht="12.75" customHeight="1" x14ac:dyDescent="0.2">
      <c r="A492" s="19" t="s">
        <v>238</v>
      </c>
      <c r="B492" s="20">
        <f>_xll.ciqfunctions.udf.CIQ(InputTicker, "IQ_CURRENT_RATIO",Input!D$2,Date)</f>
        <v>7.5048000000000004</v>
      </c>
      <c r="C492" s="20">
        <f>_xll.ciqfunctions.udf.CIQ(InputTicker, "IQ_CURRENT_RATIO",Input!E$2,Date)</f>
        <v>6.7441700000000004</v>
      </c>
      <c r="D492" s="20">
        <f>_xll.ciqfunctions.udf.CIQ(InputTicker, "IQ_CURRENT_RATIO",Input!F$2,Date)</f>
        <v>5.4481700000000002</v>
      </c>
      <c r="E492" s="20">
        <f>_xll.ciqfunctions.udf.CIQ(InputTicker, "IQ_CURRENT_RATIO",Input!G$2,Date)</f>
        <v>7.57944</v>
      </c>
      <c r="F492" s="20">
        <f>_xll.ciqfunctions.udf.CIQ(InputTicker, "IQ_CURRENT_RATIO",Input!H$2,Date)</f>
        <v>5.6045699999999998</v>
      </c>
      <c r="G492" s="20">
        <f>_xll.ciqfunctions.udf.CIQ(InputTicker, "IQ_CURRENT_RATIO",Input!I$2,Date)</f>
        <v>5.7707899999999999</v>
      </c>
      <c r="H492" s="20">
        <f>_xll.ciqfunctions.udf.CIQ(InputTicker, "IQ_CURRENT_RATIO",Input!J$2,Date)</f>
        <v>3.58209</v>
      </c>
      <c r="I492" s="20">
        <f>_xll.ciqfunctions.udf.CIQ(InputTicker, "IQ_CURRENT_RATIO",Input!K$2,Date)</f>
        <v>6.15618</v>
      </c>
      <c r="J492" s="20">
        <f>_xll.ciqfunctions.udf.CIQ(InputTicker, "IQ_CURRENT_RATIO",Input!L$2,Date)</f>
        <v>5.4528100000000004</v>
      </c>
      <c r="K492" s="20">
        <f>_xll.ciqfunctions.udf.CIQ(InputTicker, "IQ_CURRENT_RATIO",Input!M$2,Date)</f>
        <v>6.3822799999999997</v>
      </c>
      <c r="L492" s="20">
        <f>_xll.ciqfunctions.udf.CIQ(InputTicker, "IQ_CURRENT_RATIO",Input!N$2,Date)</f>
        <v>7.6954700000000003</v>
      </c>
      <c r="M492" s="20">
        <f>_xll.ciqfunctions.udf.CIQ(InputTicker, "IQ_CURRENT_RATIO",Input!O$2,Date)</f>
        <v>7.6954700000000003</v>
      </c>
      <c r="N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  <c r="BG492" s="42"/>
      <c r="BH492" s="42"/>
      <c r="BI492" s="42"/>
      <c r="BJ492" s="42"/>
      <c r="BK492" s="42"/>
      <c r="BL492" s="42"/>
      <c r="BM492" s="42"/>
      <c r="BN492" s="42"/>
    </row>
    <row r="493" spans="1:66" ht="12.75" customHeight="1" x14ac:dyDescent="0.2">
      <c r="A493" s="19" t="s">
        <v>239</v>
      </c>
      <c r="B493" s="20">
        <f>_xll.ciqfunctions.udf.CIQ(InputTicker, "IQ_QUICK_RATIO",Input!D$2,Date)</f>
        <v>5.6179399999999999</v>
      </c>
      <c r="C493" s="20">
        <f>_xll.ciqfunctions.udf.CIQ(InputTicker, "IQ_QUICK_RATIO",Input!E$2,Date)</f>
        <v>4.2243399999999998</v>
      </c>
      <c r="D493" s="20">
        <f>_xll.ciqfunctions.udf.CIQ(InputTicker, "IQ_QUICK_RATIO",Input!F$2,Date)</f>
        <v>3.86558</v>
      </c>
      <c r="E493" s="20">
        <f>_xll.ciqfunctions.udf.CIQ(InputTicker, "IQ_QUICK_RATIO",Input!G$2,Date)</f>
        <v>5.2223199999999999</v>
      </c>
      <c r="F493" s="20">
        <f>_xll.ciqfunctions.udf.CIQ(InputTicker, "IQ_QUICK_RATIO",Input!H$2,Date)</f>
        <v>3.5485899999999999</v>
      </c>
      <c r="G493" s="20">
        <f>_xll.ciqfunctions.udf.CIQ(InputTicker, "IQ_QUICK_RATIO",Input!I$2,Date)</f>
        <v>3.2869999999999999</v>
      </c>
      <c r="H493" s="20">
        <f>_xll.ciqfunctions.udf.CIQ(InputTicker, "IQ_QUICK_RATIO",Input!J$2,Date)</f>
        <v>2.1330399999999998</v>
      </c>
      <c r="I493" s="20">
        <f>_xll.ciqfunctions.udf.CIQ(InputTicker, "IQ_QUICK_RATIO",Input!K$2,Date)</f>
        <v>4.5702499999999997</v>
      </c>
      <c r="J493" s="20">
        <f>_xll.ciqfunctions.udf.CIQ(InputTicker, "IQ_QUICK_RATIO",Input!L$2,Date)</f>
        <v>4.2803500000000003</v>
      </c>
      <c r="K493" s="20">
        <f>_xll.ciqfunctions.udf.CIQ(InputTicker, "IQ_QUICK_RATIO",Input!M$2,Date)</f>
        <v>5.3975900000000001</v>
      </c>
      <c r="L493" s="20">
        <f>_xll.ciqfunctions.udf.CIQ(InputTicker, "IQ_QUICK_RATIO",Input!N$2,Date)</f>
        <v>5.7829499999999996</v>
      </c>
      <c r="M493" s="20">
        <f>_xll.ciqfunctions.udf.CIQ(InputTicker, "IQ_QUICK_RATIO",Input!O$2,Date)</f>
        <v>5.7829499999999996</v>
      </c>
      <c r="N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  <c r="BG493" s="42"/>
      <c r="BH493" s="42"/>
      <c r="BI493" s="42"/>
      <c r="BJ493" s="42"/>
      <c r="BK493" s="42"/>
      <c r="BL493" s="42"/>
      <c r="BM493" s="42"/>
      <c r="BN493" s="42"/>
    </row>
    <row r="494" spans="1:66" ht="12.75" customHeight="1" x14ac:dyDescent="0.2">
      <c r="A494" s="19" t="s">
        <v>250</v>
      </c>
      <c r="B494" s="20">
        <f>_xll.ciqfunctions.udf.CIQ(InputTicker,"IQ_CFO_CURRENT_LIAB",Input!D$2,Date)</f>
        <v>4.6546700000000003</v>
      </c>
      <c r="C494" s="20">
        <f>_xll.ciqfunctions.udf.CIQ(InputTicker,"IQ_CFO_CURRENT_LIAB",Input!E$2,Date)</f>
        <v>-0.70994000000000002</v>
      </c>
      <c r="D494" s="20">
        <f>_xll.ciqfunctions.udf.CIQ(InputTicker,"IQ_CFO_CURRENT_LIAB",Input!F$2,Date)</f>
        <v>1.8584799999999999</v>
      </c>
      <c r="E494" s="20">
        <f>_xll.ciqfunctions.udf.CIQ(InputTicker,"IQ_CFO_CURRENT_LIAB",Input!G$2,Date)</f>
        <v>1.53637</v>
      </c>
      <c r="F494" s="20">
        <f>_xll.ciqfunctions.udf.CIQ(InputTicker,"IQ_CFO_CURRENT_LIAB",Input!H$2,Date)</f>
        <v>0.78993999999999998</v>
      </c>
      <c r="G494" s="20">
        <f>_xll.ciqfunctions.udf.CIQ(InputTicker,"IQ_CFO_CURRENT_LIAB",Input!I$2,Date)</f>
        <v>0.29009000000000001</v>
      </c>
      <c r="H494" s="20">
        <f>_xll.ciqfunctions.udf.CIQ(InputTicker,"IQ_CFO_CURRENT_LIAB",Input!J$2,Date)</f>
        <v>0.68342000000000003</v>
      </c>
      <c r="I494" s="20">
        <f>_xll.ciqfunctions.udf.CIQ(InputTicker,"IQ_CFO_CURRENT_LIAB",Input!K$2,Date)</f>
        <v>4.7228399999999997</v>
      </c>
      <c r="J494" s="20">
        <f>_xll.ciqfunctions.udf.CIQ(InputTicker,"IQ_CFO_CURRENT_LIAB",Input!L$2,Date)</f>
        <v>1.9820500000000001</v>
      </c>
      <c r="K494" s="20">
        <f>_xll.ciqfunctions.udf.CIQ(InputTicker,"IQ_CFO_CURRENT_LIAB",Input!M$2,Date)</f>
        <v>3.9716300000000002</v>
      </c>
      <c r="L494" s="20">
        <f>_xll.ciqfunctions.udf.CIQ(InputTicker,"IQ_CFO_CURRENT_LIAB",Input!N$2,Date)</f>
        <v>2.3343799999999999</v>
      </c>
      <c r="M494" s="20">
        <f>_xll.ciqfunctions.udf.CIQ(InputTicker,"IQ_CFO_CURRENT_LIAB",Input!O$2,Date)</f>
        <v>2.3343799999999999</v>
      </c>
      <c r="N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  <c r="BG494" s="42"/>
      <c r="BH494" s="42"/>
      <c r="BI494" s="42"/>
      <c r="BJ494" s="42"/>
      <c r="BK494" s="42"/>
      <c r="BL494" s="42"/>
      <c r="BM494" s="42"/>
      <c r="BN494" s="42"/>
    </row>
    <row r="495" spans="1:66" ht="12.75" customHeight="1" x14ac:dyDescent="0.2">
      <c r="A495" s="19" t="s">
        <v>247</v>
      </c>
      <c r="B495" s="4">
        <f>_xll.ciqfunctions.udf.CIQ(InputTicker, "IQ_DAYS_SALES_OUT",Input!D$2,Date)</f>
        <v>15.35425</v>
      </c>
      <c r="C495" s="4">
        <f>_xll.ciqfunctions.udf.CIQ(InputTicker, "IQ_DAYS_SALES_OUT",Input!E$2,Date)</f>
        <v>21.281300000000002</v>
      </c>
      <c r="D495" s="4">
        <f>_xll.ciqfunctions.udf.CIQ(InputTicker, "IQ_DAYS_SALES_OUT",Input!F$2,Date)</f>
        <v>17.19463</v>
      </c>
      <c r="E495" s="4">
        <f>_xll.ciqfunctions.udf.CIQ(InputTicker, "IQ_DAYS_SALES_OUT",Input!G$2,Date)</f>
        <v>18.42313</v>
      </c>
      <c r="F495" s="4">
        <f>_xll.ciqfunctions.udf.CIQ(InputTicker, "IQ_DAYS_SALES_OUT",Input!H$2,Date)</f>
        <v>19.12529</v>
      </c>
      <c r="G495" s="4">
        <f>_xll.ciqfunctions.udf.CIQ(InputTicker, "IQ_DAYS_SALES_OUT",Input!I$2,Date)</f>
        <v>22.13156</v>
      </c>
      <c r="H495" s="4">
        <f>_xll.ciqfunctions.udf.CIQ(InputTicker, "IQ_DAYS_SALES_OUT",Input!J$2,Date)</f>
        <v>25.415569999999999</v>
      </c>
      <c r="I495" s="4">
        <f>_xll.ciqfunctions.udf.CIQ(InputTicker, "IQ_DAYS_SALES_OUT",Input!K$2,Date)</f>
        <v>16.513950000000001</v>
      </c>
      <c r="J495" s="4">
        <f>_xll.ciqfunctions.udf.CIQ(InputTicker, "IQ_DAYS_SALES_OUT",Input!L$2,Date)</f>
        <v>19.520959999999999</v>
      </c>
      <c r="K495" s="4">
        <f>_xll.ciqfunctions.udf.CIQ(InputTicker, "IQ_DAYS_SALES_OUT",Input!M$2,Date)</f>
        <v>16.339600000000001</v>
      </c>
      <c r="L495" s="4">
        <f>_xll.ciqfunctions.udf.CIQ(InputTicker, "IQ_DAYS_SALES_OUT",Input!N$2,Date)</f>
        <v>23.773199999999999</v>
      </c>
      <c r="M495" s="4">
        <f>_xll.ciqfunctions.udf.CIQ(InputTicker, "IQ_DAYS_SALES_OUT",Input!O$2,Date)</f>
        <v>23.773199999999999</v>
      </c>
      <c r="N495" s="57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  <c r="BG495" s="42"/>
      <c r="BH495" s="42"/>
      <c r="BI495" s="42"/>
      <c r="BJ495" s="42"/>
      <c r="BK495" s="42"/>
      <c r="BL495" s="42"/>
      <c r="BM495" s="42"/>
      <c r="BN495" s="42"/>
    </row>
    <row r="496" spans="1:66" ht="12.75" customHeight="1" x14ac:dyDescent="0.2">
      <c r="A496" s="19" t="s">
        <v>248</v>
      </c>
      <c r="B496" s="4">
        <f>_xll.ciqfunctions.udf.CIQ(InputTicker, "IQ_DAYS_INVENTORY_OUT",Input!D$2,Date)</f>
        <v>43.466329999999999</v>
      </c>
      <c r="C496" s="4">
        <f>_xll.ciqfunctions.udf.CIQ(InputTicker, "IQ_DAYS_INVENTORY_OUT",Input!E$2,Date)</f>
        <v>56.876159999999999</v>
      </c>
      <c r="D496" s="4">
        <f>_xll.ciqfunctions.udf.CIQ(InputTicker, "IQ_DAYS_INVENTORY_OUT",Input!F$2,Date)</f>
        <v>52.491349999999997</v>
      </c>
      <c r="E496" s="4">
        <f>_xll.ciqfunctions.udf.CIQ(InputTicker, "IQ_DAYS_INVENTORY_OUT",Input!G$2,Date)</f>
        <v>54.500990000000002</v>
      </c>
      <c r="F496" s="4">
        <f>_xll.ciqfunctions.udf.CIQ(InputTicker, "IQ_DAYS_INVENTORY_OUT",Input!H$2,Date)</f>
        <v>55.818309999999997</v>
      </c>
      <c r="G496" s="4">
        <f>_xll.ciqfunctions.udf.CIQ(InputTicker, "IQ_DAYS_INVENTORY_OUT",Input!I$2,Date)</f>
        <v>62.118780000000001</v>
      </c>
      <c r="H496" s="4">
        <f>_xll.ciqfunctions.udf.CIQ(InputTicker, "IQ_DAYS_INVENTORY_OUT",Input!J$2,Date)</f>
        <v>60.876089999999998</v>
      </c>
      <c r="I496" s="4">
        <f>_xll.ciqfunctions.udf.CIQ(InputTicker, "IQ_DAYS_INVENTORY_OUT",Input!K$2,Date)</f>
        <v>52.11103</v>
      </c>
      <c r="J496" s="4">
        <f>_xll.ciqfunctions.udf.CIQ(InputTicker, "IQ_DAYS_INVENTORY_OUT",Input!L$2,Date)</f>
        <v>55.69491</v>
      </c>
      <c r="K496" s="4">
        <f>_xll.ciqfunctions.udf.CIQ(InputTicker, "IQ_DAYS_INVENTORY_OUT",Input!M$2,Date)</f>
        <v>42.080219999999997</v>
      </c>
      <c r="L496" s="4">
        <f>_xll.ciqfunctions.udf.CIQ(InputTicker, "IQ_DAYS_INVENTORY_OUT",Input!N$2,Date)</f>
        <v>54.523560000000003</v>
      </c>
      <c r="M496" s="4">
        <f>_xll.ciqfunctions.udf.CIQ(InputTicker, "IQ_DAYS_INVENTORY_OUT",Input!O$2,Date)</f>
        <v>54.523560000000003</v>
      </c>
      <c r="N496" s="57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2"/>
      <c r="BI496" s="42"/>
      <c r="BJ496" s="42"/>
      <c r="BK496" s="42"/>
      <c r="BL496" s="42"/>
      <c r="BM496" s="42"/>
      <c r="BN496" s="42"/>
    </row>
    <row r="497" spans="1:66" ht="12.75" customHeight="1" x14ac:dyDescent="0.2">
      <c r="A497" s="19" t="s">
        <v>249</v>
      </c>
      <c r="B497" s="4">
        <f>_xll.ciqfunctions.udf.CIQ(InputTicker,  "IQ_DAYS_PAYABLE_OUT",Input!D$2,Date)</f>
        <v>11.611599999999999</v>
      </c>
      <c r="C497" s="4">
        <f>_xll.ciqfunctions.udf.CIQ(InputTicker,  "IQ_DAYS_PAYABLE_OUT",Input!E$2,Date)</f>
        <v>11.989979999999999</v>
      </c>
      <c r="D497" s="4">
        <f>_xll.ciqfunctions.udf.CIQ(InputTicker,  "IQ_DAYS_PAYABLE_OUT",Input!F$2,Date)</f>
        <v>10.83737</v>
      </c>
      <c r="E497" s="4">
        <f>_xll.ciqfunctions.udf.CIQ(InputTicker,  "IQ_DAYS_PAYABLE_OUT",Input!G$2,Date)</f>
        <v>12.2799</v>
      </c>
      <c r="F497" s="4">
        <f>_xll.ciqfunctions.udf.CIQ(InputTicker,  "IQ_DAYS_PAYABLE_OUT",Input!H$2,Date)</f>
        <v>14.583299999999999</v>
      </c>
      <c r="G497" s="4">
        <f>_xll.ciqfunctions.udf.CIQ(InputTicker,  "IQ_DAYS_PAYABLE_OUT",Input!I$2,Date)</f>
        <v>16.220929999999999</v>
      </c>
      <c r="H497" s="4">
        <f>_xll.ciqfunctions.udf.CIQ(InputTicker,  "IQ_DAYS_PAYABLE_OUT",Input!J$2,Date)</f>
        <v>16.524509999999999</v>
      </c>
      <c r="I497" s="4">
        <f>_xll.ciqfunctions.udf.CIQ(InputTicker,  "IQ_DAYS_PAYABLE_OUT",Input!K$2,Date)</f>
        <v>15.49593</v>
      </c>
      <c r="J497" s="4">
        <f>_xll.ciqfunctions.udf.CIQ(InputTicker,  "IQ_DAYS_PAYABLE_OUT",Input!L$2,Date)</f>
        <v>16.364350000000002</v>
      </c>
      <c r="K497" s="4">
        <f>_xll.ciqfunctions.udf.CIQ(InputTicker,  "IQ_DAYS_PAYABLE_OUT",Input!M$2,Date)</f>
        <v>13.168060000000001</v>
      </c>
      <c r="L497" s="4">
        <f>_xll.ciqfunctions.udf.CIQ(InputTicker,  "IQ_DAYS_PAYABLE_OUT",Input!N$2,Date)</f>
        <v>15.470359999999999</v>
      </c>
      <c r="M497" s="4">
        <f>_xll.ciqfunctions.udf.CIQ(InputTicker,  "IQ_DAYS_PAYABLE_OUT",Input!O$2,Date)</f>
        <v>15.470359999999999</v>
      </c>
      <c r="N497" s="57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  <c r="BG497" s="42"/>
      <c r="BH497" s="42"/>
      <c r="BI497" s="42"/>
      <c r="BJ497" s="42"/>
      <c r="BK497" s="42"/>
      <c r="BL497" s="42"/>
      <c r="BM497" s="42"/>
      <c r="BN497" s="42"/>
    </row>
    <row r="498" spans="1:66" ht="12.75" customHeight="1" x14ac:dyDescent="0.2">
      <c r="A498" s="19" t="s">
        <v>240</v>
      </c>
      <c r="B498" s="4">
        <f>_xll.ciqfunctions.udf.CIQ(InputTicker, "IQ_CASH_CONVERSION",Input!D$2,Date)</f>
        <v>47.208979999999997</v>
      </c>
      <c r="C498" s="4">
        <f>_xll.ciqfunctions.udf.CIQ(InputTicker, "IQ_CASH_CONVERSION",Input!E$2,Date)</f>
        <v>66.167479999999998</v>
      </c>
      <c r="D498" s="4">
        <f>_xll.ciqfunctions.udf.CIQ(InputTicker, "IQ_CASH_CONVERSION",Input!F$2,Date)</f>
        <v>58.848610000000001</v>
      </c>
      <c r="E498" s="4">
        <f>_xll.ciqfunctions.udf.CIQ(InputTicker, "IQ_CASH_CONVERSION",Input!G$2,Date)</f>
        <v>60.644219999999997</v>
      </c>
      <c r="F498" s="4">
        <f>_xll.ciqfunctions.udf.CIQ(InputTicker, "IQ_CASH_CONVERSION",Input!H$2,Date)</f>
        <v>60.360300000000002</v>
      </c>
      <c r="G498" s="4">
        <f>_xll.ciqfunctions.udf.CIQ(InputTicker, "IQ_CASH_CONVERSION",Input!I$2,Date)</f>
        <v>68.029420000000002</v>
      </c>
      <c r="H498" s="4">
        <f>_xll.ciqfunctions.udf.CIQ(InputTicker, "IQ_CASH_CONVERSION",Input!J$2,Date)</f>
        <v>69.767150000000001</v>
      </c>
      <c r="I498" s="4">
        <f>_xll.ciqfunctions.udf.CIQ(InputTicker, "IQ_CASH_CONVERSION",Input!K$2,Date)</f>
        <v>53.129060000000003</v>
      </c>
      <c r="J498" s="4">
        <f>_xll.ciqfunctions.udf.CIQ(InputTicker, "IQ_CASH_CONVERSION",Input!L$2,Date)</f>
        <v>58.851520000000001</v>
      </c>
      <c r="K498" s="4">
        <f>_xll.ciqfunctions.udf.CIQ(InputTicker, "IQ_CASH_CONVERSION",Input!M$2,Date)</f>
        <v>45.251750000000001</v>
      </c>
      <c r="L498" s="4">
        <f>_xll.ciqfunctions.udf.CIQ(InputTicker, "IQ_CASH_CONVERSION",Input!N$2,Date)</f>
        <v>62.8264</v>
      </c>
      <c r="M498" s="4">
        <f>_xll.ciqfunctions.udf.CIQ(InputTicker, "IQ_CASH_CONVERSION",Input!O$2,Date)</f>
        <v>62.8264</v>
      </c>
      <c r="N498" s="57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  <c r="BG498" s="42"/>
      <c r="BH498" s="42"/>
      <c r="BI498" s="42"/>
      <c r="BJ498" s="42"/>
      <c r="BK498" s="42"/>
      <c r="BL498" s="42"/>
      <c r="BM498" s="42"/>
      <c r="BN498" s="42"/>
    </row>
    <row r="499" spans="1:66" ht="12.75" customHeight="1" x14ac:dyDescent="0.2">
      <c r="A499" s="19" t="s">
        <v>251</v>
      </c>
      <c r="B499" s="4">
        <f>_xll.ciqfunctions.udf.CIQ(InputTicker, "IQ_TOTAL_DEBT_EQUITY",Input!D$2,Date)</f>
        <v>2.7873000000000001</v>
      </c>
      <c r="C499" s="4">
        <f>_xll.ciqfunctions.udf.CIQ(InputTicker, "IQ_TOTAL_DEBT_EQUITY",Input!E$2,Date)</f>
        <v>1.2952999999999999</v>
      </c>
      <c r="D499" s="4">
        <f>_xll.ciqfunctions.udf.CIQ(InputTicker, "IQ_TOTAL_DEBT_EQUITY",Input!F$2,Date)</f>
        <v>0.63719999999999999</v>
      </c>
      <c r="E499" s="4">
        <f>_xll.ciqfunctions.udf.CIQ(InputTicker, "IQ_TOTAL_DEBT_EQUITY",Input!G$2,Date)</f>
        <v>0.25800000000000001</v>
      </c>
      <c r="F499" s="4">
        <f>_xll.ciqfunctions.udf.CIQ(InputTicker, "IQ_TOTAL_DEBT_EQUITY",Input!H$2,Date)</f>
        <v>0.33550000000000002</v>
      </c>
      <c r="G499" s="4">
        <f>_xll.ciqfunctions.udf.CIQ(InputTicker, "IQ_TOTAL_DEBT_EQUITY",Input!I$2,Date)</f>
        <v>0.23469999999999999</v>
      </c>
      <c r="H499" s="4">
        <f>_xll.ciqfunctions.udf.CIQ(InputTicker, "IQ_TOTAL_DEBT_EQUITY",Input!J$2,Date)</f>
        <v>0</v>
      </c>
      <c r="I499" s="4">
        <f>_xll.ciqfunctions.udf.CIQ(InputTicker, "IQ_TOTAL_DEBT_EQUITY",Input!K$2,Date)</f>
        <v>0</v>
      </c>
      <c r="J499" s="4">
        <f>_xll.ciqfunctions.udf.CIQ(InputTicker, "IQ_TOTAL_DEBT_EQUITY",Input!L$2,Date)</f>
        <v>0</v>
      </c>
      <c r="K499" s="4">
        <f>_xll.ciqfunctions.udf.CIQ(InputTicker, "IQ_TOTAL_DEBT_EQUITY",Input!M$2,Date)</f>
        <v>0</v>
      </c>
      <c r="L499" s="4">
        <f>_xll.ciqfunctions.udf.CIQ(InputTicker, "IQ_TOTAL_DEBT_EQUITY",Input!N$2,Date)</f>
        <v>0</v>
      </c>
      <c r="M499" s="4">
        <f>_xll.ciqfunctions.udf.CIQ(InputTicker, "IQ_TOTAL_DEBT_EQUITY",Input!O$2,Date)</f>
        <v>0</v>
      </c>
      <c r="N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  <c r="BM499" s="42"/>
      <c r="BN499" s="42"/>
    </row>
    <row r="500" spans="1:66" ht="12.75" customHeight="1" x14ac:dyDescent="0.2">
      <c r="A500" s="19" t="s">
        <v>252</v>
      </c>
      <c r="B500" s="4">
        <f>_xll.ciqfunctions.udf.CIQ(InputTicker, "IQ_TOTAL_DEBT_CAPITAL",Input!D$2,Date)</f>
        <v>2.7117</v>
      </c>
      <c r="C500" s="4">
        <f>_xll.ciqfunctions.udf.CIQ(InputTicker, "IQ_TOTAL_DEBT_CAPITAL",Input!E$2,Date)</f>
        <v>1.2786999999999999</v>
      </c>
      <c r="D500" s="4">
        <f>_xll.ciqfunctions.udf.CIQ(InputTicker, "IQ_TOTAL_DEBT_CAPITAL",Input!F$2,Date)</f>
        <v>0.63319999999999999</v>
      </c>
      <c r="E500" s="4">
        <f>_xll.ciqfunctions.udf.CIQ(InputTicker, "IQ_TOTAL_DEBT_CAPITAL",Input!G$2,Date)</f>
        <v>0.25729999999999997</v>
      </c>
      <c r="F500" s="4">
        <f>_xll.ciqfunctions.udf.CIQ(InputTicker, "IQ_TOTAL_DEBT_CAPITAL",Input!H$2,Date)</f>
        <v>0.33439999999999998</v>
      </c>
      <c r="G500" s="4">
        <f>_xll.ciqfunctions.udf.CIQ(InputTicker, "IQ_TOTAL_DEBT_CAPITAL",Input!I$2,Date)</f>
        <v>0.23419999999999999</v>
      </c>
      <c r="H500" s="4">
        <f>_xll.ciqfunctions.udf.CIQ(InputTicker, "IQ_TOTAL_DEBT_CAPITAL",Input!J$2,Date)</f>
        <v>0</v>
      </c>
      <c r="I500" s="4">
        <f>_xll.ciqfunctions.udf.CIQ(InputTicker, "IQ_TOTAL_DEBT_CAPITAL",Input!K$2,Date)</f>
        <v>0</v>
      </c>
      <c r="J500" s="4">
        <f>_xll.ciqfunctions.udf.CIQ(InputTicker, "IQ_TOTAL_DEBT_CAPITAL",Input!L$2,Date)</f>
        <v>0</v>
      </c>
      <c r="K500" s="4">
        <f>_xll.ciqfunctions.udf.CIQ(InputTicker, "IQ_TOTAL_DEBT_CAPITAL",Input!M$2,Date)</f>
        <v>0</v>
      </c>
      <c r="L500" s="4">
        <f>_xll.ciqfunctions.udf.CIQ(InputTicker, "IQ_TOTAL_DEBT_CAPITAL",Input!N$2,Date)</f>
        <v>0</v>
      </c>
      <c r="M500" s="4">
        <f>_xll.ciqfunctions.udf.CIQ(InputTicker, "IQ_TOTAL_DEBT_CAPITAL",Input!O$2,Date)</f>
        <v>0</v>
      </c>
      <c r="N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  <c r="BM500" s="42"/>
      <c r="BN500" s="42"/>
    </row>
    <row r="501" spans="1:66" ht="12.75" customHeight="1" x14ac:dyDescent="0.2">
      <c r="A501" s="19" t="s">
        <v>253</v>
      </c>
      <c r="B501" s="4">
        <f>_xll.ciqfunctions.udf.CIQ(InputTicker,  "IQ_LT_DEBT_EQUITY",Input!D$2,Date)</f>
        <v>1.0083</v>
      </c>
      <c r="C501" s="4">
        <f>_xll.ciqfunctions.udf.CIQ(InputTicker,  "IQ_LT_DEBT_EQUITY",Input!E$2,Date)</f>
        <v>0.7238</v>
      </c>
      <c r="D501" s="4">
        <f>_xll.ciqfunctions.udf.CIQ(InputTicker,  "IQ_LT_DEBT_EQUITY",Input!F$2,Date)</f>
        <v>0.26719999999999999</v>
      </c>
      <c r="E501" s="4">
        <f>_xll.ciqfunctions.udf.CIQ(InputTicker,  "IQ_LT_DEBT_EQUITY",Input!G$2,Date)</f>
        <v>8.6599999999999996E-2</v>
      </c>
      <c r="F501" s="4">
        <f>_xll.ciqfunctions.udf.CIQ(InputTicker,  "IQ_LT_DEBT_EQUITY",Input!H$2,Date)</f>
        <v>0.2364</v>
      </c>
      <c r="G501" s="4">
        <f>_xll.ciqfunctions.udf.CIQ(InputTicker,  "IQ_LT_DEBT_EQUITY",Input!I$2,Date)</f>
        <v>0.14530000000000001</v>
      </c>
      <c r="H501" s="4">
        <f>_xll.ciqfunctions.udf.CIQ(InputTicker,  "IQ_LT_DEBT_EQUITY",Input!J$2,Date)</f>
        <v>0</v>
      </c>
      <c r="I501" s="4">
        <f>_xll.ciqfunctions.udf.CIQ(InputTicker,  "IQ_LT_DEBT_EQUITY",Input!K$2,Date)</f>
        <v>0</v>
      </c>
      <c r="J501" s="4">
        <f>_xll.ciqfunctions.udf.CIQ(InputTicker,  "IQ_LT_DEBT_EQUITY",Input!L$2,Date)</f>
        <v>0</v>
      </c>
      <c r="K501" s="4">
        <f>_xll.ciqfunctions.udf.CIQ(InputTicker,  "IQ_LT_DEBT_EQUITY",Input!M$2,Date)</f>
        <v>0</v>
      </c>
      <c r="L501" s="4">
        <f>_xll.ciqfunctions.udf.CIQ(InputTicker,  "IQ_LT_DEBT_EQUITY",Input!N$2,Date)</f>
        <v>0</v>
      </c>
      <c r="M501" s="4">
        <f>_xll.ciqfunctions.udf.CIQ(InputTicker,  "IQ_LT_DEBT_EQUITY",Input!O$2,Date)</f>
        <v>0</v>
      </c>
      <c r="N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  <c r="BG501" s="42"/>
      <c r="BH501" s="42"/>
      <c r="BI501" s="42"/>
      <c r="BJ501" s="42"/>
      <c r="BK501" s="42"/>
      <c r="BL501" s="42"/>
      <c r="BM501" s="42"/>
      <c r="BN501" s="42"/>
    </row>
    <row r="502" spans="1:66" ht="12.75" customHeight="1" x14ac:dyDescent="0.2">
      <c r="A502" s="19" t="s">
        <v>254</v>
      </c>
      <c r="B502" s="4">
        <f>_xll.ciqfunctions.udf.CIQ(InputTicker, "IQ_LT_DEBT_CAPITAL",Input!D$2,Date)</f>
        <v>0.98089999999999999</v>
      </c>
      <c r="C502" s="4">
        <f>_xll.ciqfunctions.udf.CIQ(InputTicker, "IQ_LT_DEBT_CAPITAL",Input!E$2,Date)</f>
        <v>0.71460000000000001</v>
      </c>
      <c r="D502" s="4">
        <f>_xll.ciqfunctions.udf.CIQ(InputTicker, "IQ_LT_DEBT_CAPITAL",Input!F$2,Date)</f>
        <v>0.26550000000000001</v>
      </c>
      <c r="E502" s="4">
        <f>_xll.ciqfunctions.udf.CIQ(InputTicker, "IQ_LT_DEBT_CAPITAL",Input!G$2,Date)</f>
        <v>8.6400000000000005E-2</v>
      </c>
      <c r="F502" s="4">
        <f>_xll.ciqfunctions.udf.CIQ(InputTicker, "IQ_LT_DEBT_CAPITAL",Input!H$2,Date)</f>
        <v>0.2356</v>
      </c>
      <c r="G502" s="4">
        <f>_xll.ciqfunctions.udf.CIQ(InputTicker, "IQ_LT_DEBT_CAPITAL",Input!I$2,Date)</f>
        <v>0.14499999999999999</v>
      </c>
      <c r="H502" s="4">
        <f>_xll.ciqfunctions.udf.CIQ(InputTicker, "IQ_LT_DEBT_CAPITAL",Input!J$2,Date)</f>
        <v>0</v>
      </c>
      <c r="I502" s="4">
        <f>_xll.ciqfunctions.udf.CIQ(InputTicker, "IQ_LT_DEBT_CAPITAL",Input!K$2,Date)</f>
        <v>0</v>
      </c>
      <c r="J502" s="4">
        <f>_xll.ciqfunctions.udf.CIQ(InputTicker, "IQ_LT_DEBT_CAPITAL",Input!L$2,Date)</f>
        <v>0</v>
      </c>
      <c r="K502" s="4">
        <f>_xll.ciqfunctions.udf.CIQ(InputTicker, "IQ_LT_DEBT_CAPITAL",Input!M$2,Date)</f>
        <v>0</v>
      </c>
      <c r="L502" s="4">
        <f>_xll.ciqfunctions.udf.CIQ(InputTicker, "IQ_LT_DEBT_CAPITAL",Input!N$2,Date)</f>
        <v>0</v>
      </c>
      <c r="M502" s="4">
        <f>_xll.ciqfunctions.udf.CIQ(InputTicker, "IQ_LT_DEBT_CAPITAL",Input!O$2,Date)</f>
        <v>0</v>
      </c>
      <c r="N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  <c r="BM502" s="42"/>
      <c r="BN502" s="42"/>
    </row>
    <row r="503" spans="1:66" ht="12.75" customHeight="1" x14ac:dyDescent="0.2">
      <c r="A503" s="19" t="s">
        <v>255</v>
      </c>
      <c r="B503" s="4">
        <f>_xll.ciqfunctions.udf.CIQ(InputTicker, "IQ_TOTAL_LIAB_TOTAL_ASSETS",Input!D$2,Date)</f>
        <v>17.486000000000001</v>
      </c>
      <c r="C503" s="4">
        <f>_xll.ciqfunctions.udf.CIQ(InputTicker, "IQ_TOTAL_LIAB_TOTAL_ASSETS",Input!E$2,Date)</f>
        <v>18.2559</v>
      </c>
      <c r="D503" s="4">
        <f>_xll.ciqfunctions.udf.CIQ(InputTicker, "IQ_TOTAL_LIAB_TOTAL_ASSETS",Input!F$2,Date)</f>
        <v>16.929500000000001</v>
      </c>
      <c r="E503" s="4">
        <f>_xll.ciqfunctions.udf.CIQ(InputTicker, "IQ_TOTAL_LIAB_TOTAL_ASSETS",Input!G$2,Date)</f>
        <v>14.3972</v>
      </c>
      <c r="F503" s="4">
        <f>_xll.ciqfunctions.udf.CIQ(InputTicker, "IQ_TOTAL_LIAB_TOTAL_ASSETS",Input!H$2,Date)</f>
        <v>16.327100000000002</v>
      </c>
      <c r="G503" s="4">
        <f>_xll.ciqfunctions.udf.CIQ(InputTicker, "IQ_TOTAL_LIAB_TOTAL_ASSETS",Input!I$2,Date)</f>
        <v>17.604700000000001</v>
      </c>
      <c r="H503" s="4">
        <f>_xll.ciqfunctions.udf.CIQ(InputTicker, "IQ_TOTAL_LIAB_TOTAL_ASSETS",Input!J$2,Date)</f>
        <v>22.6372</v>
      </c>
      <c r="I503" s="4">
        <f>_xll.ciqfunctions.udf.CIQ(InputTicker, "IQ_TOTAL_LIAB_TOTAL_ASSETS",Input!K$2,Date)</f>
        <v>17.648299999999999</v>
      </c>
      <c r="J503" s="4">
        <f>_xll.ciqfunctions.udf.CIQ(InputTicker, "IQ_TOTAL_LIAB_TOTAL_ASSETS",Input!L$2,Date)</f>
        <v>17.746400000000001</v>
      </c>
      <c r="K503" s="4">
        <f>_xll.ciqfunctions.udf.CIQ(InputTicker, "IQ_TOTAL_LIAB_TOTAL_ASSETS",Input!M$2,Date)</f>
        <v>16.8125</v>
      </c>
      <c r="L503" s="4">
        <f>_xll.ciqfunctions.udf.CIQ(InputTicker, "IQ_TOTAL_LIAB_TOTAL_ASSETS",Input!N$2,Date)</f>
        <v>15.029</v>
      </c>
      <c r="M503" s="4">
        <f>_xll.ciqfunctions.udf.CIQ(InputTicker, "IQ_TOTAL_LIAB_TOTAL_ASSETS",Input!O$2,Date)</f>
        <v>15.029</v>
      </c>
      <c r="N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  <c r="BG503" s="42"/>
      <c r="BH503" s="42"/>
      <c r="BI503" s="42"/>
      <c r="BJ503" s="42"/>
      <c r="BK503" s="42"/>
      <c r="BL503" s="42"/>
      <c r="BM503" s="42"/>
      <c r="BN503" s="42"/>
    </row>
    <row r="504" spans="1:66" ht="12.75" customHeight="1" x14ac:dyDescent="0.2">
      <c r="A504" s="19" t="s">
        <v>241</v>
      </c>
      <c r="B504" s="20">
        <f>_xll.ciqfunctions.udf.CIQ(InputTicker, "IQ_EBIT_INT",Input!D$2,Date)</f>
        <v>406.84602000000001</v>
      </c>
      <c r="C504" s="20" t="str">
        <f>_xll.ciqfunctions.udf.CIQ(InputTicker, "IQ_EBIT_INT",Input!E$2,Date)</f>
        <v>NM</v>
      </c>
      <c r="D504" s="20">
        <f>_xll.ciqfunctions.udf.CIQ(InputTicker, "IQ_EBIT_INT",Input!F$2,Date)</f>
        <v>685.77358000000004</v>
      </c>
      <c r="E504" s="20">
        <f>_xll.ciqfunctions.udf.CIQ(InputTicker, "IQ_EBIT_INT",Input!G$2,Date)</f>
        <v>71.139750000000006</v>
      </c>
      <c r="F504" s="20">
        <f>_xll.ciqfunctions.udf.CIQ(InputTicker, "IQ_EBIT_INT",Input!H$2,Date)</f>
        <v>2.71285</v>
      </c>
      <c r="G504" s="20" t="str">
        <f>_xll.ciqfunctions.udf.CIQ(InputTicker, "IQ_EBIT_INT",Input!I$2,Date)</f>
        <v>NM</v>
      </c>
      <c r="H504" s="20">
        <f>_xll.ciqfunctions.udf.CIQ(InputTicker, "IQ_EBIT_INT",Input!J$2,Date)</f>
        <v>343.49380000000002</v>
      </c>
      <c r="I504" s="20">
        <f>_xll.ciqfunctions.udf.CIQ(InputTicker, "IQ_EBIT_INT",Input!K$2,Date)</f>
        <v>1653.9451100000001</v>
      </c>
      <c r="J504" s="20">
        <f>_xll.ciqfunctions.udf.CIQ(InputTicker, "IQ_EBIT_INT",Input!L$2,Date)</f>
        <v>536.33150999999998</v>
      </c>
      <c r="K504" s="20">
        <f>_xll.ciqfunctions.udf.CIQ(InputTicker, "IQ_EBIT_INT",Input!M$2,Date)</f>
        <v>2545.8104600000001</v>
      </c>
      <c r="L504" s="20">
        <f>_xll.ciqfunctions.udf.CIQ(InputTicker, "IQ_EBIT_INT",Input!N$2,Date)</f>
        <v>617.53957000000003</v>
      </c>
      <c r="M504" s="20">
        <f>_xll.ciqfunctions.udf.CIQ(InputTicker, "IQ_EBIT_INT",Input!O$2,Date)</f>
        <v>617.53957000000003</v>
      </c>
      <c r="N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  <c r="BG504" s="42"/>
      <c r="BH504" s="42"/>
      <c r="BI504" s="42"/>
      <c r="BJ504" s="42"/>
      <c r="BK504" s="42"/>
      <c r="BL504" s="42"/>
      <c r="BM504" s="42"/>
      <c r="BN504" s="42"/>
    </row>
    <row r="505" spans="1:66" ht="12.75" customHeight="1" x14ac:dyDescent="0.2">
      <c r="A505" s="19" t="s">
        <v>245</v>
      </c>
      <c r="B505" s="20">
        <f>_xll.ciqfunctions.udf.CIQ(InputTicker,  "IQ_EBITDA_INT",Input!D$2,Date)</f>
        <v>445.42041999999998</v>
      </c>
      <c r="C505" s="20" t="str">
        <f>_xll.ciqfunctions.udf.CIQ(InputTicker,  "IQ_EBITDA_INT",Input!E$2,Date)</f>
        <v>NM</v>
      </c>
      <c r="D505" s="20">
        <f>_xll.ciqfunctions.udf.CIQ(InputTicker,  "IQ_EBITDA_INT",Input!F$2,Date)</f>
        <v>889.64527999999996</v>
      </c>
      <c r="E505" s="20">
        <f>_xll.ciqfunctions.udf.CIQ(InputTicker,  "IQ_EBITDA_INT",Input!G$2,Date)</f>
        <v>156</v>
      </c>
      <c r="F505" s="20">
        <f>_xll.ciqfunctions.udf.CIQ(InputTicker,  "IQ_EBITDA_INT",Input!H$2,Date)</f>
        <v>128.82328999999999</v>
      </c>
      <c r="G505" s="20">
        <f>_xll.ciqfunctions.udf.CIQ(InputTicker,  "IQ_EBITDA_INT",Input!I$2,Date)</f>
        <v>191.31924000000001</v>
      </c>
      <c r="H505" s="20">
        <f>_xll.ciqfunctions.udf.CIQ(InputTicker,  "IQ_EBITDA_INT",Input!J$2,Date)</f>
        <v>513.20844</v>
      </c>
      <c r="I505" s="20">
        <f>_xll.ciqfunctions.udf.CIQ(InputTicker,  "IQ_EBITDA_INT",Input!K$2,Date)</f>
        <v>1777.84563</v>
      </c>
      <c r="J505" s="20">
        <f>_xll.ciqfunctions.udf.CIQ(InputTicker,  "IQ_EBITDA_INT",Input!L$2,Date)</f>
        <v>682.48997999999995</v>
      </c>
      <c r="K505" s="20">
        <f>_xll.ciqfunctions.udf.CIQ(InputTicker,  "IQ_EBITDA_INT",Input!M$2,Date)</f>
        <v>2699.4395399999999</v>
      </c>
      <c r="L505" s="20">
        <f>_xll.ciqfunctions.udf.CIQ(InputTicker,  "IQ_EBITDA_INT",Input!N$2,Date)</f>
        <v>841.17625999999996</v>
      </c>
      <c r="M505" s="20">
        <f>_xll.ciqfunctions.udf.CIQ(InputTicker,  "IQ_EBITDA_INT",Input!O$2,Date)</f>
        <v>841.17625999999996</v>
      </c>
      <c r="N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  <c r="BG505" s="42"/>
      <c r="BH505" s="42"/>
      <c r="BI505" s="42"/>
      <c r="BJ505" s="42"/>
      <c r="BK505" s="42"/>
      <c r="BL505" s="42"/>
      <c r="BM505" s="42"/>
      <c r="BN505" s="42"/>
    </row>
    <row r="506" spans="1:66" ht="12.75" customHeight="1" x14ac:dyDescent="0.2">
      <c r="A506" s="43" t="s">
        <v>495</v>
      </c>
      <c r="B506" s="20">
        <f>_xll.ciqfunctions.udf.CIQ(InputTicker,  "IQ_EBITDA_EXCL_OPER_LEASES_INT",Input!D$2,Date)</f>
        <v>445.42041999999998</v>
      </c>
      <c r="C506" s="20" t="str">
        <f>_xll.ciqfunctions.udf.CIQ(InputTicker,  "IQ_EBITDA_EXCL_OPER_LEASES_INT",Input!E$2,Date)</f>
        <v>NM</v>
      </c>
      <c r="D506" s="20">
        <f>_xll.ciqfunctions.udf.CIQ(InputTicker,  "IQ_EBITDA_EXCL_OPER_LEASES_INT",Input!F$2,Date)</f>
        <v>889.64527999999996</v>
      </c>
      <c r="E506" s="20">
        <f>_xll.ciqfunctions.udf.CIQ(InputTicker,  "IQ_EBITDA_EXCL_OPER_LEASES_INT",Input!G$2,Date)</f>
        <v>156</v>
      </c>
      <c r="F506" s="20">
        <f>_xll.ciqfunctions.udf.CIQ(InputTicker,  "IQ_EBITDA_EXCL_OPER_LEASES_INT",Input!H$2,Date)</f>
        <v>119.38554000000001</v>
      </c>
      <c r="G506" s="20">
        <f>_xll.ciqfunctions.udf.CIQ(InputTicker,  "IQ_EBITDA_EXCL_OPER_LEASES_INT",Input!I$2,Date)</f>
        <v>169.92957999999999</v>
      </c>
      <c r="H506" s="20">
        <f>_xll.ciqfunctions.udf.CIQ(InputTicker,  "IQ_EBITDA_EXCL_OPER_LEASES_INT",Input!J$2,Date)</f>
        <v>513.20844</v>
      </c>
      <c r="I506" s="20">
        <f>_xll.ciqfunctions.udf.CIQ(InputTicker,  "IQ_EBITDA_EXCL_OPER_LEASES_INT",Input!K$2,Date)</f>
        <v>1777.84563</v>
      </c>
      <c r="J506" s="20">
        <f>_xll.ciqfunctions.udf.CIQ(InputTicker,  "IQ_EBITDA_EXCL_OPER_LEASES_INT",Input!L$2,Date)</f>
        <v>682.48997999999995</v>
      </c>
      <c r="K506" s="20">
        <f>_xll.ciqfunctions.udf.CIQ(InputTicker,  "IQ_EBITDA_EXCL_OPER_LEASES_INT",Input!M$2,Date)</f>
        <v>2699.4395399999999</v>
      </c>
      <c r="L506" s="20">
        <f>_xll.ciqfunctions.udf.CIQ(InputTicker,  "IQ_EBITDA_EXCL_OPER_LEASES_INT",Input!N$2,Date)</f>
        <v>841.17625999999996</v>
      </c>
      <c r="M506" s="20">
        <f>_xll.ciqfunctions.udf.CIQ(InputTicker,  "IQ_EBITDA_EXCL_OPER_LEASES_INT",Input!O$2,Date)</f>
        <v>841.17625999999996</v>
      </c>
      <c r="N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  <c r="BG506" s="42"/>
      <c r="BH506" s="42"/>
      <c r="BI506" s="42"/>
      <c r="BJ506" s="42"/>
      <c r="BK506" s="42"/>
      <c r="BL506" s="42"/>
      <c r="BM506" s="42"/>
      <c r="BN506" s="42"/>
    </row>
    <row r="507" spans="1:66" ht="12.75" customHeight="1" x14ac:dyDescent="0.2">
      <c r="A507" s="19" t="s">
        <v>246</v>
      </c>
      <c r="B507" s="20">
        <f>_xll.ciqfunctions.udf.CIQ(InputTicker, "IQ_EBITDA_CAPEX_INT",Input!D$2,Date)</f>
        <v>379.56833999999998</v>
      </c>
      <c r="C507" s="20" t="str">
        <f>_xll.ciqfunctions.udf.CIQ(InputTicker, "IQ_EBITDA_CAPEX_INT",Input!E$2,Date)</f>
        <v>NM</v>
      </c>
      <c r="D507" s="20">
        <f>_xll.ciqfunctions.udf.CIQ(InputTicker, "IQ_EBITDA_CAPEX_INT",Input!F$2,Date)</f>
        <v>815.41508999999996</v>
      </c>
      <c r="E507" s="20">
        <f>_xll.ciqfunctions.udf.CIQ(InputTicker, "IQ_EBITDA_CAPEX_INT",Input!G$2,Date)</f>
        <v>50.427019999999999</v>
      </c>
      <c r="F507" s="20" t="str">
        <f>_xll.ciqfunctions.udf.CIQ(InputTicker, "IQ_EBITDA_CAPEX_INT",Input!H$2,Date)</f>
        <v>NM</v>
      </c>
      <c r="G507" s="20" t="str">
        <f>_xll.ciqfunctions.udf.CIQ(InputTicker, "IQ_EBITDA_CAPEX_INT",Input!I$2,Date)</f>
        <v>NM</v>
      </c>
      <c r="H507" s="20">
        <f>_xll.ciqfunctions.udf.CIQ(InputTicker, "IQ_EBITDA_CAPEX_INT",Input!J$2,Date)</f>
        <v>333.55831000000001</v>
      </c>
      <c r="I507" s="20">
        <f>_xll.ciqfunctions.udf.CIQ(InputTicker, "IQ_EBITDA_CAPEX_INT",Input!K$2,Date)</f>
        <v>1543.59348</v>
      </c>
      <c r="J507" s="20">
        <f>_xll.ciqfunctions.udf.CIQ(InputTicker, "IQ_EBITDA_CAPEX_INT",Input!L$2,Date)</f>
        <v>414.51913000000002</v>
      </c>
      <c r="K507" s="20">
        <f>_xll.ciqfunctions.udf.CIQ(InputTicker, "IQ_EBITDA_CAPEX_INT",Input!M$2,Date)</f>
        <v>2435.9509800000001</v>
      </c>
      <c r="L507" s="20">
        <f>_xll.ciqfunctions.udf.CIQ(InputTicker, "IQ_EBITDA_CAPEX_INT",Input!N$2,Date)</f>
        <v>569.19784000000004</v>
      </c>
      <c r="M507" s="20">
        <f>_xll.ciqfunctions.udf.CIQ(InputTicker, "IQ_EBITDA_CAPEX_INT",Input!O$2,Date)</f>
        <v>569.19784000000004</v>
      </c>
      <c r="N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  <c r="BG507" s="42"/>
      <c r="BH507" s="42"/>
      <c r="BI507" s="42"/>
      <c r="BJ507" s="42"/>
      <c r="BK507" s="42"/>
      <c r="BL507" s="42"/>
      <c r="BM507" s="42"/>
      <c r="BN507" s="42"/>
    </row>
    <row r="508" spans="1:66" ht="12.75" customHeight="1" x14ac:dyDescent="0.2">
      <c r="A508" s="43" t="s">
        <v>496</v>
      </c>
      <c r="B508" s="20">
        <f>_xll.ciqfunctions.udf.CIQ(InputTicker,  "IQ_EBITDA_EXCL_OPER_LEASES_CAPEX_INT",Input!D$2,Date)</f>
        <v>379.56833999999998</v>
      </c>
      <c r="C508" s="20" t="str">
        <f>_xll.ciqfunctions.udf.CIQ(InputTicker,  "IQ_EBITDA_EXCL_OPER_LEASES_CAPEX_INT",Input!E$2,Date)</f>
        <v>NM</v>
      </c>
      <c r="D508" s="20">
        <f>_xll.ciqfunctions.udf.CIQ(InputTicker,  "IQ_EBITDA_EXCL_OPER_LEASES_CAPEX_INT",Input!F$2,Date)</f>
        <v>815.41508999999996</v>
      </c>
      <c r="E508" s="20">
        <f>_xll.ciqfunctions.udf.CIQ(InputTicker,  "IQ_EBITDA_EXCL_OPER_LEASES_CAPEX_INT",Input!G$2,Date)</f>
        <v>50.427019999999999</v>
      </c>
      <c r="F508" s="20" t="str">
        <f>_xll.ciqfunctions.udf.CIQ(InputTicker,  "IQ_EBITDA_EXCL_OPER_LEASES_CAPEX_INT",Input!H$2,Date)</f>
        <v>NM</v>
      </c>
      <c r="G508" s="20" t="str">
        <f>_xll.ciqfunctions.udf.CIQ(InputTicker,  "IQ_EBITDA_EXCL_OPER_LEASES_CAPEX_INT",Input!I$2,Date)</f>
        <v>NM</v>
      </c>
      <c r="H508" s="20">
        <f>_xll.ciqfunctions.udf.CIQ(InputTicker,  "IQ_EBITDA_EXCL_OPER_LEASES_CAPEX_INT",Input!J$2,Date)</f>
        <v>333.55831000000001</v>
      </c>
      <c r="I508" s="20">
        <f>_xll.ciqfunctions.udf.CIQ(InputTicker,  "IQ_EBITDA_EXCL_OPER_LEASES_CAPEX_INT",Input!K$2,Date)</f>
        <v>1543.59348</v>
      </c>
      <c r="J508" s="20">
        <f>_xll.ciqfunctions.udf.CIQ(InputTicker,  "IQ_EBITDA_EXCL_OPER_LEASES_CAPEX_INT",Input!L$2,Date)</f>
        <v>414.51913000000002</v>
      </c>
      <c r="K508" s="20">
        <f>_xll.ciqfunctions.udf.CIQ(InputTicker,  "IQ_EBITDA_EXCL_OPER_LEASES_CAPEX_INT",Input!M$2,Date)</f>
        <v>2435.9509800000001</v>
      </c>
      <c r="L508" s="20">
        <f>_xll.ciqfunctions.udf.CIQ(InputTicker,  "IQ_EBITDA_EXCL_OPER_LEASES_CAPEX_INT",Input!N$2,Date)</f>
        <v>569.19784000000004</v>
      </c>
      <c r="M508" s="20">
        <f>_xll.ciqfunctions.udf.CIQ(InputTicker,  "IQ_EBITDA_EXCL_OPER_LEASES_CAPEX_INT",Input!O$2,Date)</f>
        <v>569.19784000000004</v>
      </c>
      <c r="N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</row>
    <row r="509" spans="1:66" ht="12.75" customHeight="1" x14ac:dyDescent="0.2">
      <c r="A509" s="19" t="s">
        <v>242</v>
      </c>
      <c r="B509" s="20">
        <f>_xll.ciqfunctions.udf.CIQ(InputTicker, "IQ_TOTAL_DEBT_EBITDA",Input!D$2,Date)</f>
        <v>4.9660000000000003E-2</v>
      </c>
      <c r="C509" s="20" t="str">
        <f>_xll.ciqfunctions.udf.CIQ(InputTicker, "IQ_TOTAL_DEBT_EBITDA",Input!E$2,Date)</f>
        <v>NM</v>
      </c>
      <c r="D509" s="20">
        <f>_xll.ciqfunctions.udf.CIQ(InputTicker, "IQ_TOTAL_DEBT_EBITDA",Input!F$2,Date)</f>
        <v>2.5829999999999999E-2</v>
      </c>
      <c r="E509" s="20">
        <f>_xll.ciqfunctions.udf.CIQ(InputTicker, "IQ_TOTAL_DEBT_EBITDA",Input!G$2,Date)</f>
        <v>2.5420000000000002E-2</v>
      </c>
      <c r="F509" s="20">
        <f>_xll.ciqfunctions.udf.CIQ(InputTicker, "IQ_TOTAL_DEBT_EBITDA",Input!H$2,Date)</f>
        <v>5.2810000000000003E-2</v>
      </c>
      <c r="G509" s="20">
        <f>_xll.ciqfunctions.udf.CIQ(InputTicker, "IQ_TOTAL_DEBT_EBITDA",Input!I$2,Date)</f>
        <v>5.8349999999999999E-2</v>
      </c>
      <c r="H509" s="20">
        <f>_xll.ciqfunctions.udf.CIQ(InputTicker, "IQ_TOTAL_DEBT_EBITDA",Input!J$2,Date)</f>
        <v>0</v>
      </c>
      <c r="I509" s="20">
        <f>_xll.ciqfunctions.udf.CIQ(InputTicker, "IQ_TOTAL_DEBT_EBITDA",Input!K$2,Date)</f>
        <v>0</v>
      </c>
      <c r="J509" s="20">
        <f>_xll.ciqfunctions.udf.CIQ(InputTicker, "IQ_TOTAL_DEBT_EBITDA",Input!L$2,Date)</f>
        <v>0</v>
      </c>
      <c r="K509" s="20">
        <f>_xll.ciqfunctions.udf.CIQ(InputTicker, "IQ_TOTAL_DEBT_EBITDA",Input!M$2,Date)</f>
        <v>0</v>
      </c>
      <c r="L509" s="20">
        <f>_xll.ciqfunctions.udf.CIQ(InputTicker, "IQ_TOTAL_DEBT_EBITDA",Input!N$2,Date)</f>
        <v>0</v>
      </c>
      <c r="M509" s="20">
        <f>_xll.ciqfunctions.udf.CIQ(InputTicker, "IQ_TOTAL_DEBT_EBITDA",Input!O$2,Date)</f>
        <v>0</v>
      </c>
      <c r="N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  <c r="BL509" s="42"/>
      <c r="BM509" s="42"/>
      <c r="BN509" s="42"/>
    </row>
    <row r="510" spans="1:66" ht="12.75" customHeight="1" x14ac:dyDescent="0.2">
      <c r="A510" s="43" t="s">
        <v>497</v>
      </c>
      <c r="B510" s="20">
        <f>_xll.ciqfunctions.udf.CIQ(InputTicker,  "IQ_TOTAL_DEBT_EBITDA_EXCL_OPER_LEASES",Input!D$2,Date)</f>
        <v>4.9660000000000003E-2</v>
      </c>
      <c r="C510" s="20" t="str">
        <f>_xll.ciqfunctions.udf.CIQ(InputTicker,  "IQ_TOTAL_DEBT_EBITDA_EXCL_OPER_LEASES",Input!E$2,Date)</f>
        <v>NM</v>
      </c>
      <c r="D510" s="20">
        <f>_xll.ciqfunctions.udf.CIQ(InputTicker,  "IQ_TOTAL_DEBT_EBITDA_EXCL_OPER_LEASES",Input!F$2,Date)</f>
        <v>2.5829999999999999E-2</v>
      </c>
      <c r="E510" s="20">
        <f>_xll.ciqfunctions.udf.CIQ(InputTicker,  "IQ_TOTAL_DEBT_EBITDA_EXCL_OPER_LEASES",Input!G$2,Date)</f>
        <v>2.5420000000000002E-2</v>
      </c>
      <c r="F510" s="20">
        <f>_xll.ciqfunctions.udf.CIQ(InputTicker,  "IQ_TOTAL_DEBT_EBITDA_EXCL_OPER_LEASES",Input!H$2,Date)</f>
        <v>5.6989999999999999E-2</v>
      </c>
      <c r="G510" s="20">
        <f>_xll.ciqfunctions.udf.CIQ(InputTicker,  "IQ_TOTAL_DEBT_EBITDA_EXCL_OPER_LEASES",Input!I$2,Date)</f>
        <v>6.5699999999999995E-2</v>
      </c>
      <c r="H510" s="20">
        <f>_xll.ciqfunctions.udf.CIQ(InputTicker,  "IQ_TOTAL_DEBT_EBITDA_EXCL_OPER_LEASES",Input!J$2,Date)</f>
        <v>0</v>
      </c>
      <c r="I510" s="20">
        <f>_xll.ciqfunctions.udf.CIQ(InputTicker,  "IQ_TOTAL_DEBT_EBITDA_EXCL_OPER_LEASES",Input!K$2,Date)</f>
        <v>0</v>
      </c>
      <c r="J510" s="20">
        <f>_xll.ciqfunctions.udf.CIQ(InputTicker,  "IQ_TOTAL_DEBT_EBITDA_EXCL_OPER_LEASES",Input!L$2,Date)</f>
        <v>0</v>
      </c>
      <c r="K510" s="20">
        <f>_xll.ciqfunctions.udf.CIQ(InputTicker,  "IQ_TOTAL_DEBT_EBITDA_EXCL_OPER_LEASES",Input!M$2,Date)</f>
        <v>0</v>
      </c>
      <c r="L510" s="20">
        <f>_xll.ciqfunctions.udf.CIQ(InputTicker,  "IQ_TOTAL_DEBT_EBITDA_EXCL_OPER_LEASES",Input!N$2,Date)</f>
        <v>0</v>
      </c>
      <c r="M510" s="20">
        <f>_xll.ciqfunctions.udf.CIQ(InputTicker,  "IQ_TOTAL_DEBT_EBITDA_EXCL_OPER_LEASES",Input!O$2,Date)</f>
        <v>0</v>
      </c>
      <c r="N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  <c r="BL510" s="42"/>
      <c r="BM510" s="42"/>
      <c r="BN510" s="42"/>
    </row>
    <row r="511" spans="1:66" ht="12.75" customHeight="1" x14ac:dyDescent="0.2">
      <c r="A511" s="19" t="s">
        <v>243</v>
      </c>
      <c r="B511" s="20" t="str">
        <f>_xll.ciqfunctions.udf.CIQ(InputTicker,"IQ_NET_DEBT_EBITDA",Input!D$2,Date)</f>
        <v>NM</v>
      </c>
      <c r="C511" s="20" t="str">
        <f>_xll.ciqfunctions.udf.CIQ(InputTicker,"IQ_NET_DEBT_EBITDA",Input!E$2,Date)</f>
        <v>NM</v>
      </c>
      <c r="D511" s="20" t="str">
        <f>_xll.ciqfunctions.udf.CIQ(InputTicker,"IQ_NET_DEBT_EBITDA",Input!F$2,Date)</f>
        <v>NM</v>
      </c>
      <c r="E511" s="20" t="str">
        <f>_xll.ciqfunctions.udf.CIQ(InputTicker,"IQ_NET_DEBT_EBITDA",Input!G$2,Date)</f>
        <v>NM</v>
      </c>
      <c r="F511" s="20" t="str">
        <f>_xll.ciqfunctions.udf.CIQ(InputTicker,"IQ_NET_DEBT_EBITDA",Input!H$2,Date)</f>
        <v>NM</v>
      </c>
      <c r="G511" s="20" t="str">
        <f>_xll.ciqfunctions.udf.CIQ(InputTicker,"IQ_NET_DEBT_EBITDA",Input!I$2,Date)</f>
        <v>NM</v>
      </c>
      <c r="H511" s="20" t="str">
        <f>_xll.ciqfunctions.udf.CIQ(InputTicker,"IQ_NET_DEBT_EBITDA",Input!J$2,Date)</f>
        <v>NM</v>
      </c>
      <c r="I511" s="20" t="str">
        <f>_xll.ciqfunctions.udf.CIQ(InputTicker,"IQ_NET_DEBT_EBITDA",Input!K$2,Date)</f>
        <v>NM</v>
      </c>
      <c r="J511" s="20" t="str">
        <f>_xll.ciqfunctions.udf.CIQ(InputTicker,"IQ_NET_DEBT_EBITDA",Input!L$2,Date)</f>
        <v>NM</v>
      </c>
      <c r="K511" s="20" t="str">
        <f>_xll.ciqfunctions.udf.CIQ(InputTicker,"IQ_NET_DEBT_EBITDA",Input!M$2,Date)</f>
        <v>NM</v>
      </c>
      <c r="L511" s="20" t="str">
        <f>_xll.ciqfunctions.udf.CIQ(InputTicker,"IQ_NET_DEBT_EBITDA",Input!N$2,Date)</f>
        <v>NM</v>
      </c>
      <c r="M511" s="20" t="str">
        <f>_xll.ciqfunctions.udf.CIQ(InputTicker,"IQ_NET_DEBT_EBITDA",Input!O$2,Date)</f>
        <v>NM</v>
      </c>
      <c r="N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  <c r="BL511" s="42"/>
      <c r="BM511" s="42"/>
      <c r="BN511" s="42"/>
    </row>
    <row r="512" spans="1:66" ht="12.75" customHeight="1" x14ac:dyDescent="0.2">
      <c r="A512" s="43" t="s">
        <v>498</v>
      </c>
      <c r="B512" s="20" t="str">
        <f>_xll.ciqfunctions.udf.CIQ(InputTicker,  "IQ_NET_DEBT_EBITDA_EXCL_OPER_LEASES",Input!D$2,Date)</f>
        <v>NM</v>
      </c>
      <c r="C512" s="20" t="str">
        <f>_xll.ciqfunctions.udf.CIQ(InputTicker,  "IQ_NET_DEBT_EBITDA_EXCL_OPER_LEASES",Input!E$2,Date)</f>
        <v>NM</v>
      </c>
      <c r="D512" s="20" t="str">
        <f>_xll.ciqfunctions.udf.CIQ(InputTicker,  "IQ_NET_DEBT_EBITDA_EXCL_OPER_LEASES",Input!F$2,Date)</f>
        <v>NM</v>
      </c>
      <c r="E512" s="20" t="str">
        <f>_xll.ciqfunctions.udf.CIQ(InputTicker,  "IQ_NET_DEBT_EBITDA_EXCL_OPER_LEASES",Input!G$2,Date)</f>
        <v>NM</v>
      </c>
      <c r="F512" s="20" t="str">
        <f>_xll.ciqfunctions.udf.CIQ(InputTicker,  "IQ_NET_DEBT_EBITDA_EXCL_OPER_LEASES",Input!H$2,Date)</f>
        <v>NM</v>
      </c>
      <c r="G512" s="20" t="str">
        <f>_xll.ciqfunctions.udf.CIQ(InputTicker,  "IQ_NET_DEBT_EBITDA_EXCL_OPER_LEASES",Input!I$2,Date)</f>
        <v>NM</v>
      </c>
      <c r="H512" s="20" t="str">
        <f>_xll.ciqfunctions.udf.CIQ(InputTicker,  "IQ_NET_DEBT_EBITDA_EXCL_OPER_LEASES",Input!J$2,Date)</f>
        <v>NM</v>
      </c>
      <c r="I512" s="20" t="str">
        <f>_xll.ciqfunctions.udf.CIQ(InputTicker,  "IQ_NET_DEBT_EBITDA_EXCL_OPER_LEASES",Input!K$2,Date)</f>
        <v>NM</v>
      </c>
      <c r="J512" s="20" t="str">
        <f>_xll.ciqfunctions.udf.CIQ(InputTicker,  "IQ_NET_DEBT_EBITDA_EXCL_OPER_LEASES",Input!L$2,Date)</f>
        <v>NM</v>
      </c>
      <c r="K512" s="20" t="str">
        <f>_xll.ciqfunctions.udf.CIQ(InputTicker,  "IQ_NET_DEBT_EBITDA_EXCL_OPER_LEASES",Input!M$2,Date)</f>
        <v>NM</v>
      </c>
      <c r="L512" s="20" t="str">
        <f>_xll.ciqfunctions.udf.CIQ(InputTicker,  "IQ_NET_DEBT_EBITDA_EXCL_OPER_LEASES",Input!N$2,Date)</f>
        <v>NM</v>
      </c>
      <c r="M512" s="20" t="str">
        <f>_xll.ciqfunctions.udf.CIQ(InputTicker,  "IQ_NET_DEBT_EBITDA_EXCL_OPER_LEASES",Input!O$2,Date)</f>
        <v>NM</v>
      </c>
      <c r="N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  <c r="BL512" s="42"/>
      <c r="BM512" s="42"/>
      <c r="BN512" s="42"/>
    </row>
    <row r="513" spans="1:66" ht="12.75" customHeight="1" x14ac:dyDescent="0.2">
      <c r="A513" s="19" t="s">
        <v>426</v>
      </c>
      <c r="B513" s="20">
        <f>_xll.ciqfunctions.udf.CIQ(InputTicker, "IQ_TOTAL_DEBT_EBITDA_CAPEX",Input!D$2,Date)</f>
        <v>5.8279999999999998E-2</v>
      </c>
      <c r="C513" s="20" t="str">
        <f>_xll.ciqfunctions.udf.CIQ(InputTicker, "IQ_TOTAL_DEBT_EBITDA_CAPEX",Input!E$2,Date)</f>
        <v>NM</v>
      </c>
      <c r="D513" s="20">
        <f>_xll.ciqfunctions.udf.CIQ(InputTicker, "IQ_TOTAL_DEBT_EBITDA_CAPEX",Input!F$2,Date)</f>
        <v>2.818E-2</v>
      </c>
      <c r="E513" s="20">
        <f>_xll.ciqfunctions.udf.CIQ(InputTicker, "IQ_TOTAL_DEBT_EBITDA_CAPEX",Input!G$2,Date)</f>
        <v>7.8649999999999998E-2</v>
      </c>
      <c r="F513" s="20" t="str">
        <f>_xll.ciqfunctions.udf.CIQ(InputTicker, "IQ_TOTAL_DEBT_EBITDA_CAPEX",Input!H$2,Date)</f>
        <v>NM</v>
      </c>
      <c r="G513" s="20" t="str">
        <f>_xll.ciqfunctions.udf.CIQ(InputTicker, "IQ_TOTAL_DEBT_EBITDA_CAPEX",Input!I$2,Date)</f>
        <v>NM</v>
      </c>
      <c r="H513" s="20">
        <f>_xll.ciqfunctions.udf.CIQ(InputTicker, "IQ_TOTAL_DEBT_EBITDA_CAPEX",Input!J$2,Date)</f>
        <v>0</v>
      </c>
      <c r="I513" s="20">
        <f>_xll.ciqfunctions.udf.CIQ(InputTicker, "IQ_TOTAL_DEBT_EBITDA_CAPEX",Input!K$2,Date)</f>
        <v>0</v>
      </c>
      <c r="J513" s="20">
        <f>_xll.ciqfunctions.udf.CIQ(InputTicker, "IQ_TOTAL_DEBT_EBITDA_CAPEX",Input!L$2,Date)</f>
        <v>0</v>
      </c>
      <c r="K513" s="20">
        <f>_xll.ciqfunctions.udf.CIQ(InputTicker, "IQ_TOTAL_DEBT_EBITDA_CAPEX",Input!M$2,Date)</f>
        <v>0</v>
      </c>
      <c r="L513" s="20">
        <f>_xll.ciqfunctions.udf.CIQ(InputTicker, "IQ_TOTAL_DEBT_EBITDA_CAPEX",Input!N$2,Date)</f>
        <v>0</v>
      </c>
      <c r="M513" s="20">
        <f>_xll.ciqfunctions.udf.CIQ(InputTicker, "IQ_TOTAL_DEBT_EBITDA_CAPEX",Input!O$2,Date)</f>
        <v>0</v>
      </c>
      <c r="N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</row>
    <row r="514" spans="1:66" ht="12.75" customHeight="1" x14ac:dyDescent="0.2">
      <c r="A514" s="43" t="s">
        <v>499</v>
      </c>
      <c r="B514" s="20">
        <f>_xll.ciqfunctions.udf.CIQ(InputTicker,  "IQ_TOTAL_DEBT_EBITDA_EXCL_OPER_LEASES_CAPEX",Input!D$2,Date)</f>
        <v>5.8279999999999998E-2</v>
      </c>
      <c r="C514" s="20" t="str">
        <f>_xll.ciqfunctions.udf.CIQ(InputTicker,  "IQ_TOTAL_DEBT_EBITDA_EXCL_OPER_LEASES_CAPEX",Input!E$2,Date)</f>
        <v>NM</v>
      </c>
      <c r="D514" s="20">
        <f>_xll.ciqfunctions.udf.CIQ(InputTicker,  "IQ_TOTAL_DEBT_EBITDA_EXCL_OPER_LEASES_CAPEX",Input!F$2,Date)</f>
        <v>2.818E-2</v>
      </c>
      <c r="E514" s="20">
        <f>_xll.ciqfunctions.udf.CIQ(InputTicker,  "IQ_TOTAL_DEBT_EBITDA_EXCL_OPER_LEASES_CAPEX",Input!G$2,Date)</f>
        <v>7.8649999999999998E-2</v>
      </c>
      <c r="F514" s="20" t="str">
        <f>_xll.ciqfunctions.udf.CIQ(InputTicker,  "IQ_TOTAL_DEBT_EBITDA_EXCL_OPER_LEASES_CAPEX",Input!H$2,Date)</f>
        <v>NM</v>
      </c>
      <c r="G514" s="20" t="str">
        <f>_xll.ciqfunctions.udf.CIQ(InputTicker,  "IQ_TOTAL_DEBT_EBITDA_EXCL_OPER_LEASES_CAPEX",Input!I$2,Date)</f>
        <v>NM</v>
      </c>
      <c r="H514" s="20">
        <f>_xll.ciqfunctions.udf.CIQ(InputTicker,  "IQ_TOTAL_DEBT_EBITDA_EXCL_OPER_LEASES_CAPEX",Input!J$2,Date)</f>
        <v>0</v>
      </c>
      <c r="I514" s="20">
        <f>_xll.ciqfunctions.udf.CIQ(InputTicker,  "IQ_TOTAL_DEBT_EBITDA_EXCL_OPER_LEASES_CAPEX",Input!K$2,Date)</f>
        <v>0</v>
      </c>
      <c r="J514" s="20">
        <f>_xll.ciqfunctions.udf.CIQ(InputTicker,  "IQ_TOTAL_DEBT_EBITDA_EXCL_OPER_LEASES_CAPEX",Input!L$2,Date)</f>
        <v>0</v>
      </c>
      <c r="K514" s="20">
        <f>_xll.ciqfunctions.udf.CIQ(InputTicker,  "IQ_TOTAL_DEBT_EBITDA_EXCL_OPER_LEASES_CAPEX",Input!M$2,Date)</f>
        <v>0</v>
      </c>
      <c r="L514" s="20">
        <f>_xll.ciqfunctions.udf.CIQ(InputTicker,  "IQ_TOTAL_DEBT_EBITDA_EXCL_OPER_LEASES_CAPEX",Input!N$2,Date)</f>
        <v>0</v>
      </c>
      <c r="M514" s="20">
        <f>_xll.ciqfunctions.udf.CIQ(InputTicker,  "IQ_TOTAL_DEBT_EBITDA_EXCL_OPER_LEASES_CAPEX",Input!O$2,Date)</f>
        <v>0</v>
      </c>
      <c r="N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  <c r="BL514" s="42"/>
      <c r="BM514" s="42"/>
      <c r="BN514" s="42"/>
    </row>
    <row r="515" spans="1:66" ht="12.75" customHeight="1" x14ac:dyDescent="0.2">
      <c r="A515" s="43" t="s">
        <v>427</v>
      </c>
      <c r="B515" s="20" t="str">
        <f>_xll.ciqfunctions.udf.CIQ(InputTicker, "IQ_NET_DEBT_EBITDA_CAPEX",Input!D$2,Date)</f>
        <v>NM</v>
      </c>
      <c r="C515" s="20" t="str">
        <f>_xll.ciqfunctions.udf.CIQ(InputTicker, "IQ_NET_DEBT_EBITDA_CAPEX",Input!E$2,Date)</f>
        <v>NM</v>
      </c>
      <c r="D515" s="20" t="str">
        <f>_xll.ciqfunctions.udf.CIQ(InputTicker, "IQ_NET_DEBT_EBITDA_CAPEX",Input!F$2,Date)</f>
        <v>NM</v>
      </c>
      <c r="E515" s="20" t="str">
        <f>_xll.ciqfunctions.udf.CIQ(InputTicker, "IQ_NET_DEBT_EBITDA_CAPEX",Input!G$2,Date)</f>
        <v>NM</v>
      </c>
      <c r="F515" s="20" t="str">
        <f>_xll.ciqfunctions.udf.CIQ(InputTicker, "IQ_NET_DEBT_EBITDA_CAPEX",Input!H$2,Date)</f>
        <v>NM</v>
      </c>
      <c r="G515" s="20" t="str">
        <f>_xll.ciqfunctions.udf.CIQ(InputTicker, "IQ_NET_DEBT_EBITDA_CAPEX",Input!I$2,Date)</f>
        <v>NM</v>
      </c>
      <c r="H515" s="20" t="str">
        <f>_xll.ciqfunctions.udf.CIQ(InputTicker, "IQ_NET_DEBT_EBITDA_CAPEX",Input!J$2,Date)</f>
        <v>NM</v>
      </c>
      <c r="I515" s="20" t="str">
        <f>_xll.ciqfunctions.udf.CIQ(InputTicker, "IQ_NET_DEBT_EBITDA_CAPEX",Input!K$2,Date)</f>
        <v>NM</v>
      </c>
      <c r="J515" s="20" t="str">
        <f>_xll.ciqfunctions.udf.CIQ(InputTicker, "IQ_NET_DEBT_EBITDA_CAPEX",Input!L$2,Date)</f>
        <v>NM</v>
      </c>
      <c r="K515" s="20" t="str">
        <f>_xll.ciqfunctions.udf.CIQ(InputTicker, "IQ_NET_DEBT_EBITDA_CAPEX",Input!M$2,Date)</f>
        <v>NM</v>
      </c>
      <c r="L515" s="20" t="str">
        <f>_xll.ciqfunctions.udf.CIQ(InputTicker, "IQ_NET_DEBT_EBITDA_CAPEX",Input!N$2,Date)</f>
        <v>NM</v>
      </c>
      <c r="M515" s="20" t="str">
        <f>_xll.ciqfunctions.udf.CIQ(InputTicker, "IQ_NET_DEBT_EBITDA_CAPEX",Input!O$2,Date)</f>
        <v>NM</v>
      </c>
      <c r="N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  <c r="BL515" s="42"/>
      <c r="BM515" s="42"/>
      <c r="BN515" s="42"/>
    </row>
    <row r="516" spans="1:66" ht="12.75" customHeight="1" x14ac:dyDescent="0.2">
      <c r="A516" s="43" t="s">
        <v>500</v>
      </c>
      <c r="B516" s="20" t="str">
        <f>_xll.ciqfunctions.udf.CIQ(InputTicker,  "IQ_NET_DEBT_EBITDA_EXCL_OPER_LEASES_CAPEX",Input!D$2,Date)</f>
        <v>NM</v>
      </c>
      <c r="C516" s="20" t="str">
        <f>_xll.ciqfunctions.udf.CIQ(InputTicker,  "IQ_NET_DEBT_EBITDA_EXCL_OPER_LEASES_CAPEX",Input!E$2,Date)</f>
        <v>NM</v>
      </c>
      <c r="D516" s="20" t="str">
        <f>_xll.ciqfunctions.udf.CIQ(InputTicker,  "IQ_NET_DEBT_EBITDA_EXCL_OPER_LEASES_CAPEX",Input!F$2,Date)</f>
        <v>NM</v>
      </c>
      <c r="E516" s="20" t="str">
        <f>_xll.ciqfunctions.udf.CIQ(InputTicker,  "IQ_NET_DEBT_EBITDA_EXCL_OPER_LEASES_CAPEX",Input!G$2,Date)</f>
        <v>NM</v>
      </c>
      <c r="F516" s="20" t="str">
        <f>_xll.ciqfunctions.udf.CIQ(InputTicker,  "IQ_NET_DEBT_EBITDA_EXCL_OPER_LEASES_CAPEX",Input!H$2,Date)</f>
        <v>NM</v>
      </c>
      <c r="G516" s="20" t="str">
        <f>_xll.ciqfunctions.udf.CIQ(InputTicker,  "IQ_NET_DEBT_EBITDA_EXCL_OPER_LEASES_CAPEX",Input!I$2,Date)</f>
        <v>NM</v>
      </c>
      <c r="H516" s="20" t="str">
        <f>_xll.ciqfunctions.udf.CIQ(InputTicker,  "IQ_NET_DEBT_EBITDA_EXCL_OPER_LEASES_CAPEX",Input!J$2,Date)</f>
        <v>NM</v>
      </c>
      <c r="I516" s="20" t="str">
        <f>_xll.ciqfunctions.udf.CIQ(InputTicker,  "IQ_NET_DEBT_EBITDA_EXCL_OPER_LEASES_CAPEX",Input!K$2,Date)</f>
        <v>NM</v>
      </c>
      <c r="J516" s="20" t="str">
        <f>_xll.ciqfunctions.udf.CIQ(InputTicker,  "IQ_NET_DEBT_EBITDA_EXCL_OPER_LEASES_CAPEX",Input!L$2,Date)</f>
        <v>NM</v>
      </c>
      <c r="K516" s="20" t="str">
        <f>_xll.ciqfunctions.udf.CIQ(InputTicker,  "IQ_NET_DEBT_EBITDA_EXCL_OPER_LEASES_CAPEX",Input!M$2,Date)</f>
        <v>NM</v>
      </c>
      <c r="L516" s="20" t="str">
        <f>_xll.ciqfunctions.udf.CIQ(InputTicker,  "IQ_NET_DEBT_EBITDA_EXCL_OPER_LEASES_CAPEX",Input!N$2,Date)</f>
        <v>NM</v>
      </c>
      <c r="M516" s="20" t="str">
        <f>_xll.ciqfunctions.udf.CIQ(InputTicker,  "IQ_NET_DEBT_EBITDA_EXCL_OPER_LEASES_CAPEX",Input!O$2,Date)</f>
        <v>NM</v>
      </c>
      <c r="N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  <c r="BL516" s="42"/>
      <c r="BM516" s="42"/>
      <c r="BN516" s="42"/>
    </row>
    <row r="517" spans="1:66" ht="12.75" customHeight="1" x14ac:dyDescent="0.2">
      <c r="A517" s="19" t="s">
        <v>428</v>
      </c>
      <c r="B517" s="21">
        <f>_xll.ciqfunctions.udf.CIQ(InputTicker, "IQ_TOTAL_REV_EMPLOYEE",Input!D$2,Date,,,Ccy,Conv)</f>
        <v>594.59500000000003</v>
      </c>
      <c r="C517" s="21">
        <f>_xll.ciqfunctions.udf.CIQ(InputTicker, "IQ_TOTAL_REV_EMPLOYEE",Input!E$2,Date,,,Ccy,Conv)</f>
        <v>306.303</v>
      </c>
      <c r="D517" s="21">
        <f>_xll.ciqfunctions.udf.CIQ(InputTicker, "IQ_TOTAL_REV_EMPLOYEE",Input!F$2,Date,,,Ccy,Conv)</f>
        <v>429.9</v>
      </c>
      <c r="E517" s="21">
        <f>_xll.ciqfunctions.udf.CIQ(InputTicker, "IQ_TOTAL_REV_EMPLOYEE",Input!G$2,Date,,,Ccy,Conv)</f>
        <v>400.23099999999999</v>
      </c>
      <c r="F517" s="21">
        <f>_xll.ciqfunctions.udf.CIQ(InputTicker, "IQ_TOTAL_REV_EMPLOYEE",Input!H$2,Date,,,Ccy,Conv)</f>
        <v>380.84199999999998</v>
      </c>
      <c r="G517" s="21">
        <f>_xll.ciqfunctions.udf.CIQ(InputTicker, "IQ_TOTAL_REV_EMPLOYEE",Input!I$2,Date,,,Ccy,Conv)</f>
        <v>419.07</v>
      </c>
      <c r="H517" s="21">
        <f>_xll.ciqfunctions.udf.CIQ(InputTicker, "IQ_TOTAL_REV_EMPLOYEE",Input!J$2,Date,,,Ccy,Conv)</f>
        <v>609.66</v>
      </c>
      <c r="I517" s="21">
        <f>_xll.ciqfunctions.udf.CIQ(InputTicker, "IQ_TOTAL_REV_EMPLOYEE",Input!K$2,Date,,,Ccy,Conv)</f>
        <v>1086.4000000000001</v>
      </c>
      <c r="J517" s="21">
        <f>_xll.ciqfunctions.udf.CIQ(InputTicker, "IQ_TOTAL_REV_EMPLOYEE",Input!L$2,Date,,,Ccy,Conv)</f>
        <v>775.99800000000005</v>
      </c>
      <c r="K517" s="21">
        <f>_xll.ciqfunctions.udf.CIQ(InputTicker, "IQ_TOTAL_REV_EMPLOYEE",Input!M$2,Date,,,Ccy,Conv)</f>
        <v>1134.6869999999999</v>
      </c>
      <c r="L517" s="21">
        <f>_xll.ciqfunctions.udf.CIQ(InputTicker, "IQ_TOTAL_REV_EMPLOYEE",Input!N$2,Date,,,Ccy,Conv)</f>
        <v>602.07399999999996</v>
      </c>
      <c r="M517" s="21">
        <f>_xll.ciqfunctions.udf.CIQ(InputTicker, "IQ_TOTAL_REV_EMPLOYEE",Input!O$2,Date,,,Ccy,Conv)</f>
        <v>602.07399999999996</v>
      </c>
      <c r="N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  <c r="BL517" s="42"/>
      <c r="BM517" s="42"/>
      <c r="BN517" s="42"/>
    </row>
    <row r="518" spans="1:66" ht="12.75" customHeight="1" x14ac:dyDescent="0.2">
      <c r="A518" s="19" t="s">
        <v>244</v>
      </c>
      <c r="B518" s="4">
        <f>_xll.ciqfunctions.udf.CIQ(InputTicker,"IQ_Z_SCORE",Input!D$2,Date)</f>
        <v>12.645020000000001</v>
      </c>
      <c r="C518" s="4">
        <f>_xll.ciqfunctions.udf.CIQ(InputTicker,"IQ_Z_SCORE",Input!E$2,Date)</f>
        <v>8.4344900000000003</v>
      </c>
      <c r="D518" s="4">
        <f>_xll.ciqfunctions.udf.CIQ(InputTicker,"IQ_Z_SCORE",Input!F$2,Date)</f>
        <v>9.81935</v>
      </c>
      <c r="E518" s="4">
        <f>_xll.ciqfunctions.udf.CIQ(InputTicker,"IQ_Z_SCORE",Input!G$2,Date)</f>
        <v>10.946899999999999</v>
      </c>
      <c r="F518" s="4">
        <f>_xll.ciqfunctions.udf.CIQ(InputTicker,"IQ_Z_SCORE",Input!H$2,Date)</f>
        <v>8.7148900000000005</v>
      </c>
      <c r="G518" s="4">
        <f>_xll.ciqfunctions.udf.CIQ(InputTicker,"IQ_Z_SCORE",Input!I$2,Date)</f>
        <v>7.9693300000000002</v>
      </c>
      <c r="H518" s="4">
        <f>_xll.ciqfunctions.udf.CIQ(InputTicker,"IQ_Z_SCORE",Input!J$2,Date)</f>
        <v>6.6844099999999997</v>
      </c>
      <c r="I518" s="4">
        <f>_xll.ciqfunctions.udf.CIQ(InputTicker,"IQ_Z_SCORE",Input!K$2,Date)</f>
        <v>9.5767699999999998</v>
      </c>
      <c r="J518" s="4">
        <f>_xll.ciqfunctions.udf.CIQ(InputTicker,"IQ_Z_SCORE",Input!L$2,Date)</f>
        <v>7.1384699999999999</v>
      </c>
      <c r="K518" s="4">
        <f>_xll.ciqfunctions.udf.CIQ(InputTicker,"IQ_Z_SCORE",Input!M$2,Date)</f>
        <v>9.7523800000000005</v>
      </c>
      <c r="L518" s="4">
        <f>_xll.ciqfunctions.udf.CIQ(InputTicker,"IQ_Z_SCORE",Input!N$2,Date)</f>
        <v>8.6782000000000004</v>
      </c>
      <c r="M518" s="4">
        <f>_xll.ciqfunctions.udf.CIQ(InputTicker,"IQ_Z_SCORE",Input!O$2,Date)</f>
        <v>8.6782000000000004</v>
      </c>
      <c r="N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  <c r="BL518" s="42"/>
      <c r="BM518" s="42"/>
      <c r="BN518" s="42"/>
    </row>
    <row r="519" spans="1:66" ht="12.75" customHeight="1" x14ac:dyDescent="0.2">
      <c r="A519" s="19" t="s">
        <v>584</v>
      </c>
      <c r="B519" s="4">
        <f>_xll.ciqfunctions.udf.CIQ(InputTicker, "IQ_TOTAL_REV_1YR_ANN_GROWTH",Input!D$2,Date)</f>
        <v>21.097300000000001</v>
      </c>
      <c r="C519" s="4">
        <f>_xll.ciqfunctions.udf.CIQ(InputTicker, "IQ_TOTAL_REV_1YR_ANN_GROWTH",Input!E$2,Date)</f>
        <v>-43.703000000000003</v>
      </c>
      <c r="D519" s="4">
        <f>_xll.ciqfunctions.udf.CIQ(InputTicker, "IQ_TOTAL_REV_1YR_ANN_GROWTH",Input!F$2,Date)</f>
        <v>39.870899999999999</v>
      </c>
      <c r="E519" s="4">
        <f>_xll.ciqfunctions.udf.CIQ(InputTicker, "IQ_TOTAL_REV_1YR_ANN_GROWTH",Input!G$2,Date)</f>
        <v>-9.4312000000000005</v>
      </c>
      <c r="F519" s="4">
        <f>_xll.ciqfunctions.udf.CIQ(InputTicker, "IQ_TOTAL_REV_1YR_ANN_GROWTH",Input!H$2,Date)</f>
        <v>-0.70379999999999998</v>
      </c>
      <c r="G519" s="4">
        <f>_xll.ciqfunctions.udf.CIQ(InputTicker, "IQ_TOTAL_REV_1YR_ANN_GROWTH",Input!I$2,Date)</f>
        <v>-0.19400000000000001</v>
      </c>
      <c r="H519" s="4">
        <f>_xll.ciqfunctions.udf.CIQ(InputTicker, "IQ_TOTAL_REV_1YR_ANN_GROWTH",Input!J$2,Date)</f>
        <v>31.740200000000002</v>
      </c>
      <c r="I519" s="4">
        <f>_xll.ciqfunctions.udf.CIQ(InputTicker, "IQ_TOTAL_REV_1YR_ANN_GROWTH",Input!K$2,Date)</f>
        <v>77.036299999999997</v>
      </c>
      <c r="J519" s="4">
        <f>_xll.ciqfunctions.udf.CIQ(InputTicker, "IQ_TOTAL_REV_1YR_ANN_GROWTH",Input!L$2,Date)</f>
        <v>-26.055900000000001</v>
      </c>
      <c r="K519" s="4">
        <f>_xll.ciqfunctions.udf.CIQ(InputTicker, "IQ_TOTAL_REV_1YR_ANN_GROWTH",Input!M$2,Date)</f>
        <v>83.193100000000001</v>
      </c>
      <c r="L519" s="4">
        <f>_xll.ciqfunctions.udf.CIQ(InputTicker, "IQ_TOTAL_REV_1YR_ANN_GROWTH",Input!N$2,Date)</f>
        <v>-31.682099999999998</v>
      </c>
      <c r="M519" s="4">
        <f>_xll.ciqfunctions.udf.CIQ(InputTicker, "IQ_TOTAL_REV_1YR_ANN_GROWTH",Input!O$2,Date)</f>
        <v>-31.682099999999998</v>
      </c>
      <c r="N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  <c r="BL519" s="42"/>
      <c r="BM519" s="42"/>
      <c r="BN519" s="42"/>
    </row>
    <row r="520" spans="1:66" ht="12.75" customHeight="1" x14ac:dyDescent="0.2">
      <c r="A520" s="19" t="s">
        <v>585</v>
      </c>
      <c r="B520" s="4">
        <f>_xll.ciqfunctions.udf.CIQ(InputTicker, "IQ_GP_1YR_ANN_GROWTH",Input!D$2,Date)</f>
        <v>63.770400000000002</v>
      </c>
      <c r="C520" s="4">
        <f>_xll.ciqfunctions.udf.CIQ(InputTicker, "IQ_GP_1YR_ANN_GROWTH",Input!E$2,Date)</f>
        <v>-92.971500000000006</v>
      </c>
      <c r="D520" s="4">
        <f>_xll.ciqfunctions.udf.CIQ(InputTicker, "IQ_GP_1YR_ANN_GROWTH",Input!F$2,Date)</f>
        <v>692.63660000000004</v>
      </c>
      <c r="E520" s="4">
        <f>_xll.ciqfunctions.udf.CIQ(InputTicker, "IQ_GP_1YR_ANN_GROWTH",Input!G$2,Date)</f>
        <v>-38.274099999999997</v>
      </c>
      <c r="F520" s="4">
        <f>_xll.ciqfunctions.udf.CIQ(InputTicker, "IQ_GP_1YR_ANN_GROWTH",Input!H$2,Date)</f>
        <v>-19.416399999999999</v>
      </c>
      <c r="G520" s="4">
        <f>_xll.ciqfunctions.udf.CIQ(InputTicker, "IQ_GP_1YR_ANN_GROWTH",Input!I$2,Date)</f>
        <v>-10.539199999999999</v>
      </c>
      <c r="H520" s="4">
        <f>_xll.ciqfunctions.udf.CIQ(InputTicker, "IQ_GP_1YR_ANN_GROWTH",Input!J$2,Date)</f>
        <v>109.79510000000001</v>
      </c>
      <c r="I520" s="4">
        <f>_xll.ciqfunctions.udf.CIQ(InputTicker, "IQ_GP_1YR_ANN_GROWTH",Input!K$2,Date)</f>
        <v>254.96960000000001</v>
      </c>
      <c r="J520" s="4">
        <f>_xll.ciqfunctions.udf.CIQ(InputTicker, "IQ_GP_1YR_ANN_GROWTH",Input!L$2,Date)</f>
        <v>-54.735500000000002</v>
      </c>
      <c r="K520" s="4">
        <f>_xll.ciqfunctions.udf.CIQ(InputTicker, "IQ_GP_1YR_ANN_GROWTH",Input!M$2,Date)</f>
        <v>241.76220000000001</v>
      </c>
      <c r="L520" s="4">
        <f>_xll.ciqfunctions.udf.CIQ(InputTicker, "IQ_GP_1YR_ANN_GROWTH",Input!N$2,Date)</f>
        <v>-63.690399999999997</v>
      </c>
      <c r="M520" s="4">
        <f>_xll.ciqfunctions.udf.CIQ(InputTicker, "IQ_GP_1YR_ANN_GROWTH",Input!O$2,Date)</f>
        <v>-63.690399999999997</v>
      </c>
      <c r="N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  <c r="BL520" s="42"/>
      <c r="BM520" s="42"/>
      <c r="BN520" s="42"/>
    </row>
    <row r="521" spans="1:66" ht="12.75" customHeight="1" x14ac:dyDescent="0.2">
      <c r="A521" s="19" t="s">
        <v>586</v>
      </c>
      <c r="B521" s="4">
        <f>_xll.ciqfunctions.udf.CIQ(InputTicker,  "IQ_EBITDA_1YR_ANN_GROWTH",Input!D$2,Date)</f>
        <v>86.531000000000006</v>
      </c>
      <c r="C521" s="4" t="str">
        <f>_xll.ciqfunctions.udf.CIQ(InputTicker,  "IQ_EBITDA_1YR_ANN_GROWTH",Input!E$2,Date)</f>
        <v>NM</v>
      </c>
      <c r="D521" s="4" t="str">
        <f>_xll.ciqfunctions.udf.CIQ(InputTicker,  "IQ_EBITDA_1YR_ANN_GROWTH",Input!F$2,Date)</f>
        <v>NM</v>
      </c>
      <c r="E521" s="4">
        <f>_xll.ciqfunctions.udf.CIQ(InputTicker,  "IQ_EBITDA_1YR_ANN_GROWTH",Input!G$2,Date)</f>
        <v>-57.386499999999998</v>
      </c>
      <c r="F521" s="4">
        <f>_xll.ciqfunctions.udf.CIQ(InputTicker,  "IQ_EBITDA_1YR_ANN_GROWTH",Input!H$2,Date)</f>
        <v>-40.820599999999999</v>
      </c>
      <c r="G521" s="4">
        <f>_xll.ciqfunctions.udf.CIQ(InputTicker,  "IQ_EBITDA_1YR_ANN_GROWTH",Input!I$2,Date)</f>
        <v>-39.121099999999998</v>
      </c>
      <c r="H521" s="4">
        <f>_xll.ciqfunctions.udf.CIQ(InputTicker,  "IQ_EBITDA_1YR_ANN_GROWTH",Input!J$2,Date)</f>
        <v>471.41309999999999</v>
      </c>
      <c r="I521" s="4">
        <f>_xll.ciqfunctions.udf.CIQ(InputTicker,  "IQ_EBITDA_1YR_ANN_GROWTH",Input!K$2,Date)</f>
        <v>401.1454</v>
      </c>
      <c r="J521" s="4">
        <f>_xll.ciqfunctions.udf.CIQ(InputTicker,  "IQ_EBITDA_1YR_ANN_GROWTH",Input!L$2,Date)</f>
        <v>-63.850200000000001</v>
      </c>
      <c r="K521" s="4">
        <f>_xll.ciqfunctions.udf.CIQ(InputTicker,  "IQ_EBITDA_1YR_ANN_GROWTH",Input!M$2,Date)</f>
        <v>340.91649999999998</v>
      </c>
      <c r="L521" s="4">
        <f>_xll.ciqfunctions.udf.CIQ(InputTicker,  "IQ_EBITDA_1YR_ANN_GROWTH",Input!N$2,Date)</f>
        <v>-71.690299999999993</v>
      </c>
      <c r="M521" s="4">
        <f>_xll.ciqfunctions.udf.CIQ(InputTicker,  "IQ_EBITDA_1YR_ANN_GROWTH",Input!O$2,Date)</f>
        <v>-71.690299999999993</v>
      </c>
      <c r="N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  <c r="BM521" s="42"/>
      <c r="BN521" s="42"/>
    </row>
    <row r="522" spans="1:66" ht="12.75" customHeight="1" x14ac:dyDescent="0.2">
      <c r="A522" s="19" t="s">
        <v>587</v>
      </c>
      <c r="B522" s="4">
        <f>_xll.ciqfunctions.udf.CIQ(InputTicker, "IQ_EBIT_1YR_ANN_GROWTH",Input!D$2,Date)</f>
        <v>99.848699999999994</v>
      </c>
      <c r="C522" s="4" t="str">
        <f>_xll.ciqfunctions.udf.CIQ(InputTicker, "IQ_EBIT_1YR_ANN_GROWTH",Input!E$2,Date)</f>
        <v>NM</v>
      </c>
      <c r="D522" s="4" t="str">
        <f>_xll.ciqfunctions.udf.CIQ(InputTicker, "IQ_EBIT_1YR_ANN_GROWTH",Input!F$2,Date)</f>
        <v>NM</v>
      </c>
      <c r="E522" s="4">
        <f>_xll.ciqfunctions.udf.CIQ(InputTicker, "IQ_EBIT_1YR_ANN_GROWTH",Input!G$2,Date)</f>
        <v>-74.790099999999995</v>
      </c>
      <c r="F522" s="4">
        <f>_xll.ciqfunctions.udf.CIQ(InputTicker, "IQ_EBIT_1YR_ANN_GROWTH",Input!H$2,Date)</f>
        <v>-97.051199999999994</v>
      </c>
      <c r="G522" s="4" t="str">
        <f>_xll.ciqfunctions.udf.CIQ(InputTicker, "IQ_EBIT_1YR_ANN_GROWTH",Input!I$2,Date)</f>
        <v>NM</v>
      </c>
      <c r="H522" s="4" t="str">
        <f>_xll.ciqfunctions.udf.CIQ(InputTicker, "IQ_EBIT_1YR_ANN_GROWTH",Input!J$2,Date)</f>
        <v>NM</v>
      </c>
      <c r="I522" s="4">
        <f>_xll.ciqfunctions.udf.CIQ(InputTicker, "IQ_EBIT_1YR_ANN_GROWTH",Input!K$2,Date)</f>
        <v>596.57150000000001</v>
      </c>
      <c r="J522" s="4">
        <f>_xll.ciqfunctions.udf.CIQ(InputTicker, "IQ_EBIT_1YR_ANN_GROWTH",Input!L$2,Date)</f>
        <v>-69.463800000000006</v>
      </c>
      <c r="K522" s="4">
        <f>_xll.ciqfunctions.udf.CIQ(InputTicker, "IQ_EBIT_1YR_ANN_GROWTH",Input!M$2,Date)</f>
        <v>429.14150000000001</v>
      </c>
      <c r="L522" s="4">
        <f>_xll.ciqfunctions.udf.CIQ(InputTicker, "IQ_EBIT_1YR_ANN_GROWTH",Input!N$2,Date)</f>
        <v>-77.962599999999995</v>
      </c>
      <c r="M522" s="4">
        <f>_xll.ciqfunctions.udf.CIQ(InputTicker, "IQ_EBIT_1YR_ANN_GROWTH",Input!O$2,Date)</f>
        <v>-77.962599999999995</v>
      </c>
      <c r="N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</row>
    <row r="523" spans="1:66" ht="12.75" customHeight="1" x14ac:dyDescent="0.2">
      <c r="A523" s="19" t="s">
        <v>588</v>
      </c>
      <c r="B523" s="4">
        <f>_xll.ciqfunctions.udf.CIQ(InputTicker,  "IQ_NI_1YR_ANN_GROWTH",Input!D$2,Date)</f>
        <v>95.989500000000007</v>
      </c>
      <c r="C523" s="4" t="str">
        <f>_xll.ciqfunctions.udf.CIQ(InputTicker,  "IQ_NI_1YR_ANN_GROWTH",Input!E$2,Date)</f>
        <v>NM</v>
      </c>
      <c r="D523" s="4" t="str">
        <f>_xll.ciqfunctions.udf.CIQ(InputTicker,  "IQ_NI_1YR_ANN_GROWTH",Input!F$2,Date)</f>
        <v>NM</v>
      </c>
      <c r="E523" s="4">
        <f>_xll.ciqfunctions.udf.CIQ(InputTicker,  "IQ_NI_1YR_ANN_GROWTH",Input!G$2,Date)</f>
        <v>-56.937899999999999</v>
      </c>
      <c r="F523" s="4">
        <f>_xll.ciqfunctions.udf.CIQ(InputTicker,  "IQ_NI_1YR_ANN_GROWTH",Input!H$2,Date)</f>
        <v>-66.086500000000001</v>
      </c>
      <c r="G523" s="4">
        <f>_xll.ciqfunctions.udf.CIQ(InputTicker,  "IQ_NI_1YR_ANN_GROWTH",Input!I$2,Date)</f>
        <v>-88.798900000000003</v>
      </c>
      <c r="H523" s="4">
        <f>_xll.ciqfunctions.udf.CIQ(InputTicker,  "IQ_NI_1YR_ANN_GROWTH",Input!J$2,Date)</f>
        <v>6339.3203000000003</v>
      </c>
      <c r="I523" s="4">
        <f>_xll.ciqfunctions.udf.CIQ(InputTicker,  "IQ_NI_1YR_ANN_GROWTH",Input!K$2,Date)</f>
        <v>471.44659999999999</v>
      </c>
      <c r="J523" s="4">
        <f>_xll.ciqfunctions.udf.CIQ(InputTicker,  "IQ_NI_1YR_ANN_GROWTH",Input!L$2,Date)</f>
        <v>-63.340499999999999</v>
      </c>
      <c r="K523" s="4">
        <f>_xll.ciqfunctions.udf.CIQ(InputTicker,  "IQ_NI_1YR_ANN_GROWTH",Input!M$2,Date)</f>
        <v>339.04300000000001</v>
      </c>
      <c r="L523" s="4">
        <f>_xll.ciqfunctions.udf.CIQ(InputTicker,  "IQ_NI_1YR_ANN_GROWTH",Input!N$2,Date)</f>
        <v>-74.043499999999995</v>
      </c>
      <c r="M523" s="4">
        <f>_xll.ciqfunctions.udf.CIQ(InputTicker,  "IQ_NI_1YR_ANN_GROWTH",Input!O$2,Date)</f>
        <v>-74.043499999999995</v>
      </c>
      <c r="N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2"/>
      <c r="BI523" s="42"/>
      <c r="BJ523" s="42"/>
      <c r="BK523" s="42"/>
      <c r="BL523" s="42"/>
      <c r="BM523" s="42"/>
      <c r="BN523" s="42"/>
    </row>
    <row r="524" spans="1:66" ht="12.75" customHeight="1" x14ac:dyDescent="0.2">
      <c r="A524" s="19" t="s">
        <v>589</v>
      </c>
      <c r="B524" s="4">
        <f>_xll.ciqfunctions.udf.CIQ(InputTicker, "IQ_EPS_1YR_ANN_GROWTH",Input!D$2,Date)</f>
        <v>96.096000000000004</v>
      </c>
      <c r="C524" s="4" t="str">
        <f>_xll.ciqfunctions.udf.CIQ(InputTicker, "IQ_EPS_1YR_ANN_GROWTH",Input!E$2,Date)</f>
        <v>NM</v>
      </c>
      <c r="D524" s="4" t="str">
        <f>_xll.ciqfunctions.udf.CIQ(InputTicker, "IQ_EPS_1YR_ANN_GROWTH",Input!F$2,Date)</f>
        <v>NM</v>
      </c>
      <c r="E524" s="4">
        <f>_xll.ciqfunctions.udf.CIQ(InputTicker, "IQ_EPS_1YR_ANN_GROWTH",Input!G$2,Date)</f>
        <v>-56.966000000000001</v>
      </c>
      <c r="F524" s="4">
        <f>_xll.ciqfunctions.udf.CIQ(InputTicker, "IQ_EPS_1YR_ANN_GROWTH",Input!H$2,Date)</f>
        <v>-66.086500000000001</v>
      </c>
      <c r="G524" s="4">
        <f>_xll.ciqfunctions.udf.CIQ(InputTicker, "IQ_EPS_1YR_ANN_GROWTH",Input!I$2,Date)</f>
        <v>-89.458600000000004</v>
      </c>
      <c r="H524" s="4">
        <f>_xll.ciqfunctions.udf.CIQ(InputTicker, "IQ_EPS_1YR_ANN_GROWTH",Input!J$2,Date)</f>
        <v>6700</v>
      </c>
      <c r="I524" s="4">
        <f>_xll.ciqfunctions.udf.CIQ(InputTicker, "IQ_EPS_1YR_ANN_GROWTH",Input!K$2,Date)</f>
        <v>470.58819999999997</v>
      </c>
      <c r="J524" s="4">
        <f>_xll.ciqfunctions.udf.CIQ(InputTicker, "IQ_EPS_1YR_ANN_GROWTH",Input!L$2,Date)</f>
        <v>-63.337699999999998</v>
      </c>
      <c r="K524" s="4">
        <f>_xll.ciqfunctions.udf.CIQ(InputTicker, "IQ_EPS_1YR_ANN_GROWTH",Input!M$2,Date)</f>
        <v>338.48849999999999</v>
      </c>
      <c r="L524" s="4">
        <f>_xll.ciqfunctions.udf.CIQ(InputTicker, "IQ_EPS_1YR_ANN_GROWTH",Input!N$2,Date)</f>
        <v>-73.426900000000003</v>
      </c>
      <c r="M524" s="4">
        <f>_xll.ciqfunctions.udf.CIQ(InputTicker, "IQ_EPS_1YR_ANN_GROWTH",Input!O$2,Date)</f>
        <v>-73.426900000000003</v>
      </c>
      <c r="N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  <c r="BL524" s="42"/>
      <c r="BM524" s="42"/>
      <c r="BN524" s="42"/>
    </row>
    <row r="525" spans="1:66" ht="12.75" customHeight="1" x14ac:dyDescent="0.2">
      <c r="A525" s="19" t="s">
        <v>590</v>
      </c>
      <c r="B525" s="4">
        <f>_xll.ciqfunctions.udf.CIQ(InputTicker, "IQ_TOTAL_REV_3YR_ANN_CAGR",Input!D$2,Date)</f>
        <v>14.0053</v>
      </c>
      <c r="C525" s="4">
        <f>_xll.ciqfunctions.udf.CIQ(InputTicker, "IQ_TOTAL_REV_3YR_ANN_CAGR",Input!E$2,Date)</f>
        <v>-9.3171999999999997</v>
      </c>
      <c r="D525" s="4">
        <f>_xll.ciqfunctions.udf.CIQ(InputTicker, "IQ_TOTAL_REV_3YR_ANN_CAGR",Input!F$2,Date)</f>
        <v>-1.5726</v>
      </c>
      <c r="E525" s="4">
        <f>_xll.ciqfunctions.udf.CIQ(InputTicker, "IQ_TOTAL_REV_3YR_ANN_CAGR",Input!G$2,Date)</f>
        <v>-10.6563</v>
      </c>
      <c r="F525" s="4">
        <f>_xll.ciqfunctions.udf.CIQ(InputTicker, "IQ_TOTAL_REV_3YR_ANN_CAGR",Input!H$2,Date)</f>
        <v>7.9476000000000004</v>
      </c>
      <c r="G525" s="4">
        <f>_xll.ciqfunctions.udf.CIQ(InputTicker, "IQ_TOTAL_REV_3YR_ANN_CAGR",Input!I$2,Date)</f>
        <v>-3.5379999999999998</v>
      </c>
      <c r="H525" s="4">
        <f>_xll.ciqfunctions.udf.CIQ(InputTicker, "IQ_TOTAL_REV_3YR_ANN_CAGR",Input!J$2,Date)</f>
        <v>9.2956000000000003</v>
      </c>
      <c r="I525" s="4">
        <f>_xll.ciqfunctions.udf.CIQ(InputTicker, "IQ_TOTAL_REV_3YR_ANN_CAGR",Input!K$2,Date)</f>
        <v>32.529499999999999</v>
      </c>
      <c r="J525" s="4">
        <f>_xll.ciqfunctions.udf.CIQ(InputTicker, "IQ_TOTAL_REV_3YR_ANN_CAGR",Input!L$2,Date)</f>
        <v>19.9209</v>
      </c>
      <c r="K525" s="4">
        <f>_xll.ciqfunctions.udf.CIQ(InputTicker, "IQ_TOTAL_REV_3YR_ANN_CAGR",Input!M$2,Date)</f>
        <v>33.8521</v>
      </c>
      <c r="L525" s="4">
        <f>_xll.ciqfunctions.udf.CIQ(InputTicker, "IQ_TOTAL_REV_3YR_ANN_CAGR",Input!N$2,Date)</f>
        <v>-2.5497999999999998</v>
      </c>
      <c r="M525" s="4">
        <f>_xll.ciqfunctions.udf.CIQ(InputTicker, "IQ_TOTAL_REV_3YR_ANN_CAGR",Input!O$2,Date)</f>
        <v>-2.5497999999999998</v>
      </c>
      <c r="N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  <c r="BL525" s="42"/>
      <c r="BM525" s="42"/>
      <c r="BN525" s="42"/>
    </row>
    <row r="526" spans="1:66" ht="12.75" customHeight="1" x14ac:dyDescent="0.2">
      <c r="A526" s="19" t="s">
        <v>591</v>
      </c>
      <c r="B526" s="4">
        <f>_xll.ciqfunctions.udf.CIQ(InputTicker, "IQ_GP_3YR_ANN_CAGR",Input!D$2,Date)</f>
        <v>44.5548</v>
      </c>
      <c r="C526" s="4">
        <f>_xll.ciqfunctions.udf.CIQ(InputTicker, "IQ_GP_3YR_ANN_CAGR",Input!E$2,Date)</f>
        <v>-46.814300000000003</v>
      </c>
      <c r="D526" s="4">
        <f>_xll.ciqfunctions.udf.CIQ(InputTicker, "IQ_GP_3YR_ANN_CAGR",Input!F$2,Date)</f>
        <v>-3.0106000000000002</v>
      </c>
      <c r="E526" s="4">
        <f>_xll.ciqfunctions.udf.CIQ(InputTicker, "IQ_GP_3YR_ANN_CAGR",Input!G$2,Date)</f>
        <v>-29.940300000000001</v>
      </c>
      <c r="F526" s="4">
        <f>_xll.ciqfunctions.udf.CIQ(InputTicker, "IQ_GP_3YR_ANN_CAGR",Input!H$2,Date)</f>
        <v>57.977899999999998</v>
      </c>
      <c r="G526" s="4">
        <f>_xll.ciqfunctions.udf.CIQ(InputTicker, "IQ_GP_3YR_ANN_CAGR",Input!I$2,Date)</f>
        <v>-23.654699999999998</v>
      </c>
      <c r="H526" s="4">
        <f>_xll.ciqfunctions.udf.CIQ(InputTicker, "IQ_GP_3YR_ANN_CAGR",Input!J$2,Date)</f>
        <v>14.786799999999999</v>
      </c>
      <c r="I526" s="4">
        <f>_xll.ciqfunctions.udf.CIQ(InputTicker, "IQ_GP_3YR_ANN_CAGR",Input!K$2,Date)</f>
        <v>88.165499999999994</v>
      </c>
      <c r="J526" s="4">
        <f>_xll.ciqfunctions.udf.CIQ(InputTicker, "IQ_GP_3YR_ANN_CAGR",Input!L$2,Date)</f>
        <v>49.939100000000003</v>
      </c>
      <c r="K526" s="4">
        <f>_xll.ciqfunctions.udf.CIQ(InputTicker, "IQ_GP_3YR_ANN_CAGR",Input!M$2,Date)</f>
        <v>76.424099999999996</v>
      </c>
      <c r="L526" s="4">
        <f>_xll.ciqfunctions.udf.CIQ(InputTicker, "IQ_GP_3YR_ANN_CAGR",Input!N$2,Date)</f>
        <v>-17.491</v>
      </c>
      <c r="M526" s="4">
        <f>_xll.ciqfunctions.udf.CIQ(InputTicker, "IQ_GP_3YR_ANN_CAGR",Input!O$2,Date)</f>
        <v>-17.491</v>
      </c>
      <c r="N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  <c r="BL526" s="42"/>
      <c r="BM526" s="42"/>
      <c r="BN526" s="42"/>
    </row>
    <row r="527" spans="1:66" ht="12.75" customHeight="1" x14ac:dyDescent="0.2">
      <c r="A527" s="19" t="s">
        <v>592</v>
      </c>
      <c r="B527" s="4">
        <f>_xll.ciqfunctions.udf.CIQ(InputTicker,  "IQ_EBITDA_3YR_ANN_CAGR",Input!D$2,Date)</f>
        <v>62.266100000000002</v>
      </c>
      <c r="C527" s="4" t="str">
        <f>_xll.ciqfunctions.udf.CIQ(InputTicker,  "IQ_EBITDA_3YR_ANN_CAGR",Input!E$2,Date)</f>
        <v>NM</v>
      </c>
      <c r="D527" s="4">
        <f>_xll.ciqfunctions.udf.CIQ(InputTicker,  "IQ_EBITDA_3YR_ANN_CAGR",Input!F$2,Date)</f>
        <v>-5.1227999999999998</v>
      </c>
      <c r="E527" s="4">
        <f>_xll.ciqfunctions.udf.CIQ(InputTicker,  "IQ_EBITDA_3YR_ANN_CAGR",Input!G$2,Date)</f>
        <v>-42.000100000000003</v>
      </c>
      <c r="F527" s="4" t="str">
        <f>_xll.ciqfunctions.udf.CIQ(InputTicker,  "IQ_EBITDA_3YR_ANN_CAGR",Input!H$2,Date)</f>
        <v>NM</v>
      </c>
      <c r="G527" s="4">
        <f>_xll.ciqfunctions.udf.CIQ(InputTicker,  "IQ_EBITDA_3YR_ANN_CAGR",Input!I$2,Date)</f>
        <v>-46.453800000000001</v>
      </c>
      <c r="H527" s="4">
        <f>_xll.ciqfunctions.udf.CIQ(InputTicker,  "IQ_EBITDA_3YR_ANN_CAGR",Input!J$2,Date)</f>
        <v>27.212399999999999</v>
      </c>
      <c r="I527" s="4">
        <f>_xll.ciqfunctions.udf.CIQ(InputTicker,  "IQ_EBITDA_3YR_ANN_CAGR",Input!K$2,Date)</f>
        <v>159.29480000000001</v>
      </c>
      <c r="J527" s="4">
        <f>_xll.ciqfunctions.udf.CIQ(InputTicker,  "IQ_EBITDA_3YR_ANN_CAGR",Input!L$2,Date)</f>
        <v>117.9415</v>
      </c>
      <c r="K527" s="4">
        <f>_xll.ciqfunctions.udf.CIQ(InputTicker,  "IQ_EBITDA_3YR_ANN_CAGR",Input!M$2,Date)</f>
        <v>99.898099999999999</v>
      </c>
      <c r="L527" s="4">
        <f>_xll.ciqfunctions.udf.CIQ(InputTicker,  "IQ_EBITDA_3YR_ANN_CAGR",Input!N$2,Date)</f>
        <v>-23.299199999999999</v>
      </c>
      <c r="M527" s="4">
        <f>_xll.ciqfunctions.udf.CIQ(InputTicker,  "IQ_EBITDA_3YR_ANN_CAGR",Input!O$2,Date)</f>
        <v>-23.299199999999999</v>
      </c>
      <c r="N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  <c r="BL527" s="42"/>
      <c r="BM527" s="42"/>
      <c r="BN527" s="42"/>
    </row>
    <row r="528" spans="1:66" ht="12.75" customHeight="1" x14ac:dyDescent="0.2">
      <c r="A528" s="19" t="s">
        <v>593</v>
      </c>
      <c r="B528" s="4">
        <f>_xll.ciqfunctions.udf.CIQ(InputTicker, "IQ_EBIT_3YR_ANN_CAGR",Input!D$2,Date)</f>
        <v>75.948999999999998</v>
      </c>
      <c r="C528" s="4" t="str">
        <f>_xll.ciqfunctions.udf.CIQ(InputTicker, "IQ_EBIT_3YR_ANN_CAGR",Input!E$2,Date)</f>
        <v>NM</v>
      </c>
      <c r="D528" s="4">
        <f>_xll.ciqfunctions.udf.CIQ(InputTicker, "IQ_EBIT_3YR_ANN_CAGR",Input!F$2,Date)</f>
        <v>-8.2554999999999996</v>
      </c>
      <c r="E528" s="4">
        <f>_xll.ciqfunctions.udf.CIQ(InputTicker, "IQ_EBIT_3YR_ANN_CAGR",Input!G$2,Date)</f>
        <v>-53.988199999999999</v>
      </c>
      <c r="F528" s="4" t="str">
        <f>_xll.ciqfunctions.udf.CIQ(InputTicker, "IQ_EBIT_3YR_ANN_CAGR",Input!H$2,Date)</f>
        <v>NM</v>
      </c>
      <c r="G528" s="4" t="str">
        <f>_xll.ciqfunctions.udf.CIQ(InputTicker, "IQ_EBIT_3YR_ANN_CAGR",Input!I$2,Date)</f>
        <v>NM</v>
      </c>
      <c r="H528" s="4">
        <f>_xll.ciqfunctions.udf.CIQ(InputTicker, "IQ_EBIT_3YR_ANN_CAGR",Input!J$2,Date)</f>
        <v>44.569000000000003</v>
      </c>
      <c r="I528" s="4">
        <f>_xll.ciqfunctions.udf.CIQ(InputTicker, "IQ_EBIT_3YR_ANN_CAGR",Input!K$2,Date)</f>
        <v>793.67190000000005</v>
      </c>
      <c r="J528" s="4" t="str">
        <f>_xll.ciqfunctions.udf.CIQ(InputTicker, "IQ_EBIT_3YR_ANN_CAGR",Input!L$2,Date)</f>
        <v>NM</v>
      </c>
      <c r="K528" s="4">
        <f>_xll.ciqfunctions.udf.CIQ(InputTicker, "IQ_EBIT_3YR_ANN_CAGR",Input!M$2,Date)</f>
        <v>124.1048</v>
      </c>
      <c r="L528" s="4">
        <f>_xll.ciqfunctions.udf.CIQ(InputTicker, "IQ_EBIT_3YR_ANN_CAGR",Input!N$2,Date)</f>
        <v>-29.121200000000002</v>
      </c>
      <c r="M528" s="4">
        <f>_xll.ciqfunctions.udf.CIQ(InputTicker, "IQ_EBIT_3YR_ANN_CAGR",Input!O$2,Date)</f>
        <v>-29.121200000000002</v>
      </c>
      <c r="N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  <c r="BM528" s="42"/>
      <c r="BN528" s="42"/>
    </row>
    <row r="529" spans="1:66" ht="12.75" customHeight="1" x14ac:dyDescent="0.2">
      <c r="A529" s="19" t="s">
        <v>594</v>
      </c>
      <c r="B529" s="4">
        <f>_xll.ciqfunctions.udf.CIQ(InputTicker,  "IQ_NI_3YR_ANN_CAGR",Input!D$2,Date)</f>
        <v>84.376199999999997</v>
      </c>
      <c r="C529" s="4" t="str">
        <f>_xll.ciqfunctions.udf.CIQ(InputTicker,  "IQ_NI_3YR_ANN_CAGR",Input!E$2,Date)</f>
        <v>NM</v>
      </c>
      <c r="D529" s="4">
        <f>_xll.ciqfunctions.udf.CIQ(InputTicker,  "IQ_NI_3YR_ANN_CAGR",Input!F$2,Date)</f>
        <v>-7.9108000000000001</v>
      </c>
      <c r="E529" s="4">
        <f>_xll.ciqfunctions.udf.CIQ(InputTicker,  "IQ_NI_3YR_ANN_CAGR",Input!G$2,Date)</f>
        <v>-44.4315</v>
      </c>
      <c r="F529" s="4" t="str">
        <f>_xll.ciqfunctions.udf.CIQ(InputTicker,  "IQ_NI_3YR_ANN_CAGR",Input!H$2,Date)</f>
        <v>NM</v>
      </c>
      <c r="G529" s="4">
        <f>_xll.ciqfunctions.udf.CIQ(InputTicker,  "IQ_NI_3YR_ANN_CAGR",Input!I$2,Date)</f>
        <v>-74.614999999999995</v>
      </c>
      <c r="H529" s="4">
        <f>_xll.ciqfunctions.udf.CIQ(InputTicker,  "IQ_NI_3YR_ANN_CAGR",Input!J$2,Date)</f>
        <v>34.738599999999998</v>
      </c>
      <c r="I529" s="4">
        <f>_xll.ciqfunctions.udf.CIQ(InputTicker,  "IQ_NI_3YR_ANN_CAGR",Input!K$2,Date)</f>
        <v>245.42930000000001</v>
      </c>
      <c r="J529" s="4">
        <f>_xll.ciqfunctions.udf.CIQ(InputTicker,  "IQ_NI_3YR_ANN_CAGR",Input!L$2,Date)</f>
        <v>412.86239999999998</v>
      </c>
      <c r="K529" s="4">
        <f>_xll.ciqfunctions.udf.CIQ(InputTicker,  "IQ_NI_3YR_ANN_CAGR",Input!M$2,Date)</f>
        <v>109.5189</v>
      </c>
      <c r="L529" s="4">
        <f>_xll.ciqfunctions.udf.CIQ(InputTicker,  "IQ_NI_3YR_ANN_CAGR",Input!N$2,Date)</f>
        <v>-25.2439</v>
      </c>
      <c r="M529" s="4">
        <f>_xll.ciqfunctions.udf.CIQ(InputTicker,  "IQ_NI_3YR_ANN_CAGR",Input!O$2,Date)</f>
        <v>-25.2439</v>
      </c>
      <c r="N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  <c r="BL529" s="42"/>
      <c r="BM529" s="42"/>
      <c r="BN529" s="42"/>
    </row>
    <row r="530" spans="1:66" ht="12.75" customHeight="1" x14ac:dyDescent="0.2">
      <c r="A530" s="19" t="s">
        <v>595</v>
      </c>
      <c r="B530" s="4">
        <f>_xll.ciqfunctions.udf.CIQ(InputTicker, "IQ_EPS_3YR_ANN_CAGR",Input!D$2,Date)</f>
        <v>83.897000000000006</v>
      </c>
      <c r="C530" s="4" t="str">
        <f>_xll.ciqfunctions.udf.CIQ(InputTicker, "IQ_EPS_3YR_ANN_CAGR",Input!E$2,Date)</f>
        <v>NM</v>
      </c>
      <c r="D530" s="4">
        <f>_xll.ciqfunctions.udf.CIQ(InputTicker, "IQ_EPS_3YR_ANN_CAGR",Input!F$2,Date)</f>
        <v>-7.9177</v>
      </c>
      <c r="E530" s="4">
        <f>_xll.ciqfunctions.udf.CIQ(InputTicker, "IQ_EPS_3YR_ANN_CAGR",Input!G$2,Date)</f>
        <v>-44.457700000000003</v>
      </c>
      <c r="F530" s="4" t="str">
        <f>_xll.ciqfunctions.udf.CIQ(InputTicker, "IQ_EPS_3YR_ANN_CAGR",Input!H$2,Date)</f>
        <v>NM</v>
      </c>
      <c r="G530" s="4">
        <f>_xll.ciqfunctions.udf.CIQ(InputTicker, "IQ_EPS_3YR_ANN_CAGR",Input!I$2,Date)</f>
        <v>-75.129199999999997</v>
      </c>
      <c r="H530" s="4">
        <f>_xll.ciqfunctions.udf.CIQ(InputTicker, "IQ_EPS_3YR_ANN_CAGR",Input!J$2,Date)</f>
        <v>34.4604</v>
      </c>
      <c r="I530" s="4">
        <f>_xll.ciqfunctions.udf.CIQ(InputTicker, "IQ_EPS_3YR_ANN_CAGR",Input!K$2,Date)</f>
        <v>244.5436</v>
      </c>
      <c r="J530" s="4">
        <f>_xll.ciqfunctions.udf.CIQ(InputTicker, "IQ_EPS_3YR_ANN_CAGR",Input!L$2,Date)</f>
        <v>422.0163</v>
      </c>
      <c r="K530" s="4">
        <f>_xll.ciqfunctions.udf.CIQ(InputTicker, "IQ_EPS_3YR_ANN_CAGR",Input!M$2,Date)</f>
        <v>109.3312</v>
      </c>
      <c r="L530" s="4">
        <f>_xll.ciqfunctions.udf.CIQ(InputTicker, "IQ_EPS_3YR_ANN_CAGR",Input!N$2,Date)</f>
        <v>-24.686399999999999</v>
      </c>
      <c r="M530" s="4">
        <f>_xll.ciqfunctions.udf.CIQ(InputTicker, "IQ_EPS_3YR_ANN_CAGR",Input!O$2,Date)</f>
        <v>-24.686399999999999</v>
      </c>
      <c r="N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  <c r="BL530" s="42"/>
      <c r="BM530" s="42"/>
      <c r="BN530" s="42"/>
    </row>
    <row r="531" spans="1:66" ht="12.75" customHeight="1" x14ac:dyDescent="0.2">
      <c r="A531" s="19" t="s">
        <v>596</v>
      </c>
      <c r="B531" s="4">
        <f>_xll.ciqfunctions.udf.CIQ(InputTicker, "IQ_TOTAL_REV_5YR_ANN_CAGR",Input!D$2,Date)</f>
        <v>15.1693</v>
      </c>
      <c r="C531" s="4">
        <f>_xll.ciqfunctions.udf.CIQ(InputTicker, "IQ_TOTAL_REV_5YR_ANN_CAGR",Input!E$2,Date)</f>
        <v>-0.70340000000000003</v>
      </c>
      <c r="D531" s="4">
        <f>_xll.ciqfunctions.udf.CIQ(InputTicker, "IQ_TOTAL_REV_5YR_ANN_CAGR",Input!F$2,Date)</f>
        <v>3.133</v>
      </c>
      <c r="E531" s="4">
        <f>_xll.ciqfunctions.udf.CIQ(InputTicker, "IQ_TOTAL_REV_5YR_ANN_CAGR",Input!G$2,Date)</f>
        <v>-1.1318999999999999</v>
      </c>
      <c r="F531" s="4">
        <f>_xll.ciqfunctions.udf.CIQ(InputTicker, "IQ_TOTAL_REV_5YR_ANN_CAGR",Input!H$2,Date)</f>
        <v>-3.0268000000000002</v>
      </c>
      <c r="G531" s="4">
        <f>_xll.ciqfunctions.udf.CIQ(InputTicker, "IQ_TOTAL_REV_5YR_ANN_CAGR",Input!I$2,Date)</f>
        <v>-6.7054999999999998</v>
      </c>
      <c r="H531" s="4">
        <f>_xll.ciqfunctions.udf.CIQ(InputTicker, "IQ_TOTAL_REV_5YR_ANN_CAGR",Input!J$2,Date)</f>
        <v>10.5867</v>
      </c>
      <c r="I531" s="4">
        <f>_xll.ciqfunctions.udf.CIQ(InputTicker, "IQ_TOTAL_REV_5YR_ANN_CAGR",Input!K$2,Date)</f>
        <v>15.9231</v>
      </c>
      <c r="J531" s="4">
        <f>_xll.ciqfunctions.udf.CIQ(InputTicker, "IQ_TOTAL_REV_5YR_ANN_CAGR",Input!L$2,Date)</f>
        <v>11.315300000000001</v>
      </c>
      <c r="K531" s="4">
        <f>_xll.ciqfunctions.udf.CIQ(InputTicker, "IQ_TOTAL_REV_5YR_ANN_CAGR",Input!M$2,Date)</f>
        <v>25.8201</v>
      </c>
      <c r="L531" s="4">
        <f>_xll.ciqfunctions.udf.CIQ(InputTicker, "IQ_TOTAL_REV_5YR_ANN_CAGR",Input!N$2,Date)</f>
        <v>16.6342</v>
      </c>
      <c r="M531" s="4">
        <f>_xll.ciqfunctions.udf.CIQ(InputTicker, "IQ_TOTAL_REV_5YR_ANN_CAGR",Input!O$2,Date)</f>
        <v>16.6342</v>
      </c>
      <c r="N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  <c r="BL531" s="42"/>
      <c r="BM531" s="42"/>
      <c r="BN531" s="42"/>
    </row>
    <row r="532" spans="1:66" ht="12.75" customHeight="1" x14ac:dyDescent="0.2">
      <c r="A532" s="19" t="s">
        <v>597</v>
      </c>
      <c r="B532" s="4">
        <f>_xll.ciqfunctions.udf.CIQ(InputTicker, "IQ_GP_5YR_ANN_CAGR",Input!D$2,Date)</f>
        <v>29.151399999999999</v>
      </c>
      <c r="C532" s="4">
        <f>_xll.ciqfunctions.udf.CIQ(InputTicker, "IQ_GP_5YR_ANN_CAGR",Input!E$2,Date)</f>
        <v>-25.627500000000001</v>
      </c>
      <c r="D532" s="4">
        <f>_xll.ciqfunctions.udf.CIQ(InputTicker, "IQ_GP_5YR_ANN_CAGR",Input!F$2,Date)</f>
        <v>10.9704</v>
      </c>
      <c r="E532" s="4">
        <f>_xll.ciqfunctions.udf.CIQ(InputTicker, "IQ_GP_5YR_ANN_CAGR",Input!G$2,Date)</f>
        <v>-5.9443000000000001</v>
      </c>
      <c r="F532" s="4">
        <f>_xll.ciqfunctions.udf.CIQ(InputTicker, "IQ_GP_5YR_ANN_CAGR",Input!H$2,Date)</f>
        <v>-14.6158</v>
      </c>
      <c r="G532" s="4">
        <f>_xll.ciqfunctions.udf.CIQ(InputTicker, "IQ_GP_5YR_ANN_CAGR",Input!I$2,Date)</f>
        <v>-24.3416</v>
      </c>
      <c r="H532" s="4">
        <f>_xll.ciqfunctions.udf.CIQ(InputTicker, "IQ_GP_5YR_ANN_CAGR",Input!J$2,Date)</f>
        <v>49.225700000000003</v>
      </c>
      <c r="I532" s="4">
        <f>_xll.ciqfunctions.udf.CIQ(InputTicker, "IQ_GP_5YR_ANN_CAGR",Input!K$2,Date)</f>
        <v>27.077000000000002</v>
      </c>
      <c r="J532" s="4">
        <f>_xll.ciqfunctions.udf.CIQ(InputTicker, "IQ_GP_5YR_ANN_CAGR",Input!L$2,Date)</f>
        <v>19.433199999999999</v>
      </c>
      <c r="K532" s="4">
        <f>_xll.ciqfunctions.udf.CIQ(InputTicker, "IQ_GP_5YR_ANN_CAGR",Input!M$2,Date)</f>
        <v>59.448500000000003</v>
      </c>
      <c r="L532" s="4">
        <f>_xll.ciqfunctions.udf.CIQ(InputTicker, "IQ_GP_5YR_ANN_CAGR",Input!N$2,Date)</f>
        <v>33.136800000000001</v>
      </c>
      <c r="M532" s="4">
        <f>_xll.ciqfunctions.udf.CIQ(InputTicker, "IQ_GP_5YR_ANN_CAGR",Input!O$2,Date)</f>
        <v>33.136800000000001</v>
      </c>
      <c r="N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  <c r="BL532" s="42"/>
      <c r="BM532" s="42"/>
      <c r="BN532" s="42"/>
    </row>
    <row r="533" spans="1:66" ht="12.75" customHeight="1" x14ac:dyDescent="0.2">
      <c r="A533" s="19" t="s">
        <v>598</v>
      </c>
      <c r="B533" s="4">
        <f>_xll.ciqfunctions.udf.CIQ(InputTicker,  "IQ_EBITDA_5YR_ANN_CAGR",Input!D$2,Date)</f>
        <v>36.249600000000001</v>
      </c>
      <c r="C533" s="4" t="str">
        <f>_xll.ciqfunctions.udf.CIQ(InputTicker,  "IQ_EBITDA_5YR_ANN_CAGR",Input!E$2,Date)</f>
        <v>NM</v>
      </c>
      <c r="D533" s="4">
        <f>_xll.ciqfunctions.udf.CIQ(InputTicker,  "IQ_EBITDA_5YR_ANN_CAGR",Input!F$2,Date)</f>
        <v>14.362500000000001</v>
      </c>
      <c r="E533" s="4">
        <f>_xll.ciqfunctions.udf.CIQ(InputTicker,  "IQ_EBITDA_5YR_ANN_CAGR",Input!G$2,Date)</f>
        <v>-11.743</v>
      </c>
      <c r="F533" s="4">
        <f>_xll.ciqfunctions.udf.CIQ(InputTicker,  "IQ_EBITDA_5YR_ANN_CAGR",Input!H$2,Date)</f>
        <v>-26.440200000000001</v>
      </c>
      <c r="G533" s="4">
        <f>_xll.ciqfunctions.udf.CIQ(InputTicker,  "IQ_EBITDA_5YR_ANN_CAGR",Input!I$2,Date)</f>
        <v>-41.199100000000001</v>
      </c>
      <c r="H533" s="4" t="str">
        <f>_xll.ciqfunctions.udf.CIQ(InputTicker,  "IQ_EBITDA_5YR_ANN_CAGR",Input!J$2,Date)</f>
        <v>NM</v>
      </c>
      <c r="I533" s="4">
        <f>_xll.ciqfunctions.udf.CIQ(InputTicker,  "IQ_EBITDA_5YR_ANN_CAGR",Input!K$2,Date)</f>
        <v>34.468299999999999</v>
      </c>
      <c r="J533" s="4">
        <f>_xll.ciqfunctions.udf.CIQ(InputTicker,  "IQ_EBITDA_5YR_ANN_CAGR",Input!L$2,Date)</f>
        <v>30.116299999999999</v>
      </c>
      <c r="K533" s="4">
        <f>_xll.ciqfunctions.udf.CIQ(InputTicker,  "IQ_EBITDA_5YR_ANN_CAGR",Input!M$2,Date)</f>
        <v>94.432500000000005</v>
      </c>
      <c r="L533" s="4">
        <f>_xll.ciqfunctions.udf.CIQ(InputTicker,  "IQ_EBITDA_5YR_ANN_CAGR",Input!N$2,Date)</f>
        <v>66.825599999999994</v>
      </c>
      <c r="M533" s="4">
        <f>_xll.ciqfunctions.udf.CIQ(InputTicker,  "IQ_EBITDA_5YR_ANN_CAGR",Input!O$2,Date)</f>
        <v>66.825599999999994</v>
      </c>
      <c r="N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  <c r="BL533" s="42"/>
      <c r="BM533" s="42"/>
      <c r="BN533" s="42"/>
    </row>
    <row r="534" spans="1:66" ht="12.75" customHeight="1" x14ac:dyDescent="0.2">
      <c r="A534" s="19" t="s">
        <v>599</v>
      </c>
      <c r="B534" s="4">
        <f>_xll.ciqfunctions.udf.CIQ(InputTicker, "IQ_EBIT_5YR_ANN_CAGR",Input!D$2,Date)</f>
        <v>42.907299999999999</v>
      </c>
      <c r="C534" s="4" t="str">
        <f>_xll.ciqfunctions.udf.CIQ(InputTicker, "IQ_EBIT_5YR_ANN_CAGR",Input!E$2,Date)</f>
        <v>NM</v>
      </c>
      <c r="D534" s="4">
        <f>_xll.ciqfunctions.udf.CIQ(InputTicker, "IQ_EBIT_5YR_ANN_CAGR",Input!F$2,Date)</f>
        <v>16.0486</v>
      </c>
      <c r="E534" s="4">
        <f>_xll.ciqfunctions.udf.CIQ(InputTicker, "IQ_EBIT_5YR_ANN_CAGR",Input!G$2,Date)</f>
        <v>-21.160499999999999</v>
      </c>
      <c r="F534" s="4">
        <f>_xll.ciqfunctions.udf.CIQ(InputTicker, "IQ_EBIT_5YR_ANN_CAGR",Input!H$2,Date)</f>
        <v>-64.372699999999995</v>
      </c>
      <c r="G534" s="4" t="str">
        <f>_xll.ciqfunctions.udf.CIQ(InputTicker, "IQ_EBIT_5YR_ANN_CAGR",Input!I$2,Date)</f>
        <v>NM</v>
      </c>
      <c r="H534" s="4" t="str">
        <f>_xll.ciqfunctions.udf.CIQ(InputTicker, "IQ_EBIT_5YR_ANN_CAGR",Input!J$2,Date)</f>
        <v>NM</v>
      </c>
      <c r="I534" s="4">
        <f>_xll.ciqfunctions.udf.CIQ(InputTicker, "IQ_EBIT_5YR_ANN_CAGR",Input!K$2,Date)</f>
        <v>39.621600000000001</v>
      </c>
      <c r="J534" s="4">
        <f>_xll.ciqfunctions.udf.CIQ(InputTicker, "IQ_EBIT_5YR_ANN_CAGR",Input!L$2,Date)</f>
        <v>45.078000000000003</v>
      </c>
      <c r="K534" s="4">
        <f>_xll.ciqfunctions.udf.CIQ(InputTicker, "IQ_EBIT_5YR_ANN_CAGR",Input!M$2,Date)</f>
        <v>309.62310000000002</v>
      </c>
      <c r="L534" s="4" t="str">
        <f>_xll.ciqfunctions.udf.CIQ(InputTicker, "IQ_EBIT_5YR_ANN_CAGR",Input!N$2,Date)</f>
        <v>NM</v>
      </c>
      <c r="M534" s="4" t="str">
        <f>_xll.ciqfunctions.udf.CIQ(InputTicker, "IQ_EBIT_5YR_ANN_CAGR",Input!O$2,Date)</f>
        <v>NM</v>
      </c>
      <c r="N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  <c r="BM534" s="42"/>
      <c r="BN534" s="42"/>
    </row>
    <row r="535" spans="1:66" ht="12.75" customHeight="1" x14ac:dyDescent="0.2">
      <c r="A535" s="19" t="s">
        <v>600</v>
      </c>
      <c r="B535" s="4">
        <f>_xll.ciqfunctions.udf.CIQ(InputTicker,  "IQ_NI_5YR_ANN_CAGR",Input!D$2,Date)</f>
        <v>39.031199999999998</v>
      </c>
      <c r="C535" s="4" t="str">
        <f>_xll.ciqfunctions.udf.CIQ(InputTicker,  "IQ_NI_5YR_ANN_CAGR",Input!E$2,Date)</f>
        <v>NM</v>
      </c>
      <c r="D535" s="4">
        <f>_xll.ciqfunctions.udf.CIQ(InputTicker,  "IQ_NI_5YR_ANN_CAGR",Input!F$2,Date)</f>
        <v>20.0885</v>
      </c>
      <c r="E535" s="4">
        <f>_xll.ciqfunctions.udf.CIQ(InputTicker,  "IQ_NI_5YR_ANN_CAGR",Input!G$2,Date)</f>
        <v>-13.0647</v>
      </c>
      <c r="F535" s="4">
        <f>_xll.ciqfunctions.udf.CIQ(InputTicker,  "IQ_NI_5YR_ANN_CAGR",Input!H$2,Date)</f>
        <v>-35.223399999999998</v>
      </c>
      <c r="G535" s="4">
        <f>_xll.ciqfunctions.udf.CIQ(InputTicker,  "IQ_NI_5YR_ANN_CAGR",Input!I$2,Date)</f>
        <v>-63.455399999999997</v>
      </c>
      <c r="H535" s="4" t="str">
        <f>_xll.ciqfunctions.udf.CIQ(InputTicker,  "IQ_NI_5YR_ANN_CAGR",Input!J$2,Date)</f>
        <v>NM</v>
      </c>
      <c r="I535" s="4">
        <f>_xll.ciqfunctions.udf.CIQ(InputTicker,  "IQ_NI_5YR_ANN_CAGR",Input!K$2,Date)</f>
        <v>43.188899999999997</v>
      </c>
      <c r="J535" s="4">
        <f>_xll.ciqfunctions.udf.CIQ(InputTicker,  "IQ_NI_5YR_ANN_CAGR",Input!L$2,Date)</f>
        <v>38.652500000000003</v>
      </c>
      <c r="K535" s="4">
        <f>_xll.ciqfunctions.udf.CIQ(InputTicker,  "IQ_NI_5YR_ANN_CAGR",Input!M$2,Date)</f>
        <v>131.39519999999999</v>
      </c>
      <c r="L535" s="4">
        <f>_xll.ciqfunctions.udf.CIQ(InputTicker,  "IQ_NI_5YR_ANN_CAGR",Input!N$2,Date)</f>
        <v>173.7482</v>
      </c>
      <c r="M535" s="4">
        <f>_xll.ciqfunctions.udf.CIQ(InputTicker,  "IQ_NI_5YR_ANN_CAGR",Input!O$2,Date)</f>
        <v>173.7482</v>
      </c>
      <c r="N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  <c r="BM535" s="42"/>
      <c r="BN535" s="42"/>
    </row>
    <row r="536" spans="1:66" ht="12.75" customHeight="1" x14ac:dyDescent="0.2">
      <c r="A536" s="19" t="s">
        <v>601</v>
      </c>
      <c r="B536" s="4">
        <f>_xll.ciqfunctions.udf.CIQ(InputTicker, "IQ_EPS_5YR_ANN_CAGR",Input!D$2,Date)</f>
        <v>38.746499999999997</v>
      </c>
      <c r="C536" s="4" t="str">
        <f>_xll.ciqfunctions.udf.CIQ(InputTicker, "IQ_EPS_5YR_ANN_CAGR",Input!E$2,Date)</f>
        <v>NM</v>
      </c>
      <c r="D536" s="4">
        <f>_xll.ciqfunctions.udf.CIQ(InputTicker, "IQ_EPS_5YR_ANN_CAGR",Input!F$2,Date)</f>
        <v>19.8828</v>
      </c>
      <c r="E536" s="4">
        <f>_xll.ciqfunctions.udf.CIQ(InputTicker, "IQ_EPS_5YR_ANN_CAGR",Input!G$2,Date)</f>
        <v>-13.116899999999999</v>
      </c>
      <c r="F536" s="4">
        <f>_xll.ciqfunctions.udf.CIQ(InputTicker, "IQ_EPS_5YR_ANN_CAGR",Input!H$2,Date)</f>
        <v>-35.2346</v>
      </c>
      <c r="G536" s="4">
        <f>_xll.ciqfunctions.udf.CIQ(InputTicker, "IQ_EPS_5YR_ANN_CAGR",Input!I$2,Date)</f>
        <v>-63.9071</v>
      </c>
      <c r="H536" s="4" t="str">
        <f>_xll.ciqfunctions.udf.CIQ(InputTicker, "IQ_EPS_5YR_ANN_CAGR",Input!J$2,Date)</f>
        <v>NM</v>
      </c>
      <c r="I536" s="4">
        <f>_xll.ciqfunctions.udf.CIQ(InputTicker, "IQ_EPS_5YR_ANN_CAGR",Input!K$2,Date)</f>
        <v>42.949800000000003</v>
      </c>
      <c r="J536" s="4">
        <f>_xll.ciqfunctions.udf.CIQ(InputTicker, "IQ_EPS_5YR_ANN_CAGR",Input!L$2,Date)</f>
        <v>38.441200000000002</v>
      </c>
      <c r="K536" s="4">
        <f>_xll.ciqfunctions.udf.CIQ(InputTicker, "IQ_EPS_5YR_ANN_CAGR",Input!M$2,Date)</f>
        <v>130.98419999999999</v>
      </c>
      <c r="L536" s="4">
        <f>_xll.ciqfunctions.udf.CIQ(InputTicker, "IQ_EPS_5YR_ANN_CAGR",Input!N$2,Date)</f>
        <v>177.9014</v>
      </c>
      <c r="M536" s="4">
        <f>_xll.ciqfunctions.udf.CIQ(InputTicker, "IQ_EPS_5YR_ANN_CAGR",Input!O$2,Date)</f>
        <v>177.9014</v>
      </c>
      <c r="N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  <c r="BM536" s="42"/>
      <c r="BN536" s="42"/>
    </row>
    <row r="537" spans="1:66" x14ac:dyDescent="0.2">
      <c r="A537" s="1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  <c r="BM537" s="42"/>
      <c r="BN537" s="42"/>
    </row>
  </sheetData>
  <phoneticPr fontId="3" type="noConversion"/>
  <printOptions horizontalCentered="1"/>
  <pageMargins left="0.25" right="0.25" top="0.25" bottom="0.25" header="0.25" footer="0.25"/>
  <pageSetup scale="22" orientation="landscape" r:id="rId1"/>
  <headerFooter alignWithMargins="0"/>
  <customProperties>
    <customPr name="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122"/>
  <sheetViews>
    <sheetView showGridLines="0" zoomScale="85" zoomScaleNormal="100" zoomScaleSheetLayoutView="85" workbookViewId="0">
      <pane xSplit="1" ySplit="2" topLeftCell="B64" activePane="bottomRight" state="frozen"/>
      <selection pane="topRight" activeCell="D1" sqref="D1"/>
      <selection pane="bottomLeft" activeCell="A8" sqref="A8"/>
      <selection pane="bottomRight" activeCell="K1" sqref="K1"/>
    </sheetView>
  </sheetViews>
  <sheetFormatPr defaultRowHeight="12.75" customHeight="1" x14ac:dyDescent="0.2"/>
  <cols>
    <col min="1" max="1" width="34.5703125" bestFit="1" customWidth="1"/>
    <col min="2" max="13" width="13.28515625" customWidth="1"/>
  </cols>
  <sheetData>
    <row r="1" spans="1:21" s="42" customFormat="1" x14ac:dyDescent="0.2">
      <c r="A1" s="3" t="s">
        <v>604</v>
      </c>
      <c r="B1" s="32" t="str">
        <f>"FY"&amp;RIGHT(YEAR(B2),2)</f>
        <v>FY16</v>
      </c>
      <c r="C1" s="32" t="str">
        <f t="shared" ref="C1:L1" si="0">"FY"&amp;RIGHT(YEAR(C2),2)</f>
        <v>FY17</v>
      </c>
      <c r="D1" s="32" t="str">
        <f t="shared" si="0"/>
        <v>FY18</v>
      </c>
      <c r="E1" s="32" t="str">
        <f t="shared" si="0"/>
        <v>FY19</v>
      </c>
      <c r="F1" s="32" t="str">
        <f t="shared" si="0"/>
        <v>FY20</v>
      </c>
      <c r="G1" s="32" t="str">
        <f t="shared" si="0"/>
        <v>FY21</v>
      </c>
      <c r="H1" s="32" t="str">
        <f t="shared" si="0"/>
        <v>FY22</v>
      </c>
      <c r="I1" s="32" t="str">
        <f t="shared" si="0"/>
        <v>FY23</v>
      </c>
      <c r="J1" s="32" t="str">
        <f t="shared" si="0"/>
        <v>FY24</v>
      </c>
      <c r="K1" s="32" t="str">
        <f t="shared" si="0"/>
        <v>FY25</v>
      </c>
      <c r="L1" s="32" t="str">
        <f t="shared" si="0"/>
        <v>FY26</v>
      </c>
      <c r="M1" s="32" t="s">
        <v>266</v>
      </c>
      <c r="S1" s="3"/>
      <c r="T1" s="2"/>
      <c r="U1" s="3"/>
    </row>
    <row r="2" spans="1:21" ht="12.75" customHeight="1" x14ac:dyDescent="0.2">
      <c r="A2" s="3" t="s">
        <v>408</v>
      </c>
      <c r="B2" s="24">
        <f>'Financial Statements'!B$2</f>
        <v>42518</v>
      </c>
      <c r="C2" s="24">
        <f>'Financial Statements'!C$2</f>
        <v>42889</v>
      </c>
      <c r="D2" s="24">
        <f>'Financial Statements'!D$2</f>
        <v>43253</v>
      </c>
      <c r="E2" s="24">
        <f>'Financial Statements'!E$2</f>
        <v>43617</v>
      </c>
      <c r="F2" s="24">
        <f>'Financial Statements'!F$2</f>
        <v>43981</v>
      </c>
      <c r="G2" s="24">
        <f>'Financial Statements'!G$2</f>
        <v>44345</v>
      </c>
      <c r="H2" s="24">
        <f>'Financial Statements'!H$2</f>
        <v>44709</v>
      </c>
      <c r="I2" s="24">
        <f>'Financial Statements'!I$2</f>
        <v>45080</v>
      </c>
      <c r="J2" s="24">
        <f>'Financial Statements'!J$2</f>
        <v>45444</v>
      </c>
      <c r="K2" s="24">
        <f>'Financial Statements'!K$2</f>
        <v>45808</v>
      </c>
      <c r="L2" s="24">
        <f>'Financial Statements'!L$2</f>
        <v>46172</v>
      </c>
      <c r="M2" s="24">
        <f>'Financial Statements'!M$2</f>
        <v>46172</v>
      </c>
    </row>
    <row r="3" spans="1:21" ht="12.75" customHeight="1" x14ac:dyDescent="0.2">
      <c r="A3" s="1" t="s">
        <v>57</v>
      </c>
      <c r="B3" s="25">
        <f>'Financial Statements'!B3/'Financial Statements'!B$10</f>
        <v>1</v>
      </c>
      <c r="C3" s="25">
        <f>'Financial Statements'!C3/'Financial Statements'!C$10</f>
        <v>1</v>
      </c>
      <c r="D3" s="25">
        <f>'Financial Statements'!D3/'Financial Statements'!D$10</f>
        <v>1</v>
      </c>
      <c r="E3" s="25">
        <f>'Financial Statements'!E3/'Financial Statements'!E$10</f>
        <v>1</v>
      </c>
      <c r="F3" s="25">
        <f>'Financial Statements'!F3/'Financial Statements'!F$10</f>
        <v>1</v>
      </c>
      <c r="G3" s="25">
        <f>'Financial Statements'!G3/'Financial Statements'!G$10</f>
        <v>1</v>
      </c>
      <c r="H3" s="25">
        <f>'Financial Statements'!H3/'Financial Statements'!H$10</f>
        <v>1</v>
      </c>
      <c r="I3" s="25">
        <f>'Financial Statements'!I3/'Financial Statements'!I$10</f>
        <v>1</v>
      </c>
      <c r="J3" s="25">
        <f>'Financial Statements'!J3/'Financial Statements'!J$10</f>
        <v>1</v>
      </c>
      <c r="K3" s="25">
        <f>'Financial Statements'!K3/'Financial Statements'!K$10</f>
        <v>1</v>
      </c>
      <c r="L3" s="25">
        <f>'Financial Statements'!L3/'Financial Statements'!L$10</f>
        <v>1</v>
      </c>
      <c r="M3" s="25">
        <f>'Financial Statements'!M3/'Financial Statements'!M$10</f>
        <v>1</v>
      </c>
    </row>
    <row r="4" spans="1:21" ht="12.75" customHeight="1" x14ac:dyDescent="0.2">
      <c r="A4" s="1" t="s">
        <v>157</v>
      </c>
      <c r="B4" s="25">
        <f>'Financial Statements'!B4/'Financial Statements'!B$10</f>
        <v>0</v>
      </c>
      <c r="C4" s="25">
        <f>'Financial Statements'!C4/'Financial Statements'!C$10</f>
        <v>0</v>
      </c>
      <c r="D4" s="25">
        <f>'Financial Statements'!D4/'Financial Statements'!D$10</f>
        <v>0</v>
      </c>
      <c r="E4" s="25">
        <f>'Financial Statements'!E4/'Financial Statements'!E$10</f>
        <v>0</v>
      </c>
      <c r="F4" s="25">
        <f>'Financial Statements'!F4/'Financial Statements'!F$10</f>
        <v>0</v>
      </c>
      <c r="G4" s="25">
        <f>'Financial Statements'!G4/'Financial Statements'!G$10</f>
        <v>0</v>
      </c>
      <c r="H4" s="25">
        <f>'Financial Statements'!H4/'Financial Statements'!H$10</f>
        <v>0</v>
      </c>
      <c r="I4" s="25">
        <f>'Financial Statements'!I4/'Financial Statements'!I$10</f>
        <v>0</v>
      </c>
      <c r="J4" s="25">
        <f>'Financial Statements'!J4/'Financial Statements'!J$10</f>
        <v>0</v>
      </c>
      <c r="K4" s="25">
        <f>'Financial Statements'!K4/'Financial Statements'!K$10</f>
        <v>0</v>
      </c>
      <c r="L4" s="25">
        <f>'Financial Statements'!L4/'Financial Statements'!L$10</f>
        <v>0</v>
      </c>
      <c r="M4" s="25">
        <f>'Financial Statements'!M4/'Financial Statements'!M$10</f>
        <v>0</v>
      </c>
    </row>
    <row r="5" spans="1:21" ht="12.75" customHeight="1" x14ac:dyDescent="0.2">
      <c r="A5" s="1" t="s">
        <v>158</v>
      </c>
      <c r="B5" s="25">
        <f>'Financial Statements'!B5/'Financial Statements'!B$10</f>
        <v>0</v>
      </c>
      <c r="C5" s="25">
        <f>'Financial Statements'!C5/'Financial Statements'!C$10</f>
        <v>0</v>
      </c>
      <c r="D5" s="25">
        <f>'Financial Statements'!D5/'Financial Statements'!D$10</f>
        <v>0</v>
      </c>
      <c r="E5" s="25">
        <f>'Financial Statements'!E5/'Financial Statements'!E$10</f>
        <v>0</v>
      </c>
      <c r="F5" s="25">
        <f>'Financial Statements'!F5/'Financial Statements'!F$10</f>
        <v>0</v>
      </c>
      <c r="G5" s="25">
        <f>'Financial Statements'!G5/'Financial Statements'!G$10</f>
        <v>0</v>
      </c>
      <c r="H5" s="25">
        <f>'Financial Statements'!H5/'Financial Statements'!H$10</f>
        <v>0</v>
      </c>
      <c r="I5" s="25">
        <f>'Financial Statements'!I5/'Financial Statements'!I$10</f>
        <v>0</v>
      </c>
      <c r="J5" s="25">
        <f>'Financial Statements'!J5/'Financial Statements'!J$10</f>
        <v>0</v>
      </c>
      <c r="K5" s="25">
        <f>'Financial Statements'!K5/'Financial Statements'!K$10</f>
        <v>0</v>
      </c>
      <c r="L5" s="25">
        <f>'Financial Statements'!L5/'Financial Statements'!L$10</f>
        <v>0</v>
      </c>
      <c r="M5" s="25">
        <f>'Financial Statements'!M5/'Financial Statements'!M$10</f>
        <v>0</v>
      </c>
    </row>
    <row r="6" spans="1:21" ht="12.75" customHeight="1" x14ac:dyDescent="0.2">
      <c r="A6" s="1" t="s">
        <v>276</v>
      </c>
      <c r="B6" s="25">
        <f>'Financial Statements'!B6/'Financial Statements'!B$10</f>
        <v>0</v>
      </c>
      <c r="C6" s="25">
        <f>'Financial Statements'!C6/'Financial Statements'!C$10</f>
        <v>0</v>
      </c>
      <c r="D6" s="25">
        <f>'Financial Statements'!D6/'Financial Statements'!D$10</f>
        <v>0</v>
      </c>
      <c r="E6" s="25">
        <f>'Financial Statements'!E6/'Financial Statements'!E$10</f>
        <v>0</v>
      </c>
      <c r="F6" s="25">
        <f>'Financial Statements'!F6/'Financial Statements'!F$10</f>
        <v>0</v>
      </c>
      <c r="G6" s="25">
        <f>'Financial Statements'!G6/'Financial Statements'!G$10</f>
        <v>0</v>
      </c>
      <c r="H6" s="25">
        <f>'Financial Statements'!H6/'Financial Statements'!H$10</f>
        <v>0</v>
      </c>
      <c r="I6" s="25">
        <f>'Financial Statements'!I6/'Financial Statements'!I$10</f>
        <v>0</v>
      </c>
      <c r="J6" s="25">
        <f>'Financial Statements'!J6/'Financial Statements'!J$10</f>
        <v>0</v>
      </c>
      <c r="K6" s="25">
        <f>'Financial Statements'!K6/'Financial Statements'!K$10</f>
        <v>0</v>
      </c>
      <c r="L6" s="25">
        <f>'Financial Statements'!L6/'Financial Statements'!L$10</f>
        <v>0</v>
      </c>
      <c r="M6" s="25">
        <f>'Financial Statements'!M6/'Financial Statements'!M$10</f>
        <v>0</v>
      </c>
    </row>
    <row r="7" spans="1:21" ht="12.75" customHeight="1" x14ac:dyDescent="0.2">
      <c r="A7" s="1" t="s">
        <v>277</v>
      </c>
      <c r="B7" s="25">
        <f>'Financial Statements'!B7/'Financial Statements'!B$10</f>
        <v>0</v>
      </c>
      <c r="C7" s="25">
        <f>'Financial Statements'!C7/'Financial Statements'!C$10</f>
        <v>0</v>
      </c>
      <c r="D7" s="25">
        <f>'Financial Statements'!D7/'Financial Statements'!D$10</f>
        <v>0</v>
      </c>
      <c r="E7" s="25">
        <f>'Financial Statements'!E7/'Financial Statements'!E$10</f>
        <v>0</v>
      </c>
      <c r="F7" s="25">
        <f>'Financial Statements'!F7/'Financial Statements'!F$10</f>
        <v>0</v>
      </c>
      <c r="G7" s="25">
        <f>'Financial Statements'!G7/'Financial Statements'!G$10</f>
        <v>0</v>
      </c>
      <c r="H7" s="25">
        <f>'Financial Statements'!H7/'Financial Statements'!H$10</f>
        <v>0</v>
      </c>
      <c r="I7" s="25">
        <f>'Financial Statements'!I7/'Financial Statements'!I$10</f>
        <v>0</v>
      </c>
      <c r="J7" s="25">
        <f>'Financial Statements'!J7/'Financial Statements'!J$10</f>
        <v>0</v>
      </c>
      <c r="K7" s="25">
        <f>'Financial Statements'!K7/'Financial Statements'!K$10</f>
        <v>0</v>
      </c>
      <c r="L7" s="25">
        <f>'Financial Statements'!L7/'Financial Statements'!L$10</f>
        <v>0</v>
      </c>
      <c r="M7" s="25">
        <f>'Financial Statements'!M7/'Financial Statements'!M$10</f>
        <v>0</v>
      </c>
    </row>
    <row r="8" spans="1:21" ht="12.75" customHeight="1" x14ac:dyDescent="0.2">
      <c r="A8" s="1" t="s">
        <v>159</v>
      </c>
      <c r="B8" s="25">
        <f>'Financial Statements'!B8/'Financial Statements'!B$10</f>
        <v>0</v>
      </c>
      <c r="C8" s="25">
        <f>'Financial Statements'!C8/'Financial Statements'!C$10</f>
        <v>0</v>
      </c>
      <c r="D8" s="25">
        <f>'Financial Statements'!D8/'Financial Statements'!D$10</f>
        <v>0</v>
      </c>
      <c r="E8" s="25">
        <f>'Financial Statements'!E8/'Financial Statements'!E$10</f>
        <v>0</v>
      </c>
      <c r="F8" s="25">
        <f>'Financial Statements'!F8/'Financial Statements'!F$10</f>
        <v>0</v>
      </c>
      <c r="G8" s="25">
        <f>'Financial Statements'!G8/'Financial Statements'!G$10</f>
        <v>0</v>
      </c>
      <c r="H8" s="25">
        <f>'Financial Statements'!H8/'Financial Statements'!H$10</f>
        <v>0</v>
      </c>
      <c r="I8" s="25">
        <f>'Financial Statements'!I8/'Financial Statements'!I$10</f>
        <v>0</v>
      </c>
      <c r="J8" s="25">
        <f>'Financial Statements'!J8/'Financial Statements'!J$10</f>
        <v>0</v>
      </c>
      <c r="K8" s="25">
        <f>'Financial Statements'!K8/'Financial Statements'!K$10</f>
        <v>0</v>
      </c>
      <c r="L8" s="25">
        <f>'Financial Statements'!L8/'Financial Statements'!L$10</f>
        <v>0</v>
      </c>
      <c r="M8" s="25">
        <f>'Financial Statements'!M8/'Financial Statements'!M$10</f>
        <v>0</v>
      </c>
    </row>
    <row r="9" spans="1:21" ht="12.75" customHeight="1" x14ac:dyDescent="0.2">
      <c r="A9" s="1" t="s">
        <v>123</v>
      </c>
      <c r="B9" s="25">
        <f>'Financial Statements'!B9/'Financial Statements'!B$10</f>
        <v>0</v>
      </c>
      <c r="C9" s="25">
        <f>'Financial Statements'!C9/'Financial Statements'!C$10</f>
        <v>0</v>
      </c>
      <c r="D9" s="25">
        <f>'Financial Statements'!D9/'Financial Statements'!D$10</f>
        <v>0</v>
      </c>
      <c r="E9" s="25">
        <f>'Financial Statements'!E9/'Financial Statements'!E$10</f>
        <v>0</v>
      </c>
      <c r="F9" s="25">
        <f>'Financial Statements'!F9/'Financial Statements'!F$10</f>
        <v>0</v>
      </c>
      <c r="G9" s="25">
        <f>'Financial Statements'!G9/'Financial Statements'!G$10</f>
        <v>0</v>
      </c>
      <c r="H9" s="25">
        <f>'Financial Statements'!H9/'Financial Statements'!H$10</f>
        <v>0</v>
      </c>
      <c r="I9" s="25">
        <f>'Financial Statements'!I9/'Financial Statements'!I$10</f>
        <v>0</v>
      </c>
      <c r="J9" s="25">
        <f>'Financial Statements'!J9/'Financial Statements'!J$10</f>
        <v>0</v>
      </c>
      <c r="K9" s="25">
        <f>'Financial Statements'!K9/'Financial Statements'!K$10</f>
        <v>0</v>
      </c>
      <c r="L9" s="25">
        <f>'Financial Statements'!L9/'Financial Statements'!L$10</f>
        <v>0</v>
      </c>
      <c r="M9" s="25">
        <f>'Financial Statements'!M9/'Financial Statements'!M$10</f>
        <v>0</v>
      </c>
    </row>
    <row r="10" spans="1:21" ht="12.75" customHeight="1" x14ac:dyDescent="0.2">
      <c r="A10" s="5" t="s">
        <v>58</v>
      </c>
      <c r="B10" s="26">
        <f>'Financial Statements'!B10/'Financial Statements'!B$10</f>
        <v>1</v>
      </c>
      <c r="C10" s="26">
        <f>'Financial Statements'!C10/'Financial Statements'!C$10</f>
        <v>1</v>
      </c>
      <c r="D10" s="26">
        <f>'Financial Statements'!D10/'Financial Statements'!D$10</f>
        <v>1</v>
      </c>
      <c r="E10" s="26">
        <f>'Financial Statements'!E10/'Financial Statements'!E$10</f>
        <v>1</v>
      </c>
      <c r="F10" s="26">
        <f>'Financial Statements'!F10/'Financial Statements'!F$10</f>
        <v>1</v>
      </c>
      <c r="G10" s="26">
        <f>'Financial Statements'!G10/'Financial Statements'!G$10</f>
        <v>1</v>
      </c>
      <c r="H10" s="26">
        <f>'Financial Statements'!H10/'Financial Statements'!H$10</f>
        <v>1</v>
      </c>
      <c r="I10" s="26">
        <f>'Financial Statements'!I10/'Financial Statements'!I$10</f>
        <v>1</v>
      </c>
      <c r="J10" s="26">
        <f>'Financial Statements'!J10/'Financial Statements'!J$10</f>
        <v>1</v>
      </c>
      <c r="K10" s="26">
        <f>'Financial Statements'!K10/'Financial Statements'!K$10</f>
        <v>1</v>
      </c>
      <c r="L10" s="26">
        <f>'Financial Statements'!L10/'Financial Statements'!L$10</f>
        <v>1</v>
      </c>
      <c r="M10" s="26">
        <f>'Financial Statements'!M10/'Financial Statements'!M$10</f>
        <v>1</v>
      </c>
    </row>
    <row r="11" spans="1:21" ht="12.75" customHeight="1" x14ac:dyDescent="0.2">
      <c r="A11" s="1" t="s">
        <v>124</v>
      </c>
      <c r="B11" s="25">
        <f>'Financial Statements'!B11/'Financial Statements'!B$10</f>
        <v>0.66045424776674611</v>
      </c>
      <c r="C11" s="25">
        <f>'Financial Statements'!C11/'Financial Statements'!C$10</f>
        <v>0.95760870273323828</v>
      </c>
      <c r="D11" s="25">
        <f>'Financial Statements'!D11/'Financial Statements'!D$10</f>
        <v>0.7597722318774236</v>
      </c>
      <c r="E11" s="25">
        <f>'Financial Statements'!E11/'Financial Statements'!E$10</f>
        <v>0.83627610587222323</v>
      </c>
      <c r="F11" s="25">
        <f>'Financial Statements'!F11/'Financial Statements'!F$10</f>
        <v>0.86713021295359827</v>
      </c>
      <c r="G11" s="25">
        <f>'Financial Statements'!G11/'Financial Statements'!G$10</f>
        <v>0.88090248460511478</v>
      </c>
      <c r="H11" s="25">
        <f>'Financial Statements'!H11/'Financial Statements'!H$10</f>
        <v>0.81033829837397764</v>
      </c>
      <c r="I11" s="25">
        <f>'Financial Statements'!I11/'Financial Statements'!I$10</f>
        <v>0.61971567758994373</v>
      </c>
      <c r="J11" s="25">
        <f>'Financial Statements'!J11/'Financial Statements'!J$10</f>
        <v>0.76721071610179137</v>
      </c>
      <c r="K11" s="25">
        <f>'Financial Statements'!K11/'Financial Statements'!K$10</f>
        <v>0.56571212034111662</v>
      </c>
      <c r="L11" s="25">
        <f>'Financial Statements'!L11/'Financial Statements'!L$10</f>
        <v>0.76918477335047841</v>
      </c>
      <c r="M11" s="25">
        <f>'Financial Statements'!M11/'Financial Statements'!M$10</f>
        <v>0.76918477335047841</v>
      </c>
    </row>
    <row r="12" spans="1:21" ht="12.75" customHeight="1" x14ac:dyDescent="0.2">
      <c r="A12" s="1" t="s">
        <v>160</v>
      </c>
      <c r="B12" s="25">
        <f>'Financial Statements'!B12/'Financial Statements'!B$10</f>
        <v>0</v>
      </c>
      <c r="C12" s="25">
        <f>'Financial Statements'!C12/'Financial Statements'!C$10</f>
        <v>0</v>
      </c>
      <c r="D12" s="25">
        <f>'Financial Statements'!D12/'Financial Statements'!D$10</f>
        <v>0</v>
      </c>
      <c r="E12" s="25">
        <f>'Financial Statements'!E12/'Financial Statements'!E$10</f>
        <v>0</v>
      </c>
      <c r="F12" s="25">
        <f>'Financial Statements'!F12/'Financial Statements'!F$10</f>
        <v>0</v>
      </c>
      <c r="G12" s="25">
        <f>'Financial Statements'!G12/'Financial Statements'!G$10</f>
        <v>0</v>
      </c>
      <c r="H12" s="25">
        <f>'Financial Statements'!H12/'Financial Statements'!H$10</f>
        <v>0</v>
      </c>
      <c r="I12" s="25">
        <f>'Financial Statements'!I12/'Financial Statements'!I$10</f>
        <v>0</v>
      </c>
      <c r="J12" s="25">
        <f>'Financial Statements'!J12/'Financial Statements'!J$10</f>
        <v>0</v>
      </c>
      <c r="K12" s="25">
        <f>'Financial Statements'!K12/'Financial Statements'!K$10</f>
        <v>0</v>
      </c>
      <c r="L12" s="25">
        <f>'Financial Statements'!L12/'Financial Statements'!L$10</f>
        <v>0</v>
      </c>
      <c r="M12" s="25">
        <f>'Financial Statements'!M12/'Financial Statements'!M$10</f>
        <v>0</v>
      </c>
    </row>
    <row r="13" spans="1:21" ht="12.75" customHeight="1" x14ac:dyDescent="0.2">
      <c r="A13" s="1" t="s">
        <v>161</v>
      </c>
      <c r="B13" s="25">
        <f>'Financial Statements'!B13/'Financial Statements'!B$10</f>
        <v>0</v>
      </c>
      <c r="C13" s="25">
        <f>'Financial Statements'!C13/'Financial Statements'!C$10</f>
        <v>0</v>
      </c>
      <c r="D13" s="25">
        <f>'Financial Statements'!D13/'Financial Statements'!D$10</f>
        <v>0</v>
      </c>
      <c r="E13" s="25">
        <f>'Financial Statements'!E13/'Financial Statements'!E$10</f>
        <v>0</v>
      </c>
      <c r="F13" s="25">
        <f>'Financial Statements'!F13/'Financial Statements'!F$10</f>
        <v>0</v>
      </c>
      <c r="G13" s="25">
        <f>'Financial Statements'!G13/'Financial Statements'!G$10</f>
        <v>0</v>
      </c>
      <c r="H13" s="25">
        <f>'Financial Statements'!H13/'Financial Statements'!H$10</f>
        <v>0</v>
      </c>
      <c r="I13" s="25">
        <f>'Financial Statements'!I13/'Financial Statements'!I$10</f>
        <v>0</v>
      </c>
      <c r="J13" s="25">
        <f>'Financial Statements'!J13/'Financial Statements'!J$10</f>
        <v>0</v>
      </c>
      <c r="K13" s="25">
        <f>'Financial Statements'!K13/'Financial Statements'!K$10</f>
        <v>0</v>
      </c>
      <c r="L13" s="25">
        <f>'Financial Statements'!L13/'Financial Statements'!L$10</f>
        <v>0</v>
      </c>
      <c r="M13" s="25">
        <f>'Financial Statements'!M13/'Financial Statements'!M$10</f>
        <v>0</v>
      </c>
    </row>
    <row r="14" spans="1:21" ht="12.75" customHeight="1" x14ac:dyDescent="0.2">
      <c r="A14" s="1" t="s">
        <v>162</v>
      </c>
      <c r="B14" s="25">
        <f>'Financial Statements'!B14/'Financial Statements'!B$10</f>
        <v>0</v>
      </c>
      <c r="C14" s="25">
        <f>'Financial Statements'!C14/'Financial Statements'!C$10</f>
        <v>0</v>
      </c>
      <c r="D14" s="25">
        <f>'Financial Statements'!D14/'Financial Statements'!D$10</f>
        <v>0</v>
      </c>
      <c r="E14" s="25">
        <f>'Financial Statements'!E14/'Financial Statements'!E$10</f>
        <v>0</v>
      </c>
      <c r="F14" s="25">
        <f>'Financial Statements'!F14/'Financial Statements'!F$10</f>
        <v>0</v>
      </c>
      <c r="G14" s="25">
        <f>'Financial Statements'!G14/'Financial Statements'!G$10</f>
        <v>0</v>
      </c>
      <c r="H14" s="25">
        <f>'Financial Statements'!H14/'Financial Statements'!H$10</f>
        <v>0</v>
      </c>
      <c r="I14" s="25">
        <f>'Financial Statements'!I14/'Financial Statements'!I$10</f>
        <v>0</v>
      </c>
      <c r="J14" s="25">
        <f>'Financial Statements'!J14/'Financial Statements'!J$10</f>
        <v>0</v>
      </c>
      <c r="K14" s="25">
        <f>'Financial Statements'!K14/'Financial Statements'!K$10</f>
        <v>0</v>
      </c>
      <c r="L14" s="25">
        <f>'Financial Statements'!L14/'Financial Statements'!L$10</f>
        <v>0</v>
      </c>
      <c r="M14" s="25">
        <f>'Financial Statements'!M14/'Financial Statements'!M$10</f>
        <v>0</v>
      </c>
    </row>
    <row r="15" spans="1:21" ht="12.75" customHeight="1" x14ac:dyDescent="0.2">
      <c r="A15" s="5" t="s">
        <v>53</v>
      </c>
      <c r="B15" s="26">
        <f>'Financial Statements'!B15/'Financial Statements'!B$10</f>
        <v>0.33954575223325384</v>
      </c>
      <c r="C15" s="26">
        <f>'Financial Statements'!C15/'Financial Statements'!C$10</f>
        <v>4.2391297266761781E-2</v>
      </c>
      <c r="D15" s="26">
        <f>'Financial Statements'!D15/'Financial Statements'!D$10</f>
        <v>0.2402277681225764</v>
      </c>
      <c r="E15" s="26">
        <f>'Financial Statements'!E15/'Financial Statements'!E$10</f>
        <v>0.1637238941277766</v>
      </c>
      <c r="F15" s="26">
        <f>'Financial Statements'!F15/'Financial Statements'!F$10</f>
        <v>0.13286978704640173</v>
      </c>
      <c r="G15" s="26">
        <f>'Financial Statements'!G15/'Financial Statements'!G$10</f>
        <v>0.1190975153948852</v>
      </c>
      <c r="H15" s="26">
        <f>'Financial Statements'!H15/'Financial Statements'!H$10</f>
        <v>0.18966170162602222</v>
      </c>
      <c r="I15" s="26">
        <f>'Financial Statements'!I15/'Financial Statements'!I$10</f>
        <v>0.38028432241005627</v>
      </c>
      <c r="J15" s="26">
        <f>'Financial Statements'!J15/'Financial Statements'!J$10</f>
        <v>0.23278928389820855</v>
      </c>
      <c r="K15" s="26">
        <f>'Financial Statements'!K15/'Financial Statements'!K$10</f>
        <v>0.43428787965888332</v>
      </c>
      <c r="L15" s="26">
        <f>'Financial Statements'!L15/'Financial Statements'!L$10</f>
        <v>0.23081522664952164</v>
      </c>
      <c r="M15" s="26">
        <f>'Financial Statements'!M15/'Financial Statements'!M$10</f>
        <v>0.23081522664952164</v>
      </c>
    </row>
    <row r="16" spans="1:21" ht="12.75" customHeight="1" x14ac:dyDescent="0.2">
      <c r="A16" s="1" t="s">
        <v>125</v>
      </c>
      <c r="B16" s="25">
        <f>'Financial Statements'!B16/'Financial Statements'!B$10</f>
        <v>9.3133890446126841E-2</v>
      </c>
      <c r="C16" s="25">
        <f>'Financial Statements'!C16/'Financial Statements'!C$10</f>
        <v>0.16382491417041956</v>
      </c>
      <c r="D16" s="25">
        <f>'Financial Statements'!D16/'Financial Statements'!D$10</f>
        <v>0.1193107871813229</v>
      </c>
      <c r="E16" s="25">
        <f>'Financial Statements'!E16/'Financial Statements'!E$10</f>
        <v>0.13006653011927813</v>
      </c>
      <c r="F16" s="25">
        <f>'Financial Statements'!F16/'Financial Statements'!F$10</f>
        <v>0.13187023762049527</v>
      </c>
      <c r="G16" s="25">
        <f>'Financial Statements'!G16/'Financial Statements'!G$10</f>
        <v>0.13635639187034418</v>
      </c>
      <c r="H16" s="25">
        <f>'Financial Statements'!H16/'Financial Statements'!H$10</f>
        <v>0.11176884004188707</v>
      </c>
      <c r="I16" s="25">
        <f>'Financial Statements'!I16/'Financial Statements'!I$10</f>
        <v>7.3805144400402131E-2</v>
      </c>
      <c r="J16" s="25">
        <f>'Financial Statements'!J16/'Financial Statements'!J$10</f>
        <v>0.10622439492392463</v>
      </c>
      <c r="K16" s="25">
        <f>'Financial Statements'!K16/'Financial Statements'!K$10</f>
        <v>6.8713491799989909E-2</v>
      </c>
      <c r="L16" s="25">
        <f>'Financial Statements'!L16/'Financial Statements'!L$10</f>
        <v>0.11289098347593376</v>
      </c>
      <c r="M16" s="25">
        <f>'Financial Statements'!M16/'Financial Statements'!M$10</f>
        <v>0.11289098347593376</v>
      </c>
    </row>
    <row r="17" spans="1:13" ht="12.75" customHeight="1" x14ac:dyDescent="0.2">
      <c r="A17" s="1" t="s">
        <v>209</v>
      </c>
      <c r="B17" s="25">
        <f>'Financial Statements'!B17/'Financial Statements'!B$10</f>
        <v>0</v>
      </c>
      <c r="C17" s="25">
        <f>'Financial Statements'!C17/'Financial Statements'!C$10</f>
        <v>0</v>
      </c>
      <c r="D17" s="25">
        <f>'Financial Statements'!D17/'Financial Statements'!D$10</f>
        <v>0</v>
      </c>
      <c r="E17" s="25">
        <f>'Financial Statements'!E17/'Financial Statements'!E$10</f>
        <v>0</v>
      </c>
      <c r="F17" s="25">
        <f>'Financial Statements'!F17/'Financial Statements'!F$10</f>
        <v>0</v>
      </c>
      <c r="G17" s="25">
        <f>'Financial Statements'!G17/'Financial Statements'!G$10</f>
        <v>0</v>
      </c>
      <c r="H17" s="25">
        <f>'Financial Statements'!H17/'Financial Statements'!H$10</f>
        <v>0</v>
      </c>
      <c r="I17" s="25">
        <f>'Financial Statements'!I17/'Financial Statements'!I$10</f>
        <v>0</v>
      </c>
      <c r="J17" s="25">
        <f>'Financial Statements'!J17/'Financial Statements'!J$10</f>
        <v>0</v>
      </c>
      <c r="K17" s="25">
        <f>'Financial Statements'!K17/'Financial Statements'!K$10</f>
        <v>0</v>
      </c>
      <c r="L17" s="25">
        <f>'Financial Statements'!L17/'Financial Statements'!L$10</f>
        <v>0</v>
      </c>
      <c r="M17" s="25">
        <f>'Financial Statements'!M17/'Financial Statements'!M$10</f>
        <v>0</v>
      </c>
    </row>
    <row r="18" spans="1:13" ht="12.75" customHeight="1" x14ac:dyDescent="0.2">
      <c r="A18" s="1" t="s">
        <v>210</v>
      </c>
      <c r="B18" s="25">
        <f>'Financial Statements'!B18/'Financial Statements'!B$10</f>
        <v>0</v>
      </c>
      <c r="C18" s="25">
        <f>'Financial Statements'!C18/'Financial Statements'!C$10</f>
        <v>0</v>
      </c>
      <c r="D18" s="25">
        <f>'Financial Statements'!D18/'Financial Statements'!D$10</f>
        <v>0</v>
      </c>
      <c r="E18" s="25">
        <f>'Financial Statements'!E18/'Financial Statements'!E$10</f>
        <v>0</v>
      </c>
      <c r="F18" s="25">
        <f>'Financial Statements'!F18/'Financial Statements'!F$10</f>
        <v>0</v>
      </c>
      <c r="G18" s="25">
        <f>'Financial Statements'!G18/'Financial Statements'!G$10</f>
        <v>0</v>
      </c>
      <c r="H18" s="25">
        <f>'Financial Statements'!H18/'Financial Statements'!H$10</f>
        <v>0</v>
      </c>
      <c r="I18" s="25">
        <f>'Financial Statements'!I18/'Financial Statements'!I$10</f>
        <v>0</v>
      </c>
      <c r="J18" s="25">
        <f>'Financial Statements'!J18/'Financial Statements'!J$10</f>
        <v>0</v>
      </c>
      <c r="K18" s="25">
        <f>'Financial Statements'!K18/'Financial Statements'!K$10</f>
        <v>0</v>
      </c>
      <c r="L18" s="25">
        <f>'Financial Statements'!L18/'Financial Statements'!L$10</f>
        <v>0</v>
      </c>
      <c r="M18" s="25">
        <f>'Financial Statements'!M18/'Financial Statements'!M$10</f>
        <v>0</v>
      </c>
    </row>
    <row r="19" spans="1:13" ht="12.75" customHeight="1" x14ac:dyDescent="0.2">
      <c r="A19" s="1" t="s">
        <v>203</v>
      </c>
      <c r="B19" s="25">
        <f>'Financial Statements'!B19/'Financial Statements'!B$10</f>
        <v>0</v>
      </c>
      <c r="C19" s="25">
        <f>'Financial Statements'!C19/'Financial Statements'!C$10</f>
        <v>0</v>
      </c>
      <c r="D19" s="25">
        <f>'Financial Statements'!D19/'Financial Statements'!D$10</f>
        <v>0</v>
      </c>
      <c r="E19" s="25">
        <f>'Financial Statements'!E19/'Financial Statements'!E$10</f>
        <v>0</v>
      </c>
      <c r="F19" s="25">
        <f>'Financial Statements'!F19/'Financial Statements'!F$10</f>
        <v>0</v>
      </c>
      <c r="G19" s="25">
        <f>'Financial Statements'!G19/'Financial Statements'!G$10</f>
        <v>0</v>
      </c>
      <c r="H19" s="25">
        <f>'Financial Statements'!H19/'Financial Statements'!H$10</f>
        <v>0</v>
      </c>
      <c r="I19" s="25">
        <f>'Financial Statements'!I19/'Financial Statements'!I$10</f>
        <v>0</v>
      </c>
      <c r="J19" s="25">
        <f>'Financial Statements'!J19/'Financial Statements'!J$10</f>
        <v>0</v>
      </c>
      <c r="K19" s="25">
        <f>'Financial Statements'!K19/'Financial Statements'!K$10</f>
        <v>0</v>
      </c>
      <c r="L19" s="25">
        <f>'Financial Statements'!L19/'Financial Statements'!L$10</f>
        <v>0</v>
      </c>
      <c r="M19" s="25">
        <f>'Financial Statements'!M19/'Financial Statements'!M$10</f>
        <v>0</v>
      </c>
    </row>
    <row r="20" spans="1:13" ht="12.75" customHeight="1" x14ac:dyDescent="0.2">
      <c r="A20" s="1" t="s">
        <v>211</v>
      </c>
      <c r="B20" s="25">
        <f>'Financial Statements'!B20/'Financial Statements'!B$10</f>
        <v>0</v>
      </c>
      <c r="C20" s="25">
        <f>'Financial Statements'!C20/'Financial Statements'!C$10</f>
        <v>0</v>
      </c>
      <c r="D20" s="25">
        <f>'Financial Statements'!D20/'Financial Statements'!D$10</f>
        <v>0</v>
      </c>
      <c r="E20" s="25">
        <f>'Financial Statements'!E20/'Financial Statements'!E$10</f>
        <v>0</v>
      </c>
      <c r="F20" s="25">
        <f>'Financial Statements'!F20/'Financial Statements'!F$10</f>
        <v>0</v>
      </c>
      <c r="G20" s="25">
        <f>'Financial Statements'!G20/'Financial Statements'!G$10</f>
        <v>0</v>
      </c>
      <c r="H20" s="25">
        <f>'Financial Statements'!H20/'Financial Statements'!H$10</f>
        <v>0</v>
      </c>
      <c r="I20" s="25">
        <f>'Financial Statements'!I20/'Financial Statements'!I$10</f>
        <v>0</v>
      </c>
      <c r="J20" s="25">
        <f>'Financial Statements'!J20/'Financial Statements'!J$10</f>
        <v>0</v>
      </c>
      <c r="K20" s="25">
        <f>'Financial Statements'!K20/'Financial Statements'!K$10</f>
        <v>0</v>
      </c>
      <c r="L20" s="25">
        <f>'Financial Statements'!L20/'Financial Statements'!L$10</f>
        <v>0</v>
      </c>
      <c r="M20" s="25">
        <f>'Financial Statements'!M20/'Financial Statements'!M$10</f>
        <v>0</v>
      </c>
    </row>
    <row r="21" spans="1:13" ht="12.75" customHeight="1" x14ac:dyDescent="0.2">
      <c r="A21" s="1" t="s">
        <v>59</v>
      </c>
      <c r="B21" s="25">
        <f>'Financial Statements'!B21/'Financial Statements'!B$10</f>
        <v>0</v>
      </c>
      <c r="C21" s="25">
        <f>'Financial Statements'!C21/'Financial Statements'!C$10</f>
        <v>0</v>
      </c>
      <c r="D21" s="25">
        <f>'Financial Statements'!D21/'Financial Statements'!D$10</f>
        <v>0</v>
      </c>
      <c r="E21" s="25">
        <f>'Financial Statements'!E21/'Financial Statements'!E$10</f>
        <v>0</v>
      </c>
      <c r="F21" s="25">
        <f>'Financial Statements'!F21/'Financial Statements'!F$10</f>
        <v>0</v>
      </c>
      <c r="G21" s="25">
        <f>'Financial Statements'!G21/'Financial Statements'!G$10</f>
        <v>0</v>
      </c>
      <c r="H21" s="25">
        <f>'Financial Statements'!H21/'Financial Statements'!H$10</f>
        <v>0</v>
      </c>
      <c r="I21" s="25">
        <f>'Financial Statements'!I21/'Financial Statements'!I$10</f>
        <v>0</v>
      </c>
      <c r="J21" s="25">
        <f>'Financial Statements'!J21/'Financial Statements'!J$10</f>
        <v>0</v>
      </c>
      <c r="K21" s="25">
        <f>'Financial Statements'!K21/'Financial Statements'!K$10</f>
        <v>0</v>
      </c>
      <c r="L21" s="25">
        <f>'Financial Statements'!L21/'Financial Statements'!L$10</f>
        <v>0</v>
      </c>
      <c r="M21" s="25">
        <f>'Financial Statements'!M21/'Financial Statements'!M$10</f>
        <v>0</v>
      </c>
    </row>
    <row r="22" spans="1:13" ht="12.75" customHeight="1" x14ac:dyDescent="0.2">
      <c r="A22" s="1" t="s">
        <v>126</v>
      </c>
      <c r="B22" s="25">
        <f>'Financial Statements'!B22/'Financial Statements'!B$10</f>
        <v>0</v>
      </c>
      <c r="C22" s="25">
        <f>'Financial Statements'!C22/'Financial Statements'!C$10</f>
        <v>0</v>
      </c>
      <c r="D22" s="25">
        <f>'Financial Statements'!D22/'Financial Statements'!D$10</f>
        <v>0</v>
      </c>
      <c r="E22" s="25">
        <f>'Financial Statements'!E22/'Financial Statements'!E$10</f>
        <v>0</v>
      </c>
      <c r="F22" s="25">
        <f>'Financial Statements'!F22/'Financial Statements'!F$10</f>
        <v>0</v>
      </c>
      <c r="G22" s="25">
        <f>'Financial Statements'!G22/'Financial Statements'!G$10</f>
        <v>0</v>
      </c>
      <c r="H22" s="25">
        <f>'Financial Statements'!H22/'Financial Statements'!H$10</f>
        <v>0</v>
      </c>
      <c r="I22" s="25">
        <f>'Financial Statements'!I22/'Financial Statements'!I$10</f>
        <v>0</v>
      </c>
      <c r="J22" s="25">
        <f>'Financial Statements'!J22/'Financial Statements'!J$10</f>
        <v>0</v>
      </c>
      <c r="K22" s="25">
        <f>'Financial Statements'!K22/'Financial Statements'!K$10</f>
        <v>0</v>
      </c>
      <c r="L22" s="25">
        <f>'Financial Statements'!L22/'Financial Statements'!L$10</f>
        <v>0</v>
      </c>
      <c r="M22" s="25">
        <f>'Financial Statements'!M22/'Financial Statements'!M$10</f>
        <v>0</v>
      </c>
    </row>
    <row r="23" spans="1:13" ht="12.75" customHeight="1" x14ac:dyDescent="0.2">
      <c r="A23" s="1" t="s">
        <v>141</v>
      </c>
      <c r="B23" s="25">
        <f>'Financial Statements'!B23/'Financial Statements'!B$10</f>
        <v>0</v>
      </c>
      <c r="C23" s="25">
        <f>'Financial Statements'!C23/'Financial Statements'!C$10</f>
        <v>0</v>
      </c>
      <c r="D23" s="25">
        <f>'Financial Statements'!D23/'Financial Statements'!D$10</f>
        <v>0</v>
      </c>
      <c r="E23" s="25">
        <f>'Financial Statements'!E23/'Financial Statements'!E$10</f>
        <v>0</v>
      </c>
      <c r="F23" s="25">
        <f>'Financial Statements'!F23/'Financial Statements'!F$10</f>
        <v>0</v>
      </c>
      <c r="G23" s="25">
        <f>'Financial Statements'!G23/'Financial Statements'!G$10</f>
        <v>0</v>
      </c>
      <c r="H23" s="25">
        <f>'Financial Statements'!H23/'Financial Statements'!H$10</f>
        <v>0</v>
      </c>
      <c r="I23" s="25">
        <f>'Financial Statements'!I23/'Financial Statements'!I$10</f>
        <v>0</v>
      </c>
      <c r="J23" s="25">
        <f>'Financial Statements'!J23/'Financial Statements'!J$10</f>
        <v>0</v>
      </c>
      <c r="K23" s="25">
        <f>'Financial Statements'!K23/'Financial Statements'!K$10</f>
        <v>0</v>
      </c>
      <c r="L23" s="25">
        <f>'Financial Statements'!L23/'Financial Statements'!L$10</f>
        <v>0</v>
      </c>
      <c r="M23" s="25">
        <f>'Financial Statements'!M23/'Financial Statements'!M$10</f>
        <v>0</v>
      </c>
    </row>
    <row r="24" spans="1:13" ht="12.75" customHeight="1" x14ac:dyDescent="0.2">
      <c r="A24" s="1" t="s">
        <v>197</v>
      </c>
      <c r="B24" s="25">
        <f>'Financial Statements'!B24/'Financial Statements'!B$10</f>
        <v>0</v>
      </c>
      <c r="C24" s="25">
        <f>'Financial Statements'!C24/'Financial Statements'!C$10</f>
        <v>0</v>
      </c>
      <c r="D24" s="25">
        <f>'Financial Statements'!D24/'Financial Statements'!D$10</f>
        <v>0</v>
      </c>
      <c r="E24" s="25">
        <f>'Financial Statements'!E24/'Financial Statements'!E$10</f>
        <v>0</v>
      </c>
      <c r="F24" s="25">
        <f>'Financial Statements'!F24/'Financial Statements'!F$10</f>
        <v>0</v>
      </c>
      <c r="G24" s="25">
        <f>'Financial Statements'!G24/'Financial Statements'!G$10</f>
        <v>0</v>
      </c>
      <c r="H24" s="25">
        <f>'Financial Statements'!H24/'Financial Statements'!H$10</f>
        <v>0</v>
      </c>
      <c r="I24" s="25">
        <f>'Financial Statements'!I24/'Financial Statements'!I$10</f>
        <v>0</v>
      </c>
      <c r="J24" s="25">
        <f>'Financial Statements'!J24/'Financial Statements'!J$10</f>
        <v>0</v>
      </c>
      <c r="K24" s="25">
        <f>'Financial Statements'!K24/'Financial Statements'!K$10</f>
        <v>0</v>
      </c>
      <c r="L24" s="25">
        <f>'Financial Statements'!L24/'Financial Statements'!L$10</f>
        <v>0</v>
      </c>
      <c r="M24" s="25">
        <f>'Financial Statements'!M24/'Financial Statements'!M$10</f>
        <v>0</v>
      </c>
    </row>
    <row r="25" spans="1:13" ht="12.75" customHeight="1" x14ac:dyDescent="0.2">
      <c r="A25" s="1" t="s">
        <v>61</v>
      </c>
      <c r="B25" s="27">
        <f>'Financial Statements'!B25/'Financial Statements'!B$10</f>
        <v>0</v>
      </c>
      <c r="C25" s="27">
        <f>'Financial Statements'!C25/'Financial Statements'!C$10</f>
        <v>0</v>
      </c>
      <c r="D25" s="27">
        <f>'Financial Statements'!D25/'Financial Statements'!D$10</f>
        <v>0</v>
      </c>
      <c r="E25" s="27">
        <f>'Financial Statements'!E25/'Financial Statements'!E$10</f>
        <v>0</v>
      </c>
      <c r="F25" s="27">
        <f>'Financial Statements'!F25/'Financial Statements'!F$10</f>
        <v>0</v>
      </c>
      <c r="G25" s="27">
        <f>'Financial Statements'!G25/'Financial Statements'!G$10</f>
        <v>0</v>
      </c>
      <c r="H25" s="27">
        <f>'Financial Statements'!H25/'Financial Statements'!H$10</f>
        <v>0</v>
      </c>
      <c r="I25" s="27">
        <f>'Financial Statements'!I25/'Financial Statements'!I$10</f>
        <v>0</v>
      </c>
      <c r="J25" s="27">
        <f>'Financial Statements'!J25/'Financial Statements'!J$10</f>
        <v>0</v>
      </c>
      <c r="K25" s="27">
        <f>'Financial Statements'!K25/'Financial Statements'!K$10</f>
        <v>0</v>
      </c>
      <c r="L25" s="27">
        <f>'Financial Statements'!L25/'Financial Statements'!L$10</f>
        <v>0</v>
      </c>
      <c r="M25" s="27">
        <f>'Financial Statements'!M25/'Financial Statements'!M$10</f>
        <v>0</v>
      </c>
    </row>
    <row r="26" spans="1:13" ht="12.75" customHeight="1" x14ac:dyDescent="0.2">
      <c r="A26" s="5" t="s">
        <v>62</v>
      </c>
      <c r="B26" s="28">
        <f>'Financial Statements'!B26/'Financial Statements'!B$10</f>
        <v>9.3133890446126841E-2</v>
      </c>
      <c r="C26" s="28">
        <f>'Financial Statements'!C26/'Financial Statements'!C$10</f>
        <v>0.16382491417041956</v>
      </c>
      <c r="D26" s="28">
        <f>'Financial Statements'!D26/'Financial Statements'!D$10</f>
        <v>0.1193107871813229</v>
      </c>
      <c r="E26" s="28">
        <f>'Financial Statements'!E26/'Financial Statements'!E$10</f>
        <v>0.13006653011927813</v>
      </c>
      <c r="F26" s="28">
        <f>'Financial Statements'!F26/'Financial Statements'!F$10</f>
        <v>0.13187023762049527</v>
      </c>
      <c r="G26" s="28">
        <f>'Financial Statements'!G26/'Financial Statements'!G$10</f>
        <v>0.13635639187034418</v>
      </c>
      <c r="H26" s="28">
        <f>'Financial Statements'!H26/'Financial Statements'!H$10</f>
        <v>0.11176884004188707</v>
      </c>
      <c r="I26" s="28">
        <f>'Financial Statements'!I26/'Financial Statements'!I$10</f>
        <v>7.3805144400402131E-2</v>
      </c>
      <c r="J26" s="28">
        <f>'Financial Statements'!J26/'Financial Statements'!J$10</f>
        <v>0.10622439492392463</v>
      </c>
      <c r="K26" s="28">
        <f>'Financial Statements'!K26/'Financial Statements'!K$10</f>
        <v>6.8713491799989909E-2</v>
      </c>
      <c r="L26" s="28">
        <f>'Financial Statements'!L26/'Financial Statements'!L$10</f>
        <v>0.11289098347593376</v>
      </c>
      <c r="M26" s="28">
        <f>'Financial Statements'!M26/'Financial Statements'!M$10</f>
        <v>0.11289098347593376</v>
      </c>
    </row>
    <row r="27" spans="1:13" ht="12.75" customHeight="1" thickBot="1" x14ac:dyDescent="0.25">
      <c r="A27" s="5" t="s">
        <v>63</v>
      </c>
      <c r="B27" s="29">
        <f>'Financial Statements'!B27/'Financial Statements'!B$10</f>
        <v>0.24641186178712704</v>
      </c>
      <c r="C27" s="29">
        <f>'Financial Statements'!C27/'Financial Statements'!C$10</f>
        <v>-0.12143361690365775</v>
      </c>
      <c r="D27" s="29">
        <f>'Financial Statements'!D27/'Financial Statements'!D$10</f>
        <v>0.12091698094125349</v>
      </c>
      <c r="E27" s="29">
        <f>'Financial Statements'!E27/'Financial Statements'!E$10</f>
        <v>3.3657364008498454E-2</v>
      </c>
      <c r="F27" s="29">
        <f>'Financial Statements'!F27/'Financial Statements'!F$10</f>
        <v>9.9954942590645677E-4</v>
      </c>
      <c r="G27" s="29">
        <f>'Financial Statements'!G27/'Financial Statements'!G$10</f>
        <v>-1.7258876475458991E-2</v>
      </c>
      <c r="H27" s="29">
        <f>'Financial Statements'!H27/'Financial Statements'!H$10</f>
        <v>7.7892861584135123E-2</v>
      </c>
      <c r="I27" s="29">
        <f>'Financial Statements'!I27/'Financial Statements'!I$10</f>
        <v>0.30647917800965413</v>
      </c>
      <c r="J27" s="29">
        <f>'Financial Statements'!J27/'Financial Statements'!J$10</f>
        <v>0.12656488897428392</v>
      </c>
      <c r="K27" s="29">
        <f>'Financial Statements'!K27/'Financial Statements'!K$10</f>
        <v>0.3655743878588934</v>
      </c>
      <c r="L27" s="29">
        <f>'Financial Statements'!L27/'Financial Statements'!L$10</f>
        <v>0.11792424317358786</v>
      </c>
      <c r="M27" s="29">
        <f>'Financial Statements'!M27/'Financial Statements'!M$10</f>
        <v>0.11792424317358786</v>
      </c>
    </row>
    <row r="28" spans="1:13" ht="12.75" customHeight="1" thickTop="1" x14ac:dyDescent="0.2">
      <c r="A28" s="1" t="s">
        <v>52</v>
      </c>
      <c r="B28" s="25">
        <f>'Financial Statements'!B28/'Financial Statements'!B$10</f>
        <v>-6.0566368899483925E-4</v>
      </c>
      <c r="C28" s="25">
        <f>'Financial Statements'!C28/'Financial Statements'!C$10</f>
        <v>-2.9594802482613055E-4</v>
      </c>
      <c r="D28" s="25">
        <f>'Financial Statements'!D28/'Financial Statements'!D$10</f>
        <v>-1.7632201589958828E-4</v>
      </c>
      <c r="E28" s="25">
        <f>'Financial Statements'!E28/'Financial Statements'!E$10</f>
        <v>-4.7311613090917639E-4</v>
      </c>
      <c r="F28" s="25">
        <f>'Financial Statements'!F28/'Financial Statements'!F$10</f>
        <v>-3.6844975137040374E-4</v>
      </c>
      <c r="G28" s="25">
        <f>'Financial Statements'!G28/'Financial Statements'!G$10</f>
        <v>-1.5789625845171227E-4</v>
      </c>
      <c r="H28" s="25">
        <f>'Financial Statements'!H28/'Financial Statements'!H$10</f>
        <v>-2.2676642889015559E-4</v>
      </c>
      <c r="I28" s="25">
        <f>'Financial Statements'!I28/'Financial Statements'!I$10</f>
        <v>-1.8530190384197909E-4</v>
      </c>
      <c r="J28" s="25">
        <f>'Financial Statements'!J28/'Financial Statements'!J$10</f>
        <v>-2.3598257081733787E-4</v>
      </c>
      <c r="K28" s="25">
        <f>'Financial Statements'!K28/'Financial Statements'!K$10</f>
        <v>-1.435984312106028E-4</v>
      </c>
      <c r="L28" s="25">
        <f>'Financial Statements'!L28/'Financial Statements'!L$10</f>
        <v>-1.9095819801403474E-4</v>
      </c>
      <c r="M28" s="25">
        <f>'Financial Statements'!M28/'Financial Statements'!M$10</f>
        <v>-1.9095819801403474E-4</v>
      </c>
    </row>
    <row r="29" spans="1:13" ht="12.75" customHeight="1" x14ac:dyDescent="0.2">
      <c r="A29" s="1" t="s">
        <v>64</v>
      </c>
      <c r="B29" s="25">
        <f>'Financial Statements'!B29/'Financial Statements'!B$10</f>
        <v>5.891074843475755E-3</v>
      </c>
      <c r="C29" s="25">
        <f>'Financial Statements'!C29/'Financial Statements'!C$10</f>
        <v>1.0021284060779163E-2</v>
      </c>
      <c r="D29" s="25">
        <f>'Financial Statements'!D29/'Financial Statements'!D$10</f>
        <v>7.9730819491500623E-3</v>
      </c>
      <c r="E29" s="25">
        <f>'Financial Statements'!E29/'Financial Statements'!E$10</f>
        <v>1.3561682882893472E-2</v>
      </c>
      <c r="F29" s="25">
        <f>'Financial Statements'!F29/'Financial Statements'!F$10</f>
        <v>1.1140795895854497E-2</v>
      </c>
      <c r="G29" s="25">
        <f>'Financial Statements'!G29/'Financial Statements'!G$10</f>
        <v>8.7710259624444124E-3</v>
      </c>
      <c r="H29" s="25">
        <f>'Financial Statements'!H29/'Financial Statements'!H$10</f>
        <v>6.2560524972723316E-3</v>
      </c>
      <c r="I29" s="25">
        <f>'Financial Statements'!I29/'Financial Statements'!I$10</f>
        <v>9.1513077451428181E-3</v>
      </c>
      <c r="J29" s="25">
        <f>'Financial Statements'!J29/'Financial Statements'!J$10</f>
        <v>1.8743635670420464E-2</v>
      </c>
      <c r="K29" s="25">
        <f>'Financial Statements'!K29/'Financial Statements'!K$10</f>
        <v>1.4047305359013676E-2</v>
      </c>
      <c r="L29" s="25">
        <f>'Financial Statements'!L29/'Financial Statements'!L$10</f>
        <v>2.005782324139864E-2</v>
      </c>
      <c r="M29" s="25">
        <f>'Financial Statements'!M29/'Financial Statements'!M$10</f>
        <v>2.005782324139864E-2</v>
      </c>
    </row>
    <row r="30" spans="1:13" ht="12.75" customHeight="1" x14ac:dyDescent="0.2">
      <c r="A30" s="5" t="s">
        <v>65</v>
      </c>
      <c r="B30" s="26">
        <f>'Financial Statements'!B30/'Financial Statements'!B$10</f>
        <v>5.2854111544809153E-3</v>
      </c>
      <c r="C30" s="26">
        <f>'Financial Statements'!C30/'Financial Statements'!C$10</f>
        <v>9.7253360359530316E-3</v>
      </c>
      <c r="D30" s="26">
        <f>'Financial Statements'!D30/'Financial Statements'!D$10</f>
        <v>7.7967599332504729E-3</v>
      </c>
      <c r="E30" s="26">
        <f>'Financial Statements'!E30/'Financial Statements'!E$10</f>
        <v>1.3088566751984294E-2</v>
      </c>
      <c r="F30" s="26">
        <f>'Financial Statements'!F30/'Financial Statements'!F$10</f>
        <v>1.0772346144484093E-2</v>
      </c>
      <c r="G30" s="26">
        <f>'Financial Statements'!G30/'Financial Statements'!G$10</f>
        <v>8.6131297039926998E-3</v>
      </c>
      <c r="H30" s="26">
        <f>'Financial Statements'!H30/'Financial Statements'!H$10</f>
        <v>6.0292860683821758E-3</v>
      </c>
      <c r="I30" s="26">
        <f>'Financial Statements'!I30/'Financial Statements'!I$10</f>
        <v>8.9660058413008389E-3</v>
      </c>
      <c r="J30" s="26">
        <f>'Financial Statements'!J30/'Financial Statements'!J$10</f>
        <v>1.8507653099603127E-2</v>
      </c>
      <c r="K30" s="26">
        <f>'Financial Statements'!K30/'Financial Statements'!K$10</f>
        <v>1.3903706927803072E-2</v>
      </c>
      <c r="L30" s="26">
        <f>'Financial Statements'!L30/'Financial Statements'!L$10</f>
        <v>1.9866865043384602E-2</v>
      </c>
      <c r="M30" s="26">
        <f>'Financial Statements'!M30/'Financial Statements'!M$10</f>
        <v>1.9866865043384602E-2</v>
      </c>
    </row>
    <row r="31" spans="1:13" ht="12.75" customHeight="1" x14ac:dyDescent="0.2">
      <c r="A31" s="1" t="s">
        <v>163</v>
      </c>
      <c r="B31" s="25">
        <f>'Financial Statements'!B31/'Financial Statements'!B$10</f>
        <v>2.6280355224897176E-3</v>
      </c>
      <c r="C31" s="25">
        <f>'Financial Statements'!C31/'Financial Statements'!C$10</f>
        <v>1.2936092909066712E-3</v>
      </c>
      <c r="D31" s="25">
        <f>'Financial Statements'!D31/'Financial Statements'!D$10</f>
        <v>2.3400925657315165E-3</v>
      </c>
      <c r="E31" s="25">
        <f>'Financial Statements'!E31/'Financial Statements'!E$10</f>
        <v>3.5086997534506618E-3</v>
      </c>
      <c r="F31" s="25">
        <f>'Financial Statements'!F31/'Financial Statements'!F$10</f>
        <v>3.9508467315621607E-4</v>
      </c>
      <c r="G31" s="25">
        <f>'Financial Statements'!G31/'Financial Statements'!G$10</f>
        <v>4.6108672655852128E-4</v>
      </c>
      <c r="H31" s="25">
        <f>'Financial Statements'!H31/'Financial Statements'!H$10</f>
        <v>1.0933180430113456E-3</v>
      </c>
      <c r="I31" s="25">
        <f>'Financial Statements'!I31/'Financial Statements'!I$10</f>
        <v>2.3711015483038835E-4</v>
      </c>
      <c r="J31" s="25">
        <f>'Financial Statements'!J31/'Financial Statements'!J$10</f>
        <v>6.0177704762162654E-4</v>
      </c>
      <c r="K31" s="25">
        <f>'Financial Statements'!K31/'Financial Statements'!K$10</f>
        <v>1.4547553488655841E-3</v>
      </c>
      <c r="L31" s="25">
        <f>'Financial Statements'!L31/'Financial Statements'!L$10</f>
        <v>-4.4648499535655605E-4</v>
      </c>
      <c r="M31" s="25">
        <f>'Financial Statements'!M31/'Financial Statements'!M$10</f>
        <v>-4.4648499535655605E-4</v>
      </c>
    </row>
    <row r="32" spans="1:13" ht="12.75" customHeight="1" x14ac:dyDescent="0.2">
      <c r="A32" s="1" t="s">
        <v>164</v>
      </c>
      <c r="B32" s="25">
        <f>'Financial Statements'!B32/'Financial Statements'!B$10</f>
        <v>0</v>
      </c>
      <c r="C32" s="25">
        <f>'Financial Statements'!C32/'Financial Statements'!C$10</f>
        <v>0</v>
      </c>
      <c r="D32" s="25">
        <f>'Financial Statements'!D32/'Financial Statements'!D$10</f>
        <v>0</v>
      </c>
      <c r="E32" s="25">
        <f>'Financial Statements'!E32/'Financial Statements'!E$10</f>
        <v>0</v>
      </c>
      <c r="F32" s="25">
        <f>'Financial Statements'!F32/'Financial Statements'!F$10</f>
        <v>0</v>
      </c>
      <c r="G32" s="25">
        <f>'Financial Statements'!G32/'Financial Statements'!G$10</f>
        <v>0</v>
      </c>
      <c r="H32" s="25">
        <f>'Financial Statements'!H32/'Financial Statements'!H$10</f>
        <v>0</v>
      </c>
      <c r="I32" s="25">
        <f>'Financial Statements'!I32/'Financial Statements'!I$10</f>
        <v>0</v>
      </c>
      <c r="J32" s="25">
        <f>'Financial Statements'!J32/'Financial Statements'!J$10</f>
        <v>0</v>
      </c>
      <c r="K32" s="25">
        <f>'Financial Statements'!K32/'Financial Statements'!K$10</f>
        <v>0</v>
      </c>
      <c r="L32" s="25">
        <f>'Financial Statements'!L32/'Financial Statements'!L$10</f>
        <v>0</v>
      </c>
      <c r="M32" s="25">
        <f>'Financial Statements'!M32/'Financial Statements'!M$10</f>
        <v>0</v>
      </c>
    </row>
    <row r="33" spans="1:13" ht="12.75" customHeight="1" x14ac:dyDescent="0.2">
      <c r="A33" s="1" t="s">
        <v>127</v>
      </c>
      <c r="B33" s="25">
        <f>'Financial Statements'!B33/'Financial Statements'!B$10</f>
        <v>1.2941084012259974E-4</v>
      </c>
      <c r="C33" s="25">
        <f>'Financial Statements'!C33/'Financial Statements'!C$10</f>
        <v>7.2479346457418395E-3</v>
      </c>
      <c r="D33" s="25">
        <f>'Financial Statements'!D33/'Financial Statements'!D$10</f>
        <v>1.0845467393069013E-3</v>
      </c>
      <c r="E33" s="25">
        <f>'Financial Statements'!E33/'Financial Statements'!E$10</f>
        <v>1.7690429242690942E-3</v>
      </c>
      <c r="F33" s="25">
        <f>'Financial Statements'!F33/'Financial Statements'!F$10</f>
        <v>2.631678244225956E-3</v>
      </c>
      <c r="G33" s="25">
        <f>'Financial Statements'!G33/'Financial Statements'!G$10</f>
        <v>4.0215361600964275E-3</v>
      </c>
      <c r="H33" s="25">
        <f>'Financial Statements'!H33/'Financial Statements'!H$10</f>
        <v>5.466590215056728E-3</v>
      </c>
      <c r="I33" s="25">
        <f>'Financial Statements'!I33/'Financial Statements'!I$10</f>
        <v>1.6686706606696231E-3</v>
      </c>
      <c r="J33" s="25">
        <f>'Financial Statements'!J33/'Financial Statements'!J$10</f>
        <v>1.14311848603211E-2</v>
      </c>
      <c r="K33" s="25">
        <f>'Financial Statements'!K33/'Financial Statements'!K$10</f>
        <v>2.3252621785899901E-4</v>
      </c>
      <c r="L33" s="25">
        <f>'Financial Statements'!L33/'Financial Statements'!L$10</f>
        <v>4.4964473532369473E-3</v>
      </c>
      <c r="M33" s="25">
        <f>'Financial Statements'!M33/'Financial Statements'!M$10</f>
        <v>4.4964473532369473E-3</v>
      </c>
    </row>
    <row r="34" spans="1:13" ht="12.75" customHeight="1" x14ac:dyDescent="0.2">
      <c r="A34" s="5" t="s">
        <v>66</v>
      </c>
      <c r="B34" s="26">
        <f>'Financial Statements'!B34/'Financial Statements'!B$10</f>
        <v>0.25445471930422026</v>
      </c>
      <c r="C34" s="26">
        <f>'Financial Statements'!C34/'Financial Statements'!C$10</f>
        <v>-0.10316673693105621</v>
      </c>
      <c r="D34" s="26">
        <f>'Financial Statements'!D34/'Financial Statements'!D$10</f>
        <v>0.13213838017954238</v>
      </c>
      <c r="E34" s="26">
        <f>'Financial Statements'!E34/'Financial Statements'!E$10</f>
        <v>5.2023673438202502E-2</v>
      </c>
      <c r="F34" s="26">
        <f>'Financial Statements'!F34/'Financial Statements'!F$10</f>
        <v>1.4798658487772721E-2</v>
      </c>
      <c r="G34" s="26">
        <f>'Financial Statements'!G34/'Financial Statements'!G$10</f>
        <v>-4.1631238848113435E-3</v>
      </c>
      <c r="H34" s="26">
        <f>'Financial Statements'!H34/'Financial Statements'!H$10</f>
        <v>9.0482055910585363E-2</v>
      </c>
      <c r="I34" s="26">
        <f>'Financial Statements'!I34/'Financial Statements'!I$10</f>
        <v>0.31735096466645496</v>
      </c>
      <c r="J34" s="26">
        <f>'Financial Statements'!J34/'Financial Statements'!J$10</f>
        <v>0.15710550398182976</v>
      </c>
      <c r="K34" s="26">
        <f>'Financial Statements'!K34/'Financial Statements'!K$10</f>
        <v>0.38116537635342107</v>
      </c>
      <c r="L34" s="26">
        <f>'Financial Statements'!L34/'Financial Statements'!L$10</f>
        <v>0.14184107057485285</v>
      </c>
      <c r="M34" s="26">
        <f>'Financial Statements'!M34/'Financial Statements'!M$10</f>
        <v>0.14184107057485285</v>
      </c>
    </row>
    <row r="35" spans="1:13" ht="12.75" customHeight="1" x14ac:dyDescent="0.2">
      <c r="A35" s="1" t="s">
        <v>165</v>
      </c>
      <c r="B35" s="25">
        <f>'Financial Statements'!B35/'Financial Statements'!B$10</f>
        <v>0</v>
      </c>
      <c r="C35" s="25">
        <f>'Financial Statements'!C35/'Financial Statements'!C$10</f>
        <v>0</v>
      </c>
      <c r="D35" s="25">
        <f>'Financial Statements'!D35/'Financial Statements'!D$10</f>
        <v>0</v>
      </c>
      <c r="E35" s="25">
        <f>'Financial Statements'!E35/'Financial Statements'!E$10</f>
        <v>0</v>
      </c>
      <c r="F35" s="25">
        <f>'Financial Statements'!F35/'Financial Statements'!F$10</f>
        <v>0</v>
      </c>
      <c r="G35" s="25">
        <f>'Financial Statements'!G35/'Financial Statements'!G$10</f>
        <v>0</v>
      </c>
      <c r="H35" s="25">
        <f>'Financial Statements'!H35/'Financial Statements'!H$10</f>
        <v>0</v>
      </c>
      <c r="I35" s="25">
        <f>'Financial Statements'!I35/'Financial Statements'!I$10</f>
        <v>0</v>
      </c>
      <c r="J35" s="25">
        <f>'Financial Statements'!J35/'Financial Statements'!J$10</f>
        <v>0</v>
      </c>
      <c r="K35" s="25">
        <f>'Financial Statements'!K35/'Financial Statements'!K$10</f>
        <v>0</v>
      </c>
      <c r="L35" s="25">
        <f>'Financial Statements'!L35/'Financial Statements'!L$10</f>
        <v>0</v>
      </c>
      <c r="M35" s="25">
        <f>'Financial Statements'!M35/'Financial Statements'!M$10</f>
        <v>0</v>
      </c>
    </row>
    <row r="36" spans="1:13" ht="12.75" customHeight="1" x14ac:dyDescent="0.2">
      <c r="A36" s="1" t="s">
        <v>128</v>
      </c>
      <c r="B36" s="25">
        <f>'Financial Statements'!B36/'Financial Statements'!B$10</f>
        <v>0</v>
      </c>
      <c r="C36" s="25">
        <f>'Financial Statements'!C36/'Financial Statements'!C$10</f>
        <v>0</v>
      </c>
      <c r="D36" s="25">
        <f>'Financial Statements'!D36/'Financial Statements'!D$10</f>
        <v>0</v>
      </c>
      <c r="E36" s="25">
        <f>'Financial Statements'!E36/'Financial Statements'!E$10</f>
        <v>0</v>
      </c>
      <c r="F36" s="25">
        <f>'Financial Statements'!F36/'Financial Statements'!F$10</f>
        <v>0</v>
      </c>
      <c r="G36" s="25">
        <f>'Financial Statements'!G36/'Financial Statements'!G$10</f>
        <v>0</v>
      </c>
      <c r="H36" s="25">
        <f>'Financial Statements'!H36/'Financial Statements'!H$10</f>
        <v>0</v>
      </c>
      <c r="I36" s="25">
        <f>'Financial Statements'!I36/'Financial Statements'!I$10</f>
        <v>0</v>
      </c>
      <c r="J36" s="25">
        <f>'Financial Statements'!J36/'Financial Statements'!J$10</f>
        <v>0</v>
      </c>
      <c r="K36" s="25">
        <f>'Financial Statements'!K36/'Financial Statements'!K$10</f>
        <v>-1.5486105326633637E-3</v>
      </c>
      <c r="L36" s="25">
        <f>'Financial Statements'!L36/'Financial Statements'!L$10</f>
        <v>-2.040092978783033E-4</v>
      </c>
      <c r="M36" s="25">
        <f>'Financial Statements'!M36/'Financial Statements'!M$10</f>
        <v>-2.040092978783033E-4</v>
      </c>
    </row>
    <row r="37" spans="1:13" ht="12.75" customHeight="1" x14ac:dyDescent="0.2">
      <c r="A37" s="1" t="s">
        <v>67</v>
      </c>
      <c r="B37" s="25">
        <f>'Financial Statements'!B37/'Financial Statements'!B$10</f>
        <v>0</v>
      </c>
      <c r="C37" s="25">
        <f>'Financial Statements'!C37/'Financial Statements'!C$10</f>
        <v>0</v>
      </c>
      <c r="D37" s="25">
        <f>'Financial Statements'!D37/'Financial Statements'!D$10</f>
        <v>0</v>
      </c>
      <c r="E37" s="25">
        <f>'Financial Statements'!E37/'Financial Statements'!E$10</f>
        <v>0</v>
      </c>
      <c r="F37" s="25">
        <f>'Financial Statements'!F37/'Financial Statements'!F$10</f>
        <v>0</v>
      </c>
      <c r="G37" s="25">
        <f>'Financial Statements'!G37/'Financial Statements'!G$10</f>
        <v>0</v>
      </c>
      <c r="H37" s="25">
        <f>'Financial Statements'!H37/'Financial Statements'!H$10</f>
        <v>0</v>
      </c>
      <c r="I37" s="25">
        <f>'Financial Statements'!I37/'Financial Statements'!I$10</f>
        <v>0</v>
      </c>
      <c r="J37" s="25">
        <f>'Financial Statements'!J37/'Financial Statements'!J$10</f>
        <v>0</v>
      </c>
      <c r="K37" s="25">
        <f>'Financial Statements'!K37/'Financial Statements'!K$10</f>
        <v>0</v>
      </c>
      <c r="L37" s="25">
        <f>'Financial Statements'!L37/'Financial Statements'!L$10</f>
        <v>0</v>
      </c>
      <c r="M37" s="25">
        <f>'Financial Statements'!M37/'Financial Statements'!M$10</f>
        <v>0</v>
      </c>
    </row>
    <row r="38" spans="1:13" ht="12.75" customHeight="1" x14ac:dyDescent="0.2">
      <c r="A38" s="1" t="s">
        <v>68</v>
      </c>
      <c r="B38" s="25">
        <f>'Financial Statements'!B38/'Financial Statements'!B$10</f>
        <v>1.1002541063055039E-5</v>
      </c>
      <c r="C38" s="25">
        <f>'Financial Statements'!C38/'Financial Statements'!C$10</f>
        <v>2.0846653321085926E-4</v>
      </c>
      <c r="D38" s="25">
        <f>'Financial Statements'!D38/'Financial Statements'!D$10</f>
        <v>-2.328781342070034E-5</v>
      </c>
      <c r="E38" s="25">
        <f>'Financial Statements'!E38/'Financial Statements'!E$10</f>
        <v>1.7631657052515889E-5</v>
      </c>
      <c r="F38" s="25">
        <f>'Financial Statements'!F38/'Financial Statements'!F$10</f>
        <v>1.0284039245077535E-4</v>
      </c>
      <c r="G38" s="25">
        <f>'Financial Statements'!G38/'Financial Statements'!G$10</f>
        <v>-1.0014922308369167E-3</v>
      </c>
      <c r="H38" s="25">
        <f>'Financial Statements'!H38/'Financial Statements'!H$10</f>
        <v>5.9083064599172044E-5</v>
      </c>
      <c r="I38" s="25">
        <f>'Financial Statements'!I38/'Financial Statements'!I$10</f>
        <v>-1.1442313101734559E-5</v>
      </c>
      <c r="J38" s="25">
        <f>'Financial Statements'!J38/'Financial Statements'!J$10</f>
        <v>0</v>
      </c>
      <c r="K38" s="25">
        <f>'Financial Statements'!K38/'Financial Statements'!K$10</f>
        <v>0</v>
      </c>
      <c r="L38" s="25">
        <f>'Financial Statements'!L38/'Financial Statements'!L$10</f>
        <v>0</v>
      </c>
      <c r="M38" s="25">
        <f>'Financial Statements'!M38/'Financial Statements'!M$10</f>
        <v>0</v>
      </c>
    </row>
    <row r="39" spans="1:13" ht="12.75" customHeight="1" x14ac:dyDescent="0.2">
      <c r="A39" s="1" t="s">
        <v>69</v>
      </c>
      <c r="B39" s="25">
        <f>'Financial Statements'!B39/'Financial Statements'!B$10</f>
        <v>8.1890341340738206E-4</v>
      </c>
      <c r="C39" s="25">
        <f>'Financial Statements'!C39/'Financial Statements'!C$10</f>
        <v>-3.4099168646633407E-3</v>
      </c>
      <c r="D39" s="25">
        <f>'Financial Statements'!D39/'Financial Statements'!D$10</f>
        <v>-3.1471816422832166E-4</v>
      </c>
      <c r="E39" s="25">
        <f>'Financial Statements'!E39/'Financial Statements'!E$10</f>
        <v>-2.424352844720935E-5</v>
      </c>
      <c r="F39" s="25">
        <f>'Financial Statements'!F39/'Financial Statements'!F$10</f>
        <v>-6.0668432956572506E-5</v>
      </c>
      <c r="G39" s="25">
        <f>'Financial Statements'!G39/'Financial Statements'!G$10</f>
        <v>-2.2105476183239721E-3</v>
      </c>
      <c r="H39" s="25">
        <f>'Financial Statements'!H39/'Financial Statements'!H$10</f>
        <v>-2.1551251182364662E-4</v>
      </c>
      <c r="I39" s="25">
        <f>'Financial Statements'!I39/'Financial Statements'!I$10</f>
        <v>4.1637306009089644E-5</v>
      </c>
      <c r="J39" s="25">
        <f>'Financial Statements'!J39/'Financial Statements'!J$10</f>
        <v>-1.1175859455830208E-5</v>
      </c>
      <c r="K39" s="25">
        <f>'Financial Statements'!K39/'Financial Statements'!K$10</f>
        <v>6.0771231509062305E-5</v>
      </c>
      <c r="L39" s="25">
        <f>'Financial Statements'!L39/'Financial Statements'!L$10</f>
        <v>-4.7773894503151497E-4</v>
      </c>
      <c r="M39" s="25">
        <f>'Financial Statements'!M39/'Financial Statements'!M$10</f>
        <v>-4.7773894503151497E-4</v>
      </c>
    </row>
    <row r="40" spans="1:13" ht="12.75" customHeight="1" x14ac:dyDescent="0.2">
      <c r="A40" s="1" t="s">
        <v>166</v>
      </c>
      <c r="B40" s="25">
        <f>'Financial Statements'!B40/'Financial Statements'!B$10</f>
        <v>0</v>
      </c>
      <c r="C40" s="25">
        <f>'Financial Statements'!C40/'Financial Statements'!C$10</f>
        <v>0</v>
      </c>
      <c r="D40" s="25">
        <f>'Financial Statements'!D40/'Financial Statements'!D$10</f>
        <v>0</v>
      </c>
      <c r="E40" s="25">
        <f>'Financial Statements'!E40/'Financial Statements'!E$10</f>
        <v>0</v>
      </c>
      <c r="F40" s="25">
        <f>'Financial Statements'!F40/'Financial Statements'!F$10</f>
        <v>0</v>
      </c>
      <c r="G40" s="25">
        <f>'Financial Statements'!G40/'Financial Statements'!G$10</f>
        <v>0</v>
      </c>
      <c r="H40" s="25">
        <f>'Financial Statements'!H40/'Financial Statements'!H$10</f>
        <v>0</v>
      </c>
      <c r="I40" s="25">
        <f>'Financial Statements'!I40/'Financial Statements'!I$10</f>
        <v>0</v>
      </c>
      <c r="J40" s="25">
        <f>'Financial Statements'!J40/'Financial Statements'!J$10</f>
        <v>0</v>
      </c>
      <c r="K40" s="25">
        <f>'Financial Statements'!K40/'Financial Statements'!K$10</f>
        <v>0</v>
      </c>
      <c r="L40" s="25">
        <f>'Financial Statements'!L40/'Financial Statements'!L$10</f>
        <v>0</v>
      </c>
      <c r="M40" s="25">
        <f>'Financial Statements'!M40/'Financial Statements'!M$10</f>
        <v>0</v>
      </c>
    </row>
    <row r="41" spans="1:13" ht="12.75" customHeight="1" x14ac:dyDescent="0.2">
      <c r="A41" s="1" t="s">
        <v>278</v>
      </c>
      <c r="B41" s="25">
        <f>'Financial Statements'!B41/'Financial Statements'!B$10</f>
        <v>0</v>
      </c>
      <c r="C41" s="25">
        <f>'Financial Statements'!C41/'Financial Statements'!C$10</f>
        <v>0</v>
      </c>
      <c r="D41" s="25">
        <f>'Financial Statements'!D41/'Financial Statements'!D$10</f>
        <v>0</v>
      </c>
      <c r="E41" s="25">
        <f>'Financial Statements'!E41/'Financial Statements'!E$10</f>
        <v>0</v>
      </c>
      <c r="F41" s="25">
        <f>'Financial Statements'!F41/'Financial Statements'!F$10</f>
        <v>0</v>
      </c>
      <c r="G41" s="25">
        <f>'Financial Statements'!G41/'Financial Statements'!G$10</f>
        <v>0</v>
      </c>
      <c r="H41" s="25">
        <f>'Financial Statements'!H41/'Financial Statements'!H$10</f>
        <v>0</v>
      </c>
      <c r="I41" s="25">
        <f>'Financial Statements'!I41/'Financial Statements'!I$10</f>
        <v>0</v>
      </c>
      <c r="J41" s="25">
        <f>'Financial Statements'!J41/'Financial Statements'!J$10</f>
        <v>0</v>
      </c>
      <c r="K41" s="25">
        <f>'Financial Statements'!K41/'Financial Statements'!K$10</f>
        <v>0</v>
      </c>
      <c r="L41" s="25">
        <f>'Financial Statements'!L41/'Financial Statements'!L$10</f>
        <v>0</v>
      </c>
      <c r="M41" s="25">
        <f>'Financial Statements'!M41/'Financial Statements'!M$10</f>
        <v>0</v>
      </c>
    </row>
    <row r="42" spans="1:13" ht="12.75" customHeight="1" x14ac:dyDescent="0.2">
      <c r="A42" s="1" t="s">
        <v>167</v>
      </c>
      <c r="B42" s="25">
        <f>'Financial Statements'!B42/'Financial Statements'!B$10</f>
        <v>0</v>
      </c>
      <c r="C42" s="25">
        <f>'Financial Statements'!C42/'Financial Statements'!C$10</f>
        <v>0</v>
      </c>
      <c r="D42" s="25">
        <f>'Financial Statements'!D42/'Financial Statements'!D$10</f>
        <v>0</v>
      </c>
      <c r="E42" s="25">
        <f>'Financial Statements'!E42/'Financial Statements'!E$10</f>
        <v>0</v>
      </c>
      <c r="F42" s="25">
        <f>'Financial Statements'!F42/'Financial Statements'!F$10</f>
        <v>0</v>
      </c>
      <c r="G42" s="25">
        <f>'Financial Statements'!G42/'Financial Statements'!G$10</f>
        <v>0</v>
      </c>
      <c r="H42" s="25">
        <f>'Financial Statements'!H42/'Financial Statements'!H$10</f>
        <v>3.0903256264633609E-3</v>
      </c>
      <c r="I42" s="25">
        <f>'Financial Statements'!I42/'Financial Statements'!I$10</f>
        <v>0</v>
      </c>
      <c r="J42" s="25">
        <f>'Financial Statements'!J42/'Financial Statements'!J$10</f>
        <v>0</v>
      </c>
      <c r="K42" s="25">
        <f>'Financial Statements'!K42/'Financial Statements'!K$10</f>
        <v>0</v>
      </c>
      <c r="L42" s="25">
        <f>'Financial Statements'!L42/'Financial Statements'!L$10</f>
        <v>0</v>
      </c>
      <c r="M42" s="25">
        <f>'Financial Statements'!M42/'Financial Statements'!M$10</f>
        <v>0</v>
      </c>
    </row>
    <row r="43" spans="1:13" ht="12.75" customHeight="1" x14ac:dyDescent="0.2">
      <c r="A43" s="1" t="s">
        <v>168</v>
      </c>
      <c r="B43" s="25">
        <f>'Financial Statements'!B43/'Financial Statements'!B$10</f>
        <v>0</v>
      </c>
      <c r="C43" s="25">
        <f>'Financial Statements'!C43/'Financial Statements'!C$10</f>
        <v>0</v>
      </c>
      <c r="D43" s="25">
        <f>'Financial Statements'!D43/'Financial Statements'!D$10</f>
        <v>-5.3728312392044349E-2</v>
      </c>
      <c r="E43" s="25">
        <f>'Financial Statements'!E43/'Financial Statements'!E$10</f>
        <v>0</v>
      </c>
      <c r="F43" s="25">
        <f>'Financial Statements'!F43/'Financial Statements'!F$10</f>
        <v>0</v>
      </c>
      <c r="G43" s="25">
        <f>'Financial Statements'!G43/'Financial Statements'!G$10</f>
        <v>0</v>
      </c>
      <c r="H43" s="25">
        <f>'Financial Statements'!H43/'Financial Statements'!H$10</f>
        <v>0</v>
      </c>
      <c r="I43" s="25">
        <f>'Financial Statements'!I43/'Financial Statements'!I$10</f>
        <v>0</v>
      </c>
      <c r="J43" s="25">
        <f>'Financial Statements'!J43/'Financial Statements'!J$10</f>
        <v>0</v>
      </c>
      <c r="K43" s="25">
        <f>'Financial Statements'!K43/'Financial Statements'!K$10</f>
        <v>0</v>
      </c>
      <c r="L43" s="25">
        <f>'Financial Statements'!L43/'Financial Statements'!L$10</f>
        <v>0</v>
      </c>
      <c r="M43" s="25">
        <f>'Financial Statements'!M43/'Financial Statements'!M$10</f>
        <v>0</v>
      </c>
    </row>
    <row r="44" spans="1:13" ht="12.75" customHeight="1" x14ac:dyDescent="0.2">
      <c r="A44" s="1" t="s">
        <v>129</v>
      </c>
      <c r="B44" s="27">
        <f>'Financial Statements'!B44/'Financial Statements'!B$10</f>
        <v>0</v>
      </c>
      <c r="C44" s="27">
        <f>'Financial Statements'!C44/'Financial Statements'!C$10</f>
        <v>0</v>
      </c>
      <c r="D44" s="27">
        <f>'Financial Statements'!D44/'Financial Statements'!D$10</f>
        <v>0</v>
      </c>
      <c r="E44" s="27">
        <f>'Financial Statements'!E44/'Financial Statements'!E$10</f>
        <v>0</v>
      </c>
      <c r="F44" s="27">
        <f>'Financial Statements'!F44/'Financial Statements'!F$10</f>
        <v>0</v>
      </c>
      <c r="G44" s="27">
        <f>'Financial Statements'!G44/'Financial Statements'!G$10</f>
        <v>0</v>
      </c>
      <c r="H44" s="27">
        <f>'Financial Statements'!H44/'Financial Statements'!H$10</f>
        <v>0</v>
      </c>
      <c r="I44" s="27">
        <f>'Financial Statements'!I44/'Financial Statements'!I$10</f>
        <v>0</v>
      </c>
      <c r="J44" s="27">
        <f>'Financial Statements'!J44/'Financial Statements'!J$10</f>
        <v>-2.3641241156563903E-3</v>
      </c>
      <c r="K44" s="27">
        <f>'Financial Statements'!K44/'Financial Statements'!K$10</f>
        <v>-3.5195693924167356E-3</v>
      </c>
      <c r="L44" s="27">
        <f>'Financial Statements'!L44/'Financial Statements'!L$10</f>
        <v>0</v>
      </c>
      <c r="M44" s="27">
        <f>'Financial Statements'!M44/'Financial Statements'!M$10</f>
        <v>0</v>
      </c>
    </row>
    <row r="45" spans="1:13" ht="12.75" customHeight="1" x14ac:dyDescent="0.2">
      <c r="A45" s="5" t="s">
        <v>70</v>
      </c>
      <c r="B45" s="26">
        <f>'Financial Statements'!B45/'Financial Statements'!B$10</f>
        <v>0.25528462525869072</v>
      </c>
      <c r="C45" s="26">
        <f>'Financial Statements'!C45/'Financial Statements'!C$10</f>
        <v>-0.1063681872625087</v>
      </c>
      <c r="D45" s="26">
        <f>'Financial Statements'!D45/'Financial Statements'!D$10</f>
        <v>7.8072061809849019E-2</v>
      </c>
      <c r="E45" s="26">
        <f>'Financial Statements'!E45/'Financial Statements'!E$10</f>
        <v>5.2017061566807819E-2</v>
      </c>
      <c r="F45" s="26">
        <f>'Financial Statements'!F45/'Financial Statements'!F$10</f>
        <v>1.4840830447266926E-2</v>
      </c>
      <c r="G45" s="26">
        <f>'Financial Statements'!G45/'Financial Statements'!G$10</f>
        <v>-7.3751637339722316E-3</v>
      </c>
      <c r="H45" s="26">
        <f>'Financial Statements'!H45/'Financial Statements'!H$10</f>
        <v>9.3415952089824256E-2</v>
      </c>
      <c r="I45" s="26">
        <f>'Financial Statements'!I45/'Financial Statements'!I$10</f>
        <v>0.31738115965936231</v>
      </c>
      <c r="J45" s="26">
        <f>'Financial Statements'!J45/'Financial Statements'!J$10</f>
        <v>0.15473020400671753</v>
      </c>
      <c r="K45" s="26">
        <f>'Financial Statements'!K45/'Financial Statements'!K$10</f>
        <v>0.37615796765985005</v>
      </c>
      <c r="L45" s="26">
        <f>'Financial Statements'!L45/'Financial Statements'!L$10</f>
        <v>0.14115932233194306</v>
      </c>
      <c r="M45" s="26">
        <f>'Financial Statements'!M45/'Financial Statements'!M$10</f>
        <v>0.14115932233194306</v>
      </c>
    </row>
    <row r="46" spans="1:13" ht="12.75" customHeight="1" x14ac:dyDescent="0.2">
      <c r="A46" s="1" t="s">
        <v>71</v>
      </c>
      <c r="B46" s="25">
        <f>'Financial Statements'!B46/'Financial Statements'!B$10</f>
        <v>8.8650092997668503E-2</v>
      </c>
      <c r="C46" s="25">
        <f>'Financial Statements'!C46/'Financial Statements'!C$10</f>
        <v>-3.7102389640702345E-2</v>
      </c>
      <c r="D46" s="25">
        <f>'Financial Statements'!D46/'Financial Statements'!D$10</f>
        <v>-5.8944782598281224E-3</v>
      </c>
      <c r="E46" s="25">
        <f>'Financial Statements'!E46/'Financial Statements'!E$10</f>
        <v>1.1565632374073235E-2</v>
      </c>
      <c r="F46" s="25">
        <f>'Financial Statements'!F46/'Financial Statements'!F$10</f>
        <v>1.2806958225344757E-3</v>
      </c>
      <c r="G46" s="25">
        <f>'Financial Statements'!G46/'Financial Statements'!G$10</f>
        <v>-8.9022355293268199E-3</v>
      </c>
      <c r="H46" s="25">
        <f>'Financial Statements'!H46/'Financial Statements'!H$10</f>
        <v>1.8891950579548591E-2</v>
      </c>
      <c r="I46" s="25">
        <f>'Financial Statements'!I46/'Financial Statements'!I$10</f>
        <v>7.6859924156534656E-2</v>
      </c>
      <c r="J46" s="25">
        <f>'Financial Statements'!J46/'Financial Statements'!J$10</f>
        <v>3.5972942384575934E-2</v>
      </c>
      <c r="K46" s="25">
        <f>'Financial Statements'!K46/'Financial Statements'!K$10</f>
        <v>9.0314496989008383E-2</v>
      </c>
      <c r="L46" s="25">
        <f>'Financial Statements'!L46/'Financial Statements'!L$10</f>
        <v>3.1903757068200922E-2</v>
      </c>
      <c r="M46" s="25">
        <f>'Financial Statements'!M46/'Financial Statements'!M$10</f>
        <v>3.1903757068200922E-2</v>
      </c>
    </row>
    <row r="47" spans="1:13" ht="12.75" customHeight="1" x14ac:dyDescent="0.2">
      <c r="A47" s="5" t="s">
        <v>72</v>
      </c>
      <c r="B47" s="26">
        <f>'Financial Statements'!B47/'Financial Statements'!B$10</f>
        <v>0.16663453226102221</v>
      </c>
      <c r="C47" s="26">
        <f>'Financial Statements'!C47/'Financial Statements'!C$10</f>
        <v>-6.926579762180636E-2</v>
      </c>
      <c r="D47" s="26">
        <f>'Financial Statements'!D47/'Financial Statements'!D$10</f>
        <v>8.3966540069677131E-2</v>
      </c>
      <c r="E47" s="26">
        <f>'Financial Statements'!E47/'Financial Statements'!E$10</f>
        <v>4.0451429192734575E-2</v>
      </c>
      <c r="F47" s="26">
        <f>'Financial Statements'!F47/'Financial Statements'!F$10</f>
        <v>1.356013462473245E-2</v>
      </c>
      <c r="G47" s="26">
        <f>'Financial Statements'!G47/'Financial Statements'!G$10</f>
        <v>1.5270717953545883E-3</v>
      </c>
      <c r="H47" s="26">
        <f>'Financial Statements'!H47/'Financial Statements'!H$10</f>
        <v>7.4524001510275661E-2</v>
      </c>
      <c r="I47" s="26">
        <f>'Financial Statements'!I47/'Financial Statements'!I$10</f>
        <v>0.24052123550282767</v>
      </c>
      <c r="J47" s="26">
        <f>'Financial Statements'!J47/'Financial Statements'!J$10</f>
        <v>0.11875726162214159</v>
      </c>
      <c r="K47" s="26">
        <f>'Financial Statements'!K47/'Financial Statements'!K$10</f>
        <v>0.28584347067084165</v>
      </c>
      <c r="L47" s="26">
        <f>'Financial Statements'!L47/'Financial Statements'!L$10</f>
        <v>0.10925556526374212</v>
      </c>
      <c r="M47" s="26">
        <f>'Financial Statements'!M47/'Financial Statements'!M$10</f>
        <v>0.10925556526374212</v>
      </c>
    </row>
    <row r="48" spans="1:13" ht="12.75" customHeight="1" x14ac:dyDescent="0.2">
      <c r="A48" s="1" t="s">
        <v>73</v>
      </c>
      <c r="B48" s="25">
        <f>'Financial Statements'!B48/'Financial Statements'!B$10</f>
        <v>0</v>
      </c>
      <c r="C48" s="25">
        <f>'Financial Statements'!C48/'Financial Statements'!C$10</f>
        <v>0</v>
      </c>
      <c r="D48" s="25">
        <f>'Financial Statements'!D48/'Financial Statements'!D$10</f>
        <v>0</v>
      </c>
      <c r="E48" s="25">
        <f>'Financial Statements'!E48/'Financial Statements'!E$10</f>
        <v>0</v>
      </c>
      <c r="F48" s="25">
        <f>'Financial Statements'!F48/'Financial Statements'!F$10</f>
        <v>0</v>
      </c>
      <c r="G48" s="25">
        <f>'Financial Statements'!G48/'Financial Statements'!G$10</f>
        <v>0</v>
      </c>
      <c r="H48" s="25">
        <f>'Financial Statements'!H48/'Financial Statements'!H$10</f>
        <v>0</v>
      </c>
      <c r="I48" s="25">
        <f>'Financial Statements'!I48/'Financial Statements'!I$10</f>
        <v>0</v>
      </c>
      <c r="J48" s="25">
        <f>'Financial Statements'!J48/'Financial Statements'!J$10</f>
        <v>0</v>
      </c>
      <c r="K48" s="25">
        <f>'Financial Statements'!K48/'Financial Statements'!K$10</f>
        <v>0</v>
      </c>
      <c r="L48" s="25">
        <f>'Financial Statements'!L48/'Financial Statements'!L$10</f>
        <v>0</v>
      </c>
      <c r="M48" s="25">
        <f>'Financial Statements'!M48/'Financial Statements'!M$10</f>
        <v>0</v>
      </c>
    </row>
    <row r="49" spans="1:13" ht="12.75" customHeight="1" x14ac:dyDescent="0.2">
      <c r="A49" s="1" t="s">
        <v>74</v>
      </c>
      <c r="B49" s="25">
        <f>'Financial Statements'!B49/'Financial Statements'!B$10</f>
        <v>0</v>
      </c>
      <c r="C49" s="25">
        <f>'Financial Statements'!C49/'Financial Statements'!C$10</f>
        <v>0</v>
      </c>
      <c r="D49" s="25">
        <f>'Financial Statements'!D49/'Financial Statements'!D$10</f>
        <v>0</v>
      </c>
      <c r="E49" s="25">
        <f>'Financial Statements'!E49/'Financial Statements'!E$10</f>
        <v>0</v>
      </c>
      <c r="F49" s="25">
        <f>'Financial Statements'!F49/'Financial Statements'!F$10</f>
        <v>0</v>
      </c>
      <c r="G49" s="25">
        <f>'Financial Statements'!G49/'Financial Statements'!G$10</f>
        <v>0</v>
      </c>
      <c r="H49" s="25">
        <f>'Financial Statements'!H49/'Financial Statements'!H$10</f>
        <v>0</v>
      </c>
      <c r="I49" s="25">
        <f>'Financial Statements'!I49/'Financial Statements'!I$10</f>
        <v>0</v>
      </c>
      <c r="J49" s="25">
        <f>'Financial Statements'!J49/'Financial Statements'!J$10</f>
        <v>0</v>
      </c>
      <c r="K49" s="25">
        <f>'Financial Statements'!K49/'Financial Statements'!K$10</f>
        <v>0</v>
      </c>
      <c r="L49" s="25">
        <f>'Financial Statements'!L49/'Financial Statements'!L$10</f>
        <v>0</v>
      </c>
      <c r="M49" s="25">
        <f>'Financial Statements'!M49/'Financial Statements'!M$10</f>
        <v>0</v>
      </c>
    </row>
    <row r="50" spans="1:13" ht="12.75" customHeight="1" x14ac:dyDescent="0.2">
      <c r="A50" s="5" t="s">
        <v>21</v>
      </c>
      <c r="B50" s="30">
        <f>'Financial Statements'!B50/'Financial Statements'!B$10</f>
        <v>0.16663453226102221</v>
      </c>
      <c r="C50" s="30">
        <f>'Financial Statements'!C50/'Financial Statements'!C$10</f>
        <v>-6.926579762180636E-2</v>
      </c>
      <c r="D50" s="30">
        <f>'Financial Statements'!D50/'Financial Statements'!D$10</f>
        <v>8.3966540069677131E-2</v>
      </c>
      <c r="E50" s="30">
        <f>'Financial Statements'!E50/'Financial Statements'!E$10</f>
        <v>4.0451429192734575E-2</v>
      </c>
      <c r="F50" s="30">
        <f>'Financial Statements'!F50/'Financial Statements'!F$10</f>
        <v>1.356013462473245E-2</v>
      </c>
      <c r="G50" s="30">
        <f>'Financial Statements'!G50/'Financial Statements'!G$10</f>
        <v>1.5270717953545883E-3</v>
      </c>
      <c r="H50" s="30">
        <f>'Financial Statements'!H50/'Financial Statements'!H$10</f>
        <v>7.4524001510275661E-2</v>
      </c>
      <c r="I50" s="30">
        <f>'Financial Statements'!I50/'Financial Statements'!I$10</f>
        <v>0.24052123550282767</v>
      </c>
      <c r="J50" s="30">
        <f>'Financial Statements'!J50/'Financial Statements'!J$10</f>
        <v>0.11875726162214159</v>
      </c>
      <c r="K50" s="30">
        <f>'Financial Statements'!K50/'Financial Statements'!K$10</f>
        <v>0.28584347067084165</v>
      </c>
      <c r="L50" s="30">
        <f>'Financial Statements'!L50/'Financial Statements'!L$10</f>
        <v>0.10925556526374212</v>
      </c>
      <c r="M50" s="30">
        <f>'Financial Statements'!M50/'Financial Statements'!M$10</f>
        <v>0.10925556526374212</v>
      </c>
    </row>
    <row r="51" spans="1:13" ht="12.75" customHeight="1" x14ac:dyDescent="0.2">
      <c r="A51" s="1" t="s">
        <v>169</v>
      </c>
      <c r="B51" s="25">
        <f>'Financial Statements'!B51/'Financial Statements'!B$10</f>
        <v>-1.0510046367851621E-3</v>
      </c>
      <c r="C51" s="25">
        <f>'Financial Statements'!C51/'Financial Statements'!C$10</f>
        <v>1.3866747075186621E-4</v>
      </c>
      <c r="D51" s="25">
        <f>'Financial Statements'!D51/'Financial Statements'!D$10</f>
        <v>-1.7565664980185398E-4</v>
      </c>
      <c r="E51" s="25">
        <f>'Financial Statements'!E51/'Financial Statements'!E$10</f>
        <v>-6.1196543019773899E-4</v>
      </c>
      <c r="F51" s="25">
        <f>'Financial Statements'!F51/'Financial Statements'!F$10</f>
        <v>4.6611113125171555E-5</v>
      </c>
      <c r="G51" s="25">
        <f>'Financial Statements'!G51/'Financial Statements'!G$10</f>
        <v>0</v>
      </c>
      <c r="H51" s="25">
        <f>'Financial Statements'!H51/'Financial Statements'!H$10</f>
        <v>1.1760343334501863E-4</v>
      </c>
      <c r="I51" s="25">
        <f>'Financial Statements'!I51/'Financial Statements'!I$10</f>
        <v>4.106519035400292E-4</v>
      </c>
      <c r="J51" s="25">
        <f>'Financial Statements'!J51/'Financial Statements'!J$10</f>
        <v>6.9032424177166603E-4</v>
      </c>
      <c r="K51" s="25">
        <f>'Financial Statements'!K51/'Financial Statements'!K$10</f>
        <v>4.2610253444191947E-4</v>
      </c>
      <c r="L51" s="25">
        <f>'Financial Statements'!L51/'Financial Statements'!L$10</f>
        <v>-4.9113349489221167E-4</v>
      </c>
      <c r="M51" s="25">
        <f>'Financial Statements'!M51/'Financial Statements'!M$10</f>
        <v>-4.9113349489221167E-4</v>
      </c>
    </row>
    <row r="52" spans="1:13" ht="12.75" customHeight="1" thickBot="1" x14ac:dyDescent="0.25">
      <c r="A52" s="5" t="s">
        <v>22</v>
      </c>
      <c r="B52" s="29">
        <f>'Financial Statements'!B52/'Financial Statements'!B$10</f>
        <v>0.165583527624237</v>
      </c>
      <c r="C52" s="29">
        <f>'Financial Statements'!C52/'Financial Statements'!C$10</f>
        <v>-6.9127130151054483E-2</v>
      </c>
      <c r="D52" s="29">
        <f>'Financial Statements'!D52/'Financial Statements'!D$10</f>
        <v>8.3790883419875284E-2</v>
      </c>
      <c r="E52" s="29">
        <f>'Financial Statements'!E52/'Financial Statements'!E$10</f>
        <v>3.9839463762536838E-2</v>
      </c>
      <c r="F52" s="29">
        <f>'Financial Statements'!F52/'Financial Statements'!F$10</f>
        <v>1.3606745737857619E-2</v>
      </c>
      <c r="G52" s="29">
        <f>'Financial Statements'!G52/'Financial Statements'!G$10</f>
        <v>1.5270717953545883E-3</v>
      </c>
      <c r="H52" s="29">
        <f>'Financial Statements'!H52/'Financial Statements'!H$10</f>
        <v>7.4641604943620682E-2</v>
      </c>
      <c r="I52" s="29">
        <f>'Financial Statements'!I52/'Financial Statements'!I$10</f>
        <v>0.2409318874063677</v>
      </c>
      <c r="J52" s="29">
        <f>'Financial Statements'!J52/'Financial Statements'!J$10</f>
        <v>0.11944758586391326</v>
      </c>
      <c r="K52" s="29">
        <f>'Financial Statements'!K52/'Financial Statements'!K$10</f>
        <v>0.28626957320528357</v>
      </c>
      <c r="L52" s="29">
        <f>'Financial Statements'!L52/'Financial Statements'!L$10</f>
        <v>0.10876443176884991</v>
      </c>
      <c r="M52" s="29">
        <f>'Financial Statements'!M52/'Financial Statements'!M$10</f>
        <v>0.10876443176884991</v>
      </c>
    </row>
    <row r="53" spans="1:13" ht="12.75" customHeight="1" thickTop="1" x14ac:dyDescent="0.2">
      <c r="A53" s="1" t="s">
        <v>75</v>
      </c>
      <c r="B53" s="25">
        <f>'Financial Statements'!B53/'Financial Statements'!B$10</f>
        <v>0</v>
      </c>
      <c r="C53" s="25">
        <f>'Financial Statements'!C53/'Financial Statements'!C$10</f>
        <v>0</v>
      </c>
      <c r="D53" s="25">
        <f>'Financial Statements'!D53/'Financial Statements'!D$10</f>
        <v>0</v>
      </c>
      <c r="E53" s="25">
        <f>'Financial Statements'!E53/'Financial Statements'!E$10</f>
        <v>0</v>
      </c>
      <c r="F53" s="25">
        <f>'Financial Statements'!F53/'Financial Statements'!F$10</f>
        <v>0</v>
      </c>
      <c r="G53" s="25">
        <f>'Financial Statements'!G53/'Financial Statements'!G$10</f>
        <v>0</v>
      </c>
      <c r="H53" s="25">
        <f>'Financial Statements'!H53/'Financial Statements'!H$10</f>
        <v>0</v>
      </c>
      <c r="I53" s="25">
        <f>'Financial Statements'!I53/'Financial Statements'!I$10</f>
        <v>0</v>
      </c>
      <c r="J53" s="25">
        <f>'Financial Statements'!J53/'Financial Statements'!J$10</f>
        <v>0</v>
      </c>
      <c r="K53" s="25">
        <f>'Financial Statements'!K53/'Financial Statements'!K$10</f>
        <v>0</v>
      </c>
      <c r="L53" s="25">
        <f>'Financial Statements'!L53/'Financial Statements'!L$10</f>
        <v>0</v>
      </c>
      <c r="M53" s="25">
        <f>'Financial Statements'!M53/'Financial Statements'!M$10</f>
        <v>0</v>
      </c>
    </row>
    <row r="54" spans="1:13" ht="12.75" customHeight="1" x14ac:dyDescent="0.2">
      <c r="A54" s="5" t="s">
        <v>76</v>
      </c>
      <c r="B54" s="28">
        <f>'Financial Statements'!B54/'Financial Statements'!B$10</f>
        <v>0.165583527624237</v>
      </c>
      <c r="C54" s="28">
        <f>'Financial Statements'!C54/'Financial Statements'!C$10</f>
        <v>-6.9127130151054483E-2</v>
      </c>
      <c r="D54" s="28">
        <f>'Financial Statements'!D54/'Financial Statements'!D$10</f>
        <v>8.3790883419875284E-2</v>
      </c>
      <c r="E54" s="28">
        <f>'Financial Statements'!E54/'Financial Statements'!E$10</f>
        <v>3.9839463762536838E-2</v>
      </c>
      <c r="F54" s="28">
        <f>'Financial Statements'!F54/'Financial Statements'!F$10</f>
        <v>1.3606745737857619E-2</v>
      </c>
      <c r="G54" s="28">
        <f>'Financial Statements'!G54/'Financial Statements'!G$10</f>
        <v>1.5270717953545883E-3</v>
      </c>
      <c r="H54" s="28">
        <f>'Financial Statements'!H54/'Financial Statements'!H$10</f>
        <v>7.4641604943620682E-2</v>
      </c>
      <c r="I54" s="28">
        <f>'Financial Statements'!I54/'Financial Statements'!I$10</f>
        <v>0.2409318874063677</v>
      </c>
      <c r="J54" s="28">
        <f>'Financial Statements'!J54/'Financial Statements'!J$10</f>
        <v>0.11944758586391326</v>
      </c>
      <c r="K54" s="28">
        <f>'Financial Statements'!K54/'Financial Statements'!K$10</f>
        <v>0.28626957320528357</v>
      </c>
      <c r="L54" s="28">
        <f>'Financial Statements'!L54/'Financial Statements'!L$10</f>
        <v>0.10876443176884991</v>
      </c>
      <c r="M54" s="28">
        <f>'Financial Statements'!M54/'Financial Statements'!M$10</f>
        <v>0.10876443176884991</v>
      </c>
    </row>
    <row r="55" spans="1:13" ht="12.75" customHeight="1" x14ac:dyDescent="0.2">
      <c r="A55" s="5" t="s">
        <v>77</v>
      </c>
      <c r="B55" s="28">
        <f>'Financial Statements'!B55/'Financial Statements'!B$10</f>
        <v>0.165583527624237</v>
      </c>
      <c r="C55" s="28">
        <f>'Financial Statements'!C55/'Financial Statements'!C$10</f>
        <v>-6.9127130151054483E-2</v>
      </c>
      <c r="D55" s="28">
        <f>'Financial Statements'!D55/'Financial Statements'!D$10</f>
        <v>8.3790883419875284E-2</v>
      </c>
      <c r="E55" s="28">
        <f>'Financial Statements'!E55/'Financial Statements'!E$10</f>
        <v>3.9839463762536838E-2</v>
      </c>
      <c r="F55" s="28">
        <f>'Financial Statements'!F55/'Financial Statements'!F$10</f>
        <v>1.3606745737857619E-2</v>
      </c>
      <c r="G55" s="28">
        <f>'Financial Statements'!G55/'Financial Statements'!G$10</f>
        <v>1.5270717953545883E-3</v>
      </c>
      <c r="H55" s="28">
        <f>'Financial Statements'!H55/'Financial Statements'!H$10</f>
        <v>7.4641604943620682E-2</v>
      </c>
      <c r="I55" s="28">
        <f>'Financial Statements'!I55/'Financial Statements'!I$10</f>
        <v>0.2409318874063677</v>
      </c>
      <c r="J55" s="28">
        <f>'Financial Statements'!J55/'Financial Statements'!J$10</f>
        <v>0.11944758586391326</v>
      </c>
      <c r="K55" s="28">
        <f>'Financial Statements'!K55/'Financial Statements'!K$10</f>
        <v>0.28626957320528357</v>
      </c>
      <c r="L55" s="28">
        <f>'Financial Statements'!L55/'Financial Statements'!L$10</f>
        <v>0.10876443176884991</v>
      </c>
      <c r="M55" s="28">
        <f>'Financial Statements'!M55/'Financial Statements'!M$10</f>
        <v>0.10876443176884991</v>
      </c>
    </row>
    <row r="56" spans="1:13" ht="12.75" customHeight="1" x14ac:dyDescent="0.2">
      <c r="A56" s="1" t="s">
        <v>85</v>
      </c>
      <c r="B56" s="25">
        <f>'Financial Statements'!B281/'Financial Statements'!B$311</f>
        <v>2.6126024834384962E-2</v>
      </c>
      <c r="C56" s="25">
        <f>'Financial Statements'!C281/'Financial Statements'!C$311</f>
        <v>1.7001357088512758E-2</v>
      </c>
      <c r="D56" s="25">
        <f>'Financial Statements'!D281/'Financial Statements'!D$311</f>
        <v>4.2097549908861512E-2</v>
      </c>
      <c r="E56" s="25">
        <f>'Financial Statements'!E281/'Financial Statements'!E$311</f>
        <v>5.9887847040244649E-2</v>
      </c>
      <c r="F56" s="25">
        <f>'Financial Statements'!F281/'Financial Statements'!F$311</f>
        <v>6.4747152136332822E-2</v>
      </c>
      <c r="G56" s="25">
        <f>'Financial Statements'!G281/'Financial Statements'!G$311</f>
        <v>4.6658975865093141E-2</v>
      </c>
      <c r="H56" s="25">
        <f>'Financial Statements'!H281/'Financial Statements'!H$311</f>
        <v>4.1390161325236131E-2</v>
      </c>
      <c r="I56" s="25">
        <f>'Financial Statements'!I281/'Financial Statements'!I$311</f>
        <v>0.14981849810056153</v>
      </c>
      <c r="J56" s="25">
        <f>'Financial Statements'!J281/'Financial Statements'!J$311</f>
        <v>0.10888055947538426</v>
      </c>
      <c r="K56" s="25">
        <f>'Financial Statements'!K281/'Financial Statements'!K$311</f>
        <v>0.16189746610521427</v>
      </c>
      <c r="L56" s="25">
        <f>'Financial Statements'!L281/'Financial Statements'!L$311</f>
        <v>3.450187767290841E-2</v>
      </c>
      <c r="M56" s="25">
        <f>'Financial Statements'!M281/'Financial Statements'!M$311</f>
        <v>3.450187767290841E-2</v>
      </c>
    </row>
    <row r="57" spans="1:13" ht="12.75" customHeight="1" x14ac:dyDescent="0.2">
      <c r="A57" s="1" t="s">
        <v>86</v>
      </c>
      <c r="B57" s="25">
        <f>'Financial Statements'!B282/'Financial Statements'!B$311</f>
        <v>0.32425827400574758</v>
      </c>
      <c r="C57" s="25">
        <f>'Financial Statements'!C282/'Financial Statements'!C$311</f>
        <v>0.13402652614379715</v>
      </c>
      <c r="D57" s="25">
        <f>'Financial Statements'!D282/'Financial Statements'!D$311</f>
        <v>0.24563148063317999</v>
      </c>
      <c r="E57" s="25">
        <f>'Financial Statements'!E282/'Financial Statements'!E$311</f>
        <v>0.21636751715417918</v>
      </c>
      <c r="F57" s="25">
        <f>'Financial Statements'!F282/'Financial Statements'!F$311</f>
        <v>0.12775649833346317</v>
      </c>
      <c r="G57" s="25">
        <f>'Financial Statements'!G282/'Financial Statements'!G$311</f>
        <v>9.1246642053932153E-2</v>
      </c>
      <c r="H57" s="25">
        <f>'Financial Statements'!H282/'Financial Statements'!H$311</f>
        <v>8.0861568810687859E-2</v>
      </c>
      <c r="I57" s="25">
        <f>'Financial Statements'!I282/'Financial Statements'!I$311</f>
        <v>0.18167585474731709</v>
      </c>
      <c r="J57" s="25">
        <f>'Financial Statements'!J282/'Financial Statements'!J$311</f>
        <v>0.26295736696142052</v>
      </c>
      <c r="K57" s="25">
        <f>'Financial Statements'!K282/'Financial Statements'!K$311</f>
        <v>0.28940624433682083</v>
      </c>
      <c r="L57" s="25">
        <f>'Financial Statements'!L282/'Financial Statements'!L$311</f>
        <v>0.26285489948738083</v>
      </c>
      <c r="M57" s="25">
        <f>'Financial Statements'!M282/'Financial Statements'!M$311</f>
        <v>0.26285489948738083</v>
      </c>
    </row>
    <row r="58" spans="1:13" ht="12.75" customHeight="1" x14ac:dyDescent="0.2">
      <c r="A58" s="1" t="s">
        <v>170</v>
      </c>
      <c r="B58" s="25">
        <f>'Financial Statements'!B283/'Financial Statements'!B$311</f>
        <v>0</v>
      </c>
      <c r="C58" s="25">
        <f>'Financial Statements'!C283/'Financial Statements'!C$311</f>
        <v>0</v>
      </c>
      <c r="D58" s="25">
        <f>'Financial Statements'!D283/'Financial Statements'!D$311</f>
        <v>0</v>
      </c>
      <c r="E58" s="25">
        <f>'Financial Statements'!E283/'Financial Statements'!E$311</f>
        <v>0</v>
      </c>
      <c r="F58" s="25">
        <f>'Financial Statements'!F283/'Financial Statements'!F$311</f>
        <v>0</v>
      </c>
      <c r="G58" s="25">
        <f>'Financial Statements'!G283/'Financial Statements'!G$311</f>
        <v>0</v>
      </c>
      <c r="H58" s="25">
        <f>'Financial Statements'!H283/'Financial Statements'!H$311</f>
        <v>0</v>
      </c>
      <c r="I58" s="25">
        <f>'Financial Statements'!I283/'Financial Statements'!I$311</f>
        <v>0</v>
      </c>
      <c r="J58" s="25">
        <f>'Financial Statements'!J283/'Financial Statements'!J$311</f>
        <v>0</v>
      </c>
      <c r="K58" s="25">
        <f>'Financial Statements'!K283/'Financial Statements'!K$311</f>
        <v>0</v>
      </c>
      <c r="L58" s="25">
        <f>'Financial Statements'!L283/'Financial Statements'!L$311</f>
        <v>0</v>
      </c>
      <c r="M58" s="25">
        <f>'Financial Statements'!M283/'Financial Statements'!M$311</f>
        <v>0</v>
      </c>
    </row>
    <row r="59" spans="1:13" ht="12.75" customHeight="1" x14ac:dyDescent="0.2">
      <c r="A59" s="5" t="s">
        <v>87</v>
      </c>
      <c r="B59" s="26">
        <f>'Financial Statements'!B284/'Financial Statements'!B$311</f>
        <v>0.35038429884013256</v>
      </c>
      <c r="C59" s="26">
        <f>'Financial Statements'!C284/'Financial Statements'!C$311</f>
        <v>0.15102788323230995</v>
      </c>
      <c r="D59" s="26">
        <f>'Financial Statements'!D284/'Financial Statements'!D$311</f>
        <v>0.28772903054204152</v>
      </c>
      <c r="E59" s="26">
        <f>'Financial Statements'!E284/'Financial Statements'!E$311</f>
        <v>0.27625536419442381</v>
      </c>
      <c r="F59" s="26">
        <f>'Financial Statements'!F284/'Financial Statements'!F$311</f>
        <v>0.19250365046979601</v>
      </c>
      <c r="G59" s="26">
        <f>'Financial Statements'!G284/'Financial Statements'!G$311</f>
        <v>0.13790561791902528</v>
      </c>
      <c r="H59" s="26">
        <f>'Financial Statements'!H284/'Financial Statements'!H$311</f>
        <v>0.122251730135924</v>
      </c>
      <c r="I59" s="26">
        <f>'Financial Statements'!I284/'Financial Statements'!I$311</f>
        <v>0.33149435284787859</v>
      </c>
      <c r="J59" s="26">
        <f>'Financial Statements'!J284/'Financial Statements'!J$311</f>
        <v>0.37183792643680474</v>
      </c>
      <c r="K59" s="26">
        <f>'Financial Statements'!K284/'Financial Statements'!K$311</f>
        <v>0.4513037104420351</v>
      </c>
      <c r="L59" s="26">
        <f>'Financial Statements'!L284/'Financial Statements'!L$311</f>
        <v>0.29735677716028924</v>
      </c>
      <c r="M59" s="26">
        <f>'Financial Statements'!M284/'Financial Statements'!M$311</f>
        <v>0.29735677716028924</v>
      </c>
    </row>
    <row r="60" spans="1:13" ht="12.75" customHeight="1" x14ac:dyDescent="0.2">
      <c r="A60" s="1" t="s">
        <v>55</v>
      </c>
      <c r="B60" s="25">
        <f>'Financial Statements'!B285/'Financial Statements'!B$311</f>
        <v>5.5777974661911457E-2</v>
      </c>
      <c r="C60" s="25">
        <f>'Financial Statements'!C285/'Financial Statements'!C$311</f>
        <v>5.9298573024332731E-2</v>
      </c>
      <c r="D60" s="25">
        <f>'Financial Statements'!D285/'Financial Statements'!D$311</f>
        <v>7.017359339456751E-2</v>
      </c>
      <c r="E60" s="25">
        <f>'Financial Statements'!E285/'Financial Statements'!E$311</f>
        <v>4.9347129323570972E-2</v>
      </c>
      <c r="F60" s="25">
        <f>'Financial Statements'!F285/'Financial Statements'!F$311</f>
        <v>7.0420504286919469E-2</v>
      </c>
      <c r="G60" s="25">
        <f>'Financial Statements'!G285/'Financial Statements'!G$311</f>
        <v>6.4324497589438118E-2</v>
      </c>
      <c r="H60" s="25">
        <f>'Financial Statements'!H285/'Financial Statements'!H$311</f>
        <v>0.11846606173497659</v>
      </c>
      <c r="I60" s="25">
        <f>'Financial Statements'!I285/'Financial Statements'!I$311</f>
        <v>5.6781059336667473E-2</v>
      </c>
      <c r="J60" s="25">
        <f>'Financial Statements'!J285/'Financial Statements'!J$311</f>
        <v>6.3416547622371519E-2</v>
      </c>
      <c r="K60" s="25">
        <f>'Financial Statements'!K285/'Financial Statements'!K$311</f>
        <v>7.9127762618333083E-2</v>
      </c>
      <c r="L60" s="25">
        <f>'Financial Statements'!L285/'Financial Statements'!L$311</f>
        <v>4.3844225552441295E-2</v>
      </c>
      <c r="M60" s="25">
        <f>'Financial Statements'!M285/'Financial Statements'!M$311</f>
        <v>4.3844225552441295E-2</v>
      </c>
    </row>
    <row r="61" spans="1:13" ht="12.75" customHeight="1" x14ac:dyDescent="0.2">
      <c r="A61" s="1" t="s">
        <v>171</v>
      </c>
      <c r="B61" s="25">
        <f>'Financial Statements'!B286/'Financial Statements'!B$311</f>
        <v>1.5530260441730039E-2</v>
      </c>
      <c r="C61" s="25">
        <f>'Financial Statements'!C286/'Financial Statements'!C$311</f>
        <v>5.4147057286171439E-2</v>
      </c>
      <c r="D61" s="25">
        <f>'Financial Statements'!D286/'Financial Statements'!D$311</f>
        <v>4.4400133165630401E-3</v>
      </c>
      <c r="E61" s="25">
        <f>'Financial Statements'!E286/'Financial Statements'!E$311</f>
        <v>1.2714070491698364E-2</v>
      </c>
      <c r="F61" s="25">
        <f>'Financial Statements'!F286/'Financial Statements'!F$311</f>
        <v>1.1103892121780666E-2</v>
      </c>
      <c r="G61" s="25">
        <f>'Financial Statements'!G286/'Financial Statements'!G$311</f>
        <v>3.8703226719732114E-2</v>
      </c>
      <c r="H61" s="25">
        <f>'Financial Statements'!H286/'Financial Statements'!H$311</f>
        <v>3.5233196192755251E-2</v>
      </c>
      <c r="I61" s="25">
        <f>'Financial Statements'!I286/'Financial Statements'!I$311</f>
        <v>3.9003338407029839E-2</v>
      </c>
      <c r="J61" s="25">
        <f>'Financial Statements'!J286/'Financial Statements'!J$311</f>
        <v>1.0935749951596536E-2</v>
      </c>
      <c r="K61" s="25">
        <f>'Financial Statements'!K286/'Financial Statements'!K$311</f>
        <v>9.1687174331740798E-3</v>
      </c>
      <c r="L61" s="25">
        <f>'Financial Statements'!L286/'Financial Statements'!L$311</f>
        <v>4.1248306554639153E-2</v>
      </c>
      <c r="M61" s="25">
        <f>'Financial Statements'!M286/'Financial Statements'!M$311</f>
        <v>4.1248306554639153E-2</v>
      </c>
    </row>
    <row r="62" spans="1:13" ht="12.75" customHeight="1" x14ac:dyDescent="0.2">
      <c r="A62" s="1" t="s">
        <v>88</v>
      </c>
      <c r="B62" s="25">
        <f>'Financial Statements'!B287/'Financial Statements'!B$311</f>
        <v>0</v>
      </c>
      <c r="C62" s="25">
        <f>'Financial Statements'!C287/'Financial Statements'!C$311</f>
        <v>0</v>
      </c>
      <c r="D62" s="25">
        <f>'Financial Statements'!D287/'Financial Statements'!D$311</f>
        <v>0</v>
      </c>
      <c r="E62" s="25">
        <f>'Financial Statements'!E287/'Financial Statements'!E$311</f>
        <v>0</v>
      </c>
      <c r="F62" s="25">
        <f>'Financial Statements'!F287/'Financial Statements'!F$311</f>
        <v>0</v>
      </c>
      <c r="G62" s="25">
        <f>'Financial Statements'!G287/'Financial Statements'!G$311</f>
        <v>0</v>
      </c>
      <c r="H62" s="25">
        <f>'Financial Statements'!H287/'Financial Statements'!H$311</f>
        <v>0</v>
      </c>
      <c r="I62" s="25">
        <f>'Financial Statements'!I287/'Financial Statements'!I$311</f>
        <v>0</v>
      </c>
      <c r="J62" s="25">
        <f>'Financial Statements'!J287/'Financial Statements'!J$311</f>
        <v>0</v>
      </c>
      <c r="K62" s="25">
        <f>'Financial Statements'!K287/'Financial Statements'!K$311</f>
        <v>0</v>
      </c>
      <c r="L62" s="25">
        <f>'Financial Statements'!L287/'Financial Statements'!L$311</f>
        <v>0</v>
      </c>
      <c r="M62" s="25">
        <f>'Financial Statements'!M287/'Financial Statements'!M$311</f>
        <v>0</v>
      </c>
    </row>
    <row r="63" spans="1:13" ht="12.75" customHeight="1" x14ac:dyDescent="0.2">
      <c r="A63" s="5" t="s">
        <v>89</v>
      </c>
      <c r="B63" s="26">
        <f>'Financial Statements'!B288/'Financial Statements'!B$311</f>
        <v>7.130823510364151E-2</v>
      </c>
      <c r="C63" s="26">
        <f>'Financial Statements'!C288/'Financial Statements'!C$311</f>
        <v>0.11344563031050417</v>
      </c>
      <c r="D63" s="26">
        <f>'Financial Statements'!D288/'Financial Statements'!D$311</f>
        <v>7.4613606711130542E-2</v>
      </c>
      <c r="E63" s="26">
        <f>'Financial Statements'!E288/'Financial Statements'!E$311</f>
        <v>6.2061199815269343E-2</v>
      </c>
      <c r="F63" s="26">
        <f>'Financial Statements'!F288/'Financial Statements'!F$311</f>
        <v>8.1524396408700142E-2</v>
      </c>
      <c r="G63" s="26">
        <f>'Financial Statements'!G288/'Financial Statements'!G$311</f>
        <v>0.10302772430917022</v>
      </c>
      <c r="H63" s="26">
        <f>'Financial Statements'!H288/'Financial Statements'!H$311</f>
        <v>0.15369925792773184</v>
      </c>
      <c r="I63" s="26">
        <f>'Financial Statements'!I288/'Financial Statements'!I$311</f>
        <v>9.5784397743697305E-2</v>
      </c>
      <c r="J63" s="26">
        <f>'Financial Statements'!J288/'Financial Statements'!J$311</f>
        <v>7.4352297573968051E-2</v>
      </c>
      <c r="K63" s="26">
        <f>'Financial Statements'!K288/'Financial Statements'!K$311</f>
        <v>8.829648005150717E-2</v>
      </c>
      <c r="L63" s="26">
        <f>'Financial Statements'!L288/'Financial Statements'!L$311</f>
        <v>8.509253210708044E-2</v>
      </c>
      <c r="M63" s="26">
        <f>'Financial Statements'!M288/'Financial Statements'!M$311</f>
        <v>8.509253210708044E-2</v>
      </c>
    </row>
    <row r="64" spans="1:13" ht="12.75" customHeight="1" x14ac:dyDescent="0.2">
      <c r="A64" s="1" t="s">
        <v>90</v>
      </c>
      <c r="B64" s="25">
        <f>'Financial Statements'!B289/'Financial Statements'!B$311</f>
        <v>0.13923715893196853</v>
      </c>
      <c r="C64" s="25">
        <f>'Financial Statements'!C289/'Financial Statements'!C$311</f>
        <v>0.15554441318989365</v>
      </c>
      <c r="D64" s="25">
        <f>'Financial Statements'!D289/'Financial Statements'!D$311</f>
        <v>0.14658997763478024</v>
      </c>
      <c r="E64" s="25">
        <f>'Financial Statements'!E289/'Financial Statements'!E$311</f>
        <v>0.14895812252762744</v>
      </c>
      <c r="F64" s="25">
        <f>'Financial Statements'!F289/'Financial Statements'!F$311</f>
        <v>0.15514786681627654</v>
      </c>
      <c r="G64" s="25">
        <f>'Financial Statements'!G289/'Financial Statements'!G$311</f>
        <v>0.17765995701178189</v>
      </c>
      <c r="H64" s="25">
        <f>'Financial Statements'!H289/'Financial Statements'!H$311</f>
        <v>0.18446096607399423</v>
      </c>
      <c r="I64" s="25">
        <f>'Financial Statements'!I289/'Financial Statements'!I$311</f>
        <v>0.14551770890625598</v>
      </c>
      <c r="J64" s="25">
        <f>'Financial Statements'!J289/'Financial Statements'!J$311</f>
        <v>0.11982180201861896</v>
      </c>
      <c r="K64" s="25">
        <f>'Financial Statements'!K289/'Financial Statements'!K$311</f>
        <v>9.5853004860567873E-2</v>
      </c>
      <c r="L64" s="25">
        <f>'Financial Statements'!L289/'Financial Statements'!L$311</f>
        <v>0.12075834172681547</v>
      </c>
      <c r="M64" s="25">
        <f>'Financial Statements'!M289/'Financial Statements'!M$311</f>
        <v>0.12075834172681547</v>
      </c>
    </row>
    <row r="65" spans="1:13" ht="12.75" customHeight="1" x14ac:dyDescent="0.2">
      <c r="A65" s="1" t="s">
        <v>91</v>
      </c>
      <c r="B65" s="25">
        <f>'Financial Statements'!B290/'Financial Statements'!B$311</f>
        <v>2.3934914302932721E-3</v>
      </c>
      <c r="C65" s="25">
        <f>'Financial Statements'!C290/'Financial Statements'!C$311</f>
        <v>2.2147065029900471E-3</v>
      </c>
      <c r="D65" s="25">
        <f>'Financial Statements'!D290/'Financial Statements'!D$311</f>
        <v>1.755839252047248E-3</v>
      </c>
      <c r="E65" s="25">
        <f>'Financial Statements'!E290/'Financial Statements'!E$311</f>
        <v>3.7430444927603916E-3</v>
      </c>
      <c r="F65" s="25">
        <f>'Financial Statements'!F290/'Financial Statements'!F$311</f>
        <v>3.6189787966128947E-3</v>
      </c>
      <c r="G65" s="25">
        <f>'Financial Statements'!G290/'Financial Statements'!G$311</f>
        <v>4.3988890100181101E-3</v>
      </c>
      <c r="H65" s="25">
        <f>'Financial Statements'!H290/'Financial Statements'!H$311</f>
        <v>3.0024749752887762E-3</v>
      </c>
      <c r="I65" s="25">
        <f>'Financial Statements'!I290/'Financial Statements'!I$311</f>
        <v>2.7525869456773381E-3</v>
      </c>
      <c r="J65" s="25">
        <f>'Financial Statements'!J290/'Financial Statements'!J$311</f>
        <v>2.3975162500612197E-3</v>
      </c>
      <c r="K65" s="25">
        <f>'Financial Statements'!K290/'Financial Statements'!K$311</f>
        <v>2.2625160514151018E-3</v>
      </c>
      <c r="L65" s="25">
        <f>'Financial Statements'!L290/'Financial Statements'!L$311</f>
        <v>3.6971009502601714E-3</v>
      </c>
      <c r="M65" s="25">
        <f>'Financial Statements'!M290/'Financial Statements'!M$311</f>
        <v>3.6971009502601714E-3</v>
      </c>
    </row>
    <row r="66" spans="1:13" ht="12.75" customHeight="1" x14ac:dyDescent="0.2">
      <c r="A66" s="1" t="s">
        <v>172</v>
      </c>
      <c r="B66" s="25">
        <f>'Financial Statements'!B291/'Financial Statements'!B$311</f>
        <v>0</v>
      </c>
      <c r="C66" s="25">
        <f>'Financial Statements'!C291/'Financial Statements'!C$311</f>
        <v>0</v>
      </c>
      <c r="D66" s="25">
        <f>'Financial Statements'!D291/'Financial Statements'!D$311</f>
        <v>0</v>
      </c>
      <c r="E66" s="25">
        <f>'Financial Statements'!E291/'Financial Statements'!E$311</f>
        <v>0</v>
      </c>
      <c r="F66" s="25">
        <f>'Financial Statements'!F291/'Financial Statements'!F$311</f>
        <v>0</v>
      </c>
      <c r="G66" s="25">
        <f>'Financial Statements'!G291/'Financial Statements'!G$311</f>
        <v>0</v>
      </c>
      <c r="H66" s="25">
        <f>'Financial Statements'!H291/'Financial Statements'!H$311</f>
        <v>0</v>
      </c>
      <c r="I66" s="25">
        <f>'Financial Statements'!I291/'Financial Statements'!I$311</f>
        <v>0</v>
      </c>
      <c r="J66" s="25">
        <f>'Financial Statements'!J291/'Financial Statements'!J$311</f>
        <v>0</v>
      </c>
      <c r="K66" s="25">
        <f>'Financial Statements'!K291/'Financial Statements'!K$311</f>
        <v>0</v>
      </c>
      <c r="L66" s="25">
        <f>'Financial Statements'!L291/'Financial Statements'!L$311</f>
        <v>0</v>
      </c>
      <c r="M66" s="25">
        <f>'Financial Statements'!M291/'Financial Statements'!M$311</f>
        <v>0</v>
      </c>
    </row>
    <row r="67" spans="1:13" ht="12.75" customHeight="1" x14ac:dyDescent="0.2">
      <c r="A67" s="1" t="s">
        <v>173</v>
      </c>
      <c r="B67" s="25">
        <f>'Financial Statements'!B292/'Financial Statements'!B$311</f>
        <v>0</v>
      </c>
      <c r="C67" s="25">
        <f>'Financial Statements'!C292/'Financial Statements'!C$311</f>
        <v>0</v>
      </c>
      <c r="D67" s="25">
        <f>'Financial Statements'!D292/'Financial Statements'!D$311</f>
        <v>0</v>
      </c>
      <c r="E67" s="25">
        <f>'Financial Statements'!E292/'Financial Statements'!E$311</f>
        <v>0</v>
      </c>
      <c r="F67" s="25">
        <f>'Financial Statements'!F292/'Financial Statements'!F$311</f>
        <v>0</v>
      </c>
      <c r="G67" s="25">
        <f>'Financial Statements'!G292/'Financial Statements'!G$311</f>
        <v>0</v>
      </c>
      <c r="H67" s="25">
        <f>'Financial Statements'!H292/'Financial Statements'!H$311</f>
        <v>0</v>
      </c>
      <c r="I67" s="25">
        <f>'Financial Statements'!I292/'Financial Statements'!I$311</f>
        <v>0</v>
      </c>
      <c r="J67" s="25">
        <f>'Financial Statements'!J292/'Financial Statements'!J$311</f>
        <v>0</v>
      </c>
      <c r="K67" s="25">
        <f>'Financial Statements'!K292/'Financial Statements'!K$311</f>
        <v>0</v>
      </c>
      <c r="L67" s="25">
        <f>'Financial Statements'!L292/'Financial Statements'!L$311</f>
        <v>0</v>
      </c>
      <c r="M67" s="25">
        <f>'Financial Statements'!M292/'Financial Statements'!M$311</f>
        <v>0</v>
      </c>
    </row>
    <row r="68" spans="1:13" ht="12.75" customHeight="1" x14ac:dyDescent="0.2">
      <c r="A68" s="1" t="s">
        <v>174</v>
      </c>
      <c r="B68" s="25">
        <f>'Financial Statements'!B293/'Financial Statements'!B$311</f>
        <v>0</v>
      </c>
      <c r="C68" s="25">
        <f>'Financial Statements'!C293/'Financial Statements'!C$311</f>
        <v>0</v>
      </c>
      <c r="D68" s="25">
        <f>'Financial Statements'!D293/'Financial Statements'!D$311</f>
        <v>0</v>
      </c>
      <c r="E68" s="25">
        <f>'Financial Statements'!E293/'Financial Statements'!E$311</f>
        <v>0</v>
      </c>
      <c r="F68" s="25">
        <f>'Financial Statements'!F293/'Financial Statements'!F$311</f>
        <v>0</v>
      </c>
      <c r="G68" s="25">
        <f>'Financial Statements'!G293/'Financial Statements'!G$311</f>
        <v>0</v>
      </c>
      <c r="H68" s="25">
        <f>'Financial Statements'!H293/'Financial Statements'!H$311</f>
        <v>0</v>
      </c>
      <c r="I68" s="25">
        <f>'Financial Statements'!I293/'Financial Statements'!I$311</f>
        <v>0</v>
      </c>
      <c r="J68" s="25">
        <f>'Financial Statements'!J293/'Financial Statements'!J$311</f>
        <v>0</v>
      </c>
      <c r="K68" s="25">
        <f>'Financial Statements'!K293/'Financial Statements'!K$311</f>
        <v>0</v>
      </c>
      <c r="L68" s="25">
        <f>'Financial Statements'!L293/'Financial Statements'!L$311</f>
        <v>0</v>
      </c>
      <c r="M68" s="25">
        <f>'Financial Statements'!M293/'Financial Statements'!M$311</f>
        <v>0</v>
      </c>
    </row>
    <row r="69" spans="1:13" ht="12.75" customHeight="1" x14ac:dyDescent="0.2">
      <c r="A69" s="1" t="s">
        <v>130</v>
      </c>
      <c r="B69" s="25">
        <f>'Financial Statements'!B294/'Financial Statements'!B$311</f>
        <v>0</v>
      </c>
      <c r="C69" s="25">
        <f>'Financial Statements'!C294/'Financial Statements'!C$311</f>
        <v>0</v>
      </c>
      <c r="D69" s="25">
        <f>'Financial Statements'!D294/'Financial Statements'!D$311</f>
        <v>0</v>
      </c>
      <c r="E69" s="25">
        <f>'Financial Statements'!E294/'Financial Statements'!E$311</f>
        <v>0</v>
      </c>
      <c r="F69" s="25">
        <f>'Financial Statements'!F294/'Financial Statements'!F$311</f>
        <v>0</v>
      </c>
      <c r="G69" s="25">
        <f>'Financial Statements'!G294/'Financial Statements'!G$311</f>
        <v>0</v>
      </c>
      <c r="H69" s="25">
        <f>'Financial Statements'!H294/'Financial Statements'!H$311</f>
        <v>0</v>
      </c>
      <c r="I69" s="25">
        <f>'Financial Statements'!I294/'Financial Statements'!I$311</f>
        <v>0</v>
      </c>
      <c r="J69" s="25">
        <f>'Financial Statements'!J294/'Financial Statements'!J$311</f>
        <v>0</v>
      </c>
      <c r="K69" s="25">
        <f>'Financial Statements'!K294/'Financial Statements'!K$311</f>
        <v>0</v>
      </c>
      <c r="L69" s="25">
        <f>'Financial Statements'!L294/'Financial Statements'!L$311</f>
        <v>0</v>
      </c>
      <c r="M69" s="25">
        <f>'Financial Statements'!M294/'Financial Statements'!M$311</f>
        <v>0</v>
      </c>
    </row>
    <row r="70" spans="1:13" ht="12.75" customHeight="1" x14ac:dyDescent="0.2">
      <c r="A70" s="1" t="s">
        <v>175</v>
      </c>
      <c r="B70" s="25">
        <f>'Financial Statements'!B295/'Financial Statements'!B$311</f>
        <v>0</v>
      </c>
      <c r="C70" s="25">
        <f>'Financial Statements'!C295/'Financial Statements'!C$311</f>
        <v>0</v>
      </c>
      <c r="D70" s="25">
        <f>'Financial Statements'!D295/'Financial Statements'!D$311</f>
        <v>0</v>
      </c>
      <c r="E70" s="25">
        <f>'Financial Statements'!E295/'Financial Statements'!E$311</f>
        <v>0</v>
      </c>
      <c r="F70" s="25">
        <f>'Financial Statements'!F295/'Financial Statements'!F$311</f>
        <v>0</v>
      </c>
      <c r="G70" s="25">
        <f>'Financial Statements'!G295/'Financial Statements'!G$311</f>
        <v>0</v>
      </c>
      <c r="H70" s="25">
        <f>'Financial Statements'!H295/'Financial Statements'!H$311</f>
        <v>0</v>
      </c>
      <c r="I70" s="25">
        <f>'Financial Statements'!I295/'Financial Statements'!I$311</f>
        <v>0</v>
      </c>
      <c r="J70" s="25">
        <f>'Financial Statements'!J295/'Financial Statements'!J$311</f>
        <v>0</v>
      </c>
      <c r="K70" s="25">
        <f>'Financial Statements'!K295/'Financial Statements'!K$311</f>
        <v>3.2418914621222262E-4</v>
      </c>
      <c r="L70" s="25">
        <f>'Financial Statements'!L295/'Financial Statements'!L$311</f>
        <v>2.0273075103698387E-3</v>
      </c>
      <c r="M70" s="25">
        <f>'Financial Statements'!M295/'Financial Statements'!M$311</f>
        <v>2.0273075103698387E-3</v>
      </c>
    </row>
    <row r="71" spans="1:13" ht="12.75" customHeight="1" x14ac:dyDescent="0.2">
      <c r="A71" s="1" t="s">
        <v>131</v>
      </c>
      <c r="B71" s="25">
        <f>'Financial Statements'!B296/'Financial Statements'!B$311</f>
        <v>0</v>
      </c>
      <c r="C71" s="25">
        <f>'Financial Statements'!C296/'Financial Statements'!C$311</f>
        <v>0</v>
      </c>
      <c r="D71" s="25">
        <f>'Financial Statements'!D296/'Financial Statements'!D$311</f>
        <v>0</v>
      </c>
      <c r="E71" s="25">
        <f>'Financial Statements'!E296/'Financial Statements'!E$311</f>
        <v>0</v>
      </c>
      <c r="F71" s="25">
        <f>'Financial Statements'!F296/'Financial Statements'!F$311</f>
        <v>0</v>
      </c>
      <c r="G71" s="25">
        <f>'Financial Statements'!G296/'Financial Statements'!G$311</f>
        <v>0</v>
      </c>
      <c r="H71" s="25">
        <f>'Financial Statements'!H296/'Financial Statements'!H$311</f>
        <v>0</v>
      </c>
      <c r="I71" s="25">
        <f>'Financial Statements'!I296/'Financial Statements'!I$311</f>
        <v>0</v>
      </c>
      <c r="J71" s="25">
        <f>'Financial Statements'!J296/'Financial Statements'!J$311</f>
        <v>0</v>
      </c>
      <c r="K71" s="25">
        <f>'Financial Statements'!K296/'Financial Statements'!K$311</f>
        <v>0</v>
      </c>
      <c r="L71" s="25">
        <f>'Financial Statements'!L296/'Financial Statements'!L$311</f>
        <v>0</v>
      </c>
      <c r="M71" s="25">
        <f>'Financial Statements'!M296/'Financial Statements'!M$311</f>
        <v>0</v>
      </c>
    </row>
    <row r="72" spans="1:13" ht="12.75" customHeight="1" x14ac:dyDescent="0.2">
      <c r="A72" s="5" t="s">
        <v>45</v>
      </c>
      <c r="B72" s="26">
        <f>'Financial Statements'!B297/'Financial Statements'!B$311</f>
        <v>0.5633231843060359</v>
      </c>
      <c r="C72" s="26">
        <f>'Financial Statements'!C297/'Financial Statements'!C$311</f>
        <v>0.42223263323569782</v>
      </c>
      <c r="D72" s="26">
        <f>'Financial Statements'!D297/'Financial Statements'!D$311</f>
        <v>0.51068845413999953</v>
      </c>
      <c r="E72" s="26">
        <f>'Financial Statements'!E297/'Financial Statements'!E$311</f>
        <v>0.49101773103008101</v>
      </c>
      <c r="F72" s="26">
        <f>'Financial Statements'!F297/'Financial Statements'!F$311</f>
        <v>0.43279489249138553</v>
      </c>
      <c r="G72" s="26">
        <f>'Financial Statements'!G297/'Financial Statements'!G$311</f>
        <v>0.42299218824999557</v>
      </c>
      <c r="H72" s="26">
        <f>'Financial Statements'!H297/'Financial Statements'!H$311</f>
        <v>0.46341442911293884</v>
      </c>
      <c r="I72" s="26">
        <f>'Financial Statements'!I297/'Financial Statements'!I$311</f>
        <v>0.57554904644350924</v>
      </c>
      <c r="J72" s="26">
        <f>'Financial Statements'!J297/'Financial Statements'!J$311</f>
        <v>0.56840954227945295</v>
      </c>
      <c r="K72" s="26">
        <f>'Financial Statements'!K297/'Financial Statements'!K$311</f>
        <v>0.63803990055173743</v>
      </c>
      <c r="L72" s="26">
        <f>'Financial Statements'!L297/'Financial Statements'!L$311</f>
        <v>0.50893205945481512</v>
      </c>
      <c r="M72" s="26">
        <f>'Financial Statements'!M297/'Financial Statements'!M$311</f>
        <v>0.50893205945481512</v>
      </c>
    </row>
    <row r="73" spans="1:13" ht="12.75" customHeight="1" x14ac:dyDescent="0.2">
      <c r="A73" s="1" t="s">
        <v>92</v>
      </c>
      <c r="B73" s="25">
        <f>'Financial Statements'!B298/'Financial Statements'!B$311</f>
        <v>0.73994504234258129</v>
      </c>
      <c r="C73" s="25">
        <f>'Financial Statements'!C298/'Financial Statements'!C$311</f>
        <v>0.89747786745446201</v>
      </c>
      <c r="D73" s="25">
        <f>'Financial Statements'!D298/'Financial Statements'!D$311</f>
        <v>0.81628358368529808</v>
      </c>
      <c r="E73" s="25">
        <f>'Financial Statements'!E298/'Financial Statements'!E$311</f>
        <v>0.87516323929020534</v>
      </c>
      <c r="F73" s="25">
        <f>'Financial Statements'!F298/'Financial Statements'!F$311</f>
        <v>0.94959865550006883</v>
      </c>
      <c r="G73" s="25">
        <f>'Financial Statements'!G298/'Financial Statements'!G$311</f>
        <v>0.98880386340745907</v>
      </c>
      <c r="H73" s="25">
        <f>'Financial Statements'!H298/'Financial Statements'!H$311</f>
        <v>0.94962833338820829</v>
      </c>
      <c r="I73" s="25">
        <f>'Financial Statements'!I298/'Financial Statements'!I$311</f>
        <v>0.7591399444877911</v>
      </c>
      <c r="J73" s="25">
        <f>'Financial Statements'!J298/'Financial Statements'!J$311</f>
        <v>0.76080358446530305</v>
      </c>
      <c r="K73" s="25">
        <f>'Financial Statements'!K298/'Financial Statements'!K$311</f>
        <v>0.61784745539076302</v>
      </c>
      <c r="L73" s="25">
        <f>'Financial Statements'!L298/'Financial Statements'!L$311</f>
        <v>0.74164314882689686</v>
      </c>
      <c r="M73" s="25">
        <f>'Financial Statements'!M298/'Financial Statements'!M$311</f>
        <v>0.74164314882689686</v>
      </c>
    </row>
    <row r="74" spans="1:13" ht="12.75" customHeight="1" x14ac:dyDescent="0.2">
      <c r="A74" s="1" t="s">
        <v>93</v>
      </c>
      <c r="B74" s="25">
        <f>'Financial Statements'!B299/'Financial Statements'!B$311</f>
        <v>-0.38710608806717239</v>
      </c>
      <c r="C74" s="25">
        <f>'Financial Statements'!C299/'Financial Statements'!C$311</f>
        <v>-0.45397127463715786</v>
      </c>
      <c r="D74" s="25">
        <f>'Financial Statements'!D299/'Financial Statements'!D$311</f>
        <v>-0.44652817557001762</v>
      </c>
      <c r="E74" s="25">
        <f>'Financial Statements'!E299/'Financial Statements'!E$311</f>
        <v>-0.48054014691968544</v>
      </c>
      <c r="F74" s="25">
        <f>'Financial Statements'!F299/'Financial Statements'!F$311</f>
        <v>-0.48503680303374347</v>
      </c>
      <c r="G74" s="25">
        <f>'Financial Statements'!G299/'Financial Statements'!G$311</f>
        <v>-0.50745134537502423</v>
      </c>
      <c r="H74" s="25">
        <f>'Financial Statements'!H299/'Financial Statements'!H$311</f>
        <v>-0.47481136457093537</v>
      </c>
      <c r="I74" s="25">
        <f>'Financial Statements'!I299/'Financial Statements'!I$311</f>
        <v>-0.37820851613563394</v>
      </c>
      <c r="J74" s="25">
        <f>'Financial Statements'!J299/'Financial Statements'!J$311</f>
        <v>-0.36843389276904892</v>
      </c>
      <c r="K74" s="25">
        <f>'Financial Statements'!K299/'Financial Statements'!K$311</f>
        <v>-0.28500764600101341</v>
      </c>
      <c r="L74" s="25">
        <f>'Financial Statements'!L299/'Financial Statements'!L$311</f>
        <v>-0.31740974459143317</v>
      </c>
      <c r="M74" s="25">
        <f>'Financial Statements'!M299/'Financial Statements'!M$311</f>
        <v>-0.31740974459143317</v>
      </c>
    </row>
    <row r="75" spans="1:13" ht="12.75" customHeight="1" x14ac:dyDescent="0.2">
      <c r="A75" s="5" t="s">
        <v>94</v>
      </c>
      <c r="B75" s="26">
        <f>'Financial Statements'!B300/'Financial Statements'!B$311</f>
        <v>0.3528389542754089</v>
      </c>
      <c r="C75" s="26">
        <f>'Financial Statements'!C300/'Financial Statements'!C$311</f>
        <v>0.44350659281730415</v>
      </c>
      <c r="D75" s="26">
        <f>'Financial Statements'!D300/'Financial Statements'!D$311</f>
        <v>0.36975540811528046</v>
      </c>
      <c r="E75" s="26">
        <f>'Financial Statements'!E300/'Financial Statements'!E$311</f>
        <v>0.39462309237051985</v>
      </c>
      <c r="F75" s="26">
        <f>'Financial Statements'!F300/'Financial Statements'!F$311</f>
        <v>0.46456185246632531</v>
      </c>
      <c r="G75" s="26">
        <f>'Financial Statements'!G300/'Financial Statements'!G$311</f>
        <v>0.48135251803243484</v>
      </c>
      <c r="H75" s="26">
        <f>'Financial Statements'!H300/'Financial Statements'!H$311</f>
        <v>0.47481696881727287</v>
      </c>
      <c r="I75" s="26">
        <f>'Financial Statements'!I300/'Financial Statements'!I$311</f>
        <v>0.38093142835215715</v>
      </c>
      <c r="J75" s="26">
        <f>'Financial Statements'!J300/'Financial Statements'!J$311</f>
        <v>0.39236969169625419</v>
      </c>
      <c r="K75" s="26">
        <f>'Financial Statements'!K300/'Financial Statements'!K$311</f>
        <v>0.33283980938974955</v>
      </c>
      <c r="L75" s="26">
        <f>'Financial Statements'!L300/'Financial Statements'!L$311</f>
        <v>0.42423340423546368</v>
      </c>
      <c r="M75" s="26">
        <f>'Financial Statements'!M300/'Financial Statements'!M$311</f>
        <v>0.42423340423546368</v>
      </c>
    </row>
    <row r="76" spans="1:13" ht="12.75" customHeight="1" x14ac:dyDescent="0.2">
      <c r="A76" s="1" t="s">
        <v>176</v>
      </c>
      <c r="B76" s="25">
        <f>'Financial Statements'!B301/'Financial Statements'!B$311</f>
        <v>4.8548928955309795E-2</v>
      </c>
      <c r="C76" s="25">
        <f>'Financial Statements'!C301/'Financial Statements'!C$311</f>
        <v>6.3625381620646321E-2</v>
      </c>
      <c r="D76" s="25">
        <f>'Financial Statements'!D301/'Financial Statements'!D$311</f>
        <v>6.3024198420266214E-2</v>
      </c>
      <c r="E76" s="25">
        <f>'Financial Statements'!E301/'Financial Statements'!E$311</f>
        <v>6.132694732581611E-2</v>
      </c>
      <c r="F76" s="25">
        <f>'Financial Statements'!F301/'Financial Statements'!F$311</f>
        <v>5.2814549504679731E-2</v>
      </c>
      <c r="G76" s="25">
        <f>'Financial Statements'!G301/'Financial Statements'!G$311</f>
        <v>4.8046086233519421E-2</v>
      </c>
      <c r="H76" s="25">
        <f>'Financial Statements'!H301/'Financial Statements'!H$311</f>
        <v>1.3507634734838587E-2</v>
      </c>
      <c r="I76" s="25">
        <f>'Financial Statements'!I301/'Financial Statements'!I$311</f>
        <v>7.3925889922103836E-3</v>
      </c>
      <c r="J76" s="25">
        <f>'Financial Statements'!J301/'Financial Statements'!J$311</f>
        <v>5.1241302824427933E-3</v>
      </c>
      <c r="K76" s="25">
        <f>'Financial Statements'!K301/'Financial Statements'!K$311</f>
        <v>0</v>
      </c>
      <c r="L76" s="25">
        <f>'Financial Statements'!L301/'Financial Statements'!L$311</f>
        <v>0</v>
      </c>
      <c r="M76" s="25">
        <f>'Financial Statements'!M301/'Financial Statements'!M$311</f>
        <v>0</v>
      </c>
    </row>
    <row r="77" spans="1:13" ht="12.75" customHeight="1" x14ac:dyDescent="0.2">
      <c r="A77" s="1" t="s">
        <v>56</v>
      </c>
      <c r="B77" s="25">
        <f>'Financial Statements'!B302/'Financial Statements'!B$311</f>
        <v>2.6260945433612317E-2</v>
      </c>
      <c r="C77" s="25">
        <f>'Financial Statements'!C302/'Financial Statements'!C$311</f>
        <v>3.4386996730210416E-2</v>
      </c>
      <c r="D77" s="25">
        <f>'Financial Statements'!D302/'Financial Statements'!D$311</f>
        <v>3.08793016975141E-2</v>
      </c>
      <c r="E77" s="25">
        <f>'Financial Statements'!E302/'Financial Statements'!E$311</f>
        <v>3.0723580315460467E-2</v>
      </c>
      <c r="F77" s="25">
        <f>'Financial Statements'!F302/'Financial Statements'!F$311</f>
        <v>2.9439940863218016E-2</v>
      </c>
      <c r="G77" s="25">
        <f>'Financial Statements'!G302/'Financial Statements'!G$311</f>
        <v>2.890152248583195E-2</v>
      </c>
      <c r="H77" s="25">
        <f>'Financial Statements'!H302/'Financial Statements'!H$311</f>
        <v>3.0827558040727458E-2</v>
      </c>
      <c r="I77" s="25">
        <f>'Financial Statements'!I302/'Financial Statements'!I$311</f>
        <v>2.2514933295813559E-2</v>
      </c>
      <c r="J77" s="25">
        <f>'Financial Statements'!J302/'Financial Statements'!J$311</f>
        <v>2.0952406235739289E-2</v>
      </c>
      <c r="K77" s="25">
        <f>'Financial Statements'!K302/'Financial Statements'!K$311</f>
        <v>1.5164271503222927E-2</v>
      </c>
      <c r="L77" s="25">
        <f>'Financial Statements'!L302/'Financial Statements'!L$311</f>
        <v>3.1233085658569235E-2</v>
      </c>
      <c r="M77" s="25">
        <f>'Financial Statements'!M302/'Financial Statements'!M$311</f>
        <v>3.1233085658569235E-2</v>
      </c>
    </row>
    <row r="78" spans="1:13" ht="12.75" customHeight="1" x14ac:dyDescent="0.2">
      <c r="A78" s="1" t="s">
        <v>95</v>
      </c>
      <c r="B78" s="25">
        <f>'Financial Statements'!B303/'Financial Statements'!B$311</f>
        <v>4.4595755397948307E-3</v>
      </c>
      <c r="C78" s="25">
        <f>'Financial Statements'!C303/'Financial Statements'!C$311</f>
        <v>2.8215244692157731E-2</v>
      </c>
      <c r="D78" s="25">
        <f>'Financial Statements'!D303/'Financial Statements'!D$311</f>
        <v>2.2866763962181659E-2</v>
      </c>
      <c r="E78" s="25">
        <f>'Financial Statements'!E303/'Financial Statements'!E$311</f>
        <v>2.0550421265474218E-2</v>
      </c>
      <c r="F78" s="25">
        <f>'Financial Statements'!F303/'Financial Statements'!F$311</f>
        <v>1.8907858993249323E-2</v>
      </c>
      <c r="G78" s="25">
        <f>'Financial Statements'!G303/'Financial Statements'!G$311</f>
        <v>1.6548511439389381E-2</v>
      </c>
      <c r="H78" s="25">
        <f>'Financial Statements'!H303/'Financial Statements'!H$311</f>
        <v>1.2701323793037985E-2</v>
      </c>
      <c r="I78" s="25">
        <f>'Financial Statements'!I303/'Financial Statements'!I$311</f>
        <v>8.1334339545413841E-3</v>
      </c>
      <c r="J78" s="25">
        <f>'Financial Statements'!J303/'Financial Statements'!J$311</f>
        <v>7.3216246536806544E-3</v>
      </c>
      <c r="K78" s="25">
        <f>'Financial Statements'!K303/'Financial Statements'!K$311</f>
        <v>4.913734889138658E-3</v>
      </c>
      <c r="L78" s="25">
        <f>'Financial Statements'!L303/'Financial Statements'!L$311</f>
        <v>2.3532856862435919E-2</v>
      </c>
      <c r="M78" s="25">
        <f>'Financial Statements'!M303/'Financial Statements'!M$311</f>
        <v>2.3532856862435919E-2</v>
      </c>
    </row>
    <row r="79" spans="1:13" ht="12.75" customHeight="1" x14ac:dyDescent="0.2">
      <c r="A79" s="1" t="s">
        <v>177</v>
      </c>
      <c r="B79" s="25">
        <f>'Financial Statements'!B304/'Financial Statements'!B$311</f>
        <v>0</v>
      </c>
      <c r="C79" s="25">
        <f>'Financial Statements'!C304/'Financial Statements'!C$311</f>
        <v>0</v>
      </c>
      <c r="D79" s="25">
        <f>'Financial Statements'!D304/'Financial Statements'!D$311</f>
        <v>0</v>
      </c>
      <c r="E79" s="25">
        <f>'Financial Statements'!E304/'Financial Statements'!E$311</f>
        <v>0</v>
      </c>
      <c r="F79" s="25">
        <f>'Financial Statements'!F304/'Financial Statements'!F$311</f>
        <v>0</v>
      </c>
      <c r="G79" s="25">
        <f>'Financial Statements'!G304/'Financial Statements'!G$311</f>
        <v>0</v>
      </c>
      <c r="H79" s="25">
        <f>'Financial Statements'!H304/'Financial Statements'!H$311</f>
        <v>0</v>
      </c>
      <c r="I79" s="25">
        <f>'Financial Statements'!I304/'Financial Statements'!I$311</f>
        <v>0</v>
      </c>
      <c r="J79" s="25">
        <f>'Financial Statements'!J304/'Financial Statements'!J$311</f>
        <v>0</v>
      </c>
      <c r="K79" s="25">
        <f>'Financial Statements'!K304/'Financial Statements'!K$311</f>
        <v>0</v>
      </c>
      <c r="L79" s="25">
        <f>'Financial Statements'!L304/'Financial Statements'!L$311</f>
        <v>0</v>
      </c>
      <c r="M79" s="25">
        <f>'Financial Statements'!M304/'Financial Statements'!M$311</f>
        <v>0</v>
      </c>
    </row>
    <row r="80" spans="1:13" ht="12.75" customHeight="1" x14ac:dyDescent="0.2">
      <c r="A80" s="1" t="s">
        <v>178</v>
      </c>
      <c r="B80" s="25">
        <f>'Financial Statements'!B305/'Financial Statements'!B$311</f>
        <v>0</v>
      </c>
      <c r="C80" s="25">
        <f>'Financial Statements'!C305/'Financial Statements'!C$311</f>
        <v>0</v>
      </c>
      <c r="D80" s="25">
        <f>'Financial Statements'!D305/'Financial Statements'!D$311</f>
        <v>0</v>
      </c>
      <c r="E80" s="25">
        <f>'Financial Statements'!E305/'Financial Statements'!E$311</f>
        <v>0</v>
      </c>
      <c r="F80" s="25">
        <f>'Financial Statements'!F305/'Financial Statements'!F$311</f>
        <v>0</v>
      </c>
      <c r="G80" s="25">
        <f>'Financial Statements'!G305/'Financial Statements'!G$311</f>
        <v>0</v>
      </c>
      <c r="H80" s="25">
        <f>'Financial Statements'!H305/'Financial Statements'!H$311</f>
        <v>0</v>
      </c>
      <c r="I80" s="25">
        <f>'Financial Statements'!I305/'Financial Statements'!I$311</f>
        <v>0</v>
      </c>
      <c r="J80" s="25">
        <f>'Financial Statements'!J305/'Financial Statements'!J$311</f>
        <v>0</v>
      </c>
      <c r="K80" s="25">
        <f>'Financial Statements'!K305/'Financial Statements'!K$311</f>
        <v>0</v>
      </c>
      <c r="L80" s="25">
        <f>'Financial Statements'!L305/'Financial Statements'!L$311</f>
        <v>0</v>
      </c>
      <c r="M80" s="25">
        <f>'Financial Statements'!M305/'Financial Statements'!M$311</f>
        <v>0</v>
      </c>
    </row>
    <row r="81" spans="1:13" ht="12.75" customHeight="1" x14ac:dyDescent="0.2">
      <c r="A81" s="1" t="s">
        <v>179</v>
      </c>
      <c r="B81" s="25">
        <f>'Financial Statements'!B306/'Financial Statements'!B$311</f>
        <v>0</v>
      </c>
      <c r="C81" s="25">
        <f>'Financial Statements'!C306/'Financial Statements'!C$311</f>
        <v>0</v>
      </c>
      <c r="D81" s="25">
        <f>'Financial Statements'!D306/'Financial Statements'!D$311</f>
        <v>0</v>
      </c>
      <c r="E81" s="25">
        <f>'Financial Statements'!E306/'Financial Statements'!E$311</f>
        <v>0</v>
      </c>
      <c r="F81" s="25">
        <f>'Financial Statements'!F306/'Financial Statements'!F$311</f>
        <v>0</v>
      </c>
      <c r="G81" s="25">
        <f>'Financial Statements'!G306/'Financial Statements'!G$311</f>
        <v>0</v>
      </c>
      <c r="H81" s="25">
        <f>'Financial Statements'!H306/'Financial Statements'!H$311</f>
        <v>0</v>
      </c>
      <c r="I81" s="25">
        <f>'Financial Statements'!I306/'Financial Statements'!I$311</f>
        <v>0</v>
      </c>
      <c r="J81" s="25">
        <f>'Financial Statements'!J306/'Financial Statements'!J$311</f>
        <v>0</v>
      </c>
      <c r="K81" s="25">
        <f>'Financial Statements'!K306/'Financial Statements'!K$311</f>
        <v>0</v>
      </c>
      <c r="L81" s="25">
        <f>'Financial Statements'!L306/'Financial Statements'!L$311</f>
        <v>0</v>
      </c>
      <c r="M81" s="25">
        <f>'Financial Statements'!M306/'Financial Statements'!M$311</f>
        <v>0</v>
      </c>
    </row>
    <row r="82" spans="1:13" ht="12.75" customHeight="1" x14ac:dyDescent="0.2">
      <c r="A82" s="1" t="s">
        <v>132</v>
      </c>
      <c r="B82" s="25">
        <f>'Financial Statements'!B307/'Financial Statements'!B$311</f>
        <v>0</v>
      </c>
      <c r="C82" s="25">
        <f>'Financial Statements'!C307/'Financial Statements'!C$311</f>
        <v>0</v>
      </c>
      <c r="D82" s="25">
        <f>'Financial Statements'!D307/'Financial Statements'!D$311</f>
        <v>0</v>
      </c>
      <c r="E82" s="25">
        <f>'Financial Statements'!E307/'Financial Statements'!E$311</f>
        <v>0</v>
      </c>
      <c r="F82" s="25">
        <f>'Financial Statements'!F307/'Financial Statements'!F$311</f>
        <v>0</v>
      </c>
      <c r="G82" s="25">
        <f>'Financial Statements'!G307/'Financial Statements'!G$311</f>
        <v>0</v>
      </c>
      <c r="H82" s="25">
        <f>'Financial Statements'!H307/'Financial Statements'!H$311</f>
        <v>0</v>
      </c>
      <c r="I82" s="25">
        <f>'Financial Statements'!I307/'Financial Statements'!I$311</f>
        <v>0</v>
      </c>
      <c r="J82" s="25">
        <f>'Financial Statements'!J307/'Financial Statements'!J$311</f>
        <v>0</v>
      </c>
      <c r="K82" s="25">
        <f>'Financial Statements'!K307/'Financial Statements'!K$311</f>
        <v>0</v>
      </c>
      <c r="L82" s="25">
        <f>'Financial Statements'!L307/'Financial Statements'!L$311</f>
        <v>0</v>
      </c>
      <c r="M82" s="25">
        <f>'Financial Statements'!M307/'Financial Statements'!M$311</f>
        <v>0</v>
      </c>
    </row>
    <row r="83" spans="1:13" ht="12.75" customHeight="1" x14ac:dyDescent="0.2">
      <c r="A83" s="1" t="s">
        <v>133</v>
      </c>
      <c r="B83" s="25">
        <f>'Financial Statements'!B308/'Financial Statements'!B$311</f>
        <v>0</v>
      </c>
      <c r="C83" s="25">
        <f>'Financial Statements'!C308/'Financial Statements'!C$311</f>
        <v>0</v>
      </c>
      <c r="D83" s="25">
        <f>'Financial Statements'!D308/'Financial Statements'!D$311</f>
        <v>0</v>
      </c>
      <c r="E83" s="25">
        <f>'Financial Statements'!E308/'Financial Statements'!E$311</f>
        <v>0</v>
      </c>
      <c r="F83" s="25">
        <f>'Financial Statements'!F308/'Financial Statements'!F$311</f>
        <v>0</v>
      </c>
      <c r="G83" s="25">
        <f>'Financial Statements'!G308/'Financial Statements'!G$311</f>
        <v>0</v>
      </c>
      <c r="H83" s="25">
        <f>'Financial Statements'!H308/'Financial Statements'!H$311</f>
        <v>0</v>
      </c>
      <c r="I83" s="25">
        <f>'Financial Statements'!I308/'Financial Statements'!I$311</f>
        <v>0</v>
      </c>
      <c r="J83" s="25">
        <f>'Financial Statements'!J308/'Financial Statements'!J$311</f>
        <v>0</v>
      </c>
      <c r="K83" s="25">
        <f>'Financial Statements'!K308/'Financial Statements'!K$311</f>
        <v>0</v>
      </c>
      <c r="L83" s="25">
        <f>'Financial Statements'!L308/'Financial Statements'!L$311</f>
        <v>0</v>
      </c>
      <c r="M83" s="25">
        <f>'Financial Statements'!M308/'Financial Statements'!M$311</f>
        <v>0</v>
      </c>
    </row>
    <row r="84" spans="1:13" ht="12.75" customHeight="1" x14ac:dyDescent="0.2">
      <c r="A84" s="1" t="s">
        <v>180</v>
      </c>
      <c r="B84" s="25">
        <f>'Financial Statements'!B309/'Financial Statements'!B$311</f>
        <v>0</v>
      </c>
      <c r="C84" s="25">
        <f>'Financial Statements'!C309/'Financial Statements'!C$311</f>
        <v>0</v>
      </c>
      <c r="D84" s="25">
        <f>'Financial Statements'!D309/'Financial Statements'!D$311</f>
        <v>0</v>
      </c>
      <c r="E84" s="25">
        <f>'Financial Statements'!E309/'Financial Statements'!E$311</f>
        <v>0</v>
      </c>
      <c r="F84" s="25">
        <f>'Financial Statements'!F309/'Financial Statements'!F$311</f>
        <v>0</v>
      </c>
      <c r="G84" s="25">
        <f>'Financial Statements'!G309/'Financial Statements'!G$311</f>
        <v>0</v>
      </c>
      <c r="H84" s="25">
        <f>'Financial Statements'!H309/'Financial Statements'!H$311</f>
        <v>0</v>
      </c>
      <c r="I84" s="25">
        <f>'Financial Statements'!I309/'Financial Statements'!I$311</f>
        <v>0</v>
      </c>
      <c r="J84" s="25">
        <f>'Financial Statements'!J309/'Financial Statements'!J$311</f>
        <v>0</v>
      </c>
      <c r="K84" s="25">
        <f>'Financial Statements'!K309/'Financial Statements'!K$311</f>
        <v>0</v>
      </c>
      <c r="L84" s="25">
        <f>'Financial Statements'!L309/'Financial Statements'!L$311</f>
        <v>0</v>
      </c>
      <c r="M84" s="25">
        <f>'Financial Statements'!M309/'Financial Statements'!M$311</f>
        <v>0</v>
      </c>
    </row>
    <row r="85" spans="1:13" ht="12.75" customHeight="1" x14ac:dyDescent="0.2">
      <c r="A85" s="1" t="s">
        <v>134</v>
      </c>
      <c r="B85" s="25">
        <f>'Financial Statements'!B310/'Financial Statements'!B$311</f>
        <v>4.5684114898382295E-3</v>
      </c>
      <c r="C85" s="25">
        <f>'Financial Statements'!C310/'Financial Statements'!C$311</f>
        <v>8.0331509039835661E-3</v>
      </c>
      <c r="D85" s="25">
        <f>'Financial Statements'!D310/'Financial Statements'!D$311</f>
        <v>2.7858736647581334E-3</v>
      </c>
      <c r="E85" s="25">
        <f>'Financial Statements'!E310/'Financial Statements'!E$311</f>
        <v>1.7582276926483076E-3</v>
      </c>
      <c r="F85" s="25">
        <f>'Financial Statements'!F310/'Financial Statements'!F$311</f>
        <v>1.4809056811420293E-3</v>
      </c>
      <c r="G85" s="25">
        <f>'Financial Statements'!G310/'Financial Statements'!G$311</f>
        <v>2.159173558828937E-3</v>
      </c>
      <c r="H85" s="25">
        <f>'Financial Statements'!H310/'Financial Statements'!H$311</f>
        <v>4.7320855011842473E-3</v>
      </c>
      <c r="I85" s="25">
        <f>'Financial Statements'!I310/'Financial Statements'!I$311</f>
        <v>5.4785689617682046E-3</v>
      </c>
      <c r="J85" s="25">
        <f>'Financial Statements'!J310/'Financial Statements'!J$311</f>
        <v>5.8226048524300826E-3</v>
      </c>
      <c r="K85" s="25">
        <f>'Financial Statements'!K310/'Financial Statements'!K$311</f>
        <v>9.0422836661513128E-3</v>
      </c>
      <c r="L85" s="25">
        <f>'Financial Statements'!L310/'Financial Statements'!L$311</f>
        <v>1.2068593788715941E-2</v>
      </c>
      <c r="M85" s="25">
        <f>'Financial Statements'!M310/'Financial Statements'!M$311</f>
        <v>1.2068593788715941E-2</v>
      </c>
    </row>
    <row r="86" spans="1:13" ht="12.75" customHeight="1" thickBot="1" x14ac:dyDescent="0.25">
      <c r="A86" s="58" t="s">
        <v>267</v>
      </c>
      <c r="B86" s="29">
        <f>'Financial Statements'!B311/'Financial Statements'!B$311</f>
        <v>1</v>
      </c>
      <c r="C86" s="29">
        <f>'Financial Statements'!C311/'Financial Statements'!C$311</f>
        <v>1</v>
      </c>
      <c r="D86" s="29">
        <f>'Financial Statements'!D311/'Financial Statements'!D$311</f>
        <v>1</v>
      </c>
      <c r="E86" s="29">
        <f>'Financial Statements'!E311/'Financial Statements'!E$311</f>
        <v>1</v>
      </c>
      <c r="F86" s="29">
        <f>'Financial Statements'!F311/'Financial Statements'!F$311</f>
        <v>1</v>
      </c>
      <c r="G86" s="29">
        <f>'Financial Statements'!G311/'Financial Statements'!G$311</f>
        <v>1</v>
      </c>
      <c r="H86" s="29">
        <f>'Financial Statements'!H311/'Financial Statements'!H$311</f>
        <v>1</v>
      </c>
      <c r="I86" s="29">
        <f>'Financial Statements'!I311/'Financial Statements'!I$311</f>
        <v>1</v>
      </c>
      <c r="J86" s="29">
        <f>'Financial Statements'!J311/'Financial Statements'!J$311</f>
        <v>1</v>
      </c>
      <c r="K86" s="29">
        <f>'Financial Statements'!K311/'Financial Statements'!K$311</f>
        <v>1</v>
      </c>
      <c r="L86" s="29">
        <f>'Financial Statements'!L311/'Financial Statements'!L$311</f>
        <v>1</v>
      </c>
      <c r="M86" s="29">
        <f>'Financial Statements'!M311/'Financial Statements'!M$311</f>
        <v>1</v>
      </c>
    </row>
    <row r="87" spans="1:13" ht="12.75" customHeight="1" thickTop="1" x14ac:dyDescent="0.2">
      <c r="A87" s="1" t="s">
        <v>50</v>
      </c>
      <c r="B87" s="25">
        <f>'Financial Statements'!B312/'Financial Statements'!B$346</f>
        <v>3.2616605127882239E-2</v>
      </c>
      <c r="C87" s="25">
        <f>'Financial Statements'!C312/'Financial Statements'!C$346</f>
        <v>2.9647834562972972E-2</v>
      </c>
      <c r="D87" s="25">
        <f>'Financial Statements'!D312/'Financial Statements'!D$346</f>
        <v>3.2891563018548446E-2</v>
      </c>
      <c r="E87" s="25">
        <f>'Financial Statements'!E312/'Financial Statements'!E$346</f>
        <v>3.3910530166620829E-2</v>
      </c>
      <c r="F87" s="25">
        <f>'Financial Statements'!F312/'Financial Statements'!F$346</f>
        <v>4.6328232343908239E-2</v>
      </c>
      <c r="G87" s="25">
        <f>'Financial Statements'!G312/'Financial Statements'!G$346</f>
        <v>4.2942659053966319E-2</v>
      </c>
      <c r="H87" s="25">
        <f>'Financial Statements'!H312/'Financial Statements'!H$346</f>
        <v>5.7477850967678212E-2</v>
      </c>
      <c r="I87" s="25">
        <f>'Financial Statements'!I312/'Financial Statements'!I$346</f>
        <v>4.2255791048976095E-2</v>
      </c>
      <c r="J87" s="25">
        <f>'Financial Statements'!J312/'Financial Statements'!J$346</f>
        <v>3.4723248904571256E-2</v>
      </c>
      <c r="K87" s="25">
        <f>'Financial Statements'!K312/'Financial Statements'!K$346</f>
        <v>3.2753802009259488E-2</v>
      </c>
      <c r="L87" s="25">
        <f>'Financial Statements'!L312/'Financial Statements'!L$346</f>
        <v>3.0926415173270431E-2</v>
      </c>
      <c r="M87" s="25">
        <f>'Financial Statements'!M312/'Financial Statements'!M$346</f>
        <v>3.0926415173270431E-2</v>
      </c>
    </row>
    <row r="88" spans="1:13" ht="12.75" customHeight="1" x14ac:dyDescent="0.2">
      <c r="A88" s="1" t="s">
        <v>96</v>
      </c>
      <c r="B88" s="25">
        <f>'Financial Statements'!B313/'Financial Statements'!B$346</f>
        <v>2.776575985032808E-2</v>
      </c>
      <c r="C88" s="25">
        <f>'Financial Statements'!C313/'Financial Statements'!C$346</f>
        <v>2.8287842151827423E-2</v>
      </c>
      <c r="D88" s="25">
        <f>'Financial Statements'!D313/'Financial Statements'!D$346</f>
        <v>2.7748344773814007E-2</v>
      </c>
      <c r="E88" s="25">
        <f>'Financial Statements'!E313/'Financial Statements'!E$346</f>
        <v>2.940555817891545E-2</v>
      </c>
      <c r="F88" s="25">
        <f>'Financial Statements'!F313/'Financial Statements'!F$346</f>
        <v>3.0063959877151953E-2</v>
      </c>
      <c r="G88" s="25">
        <f>'Financial Statements'!G313/'Financial Statements'!G$346</f>
        <v>2.9619077526859498E-2</v>
      </c>
      <c r="H88" s="25">
        <f>'Financial Statements'!H313/'Financial Statements'!H$346</f>
        <v>2.8218781370644534E-2</v>
      </c>
      <c r="I88" s="25">
        <f>'Financial Statements'!I313/'Financial Statements'!I$346</f>
        <v>2.7998106956933267E-2</v>
      </c>
      <c r="J88" s="25">
        <f>'Financial Statements'!J313/'Financial Statements'!J$346</f>
        <v>3.2393932334017314E-2</v>
      </c>
      <c r="K88" s="25">
        <f>'Financial Statements'!K313/'Financial Statements'!K$346</f>
        <v>3.0206323698323843E-2</v>
      </c>
      <c r="L88" s="25">
        <f>'Financial Statements'!L313/'Financial Statements'!L$346</f>
        <v>3.5207573763422866E-2</v>
      </c>
      <c r="M88" s="25">
        <f>'Financial Statements'!M313/'Financial Statements'!M$346</f>
        <v>3.5207573763422866E-2</v>
      </c>
    </row>
    <row r="89" spans="1:13" ht="12.75" customHeight="1" x14ac:dyDescent="0.2">
      <c r="A89" s="1" t="s">
        <v>181</v>
      </c>
      <c r="B89" s="25">
        <f>'Financial Statements'!B314/'Financial Statements'!B$346</f>
        <v>0</v>
      </c>
      <c r="C89" s="25">
        <f>'Financial Statements'!C314/'Financial Statements'!C$346</f>
        <v>0</v>
      </c>
      <c r="D89" s="25">
        <f>'Financial Statements'!D314/'Financial Statements'!D$346</f>
        <v>0</v>
      </c>
      <c r="E89" s="25">
        <f>'Financial Statements'!E314/'Financial Statements'!E$346</f>
        <v>0</v>
      </c>
      <c r="F89" s="25">
        <f>'Financial Statements'!F314/'Financial Statements'!F$346</f>
        <v>0</v>
      </c>
      <c r="G89" s="25">
        <f>'Financial Statements'!G314/'Financial Statements'!G$346</f>
        <v>0</v>
      </c>
      <c r="H89" s="25">
        <f>'Financial Statements'!H314/'Financial Statements'!H$346</f>
        <v>0</v>
      </c>
      <c r="I89" s="25">
        <f>'Financial Statements'!I314/'Financial Statements'!I$346</f>
        <v>0</v>
      </c>
      <c r="J89" s="25">
        <f>'Financial Statements'!J314/'Financial Statements'!J$346</f>
        <v>0</v>
      </c>
      <c r="K89" s="25">
        <f>'Financial Statements'!K314/'Financial Statements'!K$346</f>
        <v>0</v>
      </c>
      <c r="L89" s="25">
        <f>'Financial Statements'!L314/'Financial Statements'!L$346</f>
        <v>0</v>
      </c>
      <c r="M89" s="25">
        <f>'Financial Statements'!M314/'Financial Statements'!M$346</f>
        <v>0</v>
      </c>
    </row>
    <row r="90" spans="1:13" ht="12.75" customHeight="1" x14ac:dyDescent="0.2">
      <c r="A90" s="1" t="s">
        <v>182</v>
      </c>
      <c r="B90" s="25">
        <f>'Financial Statements'!B315/'Financial Statements'!B$346</f>
        <v>1.4679361195936191E-2</v>
      </c>
      <c r="C90" s="25">
        <f>'Financial Statements'!C315/'Financial Statements'!C$346</f>
        <v>4.6714045382123979E-3</v>
      </c>
      <c r="D90" s="25">
        <f>'Financial Statements'!D315/'Financial Statements'!D$346</f>
        <v>3.0735879184351825E-3</v>
      </c>
      <c r="E90" s="25">
        <f>'Financial Statements'!E315/'Financial Statements'!E$346</f>
        <v>1.2972658824261984E-3</v>
      </c>
      <c r="F90" s="25">
        <f>'Financial Statements'!F315/'Financial Statements'!F$346</f>
        <v>0</v>
      </c>
      <c r="G90" s="25">
        <f>'Financial Statements'!G315/'Financial Statements'!G$346</f>
        <v>0</v>
      </c>
      <c r="H90" s="25">
        <f>'Financial Statements'!H315/'Financial Statements'!H$346</f>
        <v>0</v>
      </c>
      <c r="I90" s="25">
        <f>'Financial Statements'!I315/'Financial Statements'!I$346</f>
        <v>0</v>
      </c>
      <c r="J90" s="25">
        <f>'Financial Statements'!J315/'Financial Statements'!J$346</f>
        <v>0</v>
      </c>
      <c r="K90" s="25">
        <f>'Financial Statements'!K315/'Financial Statements'!K$346</f>
        <v>0</v>
      </c>
      <c r="L90" s="25">
        <f>'Financial Statements'!L315/'Financial Statements'!L$346</f>
        <v>0</v>
      </c>
      <c r="M90" s="25">
        <f>'Financial Statements'!M315/'Financial Statements'!M$346</f>
        <v>0</v>
      </c>
    </row>
    <row r="91" spans="1:13" ht="12.75" customHeight="1" x14ac:dyDescent="0.2">
      <c r="A91" s="1" t="s">
        <v>471</v>
      </c>
      <c r="B91" s="25">
        <f>'Financial Statements'!B316/'Financial Statements'!B$346</f>
        <v>0</v>
      </c>
      <c r="C91" s="25">
        <f>'Financial Statements'!C316/'Financial Statements'!C$346</f>
        <v>0</v>
      </c>
      <c r="D91" s="25">
        <f>'Financial Statements'!D316/'Financial Statements'!D$346</f>
        <v>0</v>
      </c>
      <c r="E91" s="25">
        <f>'Financial Statements'!E316/'Financial Statements'!E$346</f>
        <v>1.6950940863702329E-4</v>
      </c>
      <c r="F91" s="25">
        <f>'Financial Statements'!F316/'Financial Statements'!F$346</f>
        <v>8.2953922038230064E-4</v>
      </c>
      <c r="G91" s="25">
        <f>'Financial Statements'!G316/'Financial Statements'!G$346</f>
        <v>7.3708034826639682E-4</v>
      </c>
      <c r="H91" s="25">
        <f>'Financial Statements'!H316/'Financial Statements'!H$346</f>
        <v>0</v>
      </c>
      <c r="I91" s="25">
        <f>'Financial Statements'!I316/'Financial Statements'!I$346</f>
        <v>0</v>
      </c>
      <c r="J91" s="25">
        <f>'Financial Statements'!J316/'Financial Statements'!J$346</f>
        <v>0</v>
      </c>
      <c r="K91" s="25">
        <f>'Financial Statements'!K316/'Financial Statements'!K$346</f>
        <v>0</v>
      </c>
      <c r="L91" s="25">
        <f>'Financial Statements'!L316/'Financial Statements'!L$346</f>
        <v>0</v>
      </c>
      <c r="M91" s="25">
        <f>'Financial Statements'!M316/'Financial Statements'!M$346</f>
        <v>0</v>
      </c>
    </row>
    <row r="92" spans="1:13" ht="12.75" customHeight="1" x14ac:dyDescent="0.2">
      <c r="A92" s="1" t="s">
        <v>183</v>
      </c>
      <c r="B92" s="25">
        <f>'Financial Statements'!B317/'Financial Statements'!B$346</f>
        <v>0</v>
      </c>
      <c r="C92" s="25">
        <f>'Financial Statements'!C317/'Financial Statements'!C$346</f>
        <v>0</v>
      </c>
      <c r="D92" s="25">
        <f>'Financial Statements'!D317/'Financial Statements'!D$346</f>
        <v>0</v>
      </c>
      <c r="E92" s="25">
        <f>'Financial Statements'!E317/'Financial Statements'!E$346</f>
        <v>0</v>
      </c>
      <c r="F92" s="25">
        <f>'Financial Statements'!F317/'Financial Statements'!F$346</f>
        <v>0</v>
      </c>
      <c r="G92" s="25">
        <f>'Financial Statements'!G317/'Financial Statements'!G$346</f>
        <v>0</v>
      </c>
      <c r="H92" s="25">
        <f>'Financial Statements'!H317/'Financial Statements'!H$346</f>
        <v>0</v>
      </c>
      <c r="I92" s="25">
        <f>'Financial Statements'!I317/'Financial Statements'!I$346</f>
        <v>0</v>
      </c>
      <c r="J92" s="25">
        <f>'Financial Statements'!J317/'Financial Statements'!J$346</f>
        <v>0</v>
      </c>
      <c r="K92" s="25">
        <f>'Financial Statements'!K317/'Financial Statements'!K$346</f>
        <v>0</v>
      </c>
      <c r="L92" s="25">
        <f>'Financial Statements'!L317/'Financial Statements'!L$346</f>
        <v>0</v>
      </c>
      <c r="M92" s="25">
        <f>'Financial Statements'!M317/'Financial Statements'!M$346</f>
        <v>0</v>
      </c>
    </row>
    <row r="93" spans="1:13" ht="12.75" customHeight="1" x14ac:dyDescent="0.2">
      <c r="A93" s="1" t="s">
        <v>184</v>
      </c>
      <c r="B93" s="25">
        <f>'Financial Statements'!B318/'Financial Statements'!B$346</f>
        <v>0</v>
      </c>
      <c r="C93" s="25">
        <f>'Financial Statements'!C318/'Financial Statements'!C$346</f>
        <v>0</v>
      </c>
      <c r="D93" s="25">
        <f>'Financial Statements'!D318/'Financial Statements'!D$346</f>
        <v>0</v>
      </c>
      <c r="E93" s="25">
        <f>'Financial Statements'!E318/'Financial Statements'!E$346</f>
        <v>0</v>
      </c>
      <c r="F93" s="25">
        <f>'Financial Statements'!F318/'Financial Statements'!F$346</f>
        <v>0</v>
      </c>
      <c r="G93" s="25">
        <f>'Financial Statements'!G318/'Financial Statements'!G$346</f>
        <v>0</v>
      </c>
      <c r="H93" s="25">
        <f>'Financial Statements'!H318/'Financial Statements'!H$346</f>
        <v>0</v>
      </c>
      <c r="I93" s="25">
        <f>'Financial Statements'!I318/'Financial Statements'!I$346</f>
        <v>0</v>
      </c>
      <c r="J93" s="25">
        <f>'Financial Statements'!J318/'Financial Statements'!J$346</f>
        <v>0</v>
      </c>
      <c r="K93" s="25">
        <f>'Financial Statements'!K318/'Financial Statements'!K$346</f>
        <v>0</v>
      </c>
      <c r="L93" s="25">
        <f>'Financial Statements'!L318/'Financial Statements'!L$346</f>
        <v>0</v>
      </c>
      <c r="M93" s="25">
        <f>'Financial Statements'!M318/'Financial Statements'!M$346</f>
        <v>0</v>
      </c>
    </row>
    <row r="94" spans="1:13" ht="12.75" customHeight="1" x14ac:dyDescent="0.2">
      <c r="A94" s="1" t="s">
        <v>185</v>
      </c>
      <c r="B94" s="25">
        <f>'Financial Statements'!B319/'Financial Statements'!B$346</f>
        <v>0</v>
      </c>
      <c r="C94" s="25">
        <f>'Financial Statements'!C319/'Financial Statements'!C$346</f>
        <v>0</v>
      </c>
      <c r="D94" s="25">
        <f>'Financial Statements'!D319/'Financial Statements'!D$346</f>
        <v>1.5164540391691232E-2</v>
      </c>
      <c r="E94" s="25">
        <f>'Financial Statements'!E319/'Financial Statements'!E$346</f>
        <v>0</v>
      </c>
      <c r="F94" s="25">
        <f>'Financial Statements'!F319/'Financial Statements'!F$346</f>
        <v>0</v>
      </c>
      <c r="G94" s="25">
        <f>'Financial Statements'!G319/'Financial Statements'!G$346</f>
        <v>0</v>
      </c>
      <c r="H94" s="25">
        <f>'Financial Statements'!H319/'Financial Statements'!H$346</f>
        <v>1.7994534458759402E-2</v>
      </c>
      <c r="I94" s="25">
        <f>'Financial Statements'!I319/'Financial Statements'!I$346</f>
        <v>4.2404164694746808E-3</v>
      </c>
      <c r="J94" s="25">
        <f>'Financial Statements'!J319/'Financial Statements'!J$346</f>
        <v>1.984107186094955E-2</v>
      </c>
      <c r="K94" s="25">
        <f>'Financial Statements'!K319/'Financial Statements'!K$346</f>
        <v>0</v>
      </c>
      <c r="L94" s="25">
        <f>'Financial Statements'!L319/'Financial Statements'!L$346</f>
        <v>0</v>
      </c>
      <c r="M94" s="25">
        <f>'Financial Statements'!M319/'Financial Statements'!M$346</f>
        <v>0</v>
      </c>
    </row>
    <row r="95" spans="1:13" ht="12.75" customHeight="1" x14ac:dyDescent="0.2">
      <c r="A95" s="1" t="s">
        <v>135</v>
      </c>
      <c r="B95" s="25">
        <f>'Financial Statements'!B320/'Financial Statements'!B$346</f>
        <v>0</v>
      </c>
      <c r="C95" s="25">
        <f>'Financial Statements'!C320/'Financial Statements'!C$346</f>
        <v>0</v>
      </c>
      <c r="D95" s="25">
        <f>'Financial Statements'!D320/'Financial Statements'!D$346</f>
        <v>0</v>
      </c>
      <c r="E95" s="25">
        <f>'Financial Statements'!E320/'Financial Statements'!E$346</f>
        <v>0</v>
      </c>
      <c r="F95" s="25">
        <f>'Financial Statements'!F320/'Financial Statements'!F$346</f>
        <v>0</v>
      </c>
      <c r="G95" s="25">
        <f>'Financial Statements'!G320/'Financial Statements'!G$346</f>
        <v>0</v>
      </c>
      <c r="H95" s="25">
        <f>'Financial Statements'!H320/'Financial Statements'!H$346</f>
        <v>0</v>
      </c>
      <c r="I95" s="25">
        <f>'Financial Statements'!I320/'Financial Statements'!I$346</f>
        <v>0</v>
      </c>
      <c r="J95" s="25">
        <f>'Financial Statements'!J320/'Financial Statements'!J$346</f>
        <v>0</v>
      </c>
      <c r="K95" s="25">
        <f>'Financial Statements'!K320/'Financial Statements'!K$346</f>
        <v>0</v>
      </c>
      <c r="L95" s="25">
        <f>'Financial Statements'!L320/'Financial Statements'!L$346</f>
        <v>0</v>
      </c>
      <c r="M95" s="25">
        <f>'Financial Statements'!M320/'Financial Statements'!M$346</f>
        <v>0</v>
      </c>
    </row>
    <row r="96" spans="1:13" ht="12.75" customHeight="1" x14ac:dyDescent="0.2">
      <c r="A96" s="1" t="s">
        <v>186</v>
      </c>
      <c r="B96" s="25">
        <f>'Financial Statements'!B321/'Financial Statements'!B$346</f>
        <v>0</v>
      </c>
      <c r="C96" s="25">
        <f>'Financial Statements'!C321/'Financial Statements'!C$346</f>
        <v>0</v>
      </c>
      <c r="D96" s="25">
        <f>'Financial Statements'!D321/'Financial Statements'!D$346</f>
        <v>0</v>
      </c>
      <c r="E96" s="25">
        <f>'Financial Statements'!E321/'Financial Statements'!E$346</f>
        <v>0</v>
      </c>
      <c r="F96" s="25">
        <f>'Financial Statements'!F321/'Financial Statements'!F$346</f>
        <v>0</v>
      </c>
      <c r="G96" s="25">
        <f>'Financial Statements'!G321/'Financial Statements'!G$346</f>
        <v>0</v>
      </c>
      <c r="H96" s="25">
        <f>'Financial Statements'!H321/'Financial Statements'!H$346</f>
        <v>0</v>
      </c>
      <c r="I96" s="25">
        <f>'Financial Statements'!I321/'Financial Statements'!I$346</f>
        <v>0</v>
      </c>
      <c r="J96" s="25">
        <f>'Financial Statements'!J321/'Financial Statements'!J$346</f>
        <v>0</v>
      </c>
      <c r="K96" s="25">
        <f>'Financial Statements'!K321/'Financial Statements'!K$346</f>
        <v>0</v>
      </c>
      <c r="L96" s="25">
        <f>'Financial Statements'!L321/'Financial Statements'!L$346</f>
        <v>0</v>
      </c>
      <c r="M96" s="25">
        <f>'Financial Statements'!M321/'Financial Statements'!M$346</f>
        <v>0</v>
      </c>
    </row>
    <row r="97" spans="1:13" ht="12.75" customHeight="1" x14ac:dyDescent="0.2">
      <c r="A97" s="1" t="s">
        <v>136</v>
      </c>
      <c r="B97" s="25">
        <f>'Financial Statements'!B322/'Financial Statements'!B$346</f>
        <v>0</v>
      </c>
      <c r="C97" s="25">
        <f>'Financial Statements'!C322/'Financial Statements'!C$346</f>
        <v>0</v>
      </c>
      <c r="D97" s="25">
        <f>'Financial Statements'!D322/'Financial Statements'!D$346</f>
        <v>1.4857703136259212E-2</v>
      </c>
      <c r="E97" s="25">
        <f>'Financial Statements'!E322/'Financial Statements'!E$346</f>
        <v>0</v>
      </c>
      <c r="F97" s="25">
        <f>'Financial Statements'!F322/'Financial Statements'!F$346</f>
        <v>0</v>
      </c>
      <c r="G97" s="25">
        <f>'Financial Statements'!G322/'Financial Statements'!G$346</f>
        <v>0</v>
      </c>
      <c r="H97" s="25">
        <f>'Financial Statements'!H322/'Financial Statements'!H$346</f>
        <v>2.5678656718195376E-2</v>
      </c>
      <c r="I97" s="25">
        <f>'Financial Statements'!I322/'Financial Statements'!I$346</f>
        <v>1.8996942991263862E-2</v>
      </c>
      <c r="J97" s="25">
        <f>'Financial Statements'!J322/'Financial Statements'!J$346</f>
        <v>1.7283355021441703E-2</v>
      </c>
      <c r="K97" s="25">
        <f>'Financial Statements'!K322/'Financial Statements'!K$346</f>
        <v>3.701040549902597E-2</v>
      </c>
      <c r="L97" s="25">
        <f>'Financial Statements'!L322/'Financial Statements'!L$346</f>
        <v>0</v>
      </c>
      <c r="M97" s="25">
        <f>'Financial Statements'!M322/'Financial Statements'!M$346</f>
        <v>0</v>
      </c>
    </row>
    <row r="98" spans="1:13" ht="12.75" customHeight="1" x14ac:dyDescent="0.2">
      <c r="A98" s="5" t="s">
        <v>97</v>
      </c>
      <c r="B98" s="26">
        <f>'Financial Statements'!B323/'Financial Statements'!B$346</f>
        <v>7.5061726174146498E-2</v>
      </c>
      <c r="C98" s="26">
        <f>'Financial Statements'!C323/'Financial Statements'!C$346</f>
        <v>6.26070812530128E-2</v>
      </c>
      <c r="D98" s="26">
        <f>'Financial Statements'!D323/'Financial Statements'!D$346</f>
        <v>9.3735739238748075E-2</v>
      </c>
      <c r="E98" s="26">
        <f>'Financial Statements'!E323/'Financial Statements'!E$346</f>
        <v>6.4782863636599505E-2</v>
      </c>
      <c r="F98" s="26">
        <f>'Financial Statements'!F323/'Financial Statements'!F$346</f>
        <v>7.7221731441442495E-2</v>
      </c>
      <c r="G98" s="26">
        <f>'Financial Statements'!G323/'Financial Statements'!G$346</f>
        <v>7.3298816929092223E-2</v>
      </c>
      <c r="H98" s="26">
        <f>'Financial Statements'!H323/'Financial Statements'!H$346</f>
        <v>0.12936982351527754</v>
      </c>
      <c r="I98" s="26">
        <f>'Financial Statements'!I323/'Financial Statements'!I$346</f>
        <v>9.3491257466647895E-2</v>
      </c>
      <c r="J98" s="26">
        <f>'Financial Statements'!J323/'Financial Statements'!J$346</f>
        <v>0.10424160812097982</v>
      </c>
      <c r="K98" s="26">
        <f>'Financial Statements'!K323/'Financial Statements'!K$346</f>
        <v>9.99705312066093E-2</v>
      </c>
      <c r="L98" s="26">
        <f>'Financial Statements'!L323/'Financial Statements'!L$346</f>
        <v>6.6133988936693297E-2</v>
      </c>
      <c r="M98" s="26">
        <f>'Financial Statements'!M323/'Financial Statements'!M$346</f>
        <v>6.6133988936693297E-2</v>
      </c>
    </row>
    <row r="99" spans="1:13" ht="12.75" customHeight="1" x14ac:dyDescent="0.2">
      <c r="A99" s="1" t="s">
        <v>187</v>
      </c>
      <c r="B99" s="25">
        <f>'Financial Statements'!B324/'Financial Statements'!B$346</f>
        <v>8.3201036190202055E-3</v>
      </c>
      <c r="C99" s="25">
        <f>'Financial Statements'!C324/'Financial Statements'!C$346</f>
        <v>5.9171769461443006E-3</v>
      </c>
      <c r="D99" s="25">
        <f>'Financial Statements'!D324/'Financial Statements'!D$346</f>
        <v>1.0552420059333459E-3</v>
      </c>
      <c r="E99" s="25">
        <f>'Financial Statements'!E324/'Financial Statements'!E$346</f>
        <v>0</v>
      </c>
      <c r="F99" s="25">
        <f>'Financial Statements'!F324/'Financial Statements'!F$346</f>
        <v>0</v>
      </c>
      <c r="G99" s="25">
        <f>'Financial Statements'!G324/'Financial Statements'!G$346</f>
        <v>0</v>
      </c>
      <c r="H99" s="25">
        <f>'Financial Statements'!H324/'Financial Statements'!H$346</f>
        <v>0</v>
      </c>
      <c r="I99" s="25">
        <f>'Financial Statements'!I324/'Financial Statements'!I$346</f>
        <v>0</v>
      </c>
      <c r="J99" s="25">
        <f>'Financial Statements'!J324/'Financial Statements'!J$346</f>
        <v>0</v>
      </c>
      <c r="K99" s="25">
        <f>'Financial Statements'!K324/'Financial Statements'!K$346</f>
        <v>0</v>
      </c>
      <c r="L99" s="25">
        <f>'Financial Statements'!L324/'Financial Statements'!L$346</f>
        <v>0</v>
      </c>
      <c r="M99" s="25">
        <f>'Financial Statements'!M324/'Financial Statements'!M$346</f>
        <v>0</v>
      </c>
    </row>
    <row r="100" spans="1:13" ht="12.75" customHeight="1" x14ac:dyDescent="0.2">
      <c r="A100" s="1" t="s">
        <v>472</v>
      </c>
      <c r="B100" s="25">
        <f>'Financial Statements'!B325/'Financial Statements'!B$346</f>
        <v>0</v>
      </c>
      <c r="C100" s="25">
        <f>'Financial Statements'!C325/'Financial Statements'!C$346</f>
        <v>0</v>
      </c>
      <c r="D100" s="25">
        <f>'Financial Statements'!D325/'Financial Statements'!D$346</f>
        <v>1.1647646523481744E-3</v>
      </c>
      <c r="E100" s="25">
        <f>'Financial Statements'!E325/'Financial Statements'!E$346</f>
        <v>7.4203608474778557E-4</v>
      </c>
      <c r="F100" s="25">
        <f>'Financial Statements'!F325/'Financial Statements'!F$346</f>
        <v>1.9781319870654864E-3</v>
      </c>
      <c r="G100" s="25">
        <f>'Financial Statements'!G325/'Financial Statements'!G$346</f>
        <v>1.1975521773158234E-3</v>
      </c>
      <c r="H100" s="25">
        <f>'Financial Statements'!H325/'Financial Statements'!H$346</f>
        <v>0</v>
      </c>
      <c r="I100" s="25">
        <f>'Financial Statements'!I325/'Financial Statements'!I$346</f>
        <v>0</v>
      </c>
      <c r="J100" s="25">
        <f>'Financial Statements'!J325/'Financial Statements'!J$346</f>
        <v>0</v>
      </c>
      <c r="K100" s="25">
        <f>'Financial Statements'!K325/'Financial Statements'!K$346</f>
        <v>0</v>
      </c>
      <c r="L100" s="25">
        <f>'Financial Statements'!L325/'Financial Statements'!L$346</f>
        <v>0</v>
      </c>
      <c r="M100" s="25">
        <f>'Financial Statements'!M325/'Financial Statements'!M$346</f>
        <v>0</v>
      </c>
    </row>
    <row r="101" spans="1:13" ht="12.75" customHeight="1" x14ac:dyDescent="0.2">
      <c r="A101" s="1" t="s">
        <v>189</v>
      </c>
      <c r="B101" s="25">
        <f>'Financial Statements'!B326/'Financial Statements'!B$346</f>
        <v>0</v>
      </c>
      <c r="C101" s="25">
        <f>'Financial Statements'!C326/'Financial Statements'!C$346</f>
        <v>0</v>
      </c>
      <c r="D101" s="25">
        <f>'Financial Statements'!D326/'Financial Statements'!D$346</f>
        <v>0</v>
      </c>
      <c r="E101" s="25">
        <f>'Financial Statements'!E326/'Financial Statements'!E$346</f>
        <v>0</v>
      </c>
      <c r="F101" s="25">
        <f>'Financial Statements'!F326/'Financial Statements'!F$346</f>
        <v>0</v>
      </c>
      <c r="G101" s="25">
        <f>'Financial Statements'!G326/'Financial Statements'!G$346</f>
        <v>0</v>
      </c>
      <c r="H101" s="25">
        <f>'Financial Statements'!H326/'Financial Statements'!H$346</f>
        <v>0</v>
      </c>
      <c r="I101" s="25">
        <f>'Financial Statements'!I326/'Financial Statements'!I$346</f>
        <v>0</v>
      </c>
      <c r="J101" s="25">
        <f>'Financial Statements'!J326/'Financial Statements'!J$346</f>
        <v>0</v>
      </c>
      <c r="K101" s="25">
        <f>'Financial Statements'!K326/'Financial Statements'!K$346</f>
        <v>0</v>
      </c>
      <c r="L101" s="25">
        <f>'Financial Statements'!L326/'Financial Statements'!L$346</f>
        <v>0</v>
      </c>
      <c r="M101" s="25">
        <f>'Financial Statements'!M326/'Financial Statements'!M$346</f>
        <v>0</v>
      </c>
    </row>
    <row r="102" spans="1:13" ht="12.75" customHeight="1" x14ac:dyDescent="0.2">
      <c r="A102" s="1" t="s">
        <v>190</v>
      </c>
      <c r="B102" s="25">
        <f>'Financial Statements'!B327/'Financial Statements'!B$346</f>
        <v>0</v>
      </c>
      <c r="C102" s="25">
        <f>'Financial Statements'!C327/'Financial Statements'!C$346</f>
        <v>0</v>
      </c>
      <c r="D102" s="25">
        <f>'Financial Statements'!D327/'Financial Statements'!D$346</f>
        <v>0</v>
      </c>
      <c r="E102" s="25">
        <f>'Financial Statements'!E327/'Financial Statements'!E$346</f>
        <v>0</v>
      </c>
      <c r="F102" s="25">
        <f>'Financial Statements'!F327/'Financial Statements'!F$346</f>
        <v>0</v>
      </c>
      <c r="G102" s="25">
        <f>'Financial Statements'!G327/'Financial Statements'!G$346</f>
        <v>0</v>
      </c>
      <c r="H102" s="25">
        <f>'Financial Statements'!H327/'Financial Statements'!H$346</f>
        <v>0</v>
      </c>
      <c r="I102" s="25">
        <f>'Financial Statements'!I327/'Financial Statements'!I$346</f>
        <v>0</v>
      </c>
      <c r="J102" s="25">
        <f>'Financial Statements'!J327/'Financial Statements'!J$346</f>
        <v>0</v>
      </c>
      <c r="K102" s="25">
        <f>'Financial Statements'!K327/'Financial Statements'!K$346</f>
        <v>0</v>
      </c>
      <c r="L102" s="25">
        <f>'Financial Statements'!L327/'Financial Statements'!L$346</f>
        <v>0</v>
      </c>
      <c r="M102" s="25">
        <f>'Financial Statements'!M327/'Financial Statements'!M$346</f>
        <v>0</v>
      </c>
    </row>
    <row r="103" spans="1:13" ht="12.75" customHeight="1" x14ac:dyDescent="0.2">
      <c r="A103" s="1" t="s">
        <v>191</v>
      </c>
      <c r="B103" s="25">
        <f>'Financial Statements'!B328/'Financial Statements'!B$346</f>
        <v>0</v>
      </c>
      <c r="C103" s="25">
        <f>'Financial Statements'!C328/'Financial Statements'!C$346</f>
        <v>0</v>
      </c>
      <c r="D103" s="25">
        <f>'Financial Statements'!D328/'Financial Statements'!D$346</f>
        <v>0</v>
      </c>
      <c r="E103" s="25">
        <f>'Financial Statements'!E328/'Financial Statements'!E$346</f>
        <v>0</v>
      </c>
      <c r="F103" s="25">
        <f>'Financial Statements'!F328/'Financial Statements'!F$346</f>
        <v>0</v>
      </c>
      <c r="G103" s="25">
        <f>'Financial Statements'!G328/'Financial Statements'!G$346</f>
        <v>0</v>
      </c>
      <c r="H103" s="25">
        <f>'Financial Statements'!H328/'Financial Statements'!H$346</f>
        <v>0</v>
      </c>
      <c r="I103" s="25">
        <f>'Financial Statements'!I328/'Financial Statements'!I$346</f>
        <v>0</v>
      </c>
      <c r="J103" s="25">
        <f>'Financial Statements'!J328/'Financial Statements'!J$346</f>
        <v>0</v>
      </c>
      <c r="K103" s="25">
        <f>'Financial Statements'!K328/'Financial Statements'!K$346</f>
        <v>0</v>
      </c>
      <c r="L103" s="25">
        <f>'Financial Statements'!L328/'Financial Statements'!L$346</f>
        <v>0</v>
      </c>
      <c r="M103" s="25">
        <f>'Financial Statements'!M328/'Financial Statements'!M$346</f>
        <v>0</v>
      </c>
    </row>
    <row r="104" spans="1:13" ht="12.75" customHeight="1" x14ac:dyDescent="0.2">
      <c r="A104" s="1" t="s">
        <v>192</v>
      </c>
      <c r="B104" s="25">
        <f>'Financial Statements'!B329/'Financial Statements'!B$346</f>
        <v>0</v>
      </c>
      <c r="C104" s="25">
        <f>'Financial Statements'!C329/'Financial Statements'!C$346</f>
        <v>0</v>
      </c>
      <c r="D104" s="25">
        <f>'Financial Statements'!D329/'Financial Statements'!D$346</f>
        <v>0</v>
      </c>
      <c r="E104" s="25">
        <f>'Financial Statements'!E329/'Financial Statements'!E$346</f>
        <v>0</v>
      </c>
      <c r="F104" s="25">
        <f>'Financial Statements'!F329/'Financial Statements'!F$346</f>
        <v>0</v>
      </c>
      <c r="G104" s="25">
        <f>'Financial Statements'!G329/'Financial Statements'!G$346</f>
        <v>0</v>
      </c>
      <c r="H104" s="25">
        <f>'Financial Statements'!H329/'Financial Statements'!H$346</f>
        <v>0</v>
      </c>
      <c r="I104" s="25">
        <f>'Financial Statements'!I329/'Financial Statements'!I$346</f>
        <v>0</v>
      </c>
      <c r="J104" s="25">
        <f>'Financial Statements'!J329/'Financial Statements'!J$346</f>
        <v>0</v>
      </c>
      <c r="K104" s="25">
        <f>'Financial Statements'!K329/'Financial Statements'!K$346</f>
        <v>0</v>
      </c>
      <c r="L104" s="25">
        <f>'Financial Statements'!L329/'Financial Statements'!L$346</f>
        <v>0</v>
      </c>
      <c r="M104" s="25">
        <f>'Financial Statements'!M329/'Financial Statements'!M$346</f>
        <v>0</v>
      </c>
    </row>
    <row r="105" spans="1:13" ht="12.75" customHeight="1" x14ac:dyDescent="0.2">
      <c r="A105" s="1" t="s">
        <v>137</v>
      </c>
      <c r="B105" s="25">
        <f>'Financial Statements'!B330/'Financial Statements'!B$346</f>
        <v>8.5793310636690309E-2</v>
      </c>
      <c r="C105" s="25">
        <f>'Financial Statements'!C330/'Financial Statements'!C$346</f>
        <v>0.10674924063057184</v>
      </c>
      <c r="D105" s="25">
        <f>'Financial Statements'!D330/'Financial Statements'!D$346</f>
        <v>6.6109086294283886E-2</v>
      </c>
      <c r="E105" s="25">
        <f>'Financial Statements'!E330/'Financial Statements'!E$346</f>
        <v>7.1433513393837814E-2</v>
      </c>
      <c r="F105" s="25">
        <f>'Financial Statements'!F330/'Financial Statements'!F$346</f>
        <v>7.6877816579845437E-2</v>
      </c>
      <c r="G105" s="25">
        <f>'Financial Statements'!G330/'Financial Statements'!G$346</f>
        <v>9.3077139607573869E-2</v>
      </c>
      <c r="H105" s="25">
        <f>'Financial Statements'!H330/'Financial Statements'!H$346</f>
        <v>8.9805245434465691E-2</v>
      </c>
      <c r="I105" s="25">
        <f>'Financial Statements'!I330/'Financial Statements'!I$346</f>
        <v>7.7876721965694978E-2</v>
      </c>
      <c r="J105" s="25">
        <f>'Financial Statements'!J330/'Financial Statements'!J$346</f>
        <v>6.5392049748233344E-2</v>
      </c>
      <c r="K105" s="25">
        <f>'Financial Statements'!K330/'Financial Statements'!K$346</f>
        <v>5.0136175650866442E-2</v>
      </c>
      <c r="L105" s="25">
        <f>'Financial Statements'!L330/'Financial Statements'!L$346</f>
        <v>7.1397265387424899E-2</v>
      </c>
      <c r="M105" s="25">
        <f>'Financial Statements'!M330/'Financial Statements'!M$346</f>
        <v>7.1397265387424899E-2</v>
      </c>
    </row>
    <row r="106" spans="1:13" ht="12.75" customHeight="1" x14ac:dyDescent="0.2">
      <c r="A106" s="1" t="s">
        <v>138</v>
      </c>
      <c r="B106" s="25">
        <f>'Financial Statements'!B331/'Financial Statements'!B$346</f>
        <v>5.6855540514407265E-3</v>
      </c>
      <c r="C106" s="25">
        <f>'Financial Statements'!C331/'Financial Statements'!C$346</f>
        <v>7.2858810524502127E-3</v>
      </c>
      <c r="D106" s="25">
        <f>'Financial Statements'!D331/'Financial Statements'!D$346</f>
        <v>7.2302331180836669E-3</v>
      </c>
      <c r="E106" s="25">
        <f>'Financial Statements'!E331/'Financial Statements'!E$346</f>
        <v>7.0138842043176459E-3</v>
      </c>
      <c r="F106" s="25">
        <f>'Financial Statements'!F331/'Financial Statements'!F$346</f>
        <v>7.19403593620255E-3</v>
      </c>
      <c r="G106" s="25">
        <f>'Financial Statements'!G331/'Financial Statements'!G$346</f>
        <v>8.4739833416587074E-3</v>
      </c>
      <c r="H106" s="25">
        <f>'Financial Statements'!H331/'Financial Statements'!H$346</f>
        <v>7.1972533588700151E-3</v>
      </c>
      <c r="I106" s="25">
        <f>'Financial Statements'!I331/'Financial Statements'!I$346</f>
        <v>5.1158209795218786E-3</v>
      </c>
      <c r="J106" s="25">
        <f>'Financial Statements'!J331/'Financial Statements'!J$346</f>
        <v>7.8310625281209252E-3</v>
      </c>
      <c r="K106" s="25">
        <f>'Financial Statements'!K331/'Financial Statements'!K$346</f>
        <v>1.8019081124767758E-2</v>
      </c>
      <c r="L106" s="25">
        <f>'Financial Statements'!L331/'Financial Statements'!L$346</f>
        <v>1.2759165521613349E-2</v>
      </c>
      <c r="M106" s="25">
        <f>'Financial Statements'!M331/'Financial Statements'!M$346</f>
        <v>1.2759165521613349E-2</v>
      </c>
    </row>
    <row r="107" spans="1:13" ht="12.75" customHeight="1" thickBot="1" x14ac:dyDescent="0.25">
      <c r="A107" s="5" t="s">
        <v>510</v>
      </c>
      <c r="B107" s="29">
        <f>'Financial Statements'!B332/'Financial Statements'!B$346</f>
        <v>0.17486069448129773</v>
      </c>
      <c r="C107" s="29">
        <f>'Financial Statements'!C332/'Financial Statements'!C$346</f>
        <v>0.18255937988217916</v>
      </c>
      <c r="D107" s="29">
        <f>'Financial Statements'!D332/'Financial Statements'!D$346</f>
        <v>0.16929506530939714</v>
      </c>
      <c r="E107" s="29">
        <f>'Financial Statements'!E332/'Financial Statements'!E$346</f>
        <v>0.14397229731950276</v>
      </c>
      <c r="F107" s="29">
        <f>'Financial Statements'!F332/'Financial Statements'!F$346</f>
        <v>0.16327171594455597</v>
      </c>
      <c r="G107" s="29">
        <f>'Financial Statements'!G332/'Financial Statements'!G$346</f>
        <v>0.17604749205564063</v>
      </c>
      <c r="H107" s="29">
        <f>'Financial Statements'!H332/'Financial Statements'!H$346</f>
        <v>0.22637232230861323</v>
      </c>
      <c r="I107" s="29">
        <f>'Financial Statements'!I332/'Financial Statements'!I$346</f>
        <v>0.17648380041186476</v>
      </c>
      <c r="J107" s="29">
        <f>'Financial Statements'!J332/'Financial Statements'!J$346</f>
        <v>0.1774647203973341</v>
      </c>
      <c r="K107" s="29">
        <f>'Financial Statements'!K332/'Financial Statements'!K$346</f>
        <v>0.16812578798224351</v>
      </c>
      <c r="L107" s="29">
        <f>'Financial Statements'!L332/'Financial Statements'!L$346</f>
        <v>0.15029041984573155</v>
      </c>
      <c r="M107" s="29">
        <f>'Financial Statements'!M332/'Financial Statements'!M$346</f>
        <v>0.15029041984573155</v>
      </c>
    </row>
    <row r="108" spans="1:13" ht="12.75" customHeight="1" thickTop="1" x14ac:dyDescent="0.2">
      <c r="A108" s="1" t="s">
        <v>193</v>
      </c>
      <c r="B108" s="25">
        <f>'Financial Statements'!B333/'Financial Statements'!B$346</f>
        <v>0</v>
      </c>
      <c r="C108" s="25">
        <f>'Financial Statements'!C333/'Financial Statements'!C$346</f>
        <v>0</v>
      </c>
      <c r="D108" s="25">
        <f>'Financial Statements'!D333/'Financial Statements'!D$346</f>
        <v>0</v>
      </c>
      <c r="E108" s="25">
        <f>'Financial Statements'!E333/'Financial Statements'!E$346</f>
        <v>0</v>
      </c>
      <c r="F108" s="25">
        <f>'Financial Statements'!F333/'Financial Statements'!F$346</f>
        <v>0</v>
      </c>
      <c r="G108" s="25">
        <f>'Financial Statements'!G333/'Financial Statements'!G$346</f>
        <v>0</v>
      </c>
      <c r="H108" s="25">
        <f>'Financial Statements'!H333/'Financial Statements'!H$346</f>
        <v>0</v>
      </c>
      <c r="I108" s="25">
        <f>'Financial Statements'!I333/'Financial Statements'!I$346</f>
        <v>0</v>
      </c>
      <c r="J108" s="25">
        <f>'Financial Statements'!J333/'Financial Statements'!J$346</f>
        <v>0</v>
      </c>
      <c r="K108" s="25">
        <f>'Financial Statements'!K333/'Financial Statements'!K$346</f>
        <v>0</v>
      </c>
      <c r="L108" s="25">
        <f>'Financial Statements'!L333/'Financial Statements'!L$346</f>
        <v>0</v>
      </c>
      <c r="M108" s="25">
        <f>'Financial Statements'!M333/'Financial Statements'!M$346</f>
        <v>0</v>
      </c>
    </row>
    <row r="109" spans="1:13" ht="12.75" customHeight="1" x14ac:dyDescent="0.2">
      <c r="A109" s="1" t="s">
        <v>194</v>
      </c>
      <c r="B109" s="25">
        <f>'Financial Statements'!B334/'Financial Statements'!B$346</f>
        <v>0</v>
      </c>
      <c r="C109" s="25">
        <f>'Financial Statements'!C334/'Financial Statements'!C$346</f>
        <v>0</v>
      </c>
      <c r="D109" s="25">
        <f>'Financial Statements'!D334/'Financial Statements'!D$346</f>
        <v>0</v>
      </c>
      <c r="E109" s="25">
        <f>'Financial Statements'!E334/'Financial Statements'!E$346</f>
        <v>0</v>
      </c>
      <c r="F109" s="25">
        <f>'Financial Statements'!F334/'Financial Statements'!F$346</f>
        <v>0</v>
      </c>
      <c r="G109" s="25">
        <f>'Financial Statements'!G334/'Financial Statements'!G$346</f>
        <v>0</v>
      </c>
      <c r="H109" s="25">
        <f>'Financial Statements'!H334/'Financial Statements'!H$346</f>
        <v>0</v>
      </c>
      <c r="I109" s="25">
        <f>'Financial Statements'!I334/'Financial Statements'!I$346</f>
        <v>0</v>
      </c>
      <c r="J109" s="25">
        <f>'Financial Statements'!J334/'Financial Statements'!J$346</f>
        <v>0</v>
      </c>
      <c r="K109" s="25">
        <f>'Financial Statements'!K334/'Financial Statements'!K$346</f>
        <v>0</v>
      </c>
      <c r="L109" s="25">
        <f>'Financial Statements'!L334/'Financial Statements'!L$346</f>
        <v>0</v>
      </c>
      <c r="M109" s="25">
        <f>'Financial Statements'!M334/'Financial Statements'!M$346</f>
        <v>0</v>
      </c>
    </row>
    <row r="110" spans="1:13" ht="12.75" customHeight="1" x14ac:dyDescent="0.2">
      <c r="A110" s="1" t="s">
        <v>195</v>
      </c>
      <c r="B110" s="25">
        <f>'Financial Statements'!B335/'Financial Statements'!B$346</f>
        <v>0</v>
      </c>
      <c r="C110" s="25">
        <f>'Financial Statements'!C335/'Financial Statements'!C$346</f>
        <v>0</v>
      </c>
      <c r="D110" s="25">
        <f>'Financial Statements'!D335/'Financial Statements'!D$346</f>
        <v>0</v>
      </c>
      <c r="E110" s="25">
        <f>'Financial Statements'!E335/'Financial Statements'!E$346</f>
        <v>0</v>
      </c>
      <c r="F110" s="25">
        <f>'Financial Statements'!F335/'Financial Statements'!F$346</f>
        <v>0</v>
      </c>
      <c r="G110" s="25">
        <f>'Financial Statements'!G335/'Financial Statements'!G$346</f>
        <v>0</v>
      </c>
      <c r="H110" s="25">
        <f>'Financial Statements'!H335/'Financial Statements'!H$346</f>
        <v>0</v>
      </c>
      <c r="I110" s="25">
        <f>'Financial Statements'!I335/'Financial Statements'!I$346</f>
        <v>0</v>
      </c>
      <c r="J110" s="25">
        <f>'Financial Statements'!J335/'Financial Statements'!J$346</f>
        <v>0</v>
      </c>
      <c r="K110" s="25">
        <f>'Financial Statements'!K335/'Financial Statements'!K$346</f>
        <v>0</v>
      </c>
      <c r="L110" s="25">
        <f>'Financial Statements'!L335/'Financial Statements'!L$346</f>
        <v>0</v>
      </c>
      <c r="M110" s="25">
        <f>'Financial Statements'!M335/'Financial Statements'!M$346</f>
        <v>0</v>
      </c>
    </row>
    <row r="111" spans="1:13" ht="12.75" customHeight="1" x14ac:dyDescent="0.2">
      <c r="A111" s="1" t="s">
        <v>196</v>
      </c>
      <c r="B111" s="25">
        <f>'Financial Statements'!B336/'Financial Statements'!B$346</f>
        <v>0</v>
      </c>
      <c r="C111" s="25">
        <f>'Financial Statements'!C336/'Financial Statements'!C$346</f>
        <v>0</v>
      </c>
      <c r="D111" s="25">
        <f>'Financial Statements'!D336/'Financial Statements'!D$346</f>
        <v>0</v>
      </c>
      <c r="E111" s="25">
        <f>'Financial Statements'!E336/'Financial Statements'!E$346</f>
        <v>0</v>
      </c>
      <c r="F111" s="25">
        <f>'Financial Statements'!F336/'Financial Statements'!F$346</f>
        <v>0</v>
      </c>
      <c r="G111" s="25">
        <f>'Financial Statements'!G336/'Financial Statements'!G$346</f>
        <v>0</v>
      </c>
      <c r="H111" s="25">
        <f>'Financial Statements'!H336/'Financial Statements'!H$346</f>
        <v>0</v>
      </c>
      <c r="I111" s="25">
        <f>'Financial Statements'!I336/'Financial Statements'!I$346</f>
        <v>0</v>
      </c>
      <c r="J111" s="25">
        <f>'Financial Statements'!J336/'Financial Statements'!J$346</f>
        <v>0</v>
      </c>
      <c r="K111" s="25">
        <f>'Financial Statements'!K336/'Financial Statements'!K$346</f>
        <v>0</v>
      </c>
      <c r="L111" s="25">
        <f>'Financial Statements'!L336/'Financial Statements'!L$346</f>
        <v>0</v>
      </c>
      <c r="M111" s="25">
        <f>'Financial Statements'!M336/'Financial Statements'!M$346</f>
        <v>0</v>
      </c>
    </row>
    <row r="112" spans="1:13" ht="12.75" customHeight="1" x14ac:dyDescent="0.2">
      <c r="A112" s="5" t="s">
        <v>511</v>
      </c>
      <c r="B112" s="30">
        <f>'Financial Statements'!B337/'Financial Statements'!B$346</f>
        <v>0</v>
      </c>
      <c r="C112" s="30">
        <f>'Financial Statements'!C337/'Financial Statements'!C$346</f>
        <v>0</v>
      </c>
      <c r="D112" s="30">
        <f>'Financial Statements'!D337/'Financial Statements'!D$346</f>
        <v>0</v>
      </c>
      <c r="E112" s="30">
        <f>'Financial Statements'!E337/'Financial Statements'!E$346</f>
        <v>0</v>
      </c>
      <c r="F112" s="30">
        <f>'Financial Statements'!F337/'Financial Statements'!F$346</f>
        <v>0</v>
      </c>
      <c r="G112" s="30">
        <f>'Financial Statements'!G337/'Financial Statements'!G$346</f>
        <v>0</v>
      </c>
      <c r="H112" s="30">
        <f>'Financial Statements'!H337/'Financial Statements'!H$346</f>
        <v>0</v>
      </c>
      <c r="I112" s="30">
        <f>'Financial Statements'!I337/'Financial Statements'!I$346</f>
        <v>0</v>
      </c>
      <c r="J112" s="30">
        <f>'Financial Statements'!J337/'Financial Statements'!J$346</f>
        <v>0</v>
      </c>
      <c r="K112" s="30">
        <f>'Financial Statements'!K337/'Financial Statements'!K$346</f>
        <v>0</v>
      </c>
      <c r="L112" s="30">
        <f>'Financial Statements'!L337/'Financial Statements'!L$346</f>
        <v>0</v>
      </c>
      <c r="M112" s="30">
        <f>'Financial Statements'!M337/'Financial Statements'!M$346</f>
        <v>0</v>
      </c>
    </row>
    <row r="113" spans="1:13" ht="12.75" customHeight="1" x14ac:dyDescent="0.2">
      <c r="A113" s="1" t="s">
        <v>47</v>
      </c>
      <c r="B113" s="25">
        <f>'Financial Statements'!B338/'Financial Statements'!B$346</f>
        <v>6.7550246679828918E-4</v>
      </c>
      <c r="C113" s="25">
        <f>'Financial Statements'!C338/'Financial Statements'!C$346</f>
        <v>7.2694256282584155E-4</v>
      </c>
      <c r="D113" s="25">
        <f>'Financial Statements'!D338/'Financial Statements'!D$346</f>
        <v>6.5278974172647687E-4</v>
      </c>
      <c r="E113" s="25">
        <f>'Financial Statements'!E338/'Financial Statements'!E$346</f>
        <v>6.4949778513471675E-4</v>
      </c>
      <c r="F113" s="25">
        <f>'Financial Statements'!F338/'Financial Statements'!F$346</f>
        <v>6.2236159291419364E-4</v>
      </c>
      <c r="G113" s="25">
        <f>'Financial Statements'!G338/'Financial Statements'!G$346</f>
        <v>6.1097940568218987E-4</v>
      </c>
      <c r="H113" s="25">
        <f>'Financial Statements'!H338/'Financial Statements'!H$346</f>
        <v>5.2609862492810798E-4</v>
      </c>
      <c r="I113" s="25">
        <f>'Financial Statements'!I338/'Financial Statements'!I$346</f>
        <v>3.8423657922001509E-4</v>
      </c>
      <c r="J113" s="25">
        <f>'Financial Statements'!J338/'Financial Statements'!J$346</f>
        <v>3.4374469335547459E-4</v>
      </c>
      <c r="K113" s="25">
        <f>'Financial Statements'!K338/'Financial Statements'!K$346</f>
        <v>2.4346604880537919E-4</v>
      </c>
      <c r="L113" s="25">
        <f>'Financial Statements'!L338/'Financial Statements'!L$346</f>
        <v>2.4166792702980141E-4</v>
      </c>
      <c r="M113" s="25">
        <f>'Financial Statements'!M338/'Financial Statements'!M$346</f>
        <v>2.4166792702980141E-4</v>
      </c>
    </row>
    <row r="114" spans="1:13" ht="12.75" customHeight="1" x14ac:dyDescent="0.2">
      <c r="A114" s="1" t="s">
        <v>139</v>
      </c>
      <c r="B114" s="25">
        <f>'Financial Statements'!B339/'Financial Statements'!B$346</f>
        <v>4.1739036576974448E-2</v>
      </c>
      <c r="C114" s="25">
        <f>'Financial Statements'!C339/'Financial Statements'!C$346</f>
        <v>4.8332484749693636E-2</v>
      </c>
      <c r="D114" s="25">
        <f>'Financial Statements'!D339/'Financial Statements'!D$346</f>
        <v>4.6349810117284854E-2</v>
      </c>
      <c r="E114" s="25">
        <f>'Financial Statements'!E339/'Financial Statements'!E$346</f>
        <v>4.9172430851404249E-2</v>
      </c>
      <c r="F114" s="25">
        <f>'Financial Statements'!F339/'Financial Statements'!F$346</f>
        <v>5.0030910902018243E-2</v>
      </c>
      <c r="G114" s="25">
        <f>'Financial Statements'!G339/'Financial Statements'!G$346</f>
        <v>5.2103282366857739E-2</v>
      </c>
      <c r="H114" s="25">
        <f>'Financial Statements'!H339/'Financial Statements'!H$346</f>
        <v>4.7628388029610037E-2</v>
      </c>
      <c r="I114" s="25">
        <f>'Financial Statements'!I339/'Financial Statements'!I$346</f>
        <v>3.6894897737301896E-2</v>
      </c>
      <c r="J114" s="25">
        <f>'Financial Statements'!J339/'Financial Statements'!J$346</f>
        <v>3.4956226333223629E-2</v>
      </c>
      <c r="K114" s="25">
        <f>'Financial Statements'!K339/'Financial Statements'!K$346</f>
        <v>2.620907152552714E-2</v>
      </c>
      <c r="L114" s="25">
        <f>'Financial Statements'!L339/'Financial Statements'!L$346</f>
        <v>2.7708466744111957E-2</v>
      </c>
      <c r="M114" s="25">
        <f>'Financial Statements'!M339/'Financial Statements'!M$346</f>
        <v>2.7708466744111957E-2</v>
      </c>
    </row>
    <row r="115" spans="1:13" ht="12.75" customHeight="1" x14ac:dyDescent="0.2">
      <c r="A115" s="1" t="s">
        <v>98</v>
      </c>
      <c r="B115" s="25">
        <f>'Financial Statements'!B340/'Financial Statements'!B$346</f>
        <v>0.80092465584003814</v>
      </c>
      <c r="C115" s="25">
        <f>'Financial Statements'!C340/'Financial Statements'!C$346</f>
        <v>0.78990488764817146</v>
      </c>
      <c r="D115" s="25">
        <f>'Financial Statements'!D340/'Financial Statements'!D$346</f>
        <v>0.80396402441833492</v>
      </c>
      <c r="E115" s="25">
        <f>'Financial Statements'!E340/'Financial Statements'!E$346</f>
        <v>0.82551687396975471</v>
      </c>
      <c r="F115" s="25">
        <f>'Financial Statements'!F340/'Financial Statements'!F$346</f>
        <v>0.80811456757056888</v>
      </c>
      <c r="G115" s="25">
        <f>'Financial Statements'!G340/'Financial Statements'!G$346</f>
        <v>0.79401044929359066</v>
      </c>
      <c r="H115" s="25">
        <f>'Financial Statements'!H340/'Financial Statements'!H$346</f>
        <v>0.74666354696953885</v>
      </c>
      <c r="I115" s="25">
        <f>'Financial Statements'!I340/'Financial Statements'!I$346</f>
        <v>0.80383315639349717</v>
      </c>
      <c r="J115" s="25">
        <f>'Financial Statements'!J340/'Financial Statements'!J$346</f>
        <v>0.80393004086030462</v>
      </c>
      <c r="K115" s="25">
        <f>'Financial Statements'!K340/'Financial Statements'!K$346</f>
        <v>0.83184600756203597</v>
      </c>
      <c r="L115" s="25">
        <f>'Financial Statements'!L340/'Financial Statements'!L$346</f>
        <v>0.88979749450535306</v>
      </c>
      <c r="M115" s="25">
        <f>'Financial Statements'!M340/'Financial Statements'!M$346</f>
        <v>0.88979749450535306</v>
      </c>
    </row>
    <row r="116" spans="1:13" ht="12.75" customHeight="1" x14ac:dyDescent="0.2">
      <c r="A116" s="1" t="s">
        <v>54</v>
      </c>
      <c r="B116" s="25">
        <f>'Financial Statements'!B341/'Financial Statements'!B$346</f>
        <v>-2.0033010573277624E-2</v>
      </c>
      <c r="C116" s="25">
        <f>'Financial Statements'!C341/'Financial Statements'!C$346</f>
        <v>-2.3147942007213283E-2</v>
      </c>
      <c r="D116" s="25">
        <f>'Financial Statements'!D341/'Financial Statements'!D$346</f>
        <v>-2.1701130082480986E-2</v>
      </c>
      <c r="E116" s="25">
        <f>'Financial Statements'!E341/'Financial Statements'!E$346</f>
        <v>-2.2370052876557366E-2</v>
      </c>
      <c r="F116" s="25">
        <f>'Financial Statements'!F341/'Financial Statements'!F$346</f>
        <v>-2.2105024140337153E-2</v>
      </c>
      <c r="G116" s="25">
        <f>'Financial Statements'!G341/'Financial Statements'!G$346</f>
        <v>-2.231823972846806E-2</v>
      </c>
      <c r="H116" s="25">
        <f>'Financial Statements'!H341/'Financial Statements'!H$346</f>
        <v>-1.992799944517961E-2</v>
      </c>
      <c r="I116" s="25">
        <f>'Financial Statements'!I341/'Financial Statements'!I$346</f>
        <v>-1.5353090904439697E-2</v>
      </c>
      <c r="J116" s="25">
        <f>'Financial Statements'!J341/'Financial Statements'!J$346</f>
        <v>-1.4462451499271545E-2</v>
      </c>
      <c r="K116" s="25">
        <f>'Financial Statements'!K341/'Financial Statements'!K$346</f>
        <v>-2.7845578335606438E-2</v>
      </c>
      <c r="L116" s="25">
        <f>'Financial Statements'!L341/'Financial Statements'!L$346</f>
        <v>-7.0076297557255349E-2</v>
      </c>
      <c r="M116" s="25">
        <f>'Financial Statements'!M341/'Financial Statements'!M$346</f>
        <v>-7.0076297557255349E-2</v>
      </c>
    </row>
    <row r="117" spans="1:13" ht="12.75" customHeight="1" x14ac:dyDescent="0.2">
      <c r="A117" s="1" t="s">
        <v>140</v>
      </c>
      <c r="B117" s="25">
        <f>'Financial Statements'!B342/'Financial Statements'!B$346</f>
        <v>-4.3174591752753505E-5</v>
      </c>
      <c r="C117" s="25">
        <f>'Financial Statements'!C342/'Financial Statements'!C$346</f>
        <v>-1.2389966450293972E-4</v>
      </c>
      <c r="D117" s="25">
        <f>'Financial Statements'!D342/'Financial Statements'!D$346</f>
        <v>-6.0237455528155579E-4</v>
      </c>
      <c r="E117" s="25">
        <f>'Financial Statements'!E342/'Financial Statements'!E$346</f>
        <v>3.0701959217420031E-4</v>
      </c>
      <c r="F117" s="25">
        <f>'Financial Statements'!F342/'Financial Statements'!F$346</f>
        <v>6.5468130279921837E-5</v>
      </c>
      <c r="G117" s="25">
        <f>'Financial Statements'!G342/'Financial Statements'!G$346</f>
        <v>-4.5396339330314509E-4</v>
      </c>
      <c r="H117" s="25">
        <f>'Financial Statements'!H342/'Financial Statements'!H$346</f>
        <v>-1.1180471443212523E-3</v>
      </c>
      <c r="I117" s="25">
        <f>'Financial Statements'!I342/'Financial Statements'!I$346</f>
        <v>-1.476573592049219E-3</v>
      </c>
      <c r="J117" s="25">
        <f>'Financial Statements'!J342/'Financial Statements'!J$346</f>
        <v>-8.1153041453962233E-4</v>
      </c>
      <c r="K117" s="25">
        <f>'Financial Statements'!K342/'Financial Statements'!K$346</f>
        <v>-3.2645847023570813E-4</v>
      </c>
      <c r="L117" s="25">
        <f>'Financial Statements'!L342/'Financial Statements'!L$346</f>
        <v>-4.7175123971463228E-4</v>
      </c>
      <c r="M117" s="25">
        <f>'Financial Statements'!M342/'Financial Statements'!M$346</f>
        <v>-4.7175123971463228E-4</v>
      </c>
    </row>
    <row r="118" spans="1:13" ht="12.75" customHeight="1" x14ac:dyDescent="0.2">
      <c r="A118" s="5" t="s">
        <v>99</v>
      </c>
      <c r="B118" s="26">
        <f>'Financial Statements'!B343/'Financial Statements'!B$346</f>
        <v>0.82326300971878041</v>
      </c>
      <c r="C118" s="26">
        <f>'Financial Statements'!C343/'Financial Statements'!C$346</f>
        <v>0.81569247328897465</v>
      </c>
      <c r="D118" s="26">
        <f>'Financial Statements'!D343/'Financial Statements'!D$346</f>
        <v>0.82866311963958361</v>
      </c>
      <c r="E118" s="26">
        <f>'Financial Statements'!E343/'Financial Statements'!E$346</f>
        <v>0.85327576932191052</v>
      </c>
      <c r="F118" s="26">
        <f>'Financial Statements'!F343/'Financial Statements'!F$346</f>
        <v>0.83672828405544408</v>
      </c>
      <c r="G118" s="26">
        <f>'Financial Statements'!G343/'Financial Statements'!G$346</f>
        <v>0.82395250794435937</v>
      </c>
      <c r="H118" s="26">
        <f>'Financial Statements'!H343/'Financial Statements'!H$346</f>
        <v>0.77377198703457606</v>
      </c>
      <c r="I118" s="26">
        <f>'Financial Statements'!I343/'Financial Statements'!I$346</f>
        <v>0.8242826262135301</v>
      </c>
      <c r="J118" s="26">
        <f>'Financial Statements'!J343/'Financial Statements'!J$346</f>
        <v>0.8239560299730726</v>
      </c>
      <c r="K118" s="26">
        <f>'Financial Statements'!K343/'Financial Statements'!K$346</f>
        <v>0.83012650833052626</v>
      </c>
      <c r="L118" s="26">
        <f>'Financial Statements'!L343/'Financial Statements'!L$346</f>
        <v>0.84719958037952481</v>
      </c>
      <c r="M118" s="26">
        <f>'Financial Statements'!M343/'Financial Statements'!M$346</f>
        <v>0.84719958037952481</v>
      </c>
    </row>
    <row r="119" spans="1:13" ht="12.75" customHeight="1" x14ac:dyDescent="0.2">
      <c r="A119" s="1" t="s">
        <v>188</v>
      </c>
      <c r="B119" s="25">
        <f>'Financial Statements'!B344/'Financial Statements'!B$346</f>
        <v>1.8762957999217459E-3</v>
      </c>
      <c r="C119" s="25">
        <f>'Financial Statements'!C344/'Financial Statements'!C$346</f>
        <v>1.748146828846165E-3</v>
      </c>
      <c r="D119" s="25">
        <f>'Financial Statements'!D344/'Financial Statements'!D$346</f>
        <v>2.0418150510192997E-3</v>
      </c>
      <c r="E119" s="25">
        <f>'Financial Statements'!E344/'Financial Statements'!E$346</f>
        <v>2.7519333585867755E-3</v>
      </c>
      <c r="F119" s="25">
        <f>'Financial Statements'!F344/'Financial Statements'!F$346</f>
        <v>0</v>
      </c>
      <c r="G119" s="25">
        <f>'Financial Statements'!G344/'Financial Statements'!G$346</f>
        <v>0</v>
      </c>
      <c r="H119" s="25">
        <f>'Financial Statements'!H344/'Financial Statements'!H$346</f>
        <v>-1.4430934318933455E-4</v>
      </c>
      <c r="I119" s="25">
        <f>'Financial Statements'!I344/'Financial Statements'!I$346</f>
        <v>-7.6642662539491691E-4</v>
      </c>
      <c r="J119" s="25">
        <f>'Financial Statements'!J344/'Financial Statements'!J$346</f>
        <v>-1.4207503704066486E-3</v>
      </c>
      <c r="K119" s="25">
        <f>'Financial Statements'!K344/'Financial Statements'!K$346</f>
        <v>1.7477036872300923E-3</v>
      </c>
      <c r="L119" s="25">
        <f>'Financial Statements'!L344/'Financial Statements'!L$346</f>
        <v>2.5099997747436097E-3</v>
      </c>
      <c r="M119" s="25">
        <f>'Financial Statements'!M344/'Financial Statements'!M$346</f>
        <v>2.5099997747436097E-3</v>
      </c>
    </row>
    <row r="120" spans="1:13" ht="12.75" customHeight="1" x14ac:dyDescent="0.2">
      <c r="A120" s="3" t="s">
        <v>46</v>
      </c>
      <c r="B120" s="26">
        <f>'Financial Statements'!B345/'Financial Statements'!B$346</f>
        <v>0.82513930551870218</v>
      </c>
      <c r="C120" s="26">
        <f>'Financial Statements'!C345/'Financial Statements'!C$346</f>
        <v>0.81744062011782082</v>
      </c>
      <c r="D120" s="26">
        <f>'Financial Statements'!D345/'Financial Statements'!D$346</f>
        <v>0.83070493469060291</v>
      </c>
      <c r="E120" s="26">
        <f>'Financial Statements'!E345/'Financial Statements'!E$346</f>
        <v>0.85602770268049722</v>
      </c>
      <c r="F120" s="26">
        <f>'Financial Statements'!F345/'Financial Statements'!F$346</f>
        <v>0.83672828405544408</v>
      </c>
      <c r="G120" s="26">
        <f>'Financial Statements'!G345/'Financial Statements'!G$346</f>
        <v>0.82395250794435937</v>
      </c>
      <c r="H120" s="26">
        <f>'Financial Statements'!H345/'Financial Statements'!H$346</f>
        <v>0.77362767769138674</v>
      </c>
      <c r="I120" s="26">
        <f>'Financial Statements'!I345/'Financial Statements'!I$346</f>
        <v>0.82351619958813527</v>
      </c>
      <c r="J120" s="26">
        <f>'Financial Statements'!J345/'Financial Statements'!J$346</f>
        <v>0.82253527960266593</v>
      </c>
      <c r="K120" s="26">
        <f>'Financial Statements'!K345/'Financial Statements'!K$346</f>
        <v>0.83187421201775635</v>
      </c>
      <c r="L120" s="26">
        <f>'Financial Statements'!L345/'Financial Statements'!L$346</f>
        <v>0.84970958015426845</v>
      </c>
      <c r="M120" s="26">
        <f>'Financial Statements'!M345/'Financial Statements'!M$346</f>
        <v>0.84970958015426845</v>
      </c>
    </row>
    <row r="121" spans="1:13" ht="12.75" customHeight="1" thickBot="1" x14ac:dyDescent="0.25">
      <c r="A121" s="16" t="s">
        <v>100</v>
      </c>
      <c r="B121" s="29">
        <f>'Financial Statements'!B346/'Financial Statements'!B$346</f>
        <v>1</v>
      </c>
      <c r="C121" s="29">
        <f>'Financial Statements'!C346/'Financial Statements'!C$346</f>
        <v>1</v>
      </c>
      <c r="D121" s="29">
        <f>'Financial Statements'!D346/'Financial Statements'!D$346</f>
        <v>1</v>
      </c>
      <c r="E121" s="29">
        <f>'Financial Statements'!E346/'Financial Statements'!E$346</f>
        <v>1</v>
      </c>
      <c r="F121" s="29">
        <f>'Financial Statements'!F346/'Financial Statements'!F$346</f>
        <v>1</v>
      </c>
      <c r="G121" s="29">
        <f>'Financial Statements'!G346/'Financial Statements'!G$346</f>
        <v>1</v>
      </c>
      <c r="H121" s="29">
        <f>'Financial Statements'!H346/'Financial Statements'!H$346</f>
        <v>1</v>
      </c>
      <c r="I121" s="29">
        <f>'Financial Statements'!I346/'Financial Statements'!I$346</f>
        <v>1</v>
      </c>
      <c r="J121" s="29">
        <f>'Financial Statements'!J346/'Financial Statements'!J$346</f>
        <v>1</v>
      </c>
      <c r="K121" s="29">
        <f>'Financial Statements'!K346/'Financial Statements'!K$346</f>
        <v>1</v>
      </c>
      <c r="L121" s="29">
        <f>'Financial Statements'!L346/'Financial Statements'!L$346</f>
        <v>1</v>
      </c>
      <c r="M121" s="29">
        <f>'Financial Statements'!M346/'Financial Statements'!M$346</f>
        <v>1</v>
      </c>
    </row>
    <row r="122" spans="1:13" ht="12.75" customHeight="1" thickTop="1" x14ac:dyDescent="0.2"/>
  </sheetData>
  <phoneticPr fontId="3" type="noConversion"/>
  <printOptions horizontalCentered="1"/>
  <pageMargins left="0" right="0" top="0" bottom="0" header="0.5" footer="0.5"/>
  <pageSetup scale="5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B9AA-3558-46E5-9D21-245D04AA879D}">
  <dimension ref="A1:IV7"/>
  <sheetViews>
    <sheetView workbookViewId="0"/>
  </sheetViews>
  <sheetFormatPr defaultRowHeight="12.75" x14ac:dyDescent="0.2"/>
  <sheetData>
    <row r="1" spans="1:256" x14ac:dyDescent="0.2">
      <c r="A1">
        <v>1638</v>
      </c>
      <c r="B1" t="s">
        <v>606</v>
      </c>
      <c r="C1" t="s">
        <v>607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  <c r="O1" t="s">
        <v>619</v>
      </c>
      <c r="P1" t="s">
        <v>620</v>
      </c>
      <c r="Q1" t="s">
        <v>621</v>
      </c>
      <c r="R1" t="s">
        <v>622</v>
      </c>
      <c r="S1" t="s">
        <v>623</v>
      </c>
      <c r="T1" t="s">
        <v>624</v>
      </c>
      <c r="U1" t="s">
        <v>625</v>
      </c>
      <c r="V1" t="s">
        <v>626</v>
      </c>
      <c r="W1" t="s">
        <v>627</v>
      </c>
      <c r="X1" t="s">
        <v>628</v>
      </c>
      <c r="Y1" t="s">
        <v>629</v>
      </c>
      <c r="Z1" t="s">
        <v>630</v>
      </c>
      <c r="AA1" t="s">
        <v>631</v>
      </c>
      <c r="AB1" t="s">
        <v>632</v>
      </c>
      <c r="AC1" t="s">
        <v>633</v>
      </c>
      <c r="AD1" t="s">
        <v>634</v>
      </c>
      <c r="AE1" t="s">
        <v>635</v>
      </c>
      <c r="AF1" t="s">
        <v>636</v>
      </c>
      <c r="AG1" t="s">
        <v>637</v>
      </c>
      <c r="AH1" t="s">
        <v>638</v>
      </c>
      <c r="AI1" t="s">
        <v>639</v>
      </c>
      <c r="AJ1" t="s">
        <v>640</v>
      </c>
      <c r="AK1" t="s">
        <v>641</v>
      </c>
      <c r="AL1" t="s">
        <v>642</v>
      </c>
      <c r="AM1" t="s">
        <v>643</v>
      </c>
      <c r="AN1" t="s">
        <v>644</v>
      </c>
      <c r="AO1" t="s">
        <v>645</v>
      </c>
      <c r="AP1" t="s">
        <v>646</v>
      </c>
      <c r="AQ1" t="s">
        <v>647</v>
      </c>
      <c r="AR1" t="s">
        <v>648</v>
      </c>
      <c r="AS1" t="s">
        <v>649</v>
      </c>
      <c r="AT1" t="s">
        <v>650</v>
      </c>
      <c r="AU1" t="s">
        <v>651</v>
      </c>
      <c r="AV1" t="s">
        <v>652</v>
      </c>
      <c r="AW1" t="s">
        <v>653</v>
      </c>
      <c r="AX1" t="s">
        <v>654</v>
      </c>
      <c r="AY1" t="s">
        <v>655</v>
      </c>
      <c r="AZ1" t="s">
        <v>656</v>
      </c>
      <c r="BA1" t="s">
        <v>657</v>
      </c>
      <c r="BB1" t="s">
        <v>658</v>
      </c>
      <c r="BC1" t="s">
        <v>659</v>
      </c>
      <c r="BD1" t="s">
        <v>660</v>
      </c>
      <c r="BE1" t="s">
        <v>661</v>
      </c>
      <c r="BF1" t="s">
        <v>662</v>
      </c>
      <c r="BG1" t="s">
        <v>663</v>
      </c>
      <c r="BH1" t="s">
        <v>664</v>
      </c>
      <c r="BI1" t="s">
        <v>665</v>
      </c>
      <c r="BJ1" t="s">
        <v>666</v>
      </c>
      <c r="BK1" t="s">
        <v>667</v>
      </c>
      <c r="BL1" t="s">
        <v>668</v>
      </c>
      <c r="BM1" t="s">
        <v>669</v>
      </c>
      <c r="BN1" t="s">
        <v>670</v>
      </c>
      <c r="BO1" t="s">
        <v>671</v>
      </c>
      <c r="BP1" t="s">
        <v>672</v>
      </c>
      <c r="BQ1" t="s">
        <v>673</v>
      </c>
      <c r="BR1" t="s">
        <v>674</v>
      </c>
      <c r="BS1" t="s">
        <v>675</v>
      </c>
      <c r="BT1" t="s">
        <v>676</v>
      </c>
      <c r="BU1" t="s">
        <v>677</v>
      </c>
      <c r="BV1" t="s">
        <v>678</v>
      </c>
      <c r="BW1" t="s">
        <v>679</v>
      </c>
      <c r="BX1" t="s">
        <v>680</v>
      </c>
      <c r="BY1" t="s">
        <v>681</v>
      </c>
      <c r="BZ1" t="s">
        <v>682</v>
      </c>
      <c r="CA1" t="s">
        <v>683</v>
      </c>
      <c r="CB1" t="s">
        <v>684</v>
      </c>
      <c r="CC1" t="s">
        <v>685</v>
      </c>
      <c r="CD1" t="s">
        <v>686</v>
      </c>
      <c r="CE1" t="s">
        <v>687</v>
      </c>
      <c r="CF1" t="s">
        <v>688</v>
      </c>
      <c r="CG1" t="s">
        <v>689</v>
      </c>
      <c r="CH1" t="s">
        <v>690</v>
      </c>
      <c r="CI1" t="s">
        <v>691</v>
      </c>
      <c r="CJ1" t="s">
        <v>692</v>
      </c>
      <c r="CK1" t="s">
        <v>693</v>
      </c>
      <c r="CL1" t="s">
        <v>694</v>
      </c>
      <c r="CM1" t="s">
        <v>695</v>
      </c>
      <c r="CN1" t="s">
        <v>696</v>
      </c>
      <c r="CO1" t="s">
        <v>697</v>
      </c>
      <c r="CP1" t="s">
        <v>698</v>
      </c>
      <c r="CQ1" t="s">
        <v>699</v>
      </c>
      <c r="CR1" t="s">
        <v>700</v>
      </c>
      <c r="CS1" t="s">
        <v>701</v>
      </c>
      <c r="CT1" t="s">
        <v>702</v>
      </c>
      <c r="CU1" t="s">
        <v>703</v>
      </c>
      <c r="CV1" t="s">
        <v>704</v>
      </c>
      <c r="CW1" t="s">
        <v>705</v>
      </c>
      <c r="CX1" t="s">
        <v>706</v>
      </c>
      <c r="CY1" t="s">
        <v>707</v>
      </c>
      <c r="CZ1" t="s">
        <v>708</v>
      </c>
      <c r="DA1" t="s">
        <v>709</v>
      </c>
      <c r="DB1" t="s">
        <v>710</v>
      </c>
      <c r="DC1" t="s">
        <v>711</v>
      </c>
      <c r="DD1" t="s">
        <v>712</v>
      </c>
      <c r="DE1" t="s">
        <v>713</v>
      </c>
      <c r="DF1" t="s">
        <v>714</v>
      </c>
      <c r="DG1" t="s">
        <v>715</v>
      </c>
      <c r="DH1" t="s">
        <v>716</v>
      </c>
      <c r="DI1" t="s">
        <v>717</v>
      </c>
      <c r="DJ1" t="s">
        <v>718</v>
      </c>
      <c r="DK1" t="s">
        <v>719</v>
      </c>
      <c r="DL1" t="s">
        <v>720</v>
      </c>
      <c r="DM1" t="s">
        <v>721</v>
      </c>
      <c r="DN1" t="s">
        <v>722</v>
      </c>
      <c r="DO1" t="s">
        <v>723</v>
      </c>
      <c r="DP1" t="s">
        <v>724</v>
      </c>
      <c r="DQ1" t="s">
        <v>725</v>
      </c>
      <c r="DR1" t="s">
        <v>726</v>
      </c>
      <c r="DS1" t="s">
        <v>727</v>
      </c>
      <c r="DT1" t="s">
        <v>728</v>
      </c>
      <c r="DU1" t="s">
        <v>729</v>
      </c>
      <c r="DV1" t="s">
        <v>730</v>
      </c>
      <c r="DW1" t="s">
        <v>731</v>
      </c>
      <c r="DX1" t="s">
        <v>732</v>
      </c>
      <c r="DY1" t="s">
        <v>733</v>
      </c>
      <c r="DZ1" t="s">
        <v>734</v>
      </c>
      <c r="EA1" t="s">
        <v>735</v>
      </c>
      <c r="EB1" t="s">
        <v>736</v>
      </c>
      <c r="EC1" t="s">
        <v>737</v>
      </c>
      <c r="ED1" t="s">
        <v>738</v>
      </c>
      <c r="EE1" t="s">
        <v>739</v>
      </c>
      <c r="EF1" t="s">
        <v>740</v>
      </c>
      <c r="EG1" t="s">
        <v>741</v>
      </c>
      <c r="EH1" t="s">
        <v>742</v>
      </c>
      <c r="EI1" t="s">
        <v>743</v>
      </c>
      <c r="EJ1" t="s">
        <v>744</v>
      </c>
      <c r="EK1" t="s">
        <v>745</v>
      </c>
      <c r="EL1" t="s">
        <v>746</v>
      </c>
      <c r="EM1" t="s">
        <v>747</v>
      </c>
      <c r="EN1" t="s">
        <v>748</v>
      </c>
      <c r="EO1" t="s">
        <v>749</v>
      </c>
      <c r="EP1" t="s">
        <v>750</v>
      </c>
      <c r="EQ1" t="s">
        <v>751</v>
      </c>
      <c r="ER1" t="s">
        <v>752</v>
      </c>
      <c r="ES1" t="s">
        <v>753</v>
      </c>
      <c r="ET1" t="s">
        <v>754</v>
      </c>
      <c r="EU1" t="s">
        <v>755</v>
      </c>
      <c r="EV1" t="s">
        <v>756</v>
      </c>
      <c r="EW1" t="s">
        <v>757</v>
      </c>
      <c r="EX1" t="s">
        <v>758</v>
      </c>
      <c r="EY1" t="s">
        <v>759</v>
      </c>
      <c r="EZ1" t="s">
        <v>760</v>
      </c>
      <c r="FA1" t="s">
        <v>761</v>
      </c>
      <c r="FB1" t="s">
        <v>762</v>
      </c>
      <c r="FC1" t="s">
        <v>763</v>
      </c>
      <c r="FD1" t="s">
        <v>764</v>
      </c>
      <c r="FE1" t="s">
        <v>765</v>
      </c>
      <c r="FF1" t="s">
        <v>766</v>
      </c>
      <c r="FG1" t="s">
        <v>767</v>
      </c>
      <c r="FH1" t="s">
        <v>768</v>
      </c>
      <c r="FI1" t="s">
        <v>769</v>
      </c>
      <c r="FJ1" t="s">
        <v>770</v>
      </c>
      <c r="FK1" t="s">
        <v>771</v>
      </c>
      <c r="FL1" t="s">
        <v>772</v>
      </c>
      <c r="FM1" t="s">
        <v>773</v>
      </c>
      <c r="FN1" t="s">
        <v>774</v>
      </c>
      <c r="FO1" t="s">
        <v>775</v>
      </c>
      <c r="FP1" t="s">
        <v>776</v>
      </c>
      <c r="FQ1" t="s">
        <v>777</v>
      </c>
      <c r="FR1" t="s">
        <v>778</v>
      </c>
      <c r="FS1" t="s">
        <v>779</v>
      </c>
      <c r="FT1" t="s">
        <v>780</v>
      </c>
      <c r="FU1" t="s">
        <v>781</v>
      </c>
      <c r="FV1" t="s">
        <v>782</v>
      </c>
      <c r="FW1" t="s">
        <v>783</v>
      </c>
      <c r="FX1" t="s">
        <v>784</v>
      </c>
      <c r="FY1" t="s">
        <v>785</v>
      </c>
      <c r="FZ1" t="s">
        <v>786</v>
      </c>
      <c r="GA1" t="s">
        <v>787</v>
      </c>
      <c r="GB1" t="s">
        <v>788</v>
      </c>
      <c r="GC1" t="s">
        <v>789</v>
      </c>
      <c r="GD1" t="s">
        <v>790</v>
      </c>
      <c r="GE1" t="s">
        <v>791</v>
      </c>
      <c r="GF1" t="s">
        <v>792</v>
      </c>
      <c r="GG1" t="s">
        <v>793</v>
      </c>
      <c r="GH1" t="s">
        <v>794</v>
      </c>
      <c r="GI1" t="s">
        <v>795</v>
      </c>
      <c r="GJ1" t="s">
        <v>796</v>
      </c>
      <c r="GK1" t="s">
        <v>797</v>
      </c>
      <c r="GL1" t="s">
        <v>798</v>
      </c>
      <c r="GM1" t="s">
        <v>799</v>
      </c>
      <c r="GN1" t="s">
        <v>800</v>
      </c>
      <c r="GO1" t="s">
        <v>801</v>
      </c>
      <c r="GP1" t="s">
        <v>802</v>
      </c>
      <c r="GQ1" t="s">
        <v>803</v>
      </c>
      <c r="GR1" t="s">
        <v>804</v>
      </c>
      <c r="GS1" t="s">
        <v>805</v>
      </c>
      <c r="GT1" t="s">
        <v>806</v>
      </c>
      <c r="GU1" t="s">
        <v>807</v>
      </c>
      <c r="GV1" t="s">
        <v>808</v>
      </c>
      <c r="GW1" t="s">
        <v>809</v>
      </c>
      <c r="GX1" t="s">
        <v>810</v>
      </c>
      <c r="GY1" t="s">
        <v>811</v>
      </c>
      <c r="GZ1" t="s">
        <v>812</v>
      </c>
      <c r="HA1" t="s">
        <v>813</v>
      </c>
      <c r="HB1" t="s">
        <v>814</v>
      </c>
      <c r="HC1" t="s">
        <v>815</v>
      </c>
      <c r="HD1" t="s">
        <v>816</v>
      </c>
      <c r="HE1" t="s">
        <v>817</v>
      </c>
      <c r="HF1" t="s">
        <v>818</v>
      </c>
      <c r="HG1" t="s">
        <v>819</v>
      </c>
      <c r="HH1" t="s">
        <v>820</v>
      </c>
      <c r="HI1" t="s">
        <v>821</v>
      </c>
      <c r="HJ1" t="s">
        <v>822</v>
      </c>
      <c r="HK1" t="s">
        <v>823</v>
      </c>
      <c r="HL1" t="s">
        <v>824</v>
      </c>
      <c r="HM1" t="s">
        <v>825</v>
      </c>
      <c r="HN1" t="s">
        <v>826</v>
      </c>
      <c r="HO1" t="s">
        <v>827</v>
      </c>
      <c r="HP1" t="s">
        <v>828</v>
      </c>
      <c r="HQ1" t="s">
        <v>829</v>
      </c>
      <c r="HR1" t="s">
        <v>830</v>
      </c>
      <c r="HS1" t="s">
        <v>831</v>
      </c>
      <c r="HT1" t="s">
        <v>832</v>
      </c>
      <c r="HU1" t="s">
        <v>833</v>
      </c>
      <c r="HV1" t="s">
        <v>834</v>
      </c>
      <c r="HW1" t="s">
        <v>835</v>
      </c>
      <c r="HX1" t="s">
        <v>836</v>
      </c>
      <c r="HY1" t="s">
        <v>837</v>
      </c>
      <c r="HZ1" t="s">
        <v>838</v>
      </c>
      <c r="IA1" t="s">
        <v>839</v>
      </c>
      <c r="IB1" t="s">
        <v>840</v>
      </c>
      <c r="IC1" t="s">
        <v>841</v>
      </c>
      <c r="ID1" t="s">
        <v>842</v>
      </c>
      <c r="IE1" t="s">
        <v>843</v>
      </c>
      <c r="IF1" t="s">
        <v>844</v>
      </c>
      <c r="IG1" t="s">
        <v>845</v>
      </c>
      <c r="IH1" t="s">
        <v>846</v>
      </c>
      <c r="II1" t="s">
        <v>847</v>
      </c>
      <c r="IJ1" t="s">
        <v>848</v>
      </c>
      <c r="IK1" t="s">
        <v>849</v>
      </c>
      <c r="IL1" t="s">
        <v>850</v>
      </c>
      <c r="IM1" t="s">
        <v>851</v>
      </c>
      <c r="IN1" t="s">
        <v>852</v>
      </c>
      <c r="IO1" t="s">
        <v>853</v>
      </c>
      <c r="IP1" t="s">
        <v>854</v>
      </c>
      <c r="IQ1" t="s">
        <v>855</v>
      </c>
      <c r="IR1" t="s">
        <v>856</v>
      </c>
      <c r="IS1" t="s">
        <v>857</v>
      </c>
      <c r="IT1" t="s">
        <v>858</v>
      </c>
      <c r="IU1" t="s">
        <v>859</v>
      </c>
      <c r="IV1" t="s">
        <v>860</v>
      </c>
    </row>
    <row r="2" spans="1:256" x14ac:dyDescent="0.2">
      <c r="A2" t="s">
        <v>861</v>
      </c>
      <c r="B2" t="s">
        <v>862</v>
      </c>
      <c r="C2" t="s">
        <v>863</v>
      </c>
      <c r="D2" t="s">
        <v>864</v>
      </c>
      <c r="E2" t="s">
        <v>865</v>
      </c>
      <c r="F2" t="s">
        <v>866</v>
      </c>
      <c r="G2" t="s">
        <v>867</v>
      </c>
      <c r="H2" t="s">
        <v>868</v>
      </c>
      <c r="I2" t="s">
        <v>869</v>
      </c>
      <c r="J2" t="s">
        <v>870</v>
      </c>
      <c r="K2" t="s">
        <v>871</v>
      </c>
      <c r="L2" t="s">
        <v>872</v>
      </c>
      <c r="M2" t="s">
        <v>873</v>
      </c>
      <c r="N2" t="s">
        <v>874</v>
      </c>
      <c r="O2" t="s">
        <v>875</v>
      </c>
      <c r="P2" t="s">
        <v>876</v>
      </c>
      <c r="Q2" t="s">
        <v>877</v>
      </c>
      <c r="R2" t="s">
        <v>878</v>
      </c>
      <c r="S2" t="s">
        <v>879</v>
      </c>
      <c r="T2" t="s">
        <v>880</v>
      </c>
      <c r="U2" t="s">
        <v>881</v>
      </c>
      <c r="V2" t="s">
        <v>882</v>
      </c>
      <c r="W2" t="s">
        <v>883</v>
      </c>
      <c r="X2" t="s">
        <v>884</v>
      </c>
      <c r="Y2" t="s">
        <v>885</v>
      </c>
      <c r="Z2" t="s">
        <v>886</v>
      </c>
      <c r="AA2" t="s">
        <v>887</v>
      </c>
      <c r="AB2" t="s">
        <v>888</v>
      </c>
      <c r="AC2" t="s">
        <v>889</v>
      </c>
      <c r="AD2" t="s">
        <v>890</v>
      </c>
      <c r="AE2" t="s">
        <v>891</v>
      </c>
      <c r="AF2" t="s">
        <v>892</v>
      </c>
      <c r="AG2" t="s">
        <v>893</v>
      </c>
      <c r="AH2" t="s">
        <v>894</v>
      </c>
      <c r="AI2" t="s">
        <v>895</v>
      </c>
      <c r="AJ2" t="s">
        <v>896</v>
      </c>
      <c r="AK2" t="s">
        <v>897</v>
      </c>
      <c r="AL2" t="s">
        <v>898</v>
      </c>
      <c r="AM2" t="s">
        <v>899</v>
      </c>
      <c r="AN2" t="s">
        <v>900</v>
      </c>
      <c r="AO2" t="s">
        <v>901</v>
      </c>
      <c r="AP2" t="s">
        <v>902</v>
      </c>
      <c r="AQ2" t="s">
        <v>903</v>
      </c>
      <c r="AR2" t="s">
        <v>904</v>
      </c>
      <c r="AS2" t="s">
        <v>905</v>
      </c>
      <c r="AT2" t="s">
        <v>906</v>
      </c>
      <c r="AU2" t="s">
        <v>907</v>
      </c>
      <c r="AV2" t="s">
        <v>908</v>
      </c>
      <c r="AW2" t="s">
        <v>909</v>
      </c>
      <c r="AX2" t="s">
        <v>910</v>
      </c>
      <c r="AY2" t="s">
        <v>911</v>
      </c>
      <c r="AZ2" t="s">
        <v>912</v>
      </c>
      <c r="BA2" t="s">
        <v>913</v>
      </c>
      <c r="BB2" t="s">
        <v>914</v>
      </c>
      <c r="BC2" t="s">
        <v>915</v>
      </c>
      <c r="BD2" t="s">
        <v>916</v>
      </c>
      <c r="BE2" t="s">
        <v>917</v>
      </c>
      <c r="BF2" t="s">
        <v>918</v>
      </c>
      <c r="BG2" t="s">
        <v>919</v>
      </c>
      <c r="BH2" t="s">
        <v>920</v>
      </c>
      <c r="BI2" t="s">
        <v>921</v>
      </c>
      <c r="BJ2" t="s">
        <v>922</v>
      </c>
      <c r="BK2" t="s">
        <v>923</v>
      </c>
      <c r="BL2" t="s">
        <v>924</v>
      </c>
      <c r="BM2" t="s">
        <v>925</v>
      </c>
      <c r="BN2" t="s">
        <v>926</v>
      </c>
      <c r="BO2" t="s">
        <v>927</v>
      </c>
      <c r="BP2" t="s">
        <v>928</v>
      </c>
      <c r="BQ2" t="s">
        <v>929</v>
      </c>
      <c r="BR2" t="s">
        <v>930</v>
      </c>
      <c r="BS2" t="s">
        <v>931</v>
      </c>
      <c r="BT2" t="s">
        <v>932</v>
      </c>
      <c r="BU2" t="s">
        <v>933</v>
      </c>
      <c r="BV2" t="s">
        <v>934</v>
      </c>
      <c r="BW2" t="s">
        <v>935</v>
      </c>
      <c r="BX2" t="s">
        <v>936</v>
      </c>
      <c r="BY2" t="s">
        <v>937</v>
      </c>
      <c r="BZ2" t="s">
        <v>938</v>
      </c>
      <c r="CA2" t="s">
        <v>939</v>
      </c>
      <c r="CB2" t="s">
        <v>940</v>
      </c>
      <c r="CC2" t="s">
        <v>941</v>
      </c>
      <c r="CD2" t="s">
        <v>942</v>
      </c>
      <c r="CE2" t="s">
        <v>943</v>
      </c>
      <c r="CF2" t="s">
        <v>944</v>
      </c>
      <c r="CG2" t="s">
        <v>945</v>
      </c>
      <c r="CH2" t="s">
        <v>946</v>
      </c>
      <c r="CI2" t="s">
        <v>947</v>
      </c>
      <c r="CJ2" t="s">
        <v>948</v>
      </c>
      <c r="CK2" t="s">
        <v>949</v>
      </c>
      <c r="CL2" t="s">
        <v>950</v>
      </c>
      <c r="CM2" t="s">
        <v>951</v>
      </c>
      <c r="CN2" t="s">
        <v>952</v>
      </c>
      <c r="CO2" t="s">
        <v>953</v>
      </c>
      <c r="CP2" t="s">
        <v>954</v>
      </c>
      <c r="CQ2" t="s">
        <v>955</v>
      </c>
      <c r="CR2" t="s">
        <v>956</v>
      </c>
      <c r="CS2" t="s">
        <v>957</v>
      </c>
      <c r="CT2" t="s">
        <v>958</v>
      </c>
      <c r="CU2" t="s">
        <v>959</v>
      </c>
      <c r="CV2" t="s">
        <v>960</v>
      </c>
      <c r="CW2" t="s">
        <v>961</v>
      </c>
      <c r="CX2" t="s">
        <v>962</v>
      </c>
      <c r="CY2" t="s">
        <v>963</v>
      </c>
      <c r="CZ2" t="s">
        <v>964</v>
      </c>
      <c r="DA2" t="s">
        <v>965</v>
      </c>
      <c r="DB2" t="s">
        <v>966</v>
      </c>
      <c r="DC2" t="s">
        <v>967</v>
      </c>
      <c r="DD2" t="s">
        <v>968</v>
      </c>
      <c r="DE2" t="s">
        <v>969</v>
      </c>
      <c r="DF2" t="s">
        <v>970</v>
      </c>
      <c r="DG2" t="s">
        <v>971</v>
      </c>
      <c r="DH2" t="s">
        <v>972</v>
      </c>
      <c r="DI2" t="s">
        <v>973</v>
      </c>
      <c r="DJ2" t="s">
        <v>974</v>
      </c>
      <c r="DK2" t="s">
        <v>975</v>
      </c>
      <c r="DL2" t="s">
        <v>976</v>
      </c>
      <c r="DM2" t="s">
        <v>977</v>
      </c>
      <c r="DN2" t="s">
        <v>978</v>
      </c>
      <c r="DO2" t="s">
        <v>979</v>
      </c>
      <c r="DP2" t="s">
        <v>980</v>
      </c>
      <c r="DQ2" t="s">
        <v>981</v>
      </c>
      <c r="DR2" t="s">
        <v>982</v>
      </c>
      <c r="DS2" t="s">
        <v>983</v>
      </c>
      <c r="DT2" t="s">
        <v>984</v>
      </c>
      <c r="DU2" t="s">
        <v>985</v>
      </c>
      <c r="DV2" t="s">
        <v>986</v>
      </c>
      <c r="DW2" t="s">
        <v>987</v>
      </c>
      <c r="DX2" t="s">
        <v>988</v>
      </c>
      <c r="DY2" t="s">
        <v>989</v>
      </c>
      <c r="DZ2" t="s">
        <v>990</v>
      </c>
      <c r="EA2" t="s">
        <v>991</v>
      </c>
      <c r="EB2" t="s">
        <v>992</v>
      </c>
      <c r="EC2" t="s">
        <v>993</v>
      </c>
      <c r="ED2" t="s">
        <v>994</v>
      </c>
      <c r="EE2" t="s">
        <v>995</v>
      </c>
      <c r="EF2" t="s">
        <v>996</v>
      </c>
      <c r="EG2" t="s">
        <v>997</v>
      </c>
      <c r="EH2" t="s">
        <v>998</v>
      </c>
      <c r="EI2" t="s">
        <v>999</v>
      </c>
      <c r="EJ2" t="s">
        <v>1000</v>
      </c>
      <c r="EK2" t="s">
        <v>1001</v>
      </c>
      <c r="EL2" t="s">
        <v>1002</v>
      </c>
      <c r="EM2" t="s">
        <v>1003</v>
      </c>
      <c r="EN2" t="s">
        <v>1004</v>
      </c>
      <c r="EO2" t="s">
        <v>1005</v>
      </c>
      <c r="EP2" t="s">
        <v>1006</v>
      </c>
      <c r="EQ2" t="s">
        <v>1007</v>
      </c>
      <c r="ER2" t="s">
        <v>1008</v>
      </c>
      <c r="ES2" t="s">
        <v>1009</v>
      </c>
      <c r="ET2" t="s">
        <v>1010</v>
      </c>
      <c r="EU2" t="s">
        <v>1011</v>
      </c>
      <c r="EV2" t="s">
        <v>1012</v>
      </c>
      <c r="EW2" t="s">
        <v>1013</v>
      </c>
      <c r="EX2" t="s">
        <v>1014</v>
      </c>
      <c r="EY2" t="s">
        <v>1015</v>
      </c>
      <c r="EZ2" t="s">
        <v>1016</v>
      </c>
      <c r="FA2" t="s">
        <v>1017</v>
      </c>
      <c r="FB2" t="s">
        <v>1018</v>
      </c>
      <c r="FC2" t="s">
        <v>1019</v>
      </c>
      <c r="FD2" t="s">
        <v>1020</v>
      </c>
      <c r="FE2" t="s">
        <v>1021</v>
      </c>
      <c r="FF2" t="s">
        <v>1022</v>
      </c>
      <c r="FG2" t="s">
        <v>1023</v>
      </c>
      <c r="FH2" t="s">
        <v>1024</v>
      </c>
      <c r="FI2" t="s">
        <v>1025</v>
      </c>
      <c r="FJ2" t="s">
        <v>1026</v>
      </c>
      <c r="FK2" t="s">
        <v>1027</v>
      </c>
      <c r="FL2" t="s">
        <v>1028</v>
      </c>
      <c r="FM2" t="s">
        <v>1029</v>
      </c>
      <c r="FN2" t="s">
        <v>1030</v>
      </c>
      <c r="FO2" t="s">
        <v>1031</v>
      </c>
      <c r="FP2" t="s">
        <v>1032</v>
      </c>
      <c r="FQ2" t="s">
        <v>1033</v>
      </c>
      <c r="FR2" t="s">
        <v>1034</v>
      </c>
      <c r="FS2" t="s">
        <v>1035</v>
      </c>
      <c r="FT2" t="s">
        <v>1036</v>
      </c>
      <c r="FU2" t="s">
        <v>1037</v>
      </c>
      <c r="FV2" t="s">
        <v>1038</v>
      </c>
      <c r="FW2" t="s">
        <v>1039</v>
      </c>
      <c r="FX2" t="s">
        <v>1040</v>
      </c>
      <c r="FY2" t="s">
        <v>1041</v>
      </c>
      <c r="FZ2" t="s">
        <v>1042</v>
      </c>
      <c r="GA2" t="s">
        <v>1043</v>
      </c>
      <c r="GB2" t="s">
        <v>1044</v>
      </c>
      <c r="GC2" t="s">
        <v>1045</v>
      </c>
      <c r="GD2" t="s">
        <v>1046</v>
      </c>
      <c r="GE2" t="s">
        <v>1047</v>
      </c>
      <c r="GF2" t="s">
        <v>1048</v>
      </c>
      <c r="GG2" t="s">
        <v>1049</v>
      </c>
      <c r="GH2" t="s">
        <v>1050</v>
      </c>
      <c r="GI2" t="s">
        <v>1051</v>
      </c>
      <c r="GJ2" t="s">
        <v>1052</v>
      </c>
      <c r="GK2" t="s">
        <v>1053</v>
      </c>
      <c r="GL2" t="s">
        <v>1054</v>
      </c>
      <c r="GM2" t="s">
        <v>1055</v>
      </c>
      <c r="GN2" t="s">
        <v>1056</v>
      </c>
      <c r="GO2" t="s">
        <v>1057</v>
      </c>
      <c r="GP2" t="s">
        <v>1058</v>
      </c>
      <c r="GQ2" t="s">
        <v>1059</v>
      </c>
      <c r="GR2" t="s">
        <v>1060</v>
      </c>
      <c r="GS2" t="s">
        <v>1061</v>
      </c>
      <c r="GT2" t="s">
        <v>1062</v>
      </c>
      <c r="GU2" t="s">
        <v>1063</v>
      </c>
      <c r="GV2" t="s">
        <v>1064</v>
      </c>
      <c r="GW2" t="s">
        <v>1065</v>
      </c>
      <c r="GX2" t="s">
        <v>1066</v>
      </c>
      <c r="GY2" t="s">
        <v>1067</v>
      </c>
      <c r="GZ2" t="s">
        <v>1068</v>
      </c>
      <c r="HA2" t="s">
        <v>1069</v>
      </c>
      <c r="HB2" t="s">
        <v>1070</v>
      </c>
      <c r="HC2" t="s">
        <v>1071</v>
      </c>
      <c r="HD2" t="s">
        <v>1072</v>
      </c>
      <c r="HE2" t="s">
        <v>1073</v>
      </c>
      <c r="HF2" t="s">
        <v>1074</v>
      </c>
      <c r="HG2" t="s">
        <v>1075</v>
      </c>
      <c r="HH2" t="s">
        <v>1076</v>
      </c>
      <c r="HI2" t="s">
        <v>1077</v>
      </c>
      <c r="HJ2" t="s">
        <v>1078</v>
      </c>
      <c r="HK2" t="s">
        <v>1079</v>
      </c>
      <c r="HL2" t="s">
        <v>1080</v>
      </c>
      <c r="HM2" t="s">
        <v>1081</v>
      </c>
      <c r="HN2" t="s">
        <v>1082</v>
      </c>
      <c r="HO2" t="s">
        <v>1083</v>
      </c>
      <c r="HP2" t="s">
        <v>1084</v>
      </c>
      <c r="HQ2" t="s">
        <v>1085</v>
      </c>
      <c r="HR2" t="s">
        <v>1086</v>
      </c>
      <c r="HS2" t="s">
        <v>1087</v>
      </c>
      <c r="HT2" t="s">
        <v>1088</v>
      </c>
      <c r="HU2" t="s">
        <v>1089</v>
      </c>
      <c r="HV2" t="s">
        <v>1090</v>
      </c>
      <c r="HW2" t="s">
        <v>1091</v>
      </c>
      <c r="HX2" t="s">
        <v>1092</v>
      </c>
      <c r="HY2" t="s">
        <v>1093</v>
      </c>
      <c r="HZ2" t="s">
        <v>1094</v>
      </c>
      <c r="IA2" t="s">
        <v>1095</v>
      </c>
      <c r="IB2" t="s">
        <v>1096</v>
      </c>
      <c r="IC2" t="s">
        <v>1097</v>
      </c>
      <c r="ID2" t="s">
        <v>1098</v>
      </c>
      <c r="IE2" t="s">
        <v>1099</v>
      </c>
      <c r="IF2" t="s">
        <v>1100</v>
      </c>
      <c r="IG2" t="s">
        <v>1101</v>
      </c>
      <c r="IH2" t="s">
        <v>1102</v>
      </c>
      <c r="II2" t="s">
        <v>1103</v>
      </c>
      <c r="IJ2" t="s">
        <v>1104</v>
      </c>
      <c r="IK2" t="s">
        <v>1105</v>
      </c>
      <c r="IL2" t="s">
        <v>1106</v>
      </c>
      <c r="IM2" t="s">
        <v>1107</v>
      </c>
      <c r="IN2" t="s">
        <v>1108</v>
      </c>
      <c r="IO2" t="s">
        <v>1109</v>
      </c>
      <c r="IP2" t="s">
        <v>1110</v>
      </c>
      <c r="IQ2" t="s">
        <v>1111</v>
      </c>
      <c r="IR2" t="s">
        <v>1112</v>
      </c>
      <c r="IS2" t="s">
        <v>1113</v>
      </c>
      <c r="IT2" t="s">
        <v>1114</v>
      </c>
      <c r="IU2" t="s">
        <v>1115</v>
      </c>
      <c r="IV2" t="s">
        <v>1116</v>
      </c>
    </row>
    <row r="3" spans="1:256" x14ac:dyDescent="0.2">
      <c r="A3" t="s">
        <v>1117</v>
      </c>
      <c r="B3" t="s">
        <v>1118</v>
      </c>
      <c r="C3" t="s">
        <v>1119</v>
      </c>
      <c r="D3" t="s">
        <v>1120</v>
      </c>
      <c r="E3" t="s">
        <v>1121</v>
      </c>
      <c r="F3" t="s">
        <v>1122</v>
      </c>
      <c r="G3" t="s">
        <v>1123</v>
      </c>
      <c r="H3" t="s">
        <v>1124</v>
      </c>
      <c r="I3" t="s">
        <v>1125</v>
      </c>
      <c r="J3" t="s">
        <v>1126</v>
      </c>
      <c r="K3" t="s">
        <v>1127</v>
      </c>
      <c r="L3" t="s">
        <v>1128</v>
      </c>
      <c r="M3" t="s">
        <v>1129</v>
      </c>
      <c r="N3" t="s">
        <v>1130</v>
      </c>
      <c r="O3" t="s">
        <v>1131</v>
      </c>
      <c r="P3" t="s">
        <v>1132</v>
      </c>
      <c r="Q3" t="s">
        <v>1133</v>
      </c>
      <c r="R3" t="s">
        <v>1134</v>
      </c>
      <c r="S3" t="s">
        <v>1135</v>
      </c>
      <c r="T3" t="s">
        <v>1136</v>
      </c>
      <c r="U3" t="s">
        <v>1137</v>
      </c>
      <c r="V3" t="s">
        <v>1138</v>
      </c>
      <c r="W3" t="s">
        <v>1139</v>
      </c>
      <c r="X3" t="s">
        <v>1140</v>
      </c>
      <c r="Y3" t="s">
        <v>1141</v>
      </c>
      <c r="Z3" t="s">
        <v>1142</v>
      </c>
      <c r="AA3" t="s">
        <v>1143</v>
      </c>
      <c r="AB3" t="s">
        <v>1144</v>
      </c>
      <c r="AC3" t="s">
        <v>1145</v>
      </c>
      <c r="AD3" t="s">
        <v>1146</v>
      </c>
      <c r="AE3" t="s">
        <v>1147</v>
      </c>
      <c r="AF3" t="s">
        <v>1148</v>
      </c>
      <c r="AG3" t="s">
        <v>1149</v>
      </c>
      <c r="AH3" t="s">
        <v>1150</v>
      </c>
      <c r="AI3" t="s">
        <v>1151</v>
      </c>
      <c r="AJ3" t="s">
        <v>1152</v>
      </c>
      <c r="AK3" t="s">
        <v>1153</v>
      </c>
      <c r="AL3" t="s">
        <v>1154</v>
      </c>
      <c r="AM3" t="s">
        <v>1155</v>
      </c>
      <c r="AN3" t="s">
        <v>1156</v>
      </c>
      <c r="AO3" t="s">
        <v>1157</v>
      </c>
      <c r="AP3" t="s">
        <v>1158</v>
      </c>
      <c r="AQ3" t="s">
        <v>1159</v>
      </c>
      <c r="AR3" t="s">
        <v>1160</v>
      </c>
      <c r="AS3" t="s">
        <v>1161</v>
      </c>
      <c r="AT3" t="s">
        <v>1162</v>
      </c>
      <c r="AU3" t="s">
        <v>1163</v>
      </c>
      <c r="AV3" t="s">
        <v>1164</v>
      </c>
      <c r="AW3" t="s">
        <v>1165</v>
      </c>
      <c r="AX3" t="s">
        <v>1166</v>
      </c>
      <c r="AY3" t="s">
        <v>1167</v>
      </c>
      <c r="AZ3" t="s">
        <v>1168</v>
      </c>
      <c r="BA3" t="s">
        <v>1169</v>
      </c>
      <c r="BB3" t="s">
        <v>1170</v>
      </c>
      <c r="BC3" t="s">
        <v>1171</v>
      </c>
      <c r="BD3" t="s">
        <v>1172</v>
      </c>
      <c r="BE3" t="s">
        <v>1173</v>
      </c>
      <c r="BF3" t="s">
        <v>1174</v>
      </c>
      <c r="BG3" t="s">
        <v>1175</v>
      </c>
      <c r="BH3" t="s">
        <v>1176</v>
      </c>
      <c r="BI3" t="s">
        <v>1177</v>
      </c>
      <c r="BJ3" t="s">
        <v>1178</v>
      </c>
      <c r="BK3" t="s">
        <v>1179</v>
      </c>
      <c r="BL3" t="s">
        <v>1180</v>
      </c>
      <c r="BM3" t="s">
        <v>1181</v>
      </c>
      <c r="BN3" t="s">
        <v>1182</v>
      </c>
      <c r="BO3" t="s">
        <v>1183</v>
      </c>
      <c r="BP3" t="s">
        <v>1184</v>
      </c>
      <c r="BQ3" t="s">
        <v>1185</v>
      </c>
      <c r="BR3" t="s">
        <v>1186</v>
      </c>
      <c r="BS3" t="s">
        <v>1187</v>
      </c>
      <c r="BT3" t="s">
        <v>1188</v>
      </c>
      <c r="BU3" t="s">
        <v>1189</v>
      </c>
      <c r="BV3" t="s">
        <v>1190</v>
      </c>
      <c r="BW3" t="s">
        <v>1191</v>
      </c>
      <c r="BX3" t="s">
        <v>1192</v>
      </c>
      <c r="BY3" t="s">
        <v>1193</v>
      </c>
      <c r="BZ3" t="s">
        <v>1194</v>
      </c>
      <c r="CA3" t="s">
        <v>1195</v>
      </c>
      <c r="CB3" t="s">
        <v>1196</v>
      </c>
      <c r="CC3" t="s">
        <v>1197</v>
      </c>
      <c r="CD3" t="s">
        <v>1198</v>
      </c>
      <c r="CE3" t="s">
        <v>1199</v>
      </c>
      <c r="CF3" t="s">
        <v>1200</v>
      </c>
      <c r="CG3" t="s">
        <v>1201</v>
      </c>
      <c r="CH3" t="s">
        <v>1202</v>
      </c>
      <c r="CI3" t="s">
        <v>1203</v>
      </c>
      <c r="CJ3" t="s">
        <v>1204</v>
      </c>
      <c r="CK3" t="s">
        <v>1205</v>
      </c>
      <c r="CL3" t="s">
        <v>1206</v>
      </c>
      <c r="CM3" t="s">
        <v>1207</v>
      </c>
      <c r="CN3" t="s">
        <v>1208</v>
      </c>
      <c r="CO3" t="s">
        <v>1209</v>
      </c>
      <c r="CP3" t="s">
        <v>1210</v>
      </c>
      <c r="CQ3" t="s">
        <v>1211</v>
      </c>
      <c r="CR3" t="s">
        <v>1212</v>
      </c>
      <c r="CS3" t="s">
        <v>1213</v>
      </c>
      <c r="CT3" t="s">
        <v>1214</v>
      </c>
      <c r="CU3" t="s">
        <v>1215</v>
      </c>
      <c r="CV3" t="s">
        <v>1216</v>
      </c>
      <c r="CW3" t="s">
        <v>1217</v>
      </c>
      <c r="CX3" t="s">
        <v>1218</v>
      </c>
      <c r="CY3" t="s">
        <v>1219</v>
      </c>
      <c r="CZ3" t="s">
        <v>1220</v>
      </c>
      <c r="DA3" t="s">
        <v>1221</v>
      </c>
      <c r="DB3" t="s">
        <v>1222</v>
      </c>
      <c r="DC3" t="s">
        <v>1223</v>
      </c>
      <c r="DD3" t="s">
        <v>1224</v>
      </c>
      <c r="DE3" t="s">
        <v>1225</v>
      </c>
      <c r="DF3" t="s">
        <v>1226</v>
      </c>
      <c r="DG3" t="s">
        <v>1227</v>
      </c>
      <c r="DH3" t="s">
        <v>1228</v>
      </c>
      <c r="DI3" t="s">
        <v>1229</v>
      </c>
      <c r="DJ3" t="s">
        <v>1230</v>
      </c>
      <c r="DK3" t="s">
        <v>1231</v>
      </c>
      <c r="DL3" t="s">
        <v>1232</v>
      </c>
      <c r="DM3" t="s">
        <v>1233</v>
      </c>
      <c r="DN3" t="s">
        <v>1234</v>
      </c>
      <c r="DO3" t="s">
        <v>1235</v>
      </c>
      <c r="DP3" t="s">
        <v>1236</v>
      </c>
      <c r="DQ3" t="s">
        <v>1237</v>
      </c>
      <c r="DR3" t="s">
        <v>1238</v>
      </c>
      <c r="DS3" t="s">
        <v>1239</v>
      </c>
      <c r="DT3" t="s">
        <v>1240</v>
      </c>
      <c r="DU3" t="s">
        <v>1241</v>
      </c>
      <c r="DV3" t="s">
        <v>1242</v>
      </c>
      <c r="DW3" t="s">
        <v>1243</v>
      </c>
      <c r="DX3" t="s">
        <v>1244</v>
      </c>
      <c r="DY3" t="s">
        <v>1245</v>
      </c>
      <c r="DZ3" t="s">
        <v>1246</v>
      </c>
      <c r="EA3" t="s">
        <v>1247</v>
      </c>
      <c r="EB3" t="s">
        <v>1248</v>
      </c>
      <c r="EC3" t="s">
        <v>1249</v>
      </c>
      <c r="ED3" t="s">
        <v>1250</v>
      </c>
      <c r="EE3" t="s">
        <v>1251</v>
      </c>
      <c r="EF3" t="s">
        <v>1252</v>
      </c>
      <c r="EG3" t="s">
        <v>1253</v>
      </c>
      <c r="EH3" t="s">
        <v>1254</v>
      </c>
      <c r="EI3" t="s">
        <v>1255</v>
      </c>
      <c r="EJ3" t="s">
        <v>1256</v>
      </c>
      <c r="EK3" t="s">
        <v>1257</v>
      </c>
      <c r="EL3" t="s">
        <v>1258</v>
      </c>
      <c r="EM3" t="s">
        <v>1259</v>
      </c>
      <c r="EN3" t="s">
        <v>1260</v>
      </c>
      <c r="EO3" t="s">
        <v>1261</v>
      </c>
      <c r="EP3" t="s">
        <v>1262</v>
      </c>
      <c r="EQ3" t="s">
        <v>1263</v>
      </c>
      <c r="ER3" t="s">
        <v>1264</v>
      </c>
      <c r="ES3" t="s">
        <v>1265</v>
      </c>
      <c r="ET3" t="s">
        <v>1266</v>
      </c>
      <c r="EU3" t="s">
        <v>1267</v>
      </c>
      <c r="EV3" t="s">
        <v>1268</v>
      </c>
      <c r="EW3" t="s">
        <v>1269</v>
      </c>
      <c r="EX3" t="s">
        <v>1270</v>
      </c>
      <c r="EY3" t="s">
        <v>1271</v>
      </c>
      <c r="EZ3" t="s">
        <v>1272</v>
      </c>
      <c r="FA3" t="s">
        <v>1273</v>
      </c>
      <c r="FB3" t="s">
        <v>1274</v>
      </c>
      <c r="FC3" t="s">
        <v>1275</v>
      </c>
      <c r="FD3" t="s">
        <v>1276</v>
      </c>
      <c r="FE3" t="s">
        <v>1277</v>
      </c>
      <c r="FF3" t="s">
        <v>1278</v>
      </c>
      <c r="FG3" t="s">
        <v>1279</v>
      </c>
      <c r="FH3" t="s">
        <v>1280</v>
      </c>
      <c r="FI3" t="s">
        <v>1281</v>
      </c>
      <c r="FJ3" t="s">
        <v>1282</v>
      </c>
      <c r="FK3" t="s">
        <v>1283</v>
      </c>
      <c r="FL3" t="s">
        <v>1284</v>
      </c>
      <c r="FM3" t="s">
        <v>1285</v>
      </c>
      <c r="FN3" t="s">
        <v>1286</v>
      </c>
      <c r="FO3" t="s">
        <v>1287</v>
      </c>
      <c r="FP3" t="s">
        <v>1288</v>
      </c>
      <c r="FQ3" t="s">
        <v>1289</v>
      </c>
      <c r="FR3" t="s">
        <v>1290</v>
      </c>
      <c r="FS3" t="s">
        <v>1291</v>
      </c>
      <c r="FT3" t="s">
        <v>1292</v>
      </c>
      <c r="FU3" t="s">
        <v>1293</v>
      </c>
      <c r="FV3" t="s">
        <v>1294</v>
      </c>
      <c r="FW3" t="s">
        <v>1295</v>
      </c>
      <c r="FX3" t="s">
        <v>1296</v>
      </c>
      <c r="FY3" t="s">
        <v>1297</v>
      </c>
      <c r="FZ3" t="s">
        <v>1298</v>
      </c>
      <c r="GA3" t="s">
        <v>1299</v>
      </c>
      <c r="GB3" t="s">
        <v>1300</v>
      </c>
      <c r="GC3" t="s">
        <v>1301</v>
      </c>
      <c r="GD3" t="s">
        <v>1302</v>
      </c>
      <c r="GE3" t="s">
        <v>1303</v>
      </c>
      <c r="GF3" t="s">
        <v>1304</v>
      </c>
      <c r="GG3" t="s">
        <v>1305</v>
      </c>
      <c r="GH3" t="s">
        <v>1306</v>
      </c>
      <c r="GI3" t="s">
        <v>1307</v>
      </c>
      <c r="GJ3" t="s">
        <v>1308</v>
      </c>
      <c r="GK3" t="s">
        <v>1309</v>
      </c>
      <c r="GL3" t="s">
        <v>1310</v>
      </c>
      <c r="GM3" t="s">
        <v>1311</v>
      </c>
      <c r="GN3" t="s">
        <v>1312</v>
      </c>
      <c r="GO3" t="s">
        <v>1313</v>
      </c>
      <c r="GP3" t="s">
        <v>1314</v>
      </c>
      <c r="GQ3" t="s">
        <v>1315</v>
      </c>
      <c r="GR3" t="s">
        <v>1316</v>
      </c>
      <c r="GS3" t="s">
        <v>1317</v>
      </c>
      <c r="GT3" t="s">
        <v>1318</v>
      </c>
      <c r="GU3" t="s">
        <v>1319</v>
      </c>
      <c r="GV3" t="s">
        <v>1320</v>
      </c>
      <c r="GW3" t="s">
        <v>1321</v>
      </c>
      <c r="GX3" t="s">
        <v>1322</v>
      </c>
      <c r="GY3" t="s">
        <v>1323</v>
      </c>
      <c r="GZ3" t="s">
        <v>1324</v>
      </c>
      <c r="HA3" t="s">
        <v>1325</v>
      </c>
      <c r="HB3" t="s">
        <v>1326</v>
      </c>
      <c r="HC3" t="s">
        <v>1327</v>
      </c>
      <c r="HD3" t="s">
        <v>1328</v>
      </c>
      <c r="HE3" t="s">
        <v>1329</v>
      </c>
      <c r="HF3" t="s">
        <v>1330</v>
      </c>
      <c r="HG3" t="s">
        <v>1331</v>
      </c>
      <c r="HH3" t="s">
        <v>1332</v>
      </c>
      <c r="HI3" t="s">
        <v>1333</v>
      </c>
      <c r="HJ3" t="s">
        <v>1334</v>
      </c>
      <c r="HK3" t="s">
        <v>1335</v>
      </c>
      <c r="HL3" t="s">
        <v>1336</v>
      </c>
      <c r="HM3" t="s">
        <v>1337</v>
      </c>
      <c r="HN3" t="s">
        <v>1338</v>
      </c>
      <c r="HO3" t="s">
        <v>1339</v>
      </c>
      <c r="HP3" t="s">
        <v>1340</v>
      </c>
      <c r="HQ3" t="s">
        <v>1341</v>
      </c>
      <c r="HR3" t="s">
        <v>1342</v>
      </c>
      <c r="HS3" t="s">
        <v>1343</v>
      </c>
      <c r="HT3" t="s">
        <v>1344</v>
      </c>
      <c r="HU3" t="s">
        <v>1345</v>
      </c>
      <c r="HV3" t="s">
        <v>1346</v>
      </c>
      <c r="HW3" t="s">
        <v>1347</v>
      </c>
      <c r="HX3" t="s">
        <v>1348</v>
      </c>
      <c r="HY3" t="s">
        <v>1349</v>
      </c>
      <c r="HZ3" t="s">
        <v>1350</v>
      </c>
      <c r="IA3" t="s">
        <v>1351</v>
      </c>
      <c r="IB3" t="s">
        <v>1352</v>
      </c>
      <c r="IC3" t="s">
        <v>1353</v>
      </c>
      <c r="ID3" t="s">
        <v>1354</v>
      </c>
      <c r="IE3" t="s">
        <v>1355</v>
      </c>
      <c r="IF3" t="s">
        <v>1356</v>
      </c>
      <c r="IG3" t="s">
        <v>1357</v>
      </c>
      <c r="IH3" t="s">
        <v>1358</v>
      </c>
      <c r="II3" t="s">
        <v>1359</v>
      </c>
      <c r="IJ3" t="s">
        <v>1360</v>
      </c>
      <c r="IK3" t="s">
        <v>1361</v>
      </c>
      <c r="IL3" t="s">
        <v>1362</v>
      </c>
      <c r="IM3" t="s">
        <v>1363</v>
      </c>
      <c r="IN3" t="s">
        <v>1364</v>
      </c>
      <c r="IO3" t="s">
        <v>1365</v>
      </c>
      <c r="IP3" t="s">
        <v>1366</v>
      </c>
      <c r="IQ3" t="s">
        <v>1367</v>
      </c>
      <c r="IR3" t="s">
        <v>1368</v>
      </c>
      <c r="IS3" t="s">
        <v>1369</v>
      </c>
      <c r="IT3" t="s">
        <v>1370</v>
      </c>
      <c r="IU3" t="s">
        <v>1371</v>
      </c>
      <c r="IV3" t="s">
        <v>1372</v>
      </c>
    </row>
    <row r="4" spans="1:256" x14ac:dyDescent="0.2">
      <c r="A4" t="s">
        <v>1373</v>
      </c>
      <c r="B4" t="s">
        <v>1374</v>
      </c>
      <c r="C4" t="s">
        <v>1375</v>
      </c>
      <c r="D4" t="s">
        <v>1376</v>
      </c>
      <c r="E4" t="s">
        <v>1377</v>
      </c>
      <c r="F4" t="s">
        <v>1378</v>
      </c>
      <c r="G4" t="s">
        <v>1379</v>
      </c>
      <c r="H4" t="s">
        <v>1380</v>
      </c>
      <c r="I4" t="s">
        <v>1381</v>
      </c>
      <c r="J4" t="s">
        <v>1382</v>
      </c>
      <c r="K4" t="s">
        <v>1383</v>
      </c>
      <c r="L4" t="s">
        <v>1384</v>
      </c>
      <c r="M4" t="s">
        <v>1385</v>
      </c>
      <c r="N4" t="s">
        <v>1386</v>
      </c>
      <c r="O4" t="s">
        <v>1387</v>
      </c>
      <c r="P4" t="s">
        <v>1388</v>
      </c>
      <c r="Q4" t="s">
        <v>1389</v>
      </c>
      <c r="R4" t="s">
        <v>1390</v>
      </c>
      <c r="S4" t="s">
        <v>1391</v>
      </c>
      <c r="T4" t="s">
        <v>1392</v>
      </c>
      <c r="U4" t="s">
        <v>1393</v>
      </c>
      <c r="V4" t="s">
        <v>1394</v>
      </c>
      <c r="W4" t="s">
        <v>1395</v>
      </c>
      <c r="X4" t="s">
        <v>1396</v>
      </c>
      <c r="Y4" t="s">
        <v>1397</v>
      </c>
      <c r="Z4" t="s">
        <v>1398</v>
      </c>
      <c r="AA4" t="s">
        <v>1399</v>
      </c>
      <c r="AB4" t="s">
        <v>1400</v>
      </c>
      <c r="AC4" t="s">
        <v>1401</v>
      </c>
      <c r="AD4" t="s">
        <v>1402</v>
      </c>
      <c r="AE4" t="s">
        <v>1403</v>
      </c>
      <c r="AF4" t="s">
        <v>1404</v>
      </c>
      <c r="AG4" t="s">
        <v>1405</v>
      </c>
      <c r="AH4" t="s">
        <v>1406</v>
      </c>
      <c r="AI4" t="s">
        <v>1407</v>
      </c>
      <c r="AJ4" t="s">
        <v>1408</v>
      </c>
      <c r="AK4" t="s">
        <v>1409</v>
      </c>
      <c r="AL4" t="s">
        <v>1410</v>
      </c>
      <c r="AM4" t="s">
        <v>1411</v>
      </c>
      <c r="AN4" t="s">
        <v>1412</v>
      </c>
      <c r="AO4" t="s">
        <v>1413</v>
      </c>
      <c r="AP4" t="s">
        <v>1414</v>
      </c>
      <c r="AQ4" t="s">
        <v>1415</v>
      </c>
      <c r="AR4" t="s">
        <v>1416</v>
      </c>
      <c r="AS4" t="s">
        <v>1417</v>
      </c>
      <c r="AT4" t="s">
        <v>1418</v>
      </c>
      <c r="AU4" t="s">
        <v>1419</v>
      </c>
      <c r="AV4" t="s">
        <v>1420</v>
      </c>
      <c r="AW4" t="s">
        <v>1421</v>
      </c>
      <c r="AX4" t="s">
        <v>1422</v>
      </c>
      <c r="AY4" t="s">
        <v>1423</v>
      </c>
      <c r="AZ4" t="s">
        <v>1424</v>
      </c>
      <c r="BA4" t="s">
        <v>1425</v>
      </c>
      <c r="BB4" t="s">
        <v>1426</v>
      </c>
      <c r="BC4" t="s">
        <v>1427</v>
      </c>
      <c r="BD4" t="s">
        <v>1428</v>
      </c>
      <c r="BE4" t="s">
        <v>1429</v>
      </c>
      <c r="BF4" t="s">
        <v>1430</v>
      </c>
      <c r="BG4" t="s">
        <v>1431</v>
      </c>
      <c r="BH4" t="s">
        <v>1432</v>
      </c>
      <c r="BI4" t="s">
        <v>1433</v>
      </c>
      <c r="BJ4" t="s">
        <v>1434</v>
      </c>
      <c r="BK4" t="s">
        <v>1435</v>
      </c>
      <c r="BL4" t="s">
        <v>1436</v>
      </c>
      <c r="BM4" t="s">
        <v>1437</v>
      </c>
      <c r="BN4" t="s">
        <v>1438</v>
      </c>
      <c r="BO4" t="s">
        <v>1439</v>
      </c>
      <c r="BP4" t="s">
        <v>1440</v>
      </c>
      <c r="BQ4" t="s">
        <v>1441</v>
      </c>
      <c r="BR4" t="s">
        <v>1442</v>
      </c>
      <c r="BS4" t="s">
        <v>1443</v>
      </c>
      <c r="BT4" t="s">
        <v>1444</v>
      </c>
      <c r="BU4" t="s">
        <v>1445</v>
      </c>
      <c r="BV4" t="s">
        <v>1446</v>
      </c>
      <c r="BW4" t="s">
        <v>1447</v>
      </c>
      <c r="BX4" t="s">
        <v>1448</v>
      </c>
      <c r="BY4" t="s">
        <v>1449</v>
      </c>
      <c r="BZ4" t="s">
        <v>1450</v>
      </c>
      <c r="CA4" t="s">
        <v>1451</v>
      </c>
      <c r="CB4" t="s">
        <v>1452</v>
      </c>
      <c r="CC4" t="s">
        <v>1453</v>
      </c>
      <c r="CD4" t="s">
        <v>1454</v>
      </c>
      <c r="CE4" t="s">
        <v>1455</v>
      </c>
      <c r="CF4" t="s">
        <v>1456</v>
      </c>
      <c r="CG4" t="s">
        <v>1457</v>
      </c>
      <c r="CH4" t="s">
        <v>1458</v>
      </c>
      <c r="CI4" t="s">
        <v>1459</v>
      </c>
      <c r="CJ4" t="s">
        <v>1460</v>
      </c>
      <c r="CK4" t="s">
        <v>1461</v>
      </c>
      <c r="CL4" t="s">
        <v>1462</v>
      </c>
      <c r="CM4" t="s">
        <v>1463</v>
      </c>
      <c r="CN4" t="s">
        <v>1464</v>
      </c>
      <c r="CO4" t="s">
        <v>1465</v>
      </c>
      <c r="CP4" t="s">
        <v>1466</v>
      </c>
      <c r="CQ4" t="s">
        <v>1467</v>
      </c>
      <c r="CR4" t="s">
        <v>1468</v>
      </c>
      <c r="CS4" t="s">
        <v>1469</v>
      </c>
      <c r="CT4" t="s">
        <v>1470</v>
      </c>
      <c r="CU4" t="s">
        <v>1471</v>
      </c>
      <c r="CV4" t="s">
        <v>1472</v>
      </c>
      <c r="CW4" t="s">
        <v>1473</v>
      </c>
      <c r="CX4" t="s">
        <v>1474</v>
      </c>
      <c r="CY4" t="s">
        <v>1475</v>
      </c>
      <c r="CZ4" t="s">
        <v>1476</v>
      </c>
      <c r="DA4" t="s">
        <v>1477</v>
      </c>
      <c r="DB4" t="s">
        <v>1478</v>
      </c>
      <c r="DC4" t="s">
        <v>1479</v>
      </c>
      <c r="DD4" t="s">
        <v>1480</v>
      </c>
      <c r="DE4" t="s">
        <v>1481</v>
      </c>
      <c r="DF4" t="s">
        <v>1482</v>
      </c>
      <c r="DG4" t="s">
        <v>1483</v>
      </c>
      <c r="DH4" t="s">
        <v>1484</v>
      </c>
      <c r="DI4" t="s">
        <v>1485</v>
      </c>
      <c r="DJ4" t="s">
        <v>1486</v>
      </c>
      <c r="DK4" t="s">
        <v>1487</v>
      </c>
      <c r="DL4" t="s">
        <v>1488</v>
      </c>
      <c r="DM4" t="s">
        <v>1489</v>
      </c>
      <c r="DN4" t="s">
        <v>1490</v>
      </c>
      <c r="DO4" t="s">
        <v>1491</v>
      </c>
      <c r="DP4" t="s">
        <v>1492</v>
      </c>
      <c r="DQ4" t="s">
        <v>1493</v>
      </c>
      <c r="DR4" t="s">
        <v>1494</v>
      </c>
      <c r="DS4" t="s">
        <v>1495</v>
      </c>
      <c r="DT4" t="s">
        <v>1496</v>
      </c>
      <c r="DU4" t="s">
        <v>1497</v>
      </c>
      <c r="DV4" t="s">
        <v>1498</v>
      </c>
      <c r="DW4" t="s">
        <v>1499</v>
      </c>
      <c r="DX4" t="s">
        <v>1500</v>
      </c>
      <c r="DY4" t="s">
        <v>1501</v>
      </c>
      <c r="DZ4" t="s">
        <v>1502</v>
      </c>
      <c r="EA4" t="s">
        <v>1503</v>
      </c>
      <c r="EB4" t="s">
        <v>1504</v>
      </c>
      <c r="EC4" t="s">
        <v>1505</v>
      </c>
      <c r="ED4" t="s">
        <v>1506</v>
      </c>
      <c r="EE4" t="s">
        <v>1507</v>
      </c>
      <c r="EF4" t="s">
        <v>1508</v>
      </c>
      <c r="EG4" t="s">
        <v>1509</v>
      </c>
      <c r="EH4" t="s">
        <v>1510</v>
      </c>
      <c r="EI4" t="s">
        <v>1511</v>
      </c>
      <c r="EJ4" t="s">
        <v>1512</v>
      </c>
      <c r="EK4" t="s">
        <v>1513</v>
      </c>
      <c r="EL4" t="s">
        <v>1514</v>
      </c>
      <c r="EM4" t="s">
        <v>1515</v>
      </c>
      <c r="EN4" t="s">
        <v>1516</v>
      </c>
      <c r="EO4" t="s">
        <v>1517</v>
      </c>
      <c r="EP4" t="s">
        <v>1518</v>
      </c>
      <c r="EQ4" t="s">
        <v>1519</v>
      </c>
      <c r="ER4" t="s">
        <v>1520</v>
      </c>
      <c r="ES4" t="s">
        <v>1521</v>
      </c>
      <c r="ET4" t="s">
        <v>1522</v>
      </c>
      <c r="EU4" t="s">
        <v>1523</v>
      </c>
      <c r="EV4" t="s">
        <v>1524</v>
      </c>
      <c r="EW4" t="s">
        <v>1525</v>
      </c>
      <c r="EX4" t="s">
        <v>1526</v>
      </c>
      <c r="EY4" t="s">
        <v>1527</v>
      </c>
      <c r="EZ4" t="s">
        <v>1528</v>
      </c>
      <c r="FA4" t="s">
        <v>1529</v>
      </c>
      <c r="FB4" t="s">
        <v>1530</v>
      </c>
      <c r="FC4" t="s">
        <v>1531</v>
      </c>
      <c r="FD4" t="s">
        <v>1532</v>
      </c>
      <c r="FE4" t="s">
        <v>1533</v>
      </c>
      <c r="FF4" t="s">
        <v>1534</v>
      </c>
      <c r="FG4" t="s">
        <v>1535</v>
      </c>
      <c r="FH4" t="s">
        <v>1536</v>
      </c>
      <c r="FI4" t="s">
        <v>1537</v>
      </c>
      <c r="FJ4" t="s">
        <v>1538</v>
      </c>
      <c r="FK4" t="s">
        <v>1539</v>
      </c>
      <c r="FL4" t="s">
        <v>1540</v>
      </c>
      <c r="FM4" t="s">
        <v>1541</v>
      </c>
      <c r="FN4" t="s">
        <v>1542</v>
      </c>
      <c r="FO4" t="s">
        <v>1543</v>
      </c>
      <c r="FP4" t="s">
        <v>1544</v>
      </c>
      <c r="FQ4" t="s">
        <v>1545</v>
      </c>
      <c r="FR4" t="s">
        <v>1546</v>
      </c>
      <c r="FS4" t="s">
        <v>1547</v>
      </c>
      <c r="FT4" t="s">
        <v>1548</v>
      </c>
      <c r="FU4" t="s">
        <v>1549</v>
      </c>
      <c r="FV4" t="s">
        <v>1550</v>
      </c>
      <c r="FW4" t="s">
        <v>1551</v>
      </c>
      <c r="FX4" t="s">
        <v>1552</v>
      </c>
      <c r="FY4" t="s">
        <v>1553</v>
      </c>
      <c r="FZ4" t="s">
        <v>1554</v>
      </c>
      <c r="GA4" t="s">
        <v>1555</v>
      </c>
      <c r="GB4" t="s">
        <v>1556</v>
      </c>
      <c r="GC4" t="s">
        <v>1557</v>
      </c>
      <c r="GD4" t="s">
        <v>1558</v>
      </c>
      <c r="GE4" t="s">
        <v>1559</v>
      </c>
      <c r="GF4" t="s">
        <v>1560</v>
      </c>
      <c r="GG4" t="s">
        <v>1561</v>
      </c>
      <c r="GH4" t="s">
        <v>1562</v>
      </c>
      <c r="GI4" t="s">
        <v>1563</v>
      </c>
      <c r="GJ4" t="s">
        <v>1564</v>
      </c>
      <c r="GK4" t="s">
        <v>1565</v>
      </c>
      <c r="GL4" t="s">
        <v>1566</v>
      </c>
      <c r="GM4" t="s">
        <v>1567</v>
      </c>
      <c r="GN4" t="s">
        <v>1568</v>
      </c>
      <c r="GO4" t="s">
        <v>1569</v>
      </c>
      <c r="GP4" t="s">
        <v>1570</v>
      </c>
      <c r="GQ4" t="s">
        <v>1571</v>
      </c>
      <c r="GR4" t="s">
        <v>1572</v>
      </c>
      <c r="GS4" t="s">
        <v>1573</v>
      </c>
      <c r="GT4" t="s">
        <v>1574</v>
      </c>
      <c r="GU4" t="s">
        <v>1575</v>
      </c>
      <c r="GV4" t="s">
        <v>1576</v>
      </c>
      <c r="GW4" t="s">
        <v>1577</v>
      </c>
      <c r="GX4" t="s">
        <v>1578</v>
      </c>
      <c r="GY4" t="s">
        <v>1579</v>
      </c>
      <c r="GZ4" t="s">
        <v>1580</v>
      </c>
      <c r="HA4" t="s">
        <v>1581</v>
      </c>
      <c r="HB4" t="s">
        <v>1582</v>
      </c>
      <c r="HC4" t="s">
        <v>1583</v>
      </c>
      <c r="HD4" t="s">
        <v>1584</v>
      </c>
      <c r="HE4" t="s">
        <v>1585</v>
      </c>
      <c r="HF4" t="s">
        <v>1586</v>
      </c>
      <c r="HG4" t="s">
        <v>1587</v>
      </c>
      <c r="HH4" t="s">
        <v>1588</v>
      </c>
      <c r="HI4" t="s">
        <v>1589</v>
      </c>
      <c r="HJ4" t="s">
        <v>1590</v>
      </c>
      <c r="HK4" t="s">
        <v>1591</v>
      </c>
      <c r="HL4" t="s">
        <v>1592</v>
      </c>
      <c r="HM4" t="s">
        <v>1593</v>
      </c>
      <c r="HN4" t="s">
        <v>1594</v>
      </c>
      <c r="HO4" t="s">
        <v>1595</v>
      </c>
      <c r="HP4" t="s">
        <v>1596</v>
      </c>
      <c r="HQ4" t="s">
        <v>1597</v>
      </c>
      <c r="HR4" t="s">
        <v>1598</v>
      </c>
      <c r="HS4" t="s">
        <v>1599</v>
      </c>
      <c r="HT4" t="s">
        <v>1600</v>
      </c>
      <c r="HU4" t="s">
        <v>1601</v>
      </c>
      <c r="HV4" t="s">
        <v>1602</v>
      </c>
      <c r="HW4" t="s">
        <v>1603</v>
      </c>
      <c r="HX4" t="s">
        <v>1604</v>
      </c>
      <c r="HY4" t="s">
        <v>1605</v>
      </c>
      <c r="HZ4" t="s">
        <v>1606</v>
      </c>
      <c r="IA4" t="s">
        <v>1607</v>
      </c>
      <c r="IB4" t="s">
        <v>1608</v>
      </c>
      <c r="IC4" t="s">
        <v>1609</v>
      </c>
      <c r="ID4" t="s">
        <v>1610</v>
      </c>
      <c r="IE4" t="s">
        <v>1611</v>
      </c>
      <c r="IF4" t="s">
        <v>1612</v>
      </c>
      <c r="IG4" t="s">
        <v>1613</v>
      </c>
      <c r="IH4" t="s">
        <v>1614</v>
      </c>
      <c r="II4" t="s">
        <v>1615</v>
      </c>
      <c r="IJ4" t="s">
        <v>1616</v>
      </c>
      <c r="IK4" t="s">
        <v>1617</v>
      </c>
      <c r="IL4" t="s">
        <v>1618</v>
      </c>
      <c r="IM4" t="s">
        <v>1619</v>
      </c>
      <c r="IN4" t="s">
        <v>1620</v>
      </c>
      <c r="IO4" t="s">
        <v>1621</v>
      </c>
      <c r="IP4" t="s">
        <v>1622</v>
      </c>
      <c r="IQ4" t="s">
        <v>1623</v>
      </c>
      <c r="IR4" t="s">
        <v>1624</v>
      </c>
      <c r="IS4" t="s">
        <v>1625</v>
      </c>
      <c r="IT4" t="s">
        <v>1626</v>
      </c>
      <c r="IU4" t="s">
        <v>1627</v>
      </c>
      <c r="IV4" t="s">
        <v>1628</v>
      </c>
    </row>
    <row r="5" spans="1:256" x14ac:dyDescent="0.2">
      <c r="A5" t="s">
        <v>1629</v>
      </c>
      <c r="B5" t="s">
        <v>1630</v>
      </c>
      <c r="C5" t="s">
        <v>1631</v>
      </c>
      <c r="D5" t="s">
        <v>1632</v>
      </c>
      <c r="E5" t="s">
        <v>1633</v>
      </c>
      <c r="F5" t="s">
        <v>1634</v>
      </c>
      <c r="G5" t="s">
        <v>1635</v>
      </c>
      <c r="H5" t="s">
        <v>1636</v>
      </c>
      <c r="I5" t="s">
        <v>1637</v>
      </c>
      <c r="J5" t="s">
        <v>1638</v>
      </c>
      <c r="K5" t="s">
        <v>1639</v>
      </c>
      <c r="L5" t="s">
        <v>1640</v>
      </c>
      <c r="M5" t="s">
        <v>1641</v>
      </c>
      <c r="N5" t="s">
        <v>1642</v>
      </c>
      <c r="O5" t="s">
        <v>1643</v>
      </c>
      <c r="P5" t="s">
        <v>1644</v>
      </c>
      <c r="Q5" t="s">
        <v>1645</v>
      </c>
      <c r="R5" t="s">
        <v>1646</v>
      </c>
      <c r="S5" t="s">
        <v>1647</v>
      </c>
      <c r="T5" t="s">
        <v>1648</v>
      </c>
      <c r="U5" t="s">
        <v>1649</v>
      </c>
      <c r="V5" t="s">
        <v>1650</v>
      </c>
      <c r="W5" t="s">
        <v>1651</v>
      </c>
      <c r="X5" t="s">
        <v>1652</v>
      </c>
      <c r="Y5" t="s">
        <v>1653</v>
      </c>
      <c r="Z5" t="s">
        <v>1654</v>
      </c>
      <c r="AA5" t="s">
        <v>1655</v>
      </c>
      <c r="AB5" t="s">
        <v>1656</v>
      </c>
      <c r="AC5" t="s">
        <v>1657</v>
      </c>
      <c r="AD5" t="s">
        <v>1658</v>
      </c>
      <c r="AE5" t="s">
        <v>1659</v>
      </c>
      <c r="AF5" t="s">
        <v>1660</v>
      </c>
      <c r="AG5" t="s">
        <v>1661</v>
      </c>
      <c r="AH5" t="s">
        <v>1662</v>
      </c>
      <c r="AI5" t="s">
        <v>1663</v>
      </c>
      <c r="AJ5" t="s">
        <v>1664</v>
      </c>
      <c r="AK5" t="s">
        <v>1665</v>
      </c>
      <c r="AL5" t="s">
        <v>1666</v>
      </c>
      <c r="AM5" t="s">
        <v>1667</v>
      </c>
      <c r="AN5" t="s">
        <v>1668</v>
      </c>
      <c r="AO5" t="s">
        <v>1669</v>
      </c>
      <c r="AP5" t="s">
        <v>1670</v>
      </c>
      <c r="AQ5" t="s">
        <v>1671</v>
      </c>
      <c r="AR5" t="s">
        <v>1672</v>
      </c>
      <c r="AS5" t="s">
        <v>1673</v>
      </c>
      <c r="AT5" t="s">
        <v>1674</v>
      </c>
      <c r="AU5" t="s">
        <v>1675</v>
      </c>
      <c r="AV5" t="s">
        <v>1676</v>
      </c>
      <c r="AW5" t="s">
        <v>1677</v>
      </c>
      <c r="AX5" t="s">
        <v>1678</v>
      </c>
      <c r="AY5" t="s">
        <v>1679</v>
      </c>
      <c r="AZ5" t="s">
        <v>1680</v>
      </c>
      <c r="BA5" t="s">
        <v>1681</v>
      </c>
      <c r="BB5" t="s">
        <v>1682</v>
      </c>
      <c r="BC5" t="s">
        <v>1683</v>
      </c>
      <c r="BD5" t="s">
        <v>1684</v>
      </c>
      <c r="BE5" t="s">
        <v>1685</v>
      </c>
      <c r="BF5" t="s">
        <v>1686</v>
      </c>
      <c r="BG5" t="s">
        <v>1687</v>
      </c>
      <c r="BH5" t="s">
        <v>1688</v>
      </c>
      <c r="BI5" t="s">
        <v>1689</v>
      </c>
      <c r="BJ5" t="s">
        <v>1690</v>
      </c>
      <c r="BK5" t="s">
        <v>1691</v>
      </c>
      <c r="BL5" t="s">
        <v>1692</v>
      </c>
      <c r="BM5" t="s">
        <v>1693</v>
      </c>
      <c r="BN5" t="s">
        <v>1694</v>
      </c>
      <c r="BO5" t="s">
        <v>1695</v>
      </c>
      <c r="BP5" t="s">
        <v>1696</v>
      </c>
      <c r="BQ5" t="s">
        <v>1697</v>
      </c>
      <c r="BR5" t="s">
        <v>1698</v>
      </c>
      <c r="BS5" t="s">
        <v>1699</v>
      </c>
      <c r="BT5" t="s">
        <v>1700</v>
      </c>
      <c r="BU5" t="s">
        <v>1701</v>
      </c>
      <c r="BV5" t="s">
        <v>1702</v>
      </c>
      <c r="BW5" t="s">
        <v>1703</v>
      </c>
      <c r="BX5" t="s">
        <v>1704</v>
      </c>
      <c r="BY5" t="s">
        <v>1705</v>
      </c>
      <c r="BZ5" t="s">
        <v>1706</v>
      </c>
      <c r="CA5" t="s">
        <v>1707</v>
      </c>
      <c r="CB5" t="s">
        <v>1708</v>
      </c>
      <c r="CC5" t="s">
        <v>1709</v>
      </c>
      <c r="CD5" t="s">
        <v>1710</v>
      </c>
      <c r="CE5" t="s">
        <v>1711</v>
      </c>
      <c r="CF5" t="s">
        <v>1712</v>
      </c>
      <c r="CG5" t="s">
        <v>1713</v>
      </c>
      <c r="CH5" t="s">
        <v>1714</v>
      </c>
      <c r="CI5" t="s">
        <v>1715</v>
      </c>
      <c r="CJ5" t="s">
        <v>1716</v>
      </c>
      <c r="CK5" t="s">
        <v>1717</v>
      </c>
      <c r="CL5" t="s">
        <v>1718</v>
      </c>
      <c r="CM5" t="s">
        <v>1719</v>
      </c>
      <c r="CN5" t="s">
        <v>1720</v>
      </c>
      <c r="CO5" t="s">
        <v>1721</v>
      </c>
      <c r="CP5" t="s">
        <v>1722</v>
      </c>
      <c r="CQ5" t="s">
        <v>1723</v>
      </c>
      <c r="CR5" t="s">
        <v>1724</v>
      </c>
      <c r="CS5" t="s">
        <v>1725</v>
      </c>
      <c r="CT5" t="s">
        <v>1726</v>
      </c>
      <c r="CU5" t="s">
        <v>1727</v>
      </c>
      <c r="CV5" t="s">
        <v>1728</v>
      </c>
      <c r="CW5" t="s">
        <v>1729</v>
      </c>
      <c r="CX5" t="s">
        <v>1730</v>
      </c>
      <c r="CY5" t="s">
        <v>1731</v>
      </c>
      <c r="CZ5" t="s">
        <v>1732</v>
      </c>
      <c r="DA5" t="s">
        <v>1733</v>
      </c>
      <c r="DB5" t="s">
        <v>1734</v>
      </c>
      <c r="DC5" t="s">
        <v>1735</v>
      </c>
      <c r="DD5" t="s">
        <v>1736</v>
      </c>
      <c r="DE5" t="s">
        <v>1737</v>
      </c>
      <c r="DF5" t="s">
        <v>1738</v>
      </c>
      <c r="DG5" t="s">
        <v>1739</v>
      </c>
      <c r="DH5" t="s">
        <v>1740</v>
      </c>
      <c r="DI5" t="s">
        <v>1741</v>
      </c>
      <c r="DJ5" t="s">
        <v>1742</v>
      </c>
      <c r="DK5" t="s">
        <v>1743</v>
      </c>
      <c r="DL5" t="s">
        <v>1744</v>
      </c>
      <c r="DM5" t="s">
        <v>1745</v>
      </c>
      <c r="DN5" t="s">
        <v>1746</v>
      </c>
      <c r="DO5" t="s">
        <v>1747</v>
      </c>
      <c r="DP5" t="s">
        <v>1748</v>
      </c>
      <c r="DQ5" t="s">
        <v>1749</v>
      </c>
      <c r="DR5" t="s">
        <v>1750</v>
      </c>
      <c r="DS5" t="s">
        <v>1751</v>
      </c>
      <c r="DT5" t="s">
        <v>1752</v>
      </c>
      <c r="DU5" t="s">
        <v>1753</v>
      </c>
      <c r="DV5" t="s">
        <v>1754</v>
      </c>
      <c r="DW5" t="s">
        <v>1755</v>
      </c>
      <c r="DX5" t="s">
        <v>1756</v>
      </c>
      <c r="DY5" t="s">
        <v>1757</v>
      </c>
      <c r="DZ5" t="s">
        <v>1758</v>
      </c>
      <c r="EA5" t="s">
        <v>1759</v>
      </c>
      <c r="EB5" t="s">
        <v>1760</v>
      </c>
      <c r="EC5" t="s">
        <v>1761</v>
      </c>
      <c r="ED5" t="s">
        <v>1762</v>
      </c>
      <c r="EE5" t="s">
        <v>1763</v>
      </c>
      <c r="EF5" t="s">
        <v>1764</v>
      </c>
      <c r="EG5" t="s">
        <v>1765</v>
      </c>
      <c r="EH5" t="s">
        <v>1766</v>
      </c>
      <c r="EI5" t="s">
        <v>1767</v>
      </c>
      <c r="EJ5" t="s">
        <v>1768</v>
      </c>
      <c r="EK5" t="s">
        <v>1769</v>
      </c>
      <c r="EL5" t="s">
        <v>1770</v>
      </c>
      <c r="EM5" t="s">
        <v>1771</v>
      </c>
      <c r="EN5" t="s">
        <v>1772</v>
      </c>
      <c r="EO5" t="s">
        <v>1773</v>
      </c>
      <c r="EP5" t="s">
        <v>1774</v>
      </c>
      <c r="EQ5" t="s">
        <v>1775</v>
      </c>
      <c r="ER5" t="s">
        <v>1776</v>
      </c>
      <c r="ES5" t="s">
        <v>1777</v>
      </c>
      <c r="ET5" t="s">
        <v>1778</v>
      </c>
      <c r="EU5" t="s">
        <v>1779</v>
      </c>
      <c r="EV5" t="s">
        <v>1780</v>
      </c>
      <c r="EW5" t="s">
        <v>1781</v>
      </c>
      <c r="EX5" t="s">
        <v>1782</v>
      </c>
      <c r="EY5" t="s">
        <v>1783</v>
      </c>
      <c r="EZ5" t="s">
        <v>1784</v>
      </c>
      <c r="FA5" t="s">
        <v>1785</v>
      </c>
      <c r="FB5" t="s">
        <v>1786</v>
      </c>
      <c r="FC5" t="s">
        <v>1787</v>
      </c>
      <c r="FD5" t="s">
        <v>1788</v>
      </c>
      <c r="FE5" t="s">
        <v>1789</v>
      </c>
      <c r="FF5" t="s">
        <v>1790</v>
      </c>
      <c r="FG5" t="s">
        <v>1791</v>
      </c>
      <c r="FH5" t="s">
        <v>1792</v>
      </c>
      <c r="FI5" t="s">
        <v>1793</v>
      </c>
      <c r="FJ5" t="s">
        <v>1794</v>
      </c>
      <c r="FK5" t="s">
        <v>1795</v>
      </c>
      <c r="FL5" t="s">
        <v>1796</v>
      </c>
      <c r="FM5" t="s">
        <v>1797</v>
      </c>
      <c r="FN5" t="s">
        <v>1798</v>
      </c>
      <c r="FO5" t="s">
        <v>1799</v>
      </c>
      <c r="FP5" t="s">
        <v>1800</v>
      </c>
      <c r="FQ5" t="s">
        <v>1801</v>
      </c>
      <c r="FR5" t="s">
        <v>1802</v>
      </c>
      <c r="FS5" t="s">
        <v>1803</v>
      </c>
      <c r="FT5" t="s">
        <v>1804</v>
      </c>
      <c r="FU5" t="s">
        <v>1805</v>
      </c>
      <c r="FV5" t="s">
        <v>1806</v>
      </c>
      <c r="FW5" t="s">
        <v>1807</v>
      </c>
      <c r="FX5" t="s">
        <v>1808</v>
      </c>
      <c r="FY5" t="s">
        <v>1809</v>
      </c>
      <c r="FZ5" t="s">
        <v>1810</v>
      </c>
      <c r="GA5" t="s">
        <v>1811</v>
      </c>
      <c r="GB5" t="s">
        <v>1812</v>
      </c>
      <c r="GC5" t="s">
        <v>1813</v>
      </c>
      <c r="GD5" t="s">
        <v>1814</v>
      </c>
      <c r="GE5" t="s">
        <v>1815</v>
      </c>
      <c r="GF5" t="s">
        <v>1816</v>
      </c>
      <c r="GG5" t="s">
        <v>1817</v>
      </c>
      <c r="GH5" t="s">
        <v>1818</v>
      </c>
      <c r="GI5" t="s">
        <v>1819</v>
      </c>
      <c r="GJ5" t="s">
        <v>1820</v>
      </c>
      <c r="GK5" t="s">
        <v>1821</v>
      </c>
      <c r="GL5" t="s">
        <v>1822</v>
      </c>
      <c r="GM5" t="s">
        <v>1823</v>
      </c>
      <c r="GN5" t="s">
        <v>1824</v>
      </c>
      <c r="GO5" t="s">
        <v>1825</v>
      </c>
      <c r="GP5" t="s">
        <v>1826</v>
      </c>
      <c r="GQ5" t="s">
        <v>1827</v>
      </c>
      <c r="GR5" t="s">
        <v>1828</v>
      </c>
      <c r="GS5" t="s">
        <v>1829</v>
      </c>
      <c r="GT5" t="s">
        <v>1830</v>
      </c>
      <c r="GU5" t="s">
        <v>1831</v>
      </c>
      <c r="GV5" t="s">
        <v>1832</v>
      </c>
      <c r="GW5" t="s">
        <v>1833</v>
      </c>
      <c r="GX5" t="s">
        <v>1834</v>
      </c>
      <c r="GY5" t="s">
        <v>1835</v>
      </c>
      <c r="GZ5" t="s">
        <v>1836</v>
      </c>
      <c r="HA5" t="s">
        <v>1837</v>
      </c>
      <c r="HB5" t="s">
        <v>1838</v>
      </c>
      <c r="HC5" t="s">
        <v>1839</v>
      </c>
      <c r="HD5" t="s">
        <v>1840</v>
      </c>
      <c r="HE5" t="s">
        <v>1841</v>
      </c>
      <c r="HF5" t="s">
        <v>1842</v>
      </c>
      <c r="HG5" t="s">
        <v>1843</v>
      </c>
      <c r="HH5" t="s">
        <v>1844</v>
      </c>
      <c r="HI5" t="s">
        <v>1845</v>
      </c>
      <c r="HJ5" t="s">
        <v>1846</v>
      </c>
      <c r="HK5" t="s">
        <v>1847</v>
      </c>
      <c r="HL5" t="s">
        <v>1848</v>
      </c>
      <c r="HM5" t="s">
        <v>1849</v>
      </c>
      <c r="HN5" t="s">
        <v>1850</v>
      </c>
      <c r="HO5" t="s">
        <v>1851</v>
      </c>
      <c r="HP5" t="s">
        <v>1852</v>
      </c>
      <c r="HQ5" t="s">
        <v>1853</v>
      </c>
      <c r="HR5" t="s">
        <v>1854</v>
      </c>
      <c r="HS5" t="s">
        <v>1855</v>
      </c>
      <c r="HT5" t="s">
        <v>1856</v>
      </c>
      <c r="HU5" t="s">
        <v>1857</v>
      </c>
      <c r="HV5" t="s">
        <v>1858</v>
      </c>
      <c r="HW5" t="s">
        <v>1859</v>
      </c>
      <c r="HX5" t="s">
        <v>1860</v>
      </c>
      <c r="HY5" t="s">
        <v>1861</v>
      </c>
      <c r="HZ5" t="s">
        <v>1862</v>
      </c>
      <c r="IA5" t="s">
        <v>1863</v>
      </c>
      <c r="IB5" t="s">
        <v>1864</v>
      </c>
      <c r="IC5" t="s">
        <v>1865</v>
      </c>
      <c r="ID5" t="s">
        <v>1866</v>
      </c>
      <c r="IE5" t="s">
        <v>1867</v>
      </c>
      <c r="IF5" t="s">
        <v>1868</v>
      </c>
      <c r="IG5" t="s">
        <v>1869</v>
      </c>
      <c r="IH5" t="s">
        <v>1870</v>
      </c>
      <c r="II5" t="s">
        <v>1871</v>
      </c>
      <c r="IJ5" t="s">
        <v>1872</v>
      </c>
      <c r="IK5" t="s">
        <v>1873</v>
      </c>
      <c r="IL5" t="s">
        <v>1874</v>
      </c>
      <c r="IM5" t="s">
        <v>1875</v>
      </c>
      <c r="IN5" t="s">
        <v>1876</v>
      </c>
      <c r="IO5" t="s">
        <v>1877</v>
      </c>
      <c r="IP5" t="s">
        <v>1878</v>
      </c>
      <c r="IQ5" t="s">
        <v>1879</v>
      </c>
      <c r="IR5" t="s">
        <v>1880</v>
      </c>
      <c r="IS5" t="s">
        <v>1881</v>
      </c>
      <c r="IT5" t="s">
        <v>1882</v>
      </c>
      <c r="IU5" t="s">
        <v>1883</v>
      </c>
      <c r="IV5" t="s">
        <v>1884</v>
      </c>
    </row>
    <row r="6" spans="1:256" x14ac:dyDescent="0.2">
      <c r="A6" t="s">
        <v>1885</v>
      </c>
      <c r="B6" t="s">
        <v>1886</v>
      </c>
      <c r="C6" t="s">
        <v>1887</v>
      </c>
      <c r="D6" t="s">
        <v>1888</v>
      </c>
      <c r="E6" t="s">
        <v>1889</v>
      </c>
      <c r="F6" t="s">
        <v>1890</v>
      </c>
      <c r="G6" t="s">
        <v>1891</v>
      </c>
      <c r="H6" t="s">
        <v>1892</v>
      </c>
      <c r="I6" t="s">
        <v>1893</v>
      </c>
      <c r="J6" t="s">
        <v>1894</v>
      </c>
      <c r="K6" t="s">
        <v>1895</v>
      </c>
      <c r="L6" t="s">
        <v>1896</v>
      </c>
      <c r="M6" t="s">
        <v>1897</v>
      </c>
      <c r="N6" t="s">
        <v>1898</v>
      </c>
      <c r="O6" t="s">
        <v>1899</v>
      </c>
      <c r="P6" t="s">
        <v>1900</v>
      </c>
      <c r="Q6" t="s">
        <v>1901</v>
      </c>
      <c r="R6" t="s">
        <v>1902</v>
      </c>
      <c r="S6" t="s">
        <v>1903</v>
      </c>
      <c r="T6" t="s">
        <v>1904</v>
      </c>
      <c r="U6" t="s">
        <v>1905</v>
      </c>
      <c r="V6" t="s">
        <v>1906</v>
      </c>
      <c r="W6" t="s">
        <v>1907</v>
      </c>
      <c r="X6" t="s">
        <v>1908</v>
      </c>
      <c r="Y6" t="s">
        <v>1909</v>
      </c>
      <c r="Z6" t="s">
        <v>1910</v>
      </c>
      <c r="AA6" t="s">
        <v>1911</v>
      </c>
      <c r="AB6" t="s">
        <v>1912</v>
      </c>
      <c r="AC6" t="s">
        <v>1913</v>
      </c>
      <c r="AD6" t="s">
        <v>1914</v>
      </c>
      <c r="AE6" t="s">
        <v>1915</v>
      </c>
      <c r="AF6" t="s">
        <v>1916</v>
      </c>
      <c r="AG6" t="s">
        <v>1917</v>
      </c>
      <c r="AH6" t="s">
        <v>1918</v>
      </c>
      <c r="AI6" t="s">
        <v>1919</v>
      </c>
      <c r="AJ6" t="s">
        <v>1920</v>
      </c>
      <c r="AK6" t="s">
        <v>1921</v>
      </c>
      <c r="AL6" t="s">
        <v>1922</v>
      </c>
      <c r="AM6" t="s">
        <v>1923</v>
      </c>
      <c r="AN6" t="s">
        <v>1924</v>
      </c>
      <c r="AO6" t="s">
        <v>1925</v>
      </c>
      <c r="AP6" t="s">
        <v>1926</v>
      </c>
      <c r="AQ6" t="s">
        <v>1927</v>
      </c>
      <c r="AR6" t="s">
        <v>1928</v>
      </c>
      <c r="AS6" t="s">
        <v>1929</v>
      </c>
      <c r="AT6" t="s">
        <v>1930</v>
      </c>
      <c r="AU6" t="s">
        <v>1931</v>
      </c>
      <c r="AV6" t="s">
        <v>1932</v>
      </c>
      <c r="AW6" t="s">
        <v>1933</v>
      </c>
      <c r="AX6" t="s">
        <v>1934</v>
      </c>
      <c r="AY6" t="s">
        <v>1935</v>
      </c>
      <c r="AZ6" t="s">
        <v>1936</v>
      </c>
      <c r="BA6" t="s">
        <v>1937</v>
      </c>
      <c r="BB6" t="s">
        <v>1938</v>
      </c>
      <c r="BC6" t="s">
        <v>1939</v>
      </c>
      <c r="BD6" t="s">
        <v>1940</v>
      </c>
      <c r="BE6" t="s">
        <v>1941</v>
      </c>
      <c r="BF6" t="s">
        <v>1942</v>
      </c>
      <c r="BG6" t="s">
        <v>1943</v>
      </c>
      <c r="BH6" t="s">
        <v>1944</v>
      </c>
      <c r="BI6" t="s">
        <v>1945</v>
      </c>
      <c r="BJ6" t="s">
        <v>1946</v>
      </c>
      <c r="BK6" t="s">
        <v>1947</v>
      </c>
      <c r="BL6" t="s">
        <v>1948</v>
      </c>
      <c r="BM6" t="s">
        <v>1949</v>
      </c>
      <c r="BN6" t="s">
        <v>1950</v>
      </c>
      <c r="BO6" t="s">
        <v>1951</v>
      </c>
      <c r="BP6" t="s">
        <v>1952</v>
      </c>
      <c r="BQ6" t="s">
        <v>1953</v>
      </c>
      <c r="BR6" t="s">
        <v>1954</v>
      </c>
      <c r="BS6" t="s">
        <v>1955</v>
      </c>
      <c r="BT6" t="s">
        <v>1956</v>
      </c>
      <c r="BU6" t="s">
        <v>1957</v>
      </c>
      <c r="BV6" t="s">
        <v>1958</v>
      </c>
      <c r="BW6" t="s">
        <v>1959</v>
      </c>
      <c r="BX6" t="s">
        <v>1960</v>
      </c>
      <c r="BY6" t="s">
        <v>1961</v>
      </c>
      <c r="BZ6" t="s">
        <v>1962</v>
      </c>
      <c r="CA6" t="s">
        <v>1963</v>
      </c>
      <c r="CB6" t="s">
        <v>1964</v>
      </c>
      <c r="CC6" t="s">
        <v>1965</v>
      </c>
      <c r="CD6" t="s">
        <v>1966</v>
      </c>
      <c r="CE6" t="s">
        <v>1967</v>
      </c>
      <c r="CF6" t="s">
        <v>1968</v>
      </c>
      <c r="CG6" t="s">
        <v>1969</v>
      </c>
      <c r="CH6" t="s">
        <v>1970</v>
      </c>
      <c r="CI6" t="s">
        <v>1971</v>
      </c>
      <c r="CJ6" t="s">
        <v>1972</v>
      </c>
      <c r="CK6" t="s">
        <v>1973</v>
      </c>
      <c r="CL6" t="s">
        <v>1974</v>
      </c>
      <c r="CM6" t="s">
        <v>1975</v>
      </c>
      <c r="CN6" t="s">
        <v>1976</v>
      </c>
      <c r="CO6" t="s">
        <v>1977</v>
      </c>
      <c r="CP6" t="s">
        <v>1978</v>
      </c>
      <c r="CQ6" t="s">
        <v>1979</v>
      </c>
      <c r="CR6" t="s">
        <v>1980</v>
      </c>
      <c r="CS6" t="s">
        <v>1981</v>
      </c>
      <c r="CT6" t="s">
        <v>1982</v>
      </c>
      <c r="CU6" t="s">
        <v>1983</v>
      </c>
      <c r="CV6" t="s">
        <v>1984</v>
      </c>
      <c r="CW6" t="s">
        <v>1985</v>
      </c>
      <c r="CX6" t="s">
        <v>1986</v>
      </c>
      <c r="CY6" t="s">
        <v>1987</v>
      </c>
      <c r="CZ6" t="s">
        <v>1988</v>
      </c>
      <c r="DA6" t="s">
        <v>1989</v>
      </c>
      <c r="DB6" t="s">
        <v>1990</v>
      </c>
      <c r="DC6" t="s">
        <v>1991</v>
      </c>
      <c r="DD6" t="s">
        <v>1992</v>
      </c>
      <c r="DE6" t="s">
        <v>1993</v>
      </c>
      <c r="DF6" t="s">
        <v>1994</v>
      </c>
      <c r="DG6" t="s">
        <v>1995</v>
      </c>
      <c r="DH6" t="s">
        <v>1996</v>
      </c>
      <c r="DI6" t="s">
        <v>1997</v>
      </c>
      <c r="DJ6" t="s">
        <v>1998</v>
      </c>
      <c r="DK6" t="s">
        <v>1999</v>
      </c>
      <c r="DL6" t="s">
        <v>2000</v>
      </c>
      <c r="DM6" t="s">
        <v>2001</v>
      </c>
      <c r="DN6" t="s">
        <v>2002</v>
      </c>
      <c r="DO6" t="s">
        <v>2003</v>
      </c>
      <c r="DP6" t="s">
        <v>2004</v>
      </c>
      <c r="DQ6" t="s">
        <v>2005</v>
      </c>
      <c r="DR6" t="s">
        <v>2006</v>
      </c>
      <c r="DS6" t="s">
        <v>2007</v>
      </c>
      <c r="DT6" t="s">
        <v>2008</v>
      </c>
      <c r="DU6" t="s">
        <v>2009</v>
      </c>
      <c r="DV6" t="s">
        <v>2010</v>
      </c>
      <c r="DW6" t="s">
        <v>2011</v>
      </c>
      <c r="DX6" t="s">
        <v>2012</v>
      </c>
      <c r="DY6" t="s">
        <v>2013</v>
      </c>
      <c r="DZ6" t="s">
        <v>2014</v>
      </c>
      <c r="EA6" t="s">
        <v>2015</v>
      </c>
      <c r="EB6" t="s">
        <v>2016</v>
      </c>
      <c r="EC6" t="s">
        <v>2017</v>
      </c>
      <c r="ED6" t="s">
        <v>2018</v>
      </c>
      <c r="EE6" t="s">
        <v>2019</v>
      </c>
      <c r="EF6" t="s">
        <v>2020</v>
      </c>
      <c r="EG6" t="s">
        <v>2021</v>
      </c>
      <c r="EH6" t="s">
        <v>2022</v>
      </c>
      <c r="EI6" t="s">
        <v>2023</v>
      </c>
      <c r="EJ6" t="s">
        <v>2024</v>
      </c>
      <c r="EK6" t="s">
        <v>2025</v>
      </c>
      <c r="EL6" t="s">
        <v>2026</v>
      </c>
      <c r="EM6" t="s">
        <v>2027</v>
      </c>
      <c r="EN6" t="s">
        <v>2028</v>
      </c>
      <c r="EO6" t="s">
        <v>2029</v>
      </c>
      <c r="EP6" t="s">
        <v>2030</v>
      </c>
      <c r="EQ6" t="s">
        <v>2031</v>
      </c>
      <c r="ER6" t="s">
        <v>2032</v>
      </c>
      <c r="ES6" t="s">
        <v>2033</v>
      </c>
      <c r="ET6" t="s">
        <v>2034</v>
      </c>
      <c r="EU6" t="s">
        <v>2035</v>
      </c>
      <c r="EV6" t="s">
        <v>2036</v>
      </c>
      <c r="EW6" t="s">
        <v>2037</v>
      </c>
      <c r="EX6" t="s">
        <v>2038</v>
      </c>
      <c r="EY6" t="s">
        <v>2039</v>
      </c>
      <c r="EZ6" t="s">
        <v>2040</v>
      </c>
      <c r="FA6" t="s">
        <v>2041</v>
      </c>
      <c r="FB6" t="s">
        <v>2042</v>
      </c>
      <c r="FC6" t="s">
        <v>2043</v>
      </c>
      <c r="FD6" t="s">
        <v>2044</v>
      </c>
      <c r="FE6" t="s">
        <v>2045</v>
      </c>
      <c r="FF6" t="s">
        <v>2046</v>
      </c>
      <c r="FG6" t="s">
        <v>2047</v>
      </c>
      <c r="FH6" t="s">
        <v>2048</v>
      </c>
      <c r="FI6" t="s">
        <v>2049</v>
      </c>
      <c r="FJ6" t="s">
        <v>2050</v>
      </c>
      <c r="FK6" t="s">
        <v>2051</v>
      </c>
      <c r="FL6" t="s">
        <v>2052</v>
      </c>
      <c r="FM6" t="s">
        <v>2053</v>
      </c>
      <c r="FN6" t="s">
        <v>2054</v>
      </c>
      <c r="FO6" t="s">
        <v>2055</v>
      </c>
      <c r="FP6" t="s">
        <v>2056</v>
      </c>
      <c r="FQ6" t="s">
        <v>2057</v>
      </c>
      <c r="FR6" t="s">
        <v>2058</v>
      </c>
      <c r="FS6" t="s">
        <v>2059</v>
      </c>
      <c r="FT6" t="s">
        <v>2060</v>
      </c>
      <c r="FU6" t="s">
        <v>2061</v>
      </c>
      <c r="FV6" t="s">
        <v>2062</v>
      </c>
      <c r="FW6" t="s">
        <v>2063</v>
      </c>
      <c r="FX6" t="s">
        <v>2064</v>
      </c>
      <c r="FY6" t="s">
        <v>2065</v>
      </c>
      <c r="FZ6" t="s">
        <v>2066</v>
      </c>
      <c r="GA6" t="s">
        <v>2067</v>
      </c>
      <c r="GB6" t="s">
        <v>2068</v>
      </c>
      <c r="GC6" t="s">
        <v>2069</v>
      </c>
      <c r="GD6" t="s">
        <v>2070</v>
      </c>
      <c r="GE6" t="s">
        <v>2071</v>
      </c>
      <c r="GF6" t="s">
        <v>2072</v>
      </c>
      <c r="GG6" t="s">
        <v>2073</v>
      </c>
      <c r="GH6" t="s">
        <v>2074</v>
      </c>
      <c r="GI6" t="s">
        <v>2075</v>
      </c>
      <c r="GJ6" t="s">
        <v>2076</v>
      </c>
      <c r="GK6" t="s">
        <v>2077</v>
      </c>
      <c r="GL6" t="s">
        <v>2078</v>
      </c>
      <c r="GM6" t="s">
        <v>2079</v>
      </c>
      <c r="GN6" t="s">
        <v>2080</v>
      </c>
      <c r="GO6" t="s">
        <v>2081</v>
      </c>
      <c r="GP6" t="s">
        <v>2082</v>
      </c>
      <c r="GQ6" t="s">
        <v>2083</v>
      </c>
      <c r="GR6" t="s">
        <v>2084</v>
      </c>
      <c r="GS6" t="s">
        <v>2085</v>
      </c>
      <c r="GT6" t="s">
        <v>2086</v>
      </c>
      <c r="GU6" t="s">
        <v>2087</v>
      </c>
      <c r="GV6" t="s">
        <v>2088</v>
      </c>
      <c r="GW6" t="s">
        <v>2089</v>
      </c>
      <c r="GX6" t="s">
        <v>2090</v>
      </c>
      <c r="GY6" t="s">
        <v>2091</v>
      </c>
      <c r="GZ6" t="s">
        <v>2092</v>
      </c>
      <c r="HA6" t="s">
        <v>2093</v>
      </c>
      <c r="HB6" t="s">
        <v>2094</v>
      </c>
      <c r="HC6" t="s">
        <v>2095</v>
      </c>
      <c r="HD6" t="s">
        <v>2096</v>
      </c>
      <c r="HE6" t="s">
        <v>2097</v>
      </c>
      <c r="HF6" t="s">
        <v>2098</v>
      </c>
      <c r="HG6" t="s">
        <v>2099</v>
      </c>
      <c r="HH6" t="s">
        <v>2100</v>
      </c>
      <c r="HI6" t="s">
        <v>2101</v>
      </c>
      <c r="HJ6" t="s">
        <v>2102</v>
      </c>
      <c r="HK6" t="s">
        <v>2103</v>
      </c>
      <c r="HL6" t="s">
        <v>2104</v>
      </c>
      <c r="HM6" t="s">
        <v>2105</v>
      </c>
      <c r="HN6" t="s">
        <v>2106</v>
      </c>
      <c r="HO6" t="s">
        <v>2107</v>
      </c>
      <c r="HP6" t="s">
        <v>2108</v>
      </c>
      <c r="HQ6" t="s">
        <v>2109</v>
      </c>
      <c r="HR6" t="s">
        <v>2110</v>
      </c>
      <c r="HS6" t="s">
        <v>2111</v>
      </c>
      <c r="HT6" t="s">
        <v>2112</v>
      </c>
      <c r="HU6" t="s">
        <v>2113</v>
      </c>
      <c r="HV6" t="s">
        <v>2114</v>
      </c>
      <c r="HW6" t="s">
        <v>2115</v>
      </c>
      <c r="HX6" t="s">
        <v>2116</v>
      </c>
      <c r="HY6" t="s">
        <v>2117</v>
      </c>
      <c r="HZ6" t="s">
        <v>2118</v>
      </c>
      <c r="IA6" t="s">
        <v>2119</v>
      </c>
      <c r="IB6" t="s">
        <v>2120</v>
      </c>
      <c r="IC6" t="s">
        <v>2121</v>
      </c>
      <c r="ID6" t="s">
        <v>2122</v>
      </c>
      <c r="IE6" t="s">
        <v>2123</v>
      </c>
      <c r="IF6" t="s">
        <v>2124</v>
      </c>
      <c r="IG6" t="s">
        <v>2125</v>
      </c>
      <c r="IH6" t="s">
        <v>2126</v>
      </c>
      <c r="II6" t="s">
        <v>2127</v>
      </c>
      <c r="IJ6" t="s">
        <v>2128</v>
      </c>
      <c r="IK6" t="s">
        <v>2129</v>
      </c>
      <c r="IL6" t="s">
        <v>2130</v>
      </c>
      <c r="IM6" t="s">
        <v>2131</v>
      </c>
      <c r="IN6" t="s">
        <v>2132</v>
      </c>
      <c r="IO6" t="s">
        <v>2133</v>
      </c>
      <c r="IP6" t="s">
        <v>2134</v>
      </c>
      <c r="IQ6" t="s">
        <v>2135</v>
      </c>
      <c r="IR6" t="s">
        <v>2136</v>
      </c>
      <c r="IS6" t="s">
        <v>2137</v>
      </c>
      <c r="IT6" t="s">
        <v>2138</v>
      </c>
      <c r="IU6" t="s">
        <v>2139</v>
      </c>
      <c r="IV6" t="s">
        <v>2140</v>
      </c>
    </row>
    <row r="7" spans="1:256" x14ac:dyDescent="0.2">
      <c r="A7" t="s">
        <v>2141</v>
      </c>
      <c r="B7" t="s">
        <v>2142</v>
      </c>
      <c r="C7" t="s">
        <v>2143</v>
      </c>
      <c r="D7" t="s">
        <v>2144</v>
      </c>
      <c r="E7" t="s">
        <v>2145</v>
      </c>
      <c r="F7" t="s">
        <v>2146</v>
      </c>
      <c r="G7" t="s">
        <v>2147</v>
      </c>
      <c r="H7" t="s">
        <v>2148</v>
      </c>
      <c r="I7" t="s">
        <v>2149</v>
      </c>
      <c r="J7" t="s">
        <v>2150</v>
      </c>
      <c r="K7" t="s">
        <v>2151</v>
      </c>
      <c r="L7" t="s">
        <v>2152</v>
      </c>
      <c r="M7" t="s">
        <v>2153</v>
      </c>
      <c r="N7" t="s">
        <v>2154</v>
      </c>
      <c r="O7" t="s">
        <v>2155</v>
      </c>
      <c r="P7" t="s">
        <v>2156</v>
      </c>
      <c r="Q7" t="s">
        <v>2157</v>
      </c>
      <c r="R7" t="s">
        <v>2158</v>
      </c>
      <c r="S7" t="s">
        <v>2159</v>
      </c>
      <c r="T7" t="s">
        <v>2160</v>
      </c>
      <c r="U7" t="s">
        <v>2161</v>
      </c>
      <c r="V7" t="s">
        <v>2162</v>
      </c>
      <c r="W7" t="s">
        <v>2163</v>
      </c>
      <c r="X7" t="s">
        <v>2164</v>
      </c>
      <c r="Y7" t="s">
        <v>2165</v>
      </c>
      <c r="Z7" t="s">
        <v>2166</v>
      </c>
      <c r="AA7" t="s">
        <v>2167</v>
      </c>
      <c r="AB7" t="s">
        <v>2168</v>
      </c>
      <c r="AC7" t="s">
        <v>2169</v>
      </c>
      <c r="AD7" t="s">
        <v>2170</v>
      </c>
      <c r="AE7" t="s">
        <v>2171</v>
      </c>
      <c r="AF7" t="s">
        <v>2172</v>
      </c>
      <c r="AG7" t="s">
        <v>2173</v>
      </c>
      <c r="AH7" t="s">
        <v>2174</v>
      </c>
      <c r="AI7" t="s">
        <v>2175</v>
      </c>
      <c r="AJ7" t="s">
        <v>2176</v>
      </c>
      <c r="AK7" t="s">
        <v>2177</v>
      </c>
      <c r="AL7" t="s">
        <v>2178</v>
      </c>
      <c r="AM7" t="s">
        <v>2179</v>
      </c>
      <c r="AN7" t="s">
        <v>2180</v>
      </c>
      <c r="AO7" t="s">
        <v>2181</v>
      </c>
      <c r="AP7" t="s">
        <v>2182</v>
      </c>
      <c r="AQ7" t="s">
        <v>2183</v>
      </c>
      <c r="AR7" t="s">
        <v>2184</v>
      </c>
      <c r="AS7" t="s">
        <v>2185</v>
      </c>
      <c r="AT7" t="s">
        <v>2186</v>
      </c>
      <c r="AU7" t="s">
        <v>2187</v>
      </c>
      <c r="AV7" t="s">
        <v>2188</v>
      </c>
      <c r="AW7" t="s">
        <v>2189</v>
      </c>
      <c r="AX7" t="s">
        <v>2190</v>
      </c>
      <c r="AY7" t="s">
        <v>2191</v>
      </c>
      <c r="AZ7" t="s">
        <v>2192</v>
      </c>
      <c r="BA7" t="s">
        <v>2193</v>
      </c>
      <c r="BB7" t="s">
        <v>2194</v>
      </c>
      <c r="BC7" t="s">
        <v>2195</v>
      </c>
      <c r="BD7" t="s">
        <v>2196</v>
      </c>
      <c r="BE7" t="s">
        <v>2197</v>
      </c>
      <c r="BF7" t="s">
        <v>2198</v>
      </c>
      <c r="BG7" t="s">
        <v>2199</v>
      </c>
      <c r="BH7" t="s">
        <v>2200</v>
      </c>
      <c r="BI7" t="s">
        <v>2201</v>
      </c>
      <c r="BJ7" t="s">
        <v>2202</v>
      </c>
      <c r="BK7" t="s">
        <v>2203</v>
      </c>
      <c r="BL7" t="s">
        <v>2204</v>
      </c>
      <c r="BM7" t="s">
        <v>2205</v>
      </c>
      <c r="BN7" t="s">
        <v>2206</v>
      </c>
      <c r="BO7" t="s">
        <v>2207</v>
      </c>
      <c r="BP7" t="s">
        <v>2208</v>
      </c>
      <c r="BQ7" t="s">
        <v>2209</v>
      </c>
      <c r="BR7" t="s">
        <v>2210</v>
      </c>
      <c r="BS7" t="s">
        <v>2211</v>
      </c>
      <c r="BT7" t="s">
        <v>2212</v>
      </c>
      <c r="BU7" t="s">
        <v>2213</v>
      </c>
      <c r="BV7" t="s">
        <v>2214</v>
      </c>
      <c r="BW7" t="s">
        <v>2215</v>
      </c>
      <c r="BX7" t="s">
        <v>2216</v>
      </c>
      <c r="BY7" t="s">
        <v>2217</v>
      </c>
      <c r="BZ7" t="s">
        <v>2218</v>
      </c>
      <c r="CA7" t="s">
        <v>2219</v>
      </c>
      <c r="CB7" t="s">
        <v>2220</v>
      </c>
      <c r="CC7" t="s">
        <v>2221</v>
      </c>
      <c r="CD7" t="s">
        <v>2222</v>
      </c>
      <c r="CE7" t="s">
        <v>2223</v>
      </c>
      <c r="CF7" t="s">
        <v>2224</v>
      </c>
      <c r="CG7" t="s">
        <v>2225</v>
      </c>
      <c r="CH7" t="s">
        <v>2226</v>
      </c>
      <c r="CI7" t="s">
        <v>2227</v>
      </c>
      <c r="CJ7" t="s">
        <v>2228</v>
      </c>
      <c r="CK7" t="s">
        <v>2229</v>
      </c>
      <c r="CL7" t="s">
        <v>2230</v>
      </c>
      <c r="CM7" t="s">
        <v>2231</v>
      </c>
      <c r="CN7" t="s">
        <v>2232</v>
      </c>
      <c r="CO7" t="s">
        <v>2233</v>
      </c>
      <c r="CP7" t="s">
        <v>2234</v>
      </c>
      <c r="CQ7" t="s">
        <v>2235</v>
      </c>
      <c r="CR7" t="s">
        <v>2236</v>
      </c>
      <c r="CS7" t="s">
        <v>2237</v>
      </c>
      <c r="CT7" t="s">
        <v>2238</v>
      </c>
      <c r="CU7" t="s">
        <v>2239</v>
      </c>
      <c r="CV7" t="s">
        <v>2240</v>
      </c>
      <c r="CW7" t="s">
        <v>2241</v>
      </c>
      <c r="CX7" t="s">
        <v>2242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L10"/>
  <sheetViews>
    <sheetView showGridLines="0" tabSelected="1" zoomScaleNormal="100" zoomScaleSheetLayoutView="85" workbookViewId="0">
      <selection activeCell="N9" sqref="N9"/>
    </sheetView>
  </sheetViews>
  <sheetFormatPr defaultRowHeight="12.75" x14ac:dyDescent="0.2"/>
  <cols>
    <col min="1" max="1" width="15.7109375" bestFit="1" customWidth="1"/>
    <col min="2" max="2" width="42.5703125" bestFit="1" customWidth="1"/>
    <col min="3" max="4" width="10.140625" bestFit="1" customWidth="1"/>
    <col min="5" max="5" width="11.28515625" bestFit="1" customWidth="1"/>
    <col min="6" max="6" width="9.5703125" bestFit="1" customWidth="1"/>
    <col min="7" max="7" width="9.28515625" bestFit="1" customWidth="1"/>
    <col min="8" max="8" width="14" bestFit="1" customWidth="1"/>
    <col min="9" max="9" width="13.7109375" bestFit="1" customWidth="1"/>
    <col min="10" max="10" width="11" bestFit="1" customWidth="1"/>
    <col min="11" max="11" width="11.28515625" bestFit="1" customWidth="1"/>
    <col min="12" max="12" width="8.7109375" bestFit="1" customWidth="1"/>
    <col min="13" max="13" width="10.28515625" bestFit="1" customWidth="1"/>
    <col min="14" max="14" width="10.85546875" bestFit="1" customWidth="1"/>
    <col min="15" max="15" width="11.7109375" bestFit="1" customWidth="1"/>
    <col min="16" max="16" width="11.28515625" bestFit="1" customWidth="1"/>
    <col min="17" max="17" width="18.42578125" bestFit="1" customWidth="1"/>
    <col min="18" max="18" width="20" bestFit="1" customWidth="1"/>
    <col min="19" max="20" width="20.7109375" bestFit="1" customWidth="1"/>
    <col min="21" max="21" width="11.7109375" bestFit="1" customWidth="1"/>
    <col min="22" max="22" width="13.42578125" bestFit="1" customWidth="1"/>
    <col min="23" max="24" width="14.140625" bestFit="1" customWidth="1"/>
    <col min="25" max="25" width="15.85546875" bestFit="1" customWidth="1"/>
    <col min="26" max="26" width="17.5703125" bestFit="1" customWidth="1"/>
    <col min="27" max="28" width="18.28515625" bestFit="1" customWidth="1"/>
    <col min="29" max="29" width="22.7109375" bestFit="1" customWidth="1"/>
    <col min="30" max="30" width="24.28515625" bestFit="1" customWidth="1"/>
    <col min="31" max="32" width="25" bestFit="1" customWidth="1"/>
    <col min="33" max="33" width="16" bestFit="1" customWidth="1"/>
    <col min="34" max="34" width="17.7109375" bestFit="1" customWidth="1"/>
    <col min="35" max="36" width="18.42578125" bestFit="1" customWidth="1"/>
    <col min="37" max="37" width="7.42578125" bestFit="1" customWidth="1"/>
    <col min="38" max="38" width="9" bestFit="1" customWidth="1"/>
    <col min="39" max="40" width="9.7109375" bestFit="1" customWidth="1"/>
    <col min="41" max="41" width="11.140625" bestFit="1" customWidth="1"/>
    <col min="42" max="42" width="20" bestFit="1" customWidth="1"/>
    <col min="43" max="44" width="18.7109375" bestFit="1" customWidth="1"/>
    <col min="45" max="45" width="17" bestFit="1" customWidth="1"/>
    <col min="46" max="48" width="18.7109375" bestFit="1" customWidth="1"/>
    <col min="49" max="49" width="17" bestFit="1" customWidth="1"/>
    <col min="50" max="50" width="18.7109375" bestFit="1" customWidth="1"/>
    <col min="51" max="52" width="24.140625" bestFit="1" customWidth="1"/>
    <col min="53" max="53" width="22.5703125" bestFit="1" customWidth="1"/>
    <col min="54" max="54" width="24.140625" bestFit="1" customWidth="1"/>
    <col min="55" max="56" width="25.7109375" bestFit="1" customWidth="1"/>
    <col min="57" max="57" width="18.42578125" bestFit="1" customWidth="1"/>
    <col min="58" max="58" width="20" bestFit="1" customWidth="1"/>
    <col min="59" max="60" width="19" bestFit="1" customWidth="1"/>
    <col min="61" max="61" width="11.7109375" bestFit="1" customWidth="1"/>
    <col min="62" max="62" width="13.42578125" bestFit="1" customWidth="1"/>
    <col min="63" max="64" width="15.85546875" bestFit="1" customWidth="1"/>
    <col min="65" max="65" width="8.7109375" bestFit="1" customWidth="1"/>
    <col min="66" max="66" width="10.28515625" bestFit="1" customWidth="1"/>
    <col min="67" max="67" width="22.42578125" bestFit="1" customWidth="1"/>
    <col min="68" max="68" width="20.7109375" bestFit="1" customWidth="1"/>
    <col min="69" max="69" width="23.28515625" bestFit="1" customWidth="1"/>
    <col min="70" max="70" width="15.140625" bestFit="1" customWidth="1"/>
    <col min="71" max="71" width="23" bestFit="1" customWidth="1"/>
    <col min="72" max="72" width="25.140625" bestFit="1" customWidth="1"/>
    <col min="73" max="73" width="23.7109375" bestFit="1" customWidth="1"/>
    <col min="74" max="74" width="14.85546875" bestFit="1" customWidth="1"/>
    <col min="75" max="75" width="15" bestFit="1" customWidth="1"/>
    <col min="76" max="76" width="15.5703125" bestFit="1" customWidth="1"/>
    <col min="77" max="77" width="13.140625" bestFit="1" customWidth="1"/>
    <col min="78" max="78" width="11.42578125" bestFit="1" customWidth="1"/>
    <col min="79" max="79" width="20" bestFit="1" customWidth="1"/>
    <col min="80" max="80" width="18.28515625" bestFit="1" customWidth="1"/>
    <col min="81" max="81" width="22.5703125" bestFit="1" customWidth="1"/>
    <col min="82" max="82" width="21.7109375" bestFit="1" customWidth="1"/>
    <col min="83" max="83" width="16.42578125" bestFit="1" customWidth="1"/>
    <col min="84" max="84" width="17" bestFit="1" customWidth="1"/>
    <col min="85" max="85" width="8.7109375" bestFit="1" customWidth="1"/>
    <col min="86" max="86" width="14.140625" bestFit="1" customWidth="1"/>
  </cols>
  <sheetData>
    <row r="1" spans="1:168" s="3" customFormat="1" x14ac:dyDescent="0.2">
      <c r="A1" s="40" t="s">
        <v>214</v>
      </c>
      <c r="B1" s="40" t="s">
        <v>257</v>
      </c>
      <c r="C1" s="32" t="s">
        <v>258</v>
      </c>
      <c r="D1" s="32" t="s">
        <v>266</v>
      </c>
      <c r="E1" s="33" t="s">
        <v>256</v>
      </c>
      <c r="F1" s="32" t="s">
        <v>259</v>
      </c>
      <c r="G1" s="32" t="s">
        <v>260</v>
      </c>
      <c r="H1" s="32" t="s">
        <v>514</v>
      </c>
      <c r="I1" s="32" t="s">
        <v>515</v>
      </c>
      <c r="J1" s="32" t="s">
        <v>261</v>
      </c>
      <c r="K1" s="32" t="s">
        <v>262</v>
      </c>
      <c r="L1" s="32" t="s">
        <v>263</v>
      </c>
      <c r="M1" s="32" t="s">
        <v>51</v>
      </c>
      <c r="N1" s="32" t="s">
        <v>264</v>
      </c>
      <c r="O1" s="32" t="s">
        <v>265</v>
      </c>
      <c r="P1" s="32" t="s">
        <v>275</v>
      </c>
      <c r="Q1" s="34" t="s">
        <v>516</v>
      </c>
      <c r="R1" s="34" t="s">
        <v>517</v>
      </c>
      <c r="S1" s="34" t="s">
        <v>518</v>
      </c>
      <c r="T1" s="34" t="s">
        <v>519</v>
      </c>
      <c r="U1" s="34" t="s">
        <v>520</v>
      </c>
      <c r="V1" s="34" t="s">
        <v>521</v>
      </c>
      <c r="W1" s="34" t="s">
        <v>522</v>
      </c>
      <c r="X1" s="34" t="s">
        <v>523</v>
      </c>
      <c r="Y1" s="32" t="s">
        <v>524</v>
      </c>
      <c r="Z1" s="32" t="s">
        <v>525</v>
      </c>
      <c r="AA1" s="32" t="s">
        <v>526</v>
      </c>
      <c r="AB1" s="32" t="s">
        <v>527</v>
      </c>
      <c r="AC1" s="32" t="s">
        <v>528</v>
      </c>
      <c r="AD1" s="32" t="s">
        <v>529</v>
      </c>
      <c r="AE1" s="32" t="s">
        <v>530</v>
      </c>
      <c r="AF1" s="32" t="s">
        <v>531</v>
      </c>
      <c r="AG1" s="32" t="s">
        <v>532</v>
      </c>
      <c r="AH1" s="32" t="s">
        <v>533</v>
      </c>
      <c r="AI1" s="32" t="s">
        <v>534</v>
      </c>
      <c r="AJ1" s="32" t="s">
        <v>535</v>
      </c>
      <c r="AK1" s="32" t="s">
        <v>536</v>
      </c>
      <c r="AL1" s="32" t="s">
        <v>537</v>
      </c>
      <c r="AM1" s="32" t="s">
        <v>538</v>
      </c>
      <c r="AN1" s="32" t="s">
        <v>539</v>
      </c>
      <c r="AO1" s="35" t="s">
        <v>540</v>
      </c>
      <c r="AP1" s="31" t="s">
        <v>541</v>
      </c>
      <c r="AQ1" s="34" t="s">
        <v>542</v>
      </c>
      <c r="AR1" s="34" t="s">
        <v>543</v>
      </c>
      <c r="AS1" s="34" t="s">
        <v>544</v>
      </c>
      <c r="AT1" s="34" t="s">
        <v>545</v>
      </c>
      <c r="AU1" s="32" t="s">
        <v>542</v>
      </c>
      <c r="AV1" s="32" t="s">
        <v>543</v>
      </c>
      <c r="AW1" s="32" t="s">
        <v>544</v>
      </c>
      <c r="AX1" s="32" t="s">
        <v>545</v>
      </c>
      <c r="AY1" s="32" t="s">
        <v>546</v>
      </c>
      <c r="AZ1" s="32" t="s">
        <v>547</v>
      </c>
      <c r="BA1" s="32" t="s">
        <v>548</v>
      </c>
      <c r="BB1" s="32" t="s">
        <v>549</v>
      </c>
      <c r="BC1" s="32" t="s">
        <v>550</v>
      </c>
      <c r="BD1" s="32" t="s">
        <v>551</v>
      </c>
      <c r="BE1" s="32" t="s">
        <v>516</v>
      </c>
      <c r="BF1" s="32" t="s">
        <v>517</v>
      </c>
      <c r="BG1" s="32" t="s">
        <v>552</v>
      </c>
      <c r="BH1" s="32" t="s">
        <v>553</v>
      </c>
      <c r="BI1" s="32" t="s">
        <v>520</v>
      </c>
      <c r="BJ1" s="32" t="s">
        <v>521</v>
      </c>
      <c r="BK1" s="32" t="s">
        <v>554</v>
      </c>
      <c r="BL1" s="32" t="s">
        <v>555</v>
      </c>
      <c r="BM1" s="32" t="s">
        <v>556</v>
      </c>
      <c r="BN1" s="32" t="s">
        <v>557</v>
      </c>
      <c r="BO1" s="32" t="s">
        <v>558</v>
      </c>
      <c r="BP1" s="32" t="s">
        <v>559</v>
      </c>
      <c r="BQ1" s="32" t="s">
        <v>560</v>
      </c>
      <c r="BR1" s="32" t="s">
        <v>561</v>
      </c>
      <c r="BS1" s="32" t="s">
        <v>562</v>
      </c>
      <c r="BT1" s="32" t="s">
        <v>563</v>
      </c>
      <c r="BU1" s="32" t="s">
        <v>564</v>
      </c>
      <c r="BV1" s="32" t="s">
        <v>565</v>
      </c>
      <c r="BW1" s="32" t="s">
        <v>566</v>
      </c>
      <c r="BX1" s="32" t="s">
        <v>567</v>
      </c>
      <c r="BY1" s="32" t="s">
        <v>238</v>
      </c>
      <c r="BZ1" s="32" t="s">
        <v>239</v>
      </c>
      <c r="CA1" s="32" t="s">
        <v>568</v>
      </c>
      <c r="CB1" s="32" t="s">
        <v>569</v>
      </c>
      <c r="CC1" s="32" t="s">
        <v>570</v>
      </c>
      <c r="CD1" s="32" t="s">
        <v>571</v>
      </c>
      <c r="CE1" s="32" t="s">
        <v>572</v>
      </c>
      <c r="CF1" s="32" t="s">
        <v>573</v>
      </c>
      <c r="CG1" s="32" t="s">
        <v>574</v>
      </c>
      <c r="CH1" s="32" t="s">
        <v>575</v>
      </c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</row>
    <row r="2" spans="1:168" s="14" customFormat="1" x14ac:dyDescent="0.2">
      <c r="A2" s="36" t="str">
        <f>_xll.ciqfunctions.udf.CIQ($A$10,"IQ_QUICK_COMP",1)</f>
        <v>NasdaqGM:VITL</v>
      </c>
      <c r="B2" s="36" t="str">
        <f>_xll.ciqfunctions.udf.CIQ($A2, "IQ_COMPANY_NAME")</f>
        <v>Vital Farms, Inc.</v>
      </c>
      <c r="C2" s="13">
        <f>_xll.ciqfunctions.udf.CIQ($A2,"IQ_PERIODDATE",IQ_FY,DateToday)</f>
        <v>46019</v>
      </c>
      <c r="D2" s="13">
        <f>_xll.ciqfunctions.udf.CIQ($A2,"IQ_PERIODDATE",IQ_LTM,DateToday)</f>
        <v>46110</v>
      </c>
      <c r="E2" s="11">
        <f>_xll.ciqfunctions.udf.CIQ($A2, "IQ_LASTSALEPRICE",DateToday,Ccy,Conv)</f>
        <v>12.75</v>
      </c>
      <c r="F2" s="11">
        <f>_xll.ciqfunctions.udf.CIQ($A2, "IQ_YEARHIGH",DateToday,Ccy,Conv)</f>
        <v>53.125</v>
      </c>
      <c r="G2" s="11">
        <f>_xll.ciqfunctions.udf.CIQ($A2, "IQ_YEARLOW",DateToday,Ccy,Conv)</f>
        <v>7.95</v>
      </c>
      <c r="H2" s="37">
        <f t="shared" ref="H2:H10" si="0">IF(ISERROR(E2/F2), "NA", E2/F2)</f>
        <v>0.24</v>
      </c>
      <c r="I2" s="37">
        <f t="shared" ref="I2:I10" si="1">IF(ISERROR(E2/G2), "NA", E2/G2)</f>
        <v>1.6037735849056602</v>
      </c>
      <c r="J2" s="4">
        <f>_xll.ciqfunctions.udf.CIQ($A2, "IQ_SHARESOUTSTANDING",DateToday)</f>
        <v>42.84845</v>
      </c>
      <c r="K2" s="22">
        <f t="shared" ref="K2:K10" si="2">IF(ISERROR(J2*E2), "NA", J2*E2)</f>
        <v>546.31773750000002</v>
      </c>
      <c r="L2" s="4">
        <f>_xll.ciqfunctions.udf.CIQ($A2, "IQ_CASH_ST_INVEST",IQ_FQ,DateToday,,"F",Ccy,Conv)</f>
        <v>51.432000000000002</v>
      </c>
      <c r="M2" s="4">
        <f>_xll.ciqfunctions.udf.CIQ($A2, "IQ_TOTAL_DEBT",IQ_FQ,DateToday,,"F",Ccy,Conv)</f>
        <v>54.235999999999997</v>
      </c>
      <c r="N2" s="4">
        <f>_xll.ciqfunctions.udf.CIQ($A2, "IQ_PREF_EQUITY",IQ_FQ,DateToday,,"F",Ccy,Conv)</f>
        <v>0</v>
      </c>
      <c r="O2" s="4">
        <f>_xll.ciqfunctions.udf.CIQ($A2, "IQ_MINORITY_INTEREST_TOTAL",IQ_FQ,DateToday,,"F",Ccy,Conv)</f>
        <v>0</v>
      </c>
      <c r="P2" s="22">
        <f>IF(ISERROR(K2-L2+M2+N2+O2), "NA", K2-L2+M2+N2+O2)</f>
        <v>549.12173749999999</v>
      </c>
      <c r="Q2" s="4">
        <f>_xll.ciqfunctions.udf.CIQ($A2, "IQ_TOTAL_REV", IQ_FY,DateToday,,,Ccy,Conv)</f>
        <v>759.44399999999996</v>
      </c>
      <c r="R2" s="4">
        <f>_xll.ciqfunctions.udf.CIQ($A2, "IQ_TOTAL_REV", IQ_LTM,DateToday,,,Ccy,Conv)</f>
        <v>784.41</v>
      </c>
      <c r="S2" s="4">
        <f>_xll.ciqfunctions.udf.CIQ($A2, "IQ_REVENUE_EST", IQ_CY+ 1,DateToday,,,Ccy,Conv)</f>
        <v>775.31078000000002</v>
      </c>
      <c r="T2" s="4">
        <f>_xll.ciqfunctions.udf.CIQ($A2, "IQ_REVENUE_EST", IQ_CY+ 2,DateToday,,,Ccy,Conv)</f>
        <v>848.58209999999997</v>
      </c>
      <c r="U2" s="4">
        <f>_xll.ciqfunctions.udf.CIQ($A2, "IQ_EBITDA", IQ_FY,DateToday,,,Ccy,Conv)</f>
        <v>102.88500000000001</v>
      </c>
      <c r="V2" s="4">
        <f>_xll.ciqfunctions.udf.CIQ($A2, "IQ_EBITDA", IQ_LTM,DateToday,,,Ccy,Conv)</f>
        <v>79.483999999999995</v>
      </c>
      <c r="W2" s="4">
        <f>_xll.ciqfunctions.udf.CIQ($A2, "IQ_EBITDA_EST", IQ_CY+ 1,DateToday,,,Ccy,Conv)</f>
        <v>3.4231099999999999</v>
      </c>
      <c r="X2" s="4">
        <f>_xll.ciqfunctions.udf.CIQ($A2, "IQ_EBITDA_EST", IQ_CY+ 2,DateToday,,,Ccy,Conv)</f>
        <v>45.665559999999999</v>
      </c>
      <c r="Y2" s="11">
        <f>_xll.ciqfunctions.udf.CIQ($A2, "IQ_DILUT_EPS_EXCL", IQ_FY,DateToday,,,Ccy,Conv)</f>
        <v>1.44</v>
      </c>
      <c r="Z2" s="11">
        <f>_xll.ciqfunctions.udf.CIQ($A2, "IQ_DILUT_EPS_EXCL", IQ_LTM,DateToday,,,Ccy,Conv)</f>
        <v>1.0496000000000001</v>
      </c>
      <c r="AA2" s="11">
        <f>_xll.ciqfunctions.udf.CIQ($A2, "IQ_EPS_EST", IQ_CY+ 1,DateToday,,,Ccy,Conv)</f>
        <v>-0.42286000000000001</v>
      </c>
      <c r="AB2" s="11">
        <f>_xll.ciqfunctions.udf.CIQ($A2, "IQ_EPS_EST", IQ_CY+ 2,DateToday,,,Ccy,Conv)</f>
        <v>0.44429000000000002</v>
      </c>
      <c r="AC2" s="20">
        <f>_xll.ciqfunctions.udf.CIQ($A2, "IQ_TEV_TOTAL_REV",IQ_LTM,$C2)</f>
        <v>1.8709899999999999</v>
      </c>
      <c r="AD2" s="20">
        <f>_xll.ciqfunctions.udf.CIQ($A2, "IQ_TEV_TOTAL_REV",IQ_LTM,DateToday)</f>
        <v>0.68693000000000004</v>
      </c>
      <c r="AE2" s="38">
        <f t="shared" ref="AE2:AE10" si="3">IF(ISERROR($P2/S2), "NA", $P2/S2)</f>
        <v>0.70826016052556362</v>
      </c>
      <c r="AF2" s="38">
        <f t="shared" ref="AF2:AF10" si="4">IF(ISERROR($P2/T2), "NA", $P2/T2)</f>
        <v>0.64710502083416566</v>
      </c>
      <c r="AG2" s="20">
        <f>_xll.ciqfunctions.udf.CIQ($A2, "IQ_TEV_EBITDA",IQ_LTM,$C2)</f>
        <v>3.69164</v>
      </c>
      <c r="AH2" s="20">
        <f>_xll.ciqfunctions.udf.CIQ($A2, "IQ_TEV_EBITDA",IQ_LTM,DateToday)</f>
        <v>1.3709</v>
      </c>
      <c r="AI2" s="20">
        <f>_xll.ciqfunctions.udf.CIQ($A2, "IQ_TEV_EBITDA_FWD",IQ_CY+1,DateToday)</f>
        <v>157.41186999999999</v>
      </c>
      <c r="AJ2" s="20">
        <f>_xll.ciqfunctions.udf.CIQ($A2, "IQ_TEV_EBITDA_FWD",IQ_CY+2,DateToday)</f>
        <v>11.799659999999999</v>
      </c>
      <c r="AK2" s="20">
        <f>_xll.ciqfunctions.udf.CIQ($A2, "IQ_PE_EXCL",IQ_LTM,$C2)</f>
        <v>24.00789</v>
      </c>
      <c r="AL2" s="20">
        <f>_xll.ciqfunctions.udf.CIQ($A2, "IQ_PE_EXCL",IQ_LTM,DateToday)</f>
        <v>11.91883</v>
      </c>
      <c r="AM2" s="20" t="str">
        <f>_xll.ciqfunctions.udf.CIQ($A2, "IQ_PE_EXCL_FWD",IQ_CY+1,DateToday)</f>
        <v>NM</v>
      </c>
      <c r="AN2" s="20">
        <f>_xll.ciqfunctions.udf.CIQ($A2, "IQ_PE_EXCL_FWD",IQ_CY+2,DateToday)</f>
        <v>28.15728</v>
      </c>
      <c r="AO2" s="20">
        <f>_xll.ciqfunctions.udf.CIQ($A2, "IQ_PBV",IQ_LTM,DateToday,)</f>
        <v>1.6625700000000001</v>
      </c>
      <c r="AP2" s="20">
        <f>_xll.ciqfunctions.udf.CIQ($A2, "IQ_PTBV",IQ_LTM,DateToday,)</f>
        <v>1.6821900000000001</v>
      </c>
      <c r="AQ2" s="4">
        <f>_xll.ciqfunctions.udf.CIQ($A2, "IQ_GROSS_MARGIN", IQ_FY- 2,DateToday)</f>
        <v>34.401499999999999</v>
      </c>
      <c r="AR2" s="4">
        <f>_xll.ciqfunctions.udf.CIQ($A2, "IQ_GROSS_MARGIN", IQ_FY- 1,DateToday,)</f>
        <v>37.9223</v>
      </c>
      <c r="AS2" s="4">
        <f>_xll.ciqfunctions.udf.CIQ($A2, "IQ_GROSS_MARGIN", IQ_FY,DateToday,)</f>
        <v>37.617199999999997</v>
      </c>
      <c r="AT2" s="4">
        <f>_xll.ciqfunctions.udf.CIQ($A2, "IQ_GROSS_MARGIN", IQ_LTM,DateToday,)</f>
        <v>35.208300000000001</v>
      </c>
      <c r="AU2" s="4">
        <f>_xll.ciqfunctions.udf.CIQ($A2, "IQ_EBITDA_MARGIN", IQ_FY- 2,DateToday,)</f>
        <v>8.7270000000000003</v>
      </c>
      <c r="AV2" s="4">
        <f>_xll.ciqfunctions.udf.CIQ($A2, "IQ_EBITDA_MARGIN", IQ_FY- 1,DateToday,)</f>
        <v>12.6412</v>
      </c>
      <c r="AW2" s="4">
        <f>_xll.ciqfunctions.udf.CIQ($A2, "IQ_EBITDA_MARGIN", IQ_FY,DateToday,)</f>
        <v>13.5474</v>
      </c>
      <c r="AX2" s="4">
        <f>_xll.ciqfunctions.udf.CIQ($A2, "IQ_EBITDA_MARGIN", IQ_LTM,DateToday,)</f>
        <v>10.132899999999999</v>
      </c>
      <c r="AY2" s="4">
        <f>_xll.ciqfunctions.udf.CIQ($A2, "IQ_NI_MARGIN", IQ_FY- 2,DateToday,)</f>
        <v>5.4180999999999999</v>
      </c>
      <c r="AZ2" s="4">
        <f>_xll.ciqfunctions.udf.CIQ($A2, "IQ_NI_MARGIN", IQ_FY- 1,DateToday,)</f>
        <v>8.8054000000000006</v>
      </c>
      <c r="BA2" s="4">
        <f>_xll.ciqfunctions.udf.CIQ($A2, "IQ_NI_MARGIN", IQ_FY,DateToday,)</f>
        <v>8.7277000000000005</v>
      </c>
      <c r="BB2" s="4">
        <f>_xll.ciqfunctions.udf.CIQ($A2, "IQ_NI_MARGIN", IQ_LTM,DateToday,)</f>
        <v>6.1012000000000004</v>
      </c>
      <c r="BC2" s="4">
        <f>_xll.ciqfunctions.udf.CIQ($A2, "IQ_TOTAL_REV_5YR_ANN_CAGR",IQ_LTM,DateToday,)</f>
        <v>28.3445</v>
      </c>
      <c r="BD2" s="4">
        <f>_xll.ciqfunctions.udf.CIQ($A2, "IQ_TOTAL_REV_3YR_ANN_CAGR",IQ_LTM,DateToday,)</f>
        <v>24.736999999999998</v>
      </c>
      <c r="BE2" s="4">
        <f>_xll.ciqfunctions.udf.CIQ($A2, "IQ_TOTAL_REV_1YR_ANN_GROWTH", IQ_FY,DateToday,)</f>
        <v>25.257300000000001</v>
      </c>
      <c r="BF2" s="4">
        <f>_xll.ciqfunctions.udf.CIQ($A2, "IQ_TOTAL_REV_1YR_ANN_GROWTH",IQ_LTM,DateToday,)</f>
        <v>26.402100000000001</v>
      </c>
      <c r="BG2" s="4">
        <f>_xll.ciqfunctions.udf.CIQ($A2, "IQ_EBITDA_5YR_ANN_CAGR",IQ_LTM,DateToday,)</f>
        <v>39.668599999999998</v>
      </c>
      <c r="BH2" s="4">
        <f>_xll.ciqfunctions.udf.CIQ($A2, "IQ_EBITDA_3YR_ANN_CAGR",IQ_LTM,DateToday,)</f>
        <v>50.555700000000002</v>
      </c>
      <c r="BI2" s="4">
        <f>_xll.ciqfunctions.udf.CIQ($A2, "IQ_EBITDA_1YR_ANN_GROWTH", IQ_FY,DateToday,)</f>
        <v>34.235700000000001</v>
      </c>
      <c r="BJ2" s="4">
        <f>_xll.ciqfunctions.udf.CIQ($A2, "IQ_EBITDA_1YR_ANN_GROWTH",IQ_LTM,DateToday,)</f>
        <v>5.6868999999999996</v>
      </c>
      <c r="BK2" s="4">
        <f>_xll.ciqfunctions.udf.CIQ($A2, "IQ_EPS_5YR_ANN_CAGR",IQ_LTM,DateToday,)</f>
        <v>28.074999999999999</v>
      </c>
      <c r="BL2" s="4">
        <f>_xll.ciqfunctions.udf.CIQ($A2, "IQ_EPS_3YR_ANN_CAGR",IQ_LTM,DateToday,)</f>
        <v>67.498099999999994</v>
      </c>
      <c r="BM2" s="4">
        <f>_xll.ciqfunctions.udf.CIQ($A2, "IQ_EPS_1YR_ANN_GROWTH", IQ_FY,DateToday,)</f>
        <v>22.033899999999999</v>
      </c>
      <c r="BN2" s="4">
        <f>_xll.ciqfunctions.udf.CIQ($A2, "IQ_EPS_1YR_ANN_GROWTH", IQ_LTM,DateToday,)</f>
        <v>-6.7478999999999996</v>
      </c>
      <c r="BO2" s="20">
        <f>_xll.ciqfunctions.udf.CIQ($A2, "IQ_TOTAL_DEBT_EBITDA",IQ_LTM,DateToday,)</f>
        <v>0.13799</v>
      </c>
      <c r="BP2" s="20">
        <f>_xll.ciqfunctions.udf.CIQ($A2, "IQ_NET_DEBT_EBITDA",IQ_LTM,DateToday,)</f>
        <v>7.1300000000000001E-3</v>
      </c>
      <c r="BQ2" s="38">
        <f t="shared" ref="BQ2:BQ10" si="5">IF(ISERROR((M2+N2)/V2), "NA", (M2+N2)/V2)</f>
        <v>0.68235116501434256</v>
      </c>
      <c r="BR2" s="20">
        <f>_xll.ciqfunctions.udf.CIQ($A2, "IQ_EBITDA_INT",IQ_LTM,DateToday,)</f>
        <v>473.55903999999998</v>
      </c>
      <c r="BS2" s="20">
        <f>_xll.ciqfunctions.udf.CIQ($A2, "IQ_EBITDA_CAPEX_INT",IQ_LTM,DateToday,)</f>
        <v>353.58434</v>
      </c>
      <c r="BT2" s="4">
        <f>_xll.ciqfunctions.udf.CIQ($A2, "IQ_TOTAL_DEBT_EQUITY",IQ_FQ,DateToday,)</f>
        <v>16.39</v>
      </c>
      <c r="BU2" s="4">
        <f>_xll.ciqfunctions.udf.CIQ($A2, "IQ_TOTAL_DEBT_CAPITAL",IQ_FQ,DateToday,)</f>
        <v>14.082000000000001</v>
      </c>
      <c r="BV2" s="4">
        <f>_xll.ciqfunctions.udf.CIQ($A2, "IQ_RETURN_EQUITY",IQ_LTM,DateToday)</f>
        <v>15.443</v>
      </c>
      <c r="BW2" s="4">
        <f>_xll.ciqfunctions.udf.CIQ($A2, "IQ_RETURN_ASSETS",IQ_LTM,DateToday)</f>
        <v>9.2393999999999998</v>
      </c>
      <c r="BX2" s="4">
        <f>_xll.ciqfunctions.udf.CIQ($A2, "IQ_RETURN_INVESTED_CAPITAL",IQ_LTM,DateToday)</f>
        <v>13.807</v>
      </c>
      <c r="BY2" s="20">
        <f>_xll.ciqfunctions.udf.CIQ($A2, "IQ_CURRENT_RATIO",IQ_FQ,DateToday,)</f>
        <v>1.7663899999999999</v>
      </c>
      <c r="BZ2" s="20">
        <f>_xll.ciqfunctions.udf.CIQ($A2, "IQ_QUICK_RATIO",IQ_FQ,DateToday,)</f>
        <v>0.90497000000000005</v>
      </c>
      <c r="CA2" s="4">
        <f>_xll.ciqfunctions.udf.CIQ($A2, "IQ_DAYS_SALES_OUT",IQ_LTM,DateToday,)</f>
        <v>23.968669999999999</v>
      </c>
      <c r="CB2" s="4">
        <f>_xll.ciqfunctions.udf.CIQ($A2, "IQ_DAYS_INVENTORY_OUT",IQ_LTM,DateToday,)</f>
        <v>44.670079999999999</v>
      </c>
      <c r="CC2" s="4">
        <f>_xll.ciqfunctions.udf.CIQ($A2, "IQ_DAYS_PAYABLE_OUT",IQ_LTM,DateToday,)</f>
        <v>30.12792</v>
      </c>
      <c r="CD2" s="4">
        <f>_xll.ciqfunctions.udf.CIQ($A2, "IQ_CASH_CONVERSION",IQ_LTM,DateToday,)</f>
        <v>38.510840000000002</v>
      </c>
      <c r="CE2" s="20">
        <f>_xll.ciqfunctions.udf.CIQ($A2, "IQ_ASSET_TURNS",IQ_LTM,DateToday,)</f>
        <v>1.8042100000000001</v>
      </c>
      <c r="CF2" s="20">
        <f>_xll.ciqfunctions.udf.CIQ($A2, "IQ_FIXED_ASSET_TURNS",IQ_LTM,DateToday,)</f>
        <v>4.1951200000000002</v>
      </c>
      <c r="CG2" s="20">
        <f>_xll.ciqfunctions.udf.CIQ($A2, "IQ_AR_TURNS",IQ_LTM,DateToday,)</f>
        <v>15.18629</v>
      </c>
      <c r="CH2" s="20">
        <f>_xll.ciqfunctions.udf.CIQ($A2, "IQ_INVENTORY_TURNS",IQ_LTM,DateToday,)</f>
        <v>8.1486000000000001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</row>
    <row r="3" spans="1:168" s="1" customFormat="1" x14ac:dyDescent="0.2">
      <c r="A3" s="36" t="str">
        <f>_xll.ciqfunctions.udf.CIQ($A$10,"IQ_QUICK_COMP",2)</f>
        <v>NYSE:POST</v>
      </c>
      <c r="B3" s="36" t="str">
        <f>_xll.ciqfunctions.udf.CIQ($A3, "IQ_COMPANY_NAME")</f>
        <v>Post Holdings, Inc.</v>
      </c>
      <c r="C3" s="13">
        <f>_xll.ciqfunctions.udf.CIQ($A3,"IQ_PERIODDATE",IQ_FY,DateToday)</f>
        <v>45930</v>
      </c>
      <c r="D3" s="13">
        <f>_xll.ciqfunctions.udf.CIQ($A3,"IQ_PERIODDATE",IQ_LTM,DateToday)</f>
        <v>46112</v>
      </c>
      <c r="E3" s="11">
        <f>_xll.ciqfunctions.udf.CIQ($A3, "IQ_LASTSALEPRICE",DateToday,Ccy,Conv)</f>
        <v>91.555000000000007</v>
      </c>
      <c r="F3" s="11">
        <f>_xll.ciqfunctions.udf.CIQ($A3, "IQ_YEARHIGH",DateToday,Ccy,Conv)</f>
        <v>117.28</v>
      </c>
      <c r="G3" s="11">
        <f>_xll.ciqfunctions.udf.CIQ($A3, "IQ_YEARLOW",DateToday,Ccy,Conv)</f>
        <v>83.89</v>
      </c>
      <c r="H3" s="37">
        <f t="shared" si="0"/>
        <v>0.78065313778990453</v>
      </c>
      <c r="I3" s="37">
        <f t="shared" si="1"/>
        <v>1.091369650733103</v>
      </c>
      <c r="J3" s="4">
        <f>_xll.ciqfunctions.udf.CIQ($A3, "IQ_SHARESOUTSTANDING",DateToday)</f>
        <v>45.322589999999998</v>
      </c>
      <c r="K3" s="22">
        <f t="shared" si="2"/>
        <v>4149.5097274500004</v>
      </c>
      <c r="L3" s="4">
        <f>_xll.ciqfunctions.udf.CIQ($A3, "IQ_CASH_ST_INVEST",IQ_FQ,DateToday,,"F",Ccy,Conv)</f>
        <v>269.5</v>
      </c>
      <c r="M3" s="4">
        <f>_xll.ciqfunctions.udf.CIQ($A3, "IQ_TOTAL_DEBT",IQ_FQ,DateToday,,"F",Ccy,Conv)</f>
        <v>7631.4</v>
      </c>
      <c r="N3" s="4">
        <f>_xll.ciqfunctions.udf.CIQ($A3, "IQ_PREF_EQUITY",IQ_FQ,DateToday,,"F",Ccy,Conv)</f>
        <v>0</v>
      </c>
      <c r="O3" s="4">
        <f>_xll.ciqfunctions.udf.CIQ($A3, "IQ_MINORITY_INTEREST_TOTAL",IQ_FQ,DateToday,,"F",Ccy,Conv)</f>
        <v>10.9</v>
      </c>
      <c r="P3" s="22">
        <f t="shared" ref="P3:P10" si="6">IF(ISERROR(K3-L3+M3+N3+O3), "NA",K3-L3+M3+N3+O3)</f>
        <v>11522.30972745</v>
      </c>
      <c r="Q3" s="4">
        <f>_xll.ciqfunctions.udf.CIQ($A3, "IQ_TOTAL_REV", IQ_FY,DateToday,,,Ccy,Conv)</f>
        <v>8158.1</v>
      </c>
      <c r="R3" s="4">
        <f>_xll.ciqfunctions.udf.CIQ($A3, "IQ_TOTAL_REV", IQ_LTM,DateToday,,,Ccy,Conv)</f>
        <v>8448.7999999999993</v>
      </c>
      <c r="S3" s="4">
        <f>_xll.ciqfunctions.udf.CIQ($A3, "IQ_REVENUE_EST", IQ_CY+ 1,DateToday,,,Ccy,Conv)</f>
        <v>8213.7217000000001</v>
      </c>
      <c r="T3" s="4">
        <f>_xll.ciqfunctions.udf.CIQ($A3, "IQ_REVENUE_EST", IQ_CY+ 2,DateToday,,,Ccy,Conv)</f>
        <v>8254.0154999999995</v>
      </c>
      <c r="U3" s="4">
        <f>_xll.ciqfunctions.udf.CIQ($A3, "IQ_EBITDA", IQ_FY,DateToday,,,Ccy,Conv)</f>
        <v>1375.9</v>
      </c>
      <c r="V3" s="4">
        <f>_xll.ciqfunctions.udf.CIQ($A3, "IQ_EBITDA", IQ_LTM,DateToday,,,Ccy,Conv)</f>
        <v>1486.1</v>
      </c>
      <c r="W3" s="4">
        <f>_xll.ciqfunctions.udf.CIQ($A3, "IQ_EBITDA_EST", IQ_CY+ 1,DateToday,,,Ccy,Conv)</f>
        <v>1547.31</v>
      </c>
      <c r="X3" s="4">
        <f>_xll.ciqfunctions.udf.CIQ($A3, "IQ_EBITDA_EST", IQ_CY+ 2,DateToday,,,Ccy,Conv)</f>
        <v>1569.9833000000001</v>
      </c>
      <c r="Y3" s="11">
        <f>_xll.ciqfunctions.udf.CIQ($A3, "IQ_DILUT_EPS_EXCL", IQ_FY,DateToday,,,Ccy,Conv)</f>
        <v>5.5103299999999997</v>
      </c>
      <c r="Z3" s="11">
        <f>_xll.ciqfunctions.udf.CIQ($A3, "IQ_DILUT_EPS_EXCL", IQ_LTM,DateToday,,,Ccy,Conv)</f>
        <v>5.9320899999999996</v>
      </c>
      <c r="AA3" s="11">
        <f>_xll.ciqfunctions.udf.CIQ($A3, "IQ_EPS_EST", IQ_CY+ 1,DateToday,,,Ccy,Conv)</f>
        <v>7.5922000000000001</v>
      </c>
      <c r="AB3" s="11">
        <f>_xll.ciqfunctions.udf.CIQ($A3, "IQ_EPS_EST", IQ_CY+ 2,DateToday,,,Ccy,Conv)</f>
        <v>8.7493999999999996</v>
      </c>
      <c r="AC3" s="20">
        <f>_xll.ciqfunctions.udf.CIQ($A3, "IQ_TEV_TOTAL_REV",IQ_LTM,#REF!)</f>
        <v>1.3713200000000001</v>
      </c>
      <c r="AD3" s="20">
        <f>_xll.ciqfunctions.udf.CIQ($A3, "IQ_TEV_TOTAL_REV",IQ_LTM,DateToday)</f>
        <v>1.3713200000000001</v>
      </c>
      <c r="AE3" s="38">
        <f t="shared" si="3"/>
        <v>1.4028122875711748</v>
      </c>
      <c r="AF3" s="38">
        <f t="shared" si="4"/>
        <v>1.3959641495039596</v>
      </c>
      <c r="AG3" s="20">
        <f>_xll.ciqfunctions.udf.CIQ($A3, "IQ_TEV_EBITDA",IQ_LTM,#REF!)</f>
        <v>7.3370800000000003</v>
      </c>
      <c r="AH3" s="20">
        <f>_xll.ciqfunctions.udf.CIQ($A3, "IQ_TEV_EBITDA",IQ_LTM,DateToday)</f>
        <v>7.3370800000000003</v>
      </c>
      <c r="AI3" s="20">
        <f>_xll.ciqfunctions.udf.CIQ($A3, "IQ_TEV_EBITDA_FWD",IQ_CY+1,DateToday)</f>
        <v>7.4878299999999998</v>
      </c>
      <c r="AJ3" s="20">
        <f>_xll.ciqfunctions.udf.CIQ($A3, "IQ_TEV_EBITDA_FWD",IQ_CY+2,DateToday)</f>
        <v>7.3796900000000001</v>
      </c>
      <c r="AK3" s="20">
        <f>_xll.ciqfunctions.udf.CIQ($A3, "IQ_PE_EXCL",IQ_LTM,#REF!)</f>
        <v>15.6707</v>
      </c>
      <c r="AL3" s="20">
        <f>_xll.ciqfunctions.udf.CIQ($A3, "IQ_PE_EXCL",IQ_LTM,DateToday)</f>
        <v>15.6707</v>
      </c>
      <c r="AM3" s="20">
        <f>_xll.ciqfunctions.udf.CIQ($A3, "IQ_PE_EXCL_FWD",IQ_CY+1,DateToday)</f>
        <v>12.244149999999999</v>
      </c>
      <c r="AN3" s="20">
        <f>_xll.ciqfunctions.udf.CIQ($A3, "IQ_PE_EXCL_FWD",IQ_CY+2,DateToday)</f>
        <v>10.62473</v>
      </c>
      <c r="AO3" s="20">
        <f>_xll.ciqfunctions.udf.CIQ($A3, "IQ_PBV",IQ_LTM,DateToday,)</f>
        <v>1.31897</v>
      </c>
      <c r="AP3" s="20" t="str">
        <f>_xll.ciqfunctions.udf.CIQ($A3, "IQ_PTBV",IQ_LTM,DateToday,)</f>
        <v>NM</v>
      </c>
      <c r="AQ3" s="4">
        <f>_xll.ciqfunctions.udf.CIQ($A3, "IQ_GROSS_MARGIN", IQ_FY- 2,DateToday,)</f>
        <v>26.916</v>
      </c>
      <c r="AR3" s="4">
        <f>_xll.ciqfunctions.udf.CIQ($A3, "IQ_GROSS_MARGIN", IQ_FY- 1,DateToday,)</f>
        <v>29.092300000000002</v>
      </c>
      <c r="AS3" s="4">
        <f>_xll.ciqfunctions.udf.CIQ($A3, "IQ_GROSS_MARGIN", IQ_FY,DateToday,)</f>
        <v>28.675699999999999</v>
      </c>
      <c r="AT3" s="4">
        <f>_xll.ciqfunctions.udf.CIQ($A3, "IQ_GROSS_MARGIN", IQ_LTM,DateToday,)</f>
        <v>29.0502</v>
      </c>
      <c r="AU3" s="4">
        <f>_xll.ciqfunctions.udf.CIQ($A3, "IQ_EBITDA_MARGIN", IQ_FY- 2,DateToday,)</f>
        <v>15.269600000000001</v>
      </c>
      <c r="AV3" s="4">
        <f>_xll.ciqfunctions.udf.CIQ($A3, "IQ_EBITDA_MARGIN", IQ_FY- 1,DateToday,)</f>
        <v>16.330200000000001</v>
      </c>
      <c r="AW3" s="4">
        <f>_xll.ciqfunctions.udf.CIQ($A3, "IQ_EBITDA_MARGIN", IQ_FY,DateToday,)</f>
        <v>16.865400000000001</v>
      </c>
      <c r="AX3" s="4">
        <f>_xll.ciqfunctions.udf.CIQ($A3, "IQ_EBITDA_MARGIN", IQ_LTM,DateToday,)</f>
        <v>17.589400000000001</v>
      </c>
      <c r="AY3" s="4">
        <f>_xll.ciqfunctions.udf.CIQ($A3, "IQ_NI_MARGIN", IQ_FY- 2,DateToday,)</f>
        <v>4.3098000000000001</v>
      </c>
      <c r="AZ3" s="4">
        <f>_xll.ciqfunctions.udf.CIQ($A3, "IQ_NI_MARGIN", IQ_FY- 1,DateToday,)</f>
        <v>4.6284000000000001</v>
      </c>
      <c r="BA3" s="4">
        <f>_xll.ciqfunctions.udf.CIQ($A3, "IQ_NI_MARGIN", IQ_FY,DateToday,)</f>
        <v>4.1148999999999996</v>
      </c>
      <c r="BB3" s="4">
        <f>_xll.ciqfunctions.udf.CIQ($A3, "IQ_NI_MARGIN", IQ_LTM,DateToday,)</f>
        <v>4.0064000000000002</v>
      </c>
      <c r="BC3" s="4">
        <f>_xll.ciqfunctions.udf.CIQ($A3, "IQ_TOTAL_REV_5YR_ANN_CAGR",IQ_LTM,DateToday,)</f>
        <v>10.514699999999999</v>
      </c>
      <c r="BD3" s="4">
        <f>_xll.ciqfunctions.udf.CIQ($A3, "IQ_TOTAL_REV_3YR_ANN_CAGR",IQ_LTM,DateToday,)</f>
        <v>10.334199999999999</v>
      </c>
      <c r="BE3" s="4">
        <f>_xll.ciqfunctions.udf.CIQ($A3, "IQ_TOTAL_REV_1YR_ANN_GROWTH", IQ_FY,DateToday,)</f>
        <v>2.9712000000000001</v>
      </c>
      <c r="BF3" s="4">
        <f>_xll.ciqfunctions.udf.CIQ($A3, "IQ_TOTAL_REV_1YR_ANN_GROWTH",IQ_LTM,DateToday,)</f>
        <v>7.1557000000000004</v>
      </c>
      <c r="BG3" s="4">
        <f>_xll.ciqfunctions.udf.CIQ($A3, "IQ_EBITDA_5YR_ANN_CAGR",IQ_LTM,DateToday,)</f>
        <v>9.1054999999999993</v>
      </c>
      <c r="BH3" s="4">
        <f>_xll.ciqfunctions.udf.CIQ($A3, "IQ_EBITDA_3YR_ANN_CAGR",IQ_LTM,DateToday,)</f>
        <v>17.812999999999999</v>
      </c>
      <c r="BI3" s="4">
        <f>_xll.ciqfunctions.udf.CIQ($A3, "IQ_EBITDA_1YR_ANN_GROWTH", IQ_FY,DateToday,)</f>
        <v>6.3456000000000001</v>
      </c>
      <c r="BJ3" s="4">
        <f>_xll.ciqfunctions.udf.CIQ($A3, "IQ_EBITDA_1YR_ANN_GROWTH",IQ_LTM,DateToday,)</f>
        <v>13.3475</v>
      </c>
      <c r="BK3" s="4">
        <f>_xll.ciqfunctions.udf.CIQ($A3, "IQ_EPS_5YR_ANN_CAGR",IQ_LTM,DateToday,)</f>
        <v>8.7146000000000008</v>
      </c>
      <c r="BL3" s="4">
        <f>_xll.ciqfunctions.udf.CIQ($A3, "IQ_EPS_3YR_ANN_CAGR",IQ_LTM,DateToday,)</f>
        <v>-2.5386000000000002</v>
      </c>
      <c r="BM3" s="4">
        <f>_xll.ciqfunctions.udf.CIQ($A3, "IQ_EPS_1YR_ANN_GROWTH", IQ_FY,DateToday,)</f>
        <v>-2.3725999999999998</v>
      </c>
      <c r="BN3" s="4">
        <f>_xll.ciqfunctions.udf.CIQ($A3, "IQ_EPS_1YR_ANN_GROWTH", IQ_LTM,DateToday,)</f>
        <v>5.0439999999999996</v>
      </c>
      <c r="BO3" s="20">
        <f>_xll.ciqfunctions.udf.CIQ($A3, "IQ_TOTAL_DEBT_EBITDA",IQ_LTM,DateToday,)</f>
        <v>4.8349000000000002</v>
      </c>
      <c r="BP3" s="20">
        <f>_xll.ciqfunctions.udf.CIQ($A3, "IQ_NET_DEBT_EBITDA",IQ_LTM,DateToday,)</f>
        <v>4.6641500000000002</v>
      </c>
      <c r="BQ3" s="39">
        <f t="shared" si="5"/>
        <v>5.1351860574658499</v>
      </c>
      <c r="BR3" s="20">
        <f>_xll.ciqfunctions.udf.CIQ($A3, "IQ_EBITDA_INT",IQ_LTM,DateToday,)</f>
        <v>3.9578700000000002</v>
      </c>
      <c r="BS3" s="20">
        <f>_xll.ciqfunctions.udf.CIQ($A3, "IQ_EBITDA_CAPEX_INT",IQ_LTM,DateToday,)</f>
        <v>2.7332000000000001</v>
      </c>
      <c r="BT3" s="4">
        <f>_xll.ciqfunctions.udf.CIQ($A3, "IQ_TOTAL_DEBT_EQUITY",IQ_FQ,DateToday,)</f>
        <v>238.0943</v>
      </c>
      <c r="BU3" s="4">
        <f>_xll.ciqfunctions.udf.CIQ($A3, "IQ_TOTAL_DEBT_CAPITAL",IQ_FQ,DateToday,)</f>
        <v>70.422399999999996</v>
      </c>
      <c r="BV3" s="4">
        <f>_xll.ciqfunctions.udf.CIQ($A3, "IQ_RETURN_EQUITY",IQ_LTM,DateToday)</f>
        <v>9.6158999999999999</v>
      </c>
      <c r="BW3" s="4">
        <f>_xll.ciqfunctions.udf.CIQ($A3, "IQ_RETURN_ASSETS",IQ_LTM,DateToday)</f>
        <v>4.4469000000000003</v>
      </c>
      <c r="BX3" s="4">
        <f>_xll.ciqfunctions.udf.CIQ($A3, "IQ_RETURN_INVESTED_CAPITAL",IQ_LTM,DateToday)</f>
        <v>3.1305999999999998</v>
      </c>
      <c r="BY3" s="20">
        <f>_xll.ciqfunctions.udf.CIQ($A3, "IQ_CURRENT_RATIO",IQ_FQ,DateToday,)</f>
        <v>1.85365</v>
      </c>
      <c r="BZ3" s="20">
        <f>_xll.ciqfunctions.udf.CIQ($A3, "IQ_QUICK_RATIO",IQ_FQ,DateToday,)</f>
        <v>0.90188999999999997</v>
      </c>
      <c r="CA3" s="4">
        <f>_xll.ciqfunctions.udf.CIQ($A3, "IQ_DAYS_SALES_OUT",IQ_LTM,DateToday,)</f>
        <v>30.75928</v>
      </c>
      <c r="CB3" s="4">
        <f>_xll.ciqfunctions.udf.CIQ($A3, "IQ_DAYS_INVENTORY_OUT",IQ_LTM,DateToday,)</f>
        <v>49.631239999999998</v>
      </c>
      <c r="CC3" s="4">
        <f>_xll.ciqfunctions.udf.CIQ($A3, "IQ_DAYS_PAYABLE_OUT",IQ_LTM,DateToday,)</f>
        <v>34.748370000000001</v>
      </c>
      <c r="CD3" s="4">
        <f>_xll.ciqfunctions.udf.CIQ($A3, "IQ_CASH_CONVERSION",IQ_LTM,DateToday,)</f>
        <v>45.642159999999997</v>
      </c>
      <c r="CE3" s="20">
        <f>_xll.ciqfunctions.udf.CIQ($A3, "IQ_ASSET_TURNS",IQ_LTM,DateToday,)</f>
        <v>0.65554999999999997</v>
      </c>
      <c r="CF3" s="20">
        <f>_xll.ciqfunctions.udf.CIQ($A3, "IQ_FIXED_ASSET_TURNS",IQ_LTM,DateToday,)</f>
        <v>3.3571599999999999</v>
      </c>
      <c r="CG3" s="20">
        <f>_xll.ciqfunctions.udf.CIQ($A3, "IQ_AR_TURNS",IQ_LTM,DateToday,)</f>
        <v>11.866289999999999</v>
      </c>
      <c r="CH3" s="20">
        <f>_xll.ciqfunctions.udf.CIQ($A3, "IQ_INVENTORY_TURNS",IQ_LTM,DateToday,)</f>
        <v>7.35419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</row>
    <row r="4" spans="1:168" s="1" customFormat="1" x14ac:dyDescent="0.2">
      <c r="A4" s="36" t="str">
        <f>_xll.ciqfunctions.udf.CIQ($A$10,"IQ_QUICK_COMP",3)</f>
        <v>NasdaqGS:KHC</v>
      </c>
      <c r="B4" s="36" t="str">
        <f>_xll.ciqfunctions.udf.CIQ($A4, "IQ_COMPANY_NAME")</f>
        <v>The Kraft Heinz Company</v>
      </c>
      <c r="C4" s="13">
        <f>_xll.ciqfunctions.udf.CIQ($A4,"IQ_PERIODDATE",IQ_FY,DateToday)</f>
        <v>46018</v>
      </c>
      <c r="D4" s="13">
        <f>_xll.ciqfunctions.udf.CIQ($A4,"IQ_PERIODDATE",IQ_LTM,DateToday)</f>
        <v>46109</v>
      </c>
      <c r="E4" s="11">
        <f>_xll.ciqfunctions.udf.CIQ($A4, "IQ_LASTSALEPRICE",DateToday,Ccy,Conv)</f>
        <v>25.965</v>
      </c>
      <c r="F4" s="11">
        <f>_xll.ciqfunctions.udf.CIQ($A4, "IQ_YEARHIGH",DateToday,Ccy,Conv)</f>
        <v>28.1</v>
      </c>
      <c r="G4" s="11">
        <f>_xll.ciqfunctions.udf.CIQ($A4, "IQ_YEARLOW",DateToday,Ccy,Conv)</f>
        <v>21.035</v>
      </c>
      <c r="H4" s="37">
        <f t="shared" si="0"/>
        <v>0.92402135231316718</v>
      </c>
      <c r="I4" s="37">
        <f t="shared" si="1"/>
        <v>1.2343712859519849</v>
      </c>
      <c r="J4" s="4">
        <f>_xll.ciqfunctions.udf.CIQ($A4, "IQ_SHARESOUTSTANDING",DateToday)</f>
        <v>1185.77764</v>
      </c>
      <c r="K4" s="22">
        <f t="shared" si="2"/>
        <v>30788.716422599999</v>
      </c>
      <c r="L4" s="4">
        <f>_xll.ciqfunctions.udf.CIQ($A4, "IQ_CASH_ST_INVEST",IQ_FQ,DateToday,,"F",Ccy,Conv)</f>
        <v>4091</v>
      </c>
      <c r="M4" s="4">
        <f>_xll.ciqfunctions.udf.CIQ($A4, "IQ_TOTAL_DEBT",IQ_FQ,DateToday,,"F",Ccy,Conv)</f>
        <v>21133</v>
      </c>
      <c r="N4" s="4">
        <f>_xll.ciqfunctions.udf.CIQ($A4, "IQ_PREF_EQUITY",IQ_FQ,DateToday,,"F",Ccy,Conv)</f>
        <v>0</v>
      </c>
      <c r="O4" s="4">
        <f>_xll.ciqfunctions.udf.CIQ($A4, "IQ_MINORITY_INTEREST_TOTAL",IQ_FQ,DateToday,,"F",Ccy,Conv)</f>
        <v>126</v>
      </c>
      <c r="P4" s="22">
        <f t="shared" si="6"/>
        <v>47956.716422600002</v>
      </c>
      <c r="Q4" s="4">
        <f>_xll.ciqfunctions.udf.CIQ($A4, "IQ_TOTAL_REV", IQ_FY,DateToday,,,Ccy,Conv)</f>
        <v>24942</v>
      </c>
      <c r="R4" s="4">
        <f>_xll.ciqfunctions.udf.CIQ($A4, "IQ_TOTAL_REV", IQ_LTM,DateToday,,,Ccy,Conv)</f>
        <v>24990</v>
      </c>
      <c r="S4" s="4">
        <f>_xll.ciqfunctions.udf.CIQ($A4, "IQ_REVENUE_EST", IQ_CY+ 1,DateToday,,,Ccy,Conv)</f>
        <v>24452.715219999998</v>
      </c>
      <c r="T4" s="4">
        <f>_xll.ciqfunctions.udf.CIQ($A4, "IQ_REVENUE_EST", IQ_CY+ 2,DateToday,,,Ccy,Conv)</f>
        <v>24557.048009999999</v>
      </c>
      <c r="U4" s="4">
        <f>_xll.ciqfunctions.udf.CIQ($A4, "IQ_EBITDA", IQ_FY,DateToday,,,Ccy,Conv)</f>
        <v>5727</v>
      </c>
      <c r="V4" s="4">
        <f>_xll.ciqfunctions.udf.CIQ($A4, "IQ_EBITDA", IQ_LTM,DateToday,,,Ccy,Conv)</f>
        <v>5762</v>
      </c>
      <c r="W4" s="4">
        <f>_xll.ciqfunctions.udf.CIQ($A4, "IQ_EBITDA_EST", IQ_CY+ 1,DateToday,,,Ccy,Conv)</f>
        <v>4981.6274599999997</v>
      </c>
      <c r="X4" s="4">
        <f>_xll.ciqfunctions.udf.CIQ($A4, "IQ_EBITDA_EST", IQ_CY+ 2,DateToday,,,Ccy,Conv)</f>
        <v>5050.5775199999998</v>
      </c>
      <c r="Y4" s="11">
        <f>_xll.ciqfunctions.udf.CIQ($A4, "IQ_DILUT_EPS_EXCL", IQ_FY,DateToday,,,Ccy,Conv)</f>
        <v>-4.93</v>
      </c>
      <c r="Z4" s="11">
        <f>_xll.ciqfunctions.udf.CIQ($A4, "IQ_DILUT_EPS_EXCL", IQ_LTM,DateToday,,,Ccy,Conv)</f>
        <v>-4.8641199999999998</v>
      </c>
      <c r="AA4" s="11">
        <f>_xll.ciqfunctions.udf.CIQ($A4, "IQ_EPS_EST", IQ_CY+ 1,DateToday,,,Ccy,Conv)</f>
        <v>2.0597799999999999</v>
      </c>
      <c r="AB4" s="11">
        <f>_xll.ciqfunctions.udf.CIQ($A4, "IQ_EPS_EST", IQ_CY+ 2,DateToday,,,Ccy,Conv)</f>
        <v>2.09856</v>
      </c>
      <c r="AC4" s="20">
        <f>_xll.ciqfunctions.udf.CIQ($A4, "IQ_TEV_TOTAL_REV",IQ_LTM,#REF!)</f>
        <v>1.9387300000000001</v>
      </c>
      <c r="AD4" s="20">
        <f>_xll.ciqfunctions.udf.CIQ($A4, "IQ_TEV_TOTAL_REV",IQ_LTM,DateToday)</f>
        <v>1.9387300000000001</v>
      </c>
      <c r="AE4" s="38">
        <f t="shared" si="3"/>
        <v>1.9612020992816357</v>
      </c>
      <c r="AF4" s="38">
        <f t="shared" si="4"/>
        <v>1.9528697587377484</v>
      </c>
      <c r="AG4" s="20">
        <f>_xll.ciqfunctions.udf.CIQ($A4, "IQ_TEV_EBITDA",IQ_LTM,#REF!)</f>
        <v>7.7000700000000002</v>
      </c>
      <c r="AH4" s="20">
        <f>_xll.ciqfunctions.udf.CIQ($A4, "IQ_TEV_EBITDA",IQ_LTM,DateToday)</f>
        <v>7.7000700000000002</v>
      </c>
      <c r="AI4" s="20">
        <f>_xll.ciqfunctions.udf.CIQ($A4, "IQ_TEV_EBITDA_FWD",IQ_CY+1,DateToday)</f>
        <v>9.7255000000000003</v>
      </c>
      <c r="AJ4" s="20">
        <f>_xll.ciqfunctions.udf.CIQ($A4, "IQ_TEV_EBITDA_FWD",IQ_CY+2,DateToday)</f>
        <v>9.5927299999999995</v>
      </c>
      <c r="AK4" s="20" t="str">
        <f>_xll.ciqfunctions.udf.CIQ($A4, "IQ_PE_EXCL",IQ_LTM,#REF!)</f>
        <v>NM</v>
      </c>
      <c r="AL4" s="20" t="str">
        <f>_xll.ciqfunctions.udf.CIQ($A4, "IQ_PE_EXCL",IQ_LTM,DateToday)</f>
        <v>NM</v>
      </c>
      <c r="AM4" s="20">
        <f>_xll.ciqfunctions.udf.CIQ($A4, "IQ_PE_EXCL_FWD",IQ_CY+1,DateToday)</f>
        <v>12.80719</v>
      </c>
      <c r="AN4" s="20">
        <f>_xll.ciqfunctions.udf.CIQ($A4, "IQ_PE_EXCL_FWD",IQ_CY+2,DateToday)</f>
        <v>12.57052</v>
      </c>
      <c r="AO4" s="20">
        <f>_xll.ciqfunctions.udf.CIQ($A4, "IQ_PBV",IQ_LTM,DateToday,)</f>
        <v>0.74629000000000001</v>
      </c>
      <c r="AP4" s="20" t="str">
        <f>_xll.ciqfunctions.udf.CIQ($A4, "IQ_PTBV",IQ_LTM,DateToday,)</f>
        <v>NM</v>
      </c>
      <c r="AQ4" s="4">
        <f>_xll.ciqfunctions.udf.CIQ($A4, "IQ_GROSS_MARGIN", IQ_FY- 2,DateToday,)</f>
        <v>33.719900000000003</v>
      </c>
      <c r="AR4" s="4">
        <f>_xll.ciqfunctions.udf.CIQ($A4, "IQ_GROSS_MARGIN", IQ_FY- 1,DateToday,)</f>
        <v>34.728700000000003</v>
      </c>
      <c r="AS4" s="4">
        <f>_xll.ciqfunctions.udf.CIQ($A4, "IQ_GROSS_MARGIN", IQ_FY,DateToday,)</f>
        <v>33.3172</v>
      </c>
      <c r="AT4" s="4">
        <f>_xll.ciqfunctions.udf.CIQ($A4, "IQ_GROSS_MARGIN", IQ_LTM,DateToday,)</f>
        <v>33.973500000000001</v>
      </c>
      <c r="AU4" s="4">
        <f>_xll.ciqfunctions.udf.CIQ($A4, "IQ_EBITDA_MARGIN", IQ_FY- 2,DateToday,)</f>
        <v>23.2807</v>
      </c>
      <c r="AV4" s="4">
        <f>_xll.ciqfunctions.udf.CIQ($A4, "IQ_EBITDA_MARGIN", IQ_FY- 1,DateToday,)</f>
        <v>25.0212</v>
      </c>
      <c r="AW4" s="4">
        <f>_xll.ciqfunctions.udf.CIQ($A4, "IQ_EBITDA_MARGIN", IQ_FY,DateToday,)</f>
        <v>22.961200000000002</v>
      </c>
      <c r="AX4" s="4">
        <f>_xll.ciqfunctions.udf.CIQ($A4, "IQ_EBITDA_MARGIN", IQ_LTM,DateToday,)</f>
        <v>23.057200000000002</v>
      </c>
      <c r="AY4" s="4">
        <f>_xll.ciqfunctions.udf.CIQ($A4, "IQ_NI_MARGIN", IQ_FY- 2,DateToday,)</f>
        <v>10.716900000000001</v>
      </c>
      <c r="AZ4" s="4">
        <f>_xll.ciqfunctions.udf.CIQ($A4, "IQ_NI_MARGIN", IQ_FY- 1,DateToday,)</f>
        <v>10.6167</v>
      </c>
      <c r="BA4" s="4">
        <f>_xll.ciqfunctions.udf.CIQ($A4, "IQ_NI_MARGIN", IQ_FY,DateToday,)</f>
        <v>-23.438300000000002</v>
      </c>
      <c r="BB4" s="4">
        <f>_xll.ciqfunctions.udf.CIQ($A4, "IQ_NI_MARGIN", IQ_LTM,DateToday,)</f>
        <v>-23.049199999999999</v>
      </c>
      <c r="BC4" s="4">
        <f>_xll.ciqfunctions.udf.CIQ($A4, "IQ_TOTAL_REV_5YR_ANN_CAGR",IQ_LTM,DateToday,)</f>
        <v>-1.1083000000000001</v>
      </c>
      <c r="BD4" s="4">
        <f>_xll.ciqfunctions.udf.CIQ($A4, "IQ_TOTAL_REV_3YR_ANN_CAGR",IQ_LTM,DateToday,)</f>
        <v>-2.4601999999999999</v>
      </c>
      <c r="BE4" s="4">
        <f>_xll.ciqfunctions.udf.CIQ($A4, "IQ_TOTAL_REV_1YR_ANN_GROWTH", IQ_FY,DateToday,)</f>
        <v>-3.4977</v>
      </c>
      <c r="BF4" s="4">
        <f>_xll.ciqfunctions.udf.CIQ($A4, "IQ_TOTAL_REV_1YR_ANN_GROWTH",IQ_LTM,DateToday,)</f>
        <v>-1.7457</v>
      </c>
      <c r="BG4" s="4">
        <f>_xll.ciqfunctions.udf.CIQ($A4, "IQ_EBITDA_5YR_ANN_CAGR",IQ_LTM,DateToday,)</f>
        <v>-4.2542</v>
      </c>
      <c r="BH4" s="4">
        <f>_xll.ciqfunctions.udf.CIQ($A4, "IQ_EBITDA_3YR_ANN_CAGR",IQ_LTM,DateToday,)</f>
        <v>-1.3949</v>
      </c>
      <c r="BI4" s="4">
        <f>_xll.ciqfunctions.udf.CIQ($A4, "IQ_EBITDA_1YR_ANN_GROWTH", IQ_FY,DateToday,)</f>
        <v>-11.4428</v>
      </c>
      <c r="BJ4" s="4">
        <f>_xll.ciqfunctions.udf.CIQ($A4, "IQ_EBITDA_1YR_ANN_GROWTH",IQ_LTM,DateToday,)</f>
        <v>-9.5305999999999997</v>
      </c>
      <c r="BK4" s="4" t="str">
        <f>_xll.ciqfunctions.udf.CIQ($A4, "IQ_EPS_5YR_ANN_CAGR",IQ_LTM,DateToday,)</f>
        <v>NM</v>
      </c>
      <c r="BL4" s="4" t="str">
        <f>_xll.ciqfunctions.udf.CIQ($A4, "IQ_EPS_3YR_ANN_CAGR",IQ_LTM,DateToday,)</f>
        <v>NM</v>
      </c>
      <c r="BM4" s="4" t="str">
        <f>_xll.ciqfunctions.udf.CIQ($A4, "IQ_EPS_1YR_ANN_GROWTH", IQ_FY,DateToday,)</f>
        <v>NM</v>
      </c>
      <c r="BN4" s="4" t="str">
        <f>_xll.ciqfunctions.udf.CIQ($A4, "IQ_EPS_1YR_ANN_GROWTH", IQ_LTM,DateToday,)</f>
        <v>NM</v>
      </c>
      <c r="BO4" s="20">
        <f>_xll.ciqfunctions.udf.CIQ($A4, "IQ_TOTAL_DEBT_EBITDA",IQ_LTM,DateToday,)</f>
        <v>3.3587099999999999</v>
      </c>
      <c r="BP4" s="20">
        <f>_xll.ciqfunctions.udf.CIQ($A4, "IQ_NET_DEBT_EBITDA",IQ_LTM,DateToday,)</f>
        <v>2.70852</v>
      </c>
      <c r="BQ4" s="39">
        <f t="shared" si="5"/>
        <v>3.6676501214855954</v>
      </c>
      <c r="BR4" s="20">
        <f>_xll.ciqfunctions.udf.CIQ($A4, "IQ_EBITDA_INT",IQ_LTM,DateToday,)</f>
        <v>6.5953900000000001</v>
      </c>
      <c r="BS4" s="20">
        <f>_xll.ciqfunctions.udf.CIQ($A4, "IQ_EBITDA_CAPEX_INT",IQ_LTM,DateToday,)</f>
        <v>5.7536699999999996</v>
      </c>
      <c r="BT4" s="4">
        <f>_xll.ciqfunctions.udf.CIQ($A4, "IQ_TOTAL_DEBT_EQUITY",IQ_FQ,DateToday,)</f>
        <v>50.258000000000003</v>
      </c>
      <c r="BU4" s="4">
        <f>_xll.ciqfunctions.udf.CIQ($A4, "IQ_TOTAL_DEBT_CAPITAL",IQ_FQ,DateToday,)</f>
        <v>33.447800000000001</v>
      </c>
      <c r="BV4" s="4">
        <f>_xll.ciqfunctions.udf.CIQ($A4, "IQ_RETURN_EQUITY",IQ_LTM,DateToday)</f>
        <v>-12.5755</v>
      </c>
      <c r="BW4" s="4">
        <f>_xll.ciqfunctions.udf.CIQ($A4, "IQ_RETURN_ASSETS",IQ_LTM,DateToday)</f>
        <v>3.4672999999999998</v>
      </c>
      <c r="BX4" s="4">
        <f>_xll.ciqfunctions.udf.CIQ($A4, "IQ_RETURN_INVESTED_CAPITAL",IQ_LTM,DateToday)</f>
        <v>-11.392200000000001</v>
      </c>
      <c r="BY4" s="20">
        <f>_xll.ciqfunctions.udf.CIQ($A4, "IQ_CURRENT_RATIO",IQ_FQ,DateToday,)</f>
        <v>1.1950099999999999</v>
      </c>
      <c r="BZ4" s="20">
        <f>_xll.ciqfunctions.udf.CIQ($A4, "IQ_QUICK_RATIO",IQ_FQ,DateToday,)</f>
        <v>0.71570999999999996</v>
      </c>
      <c r="CA4" s="4">
        <f>_xll.ciqfunctions.udf.CIQ($A4, "IQ_DAYS_SALES_OUT",IQ_LTM,DateToday,)</f>
        <v>33.231740000000002</v>
      </c>
      <c r="CB4" s="4">
        <f>_xll.ciqfunctions.udf.CIQ($A4, "IQ_DAYS_INVENTORY_OUT",IQ_LTM,DateToday,)</f>
        <v>76.120040000000003</v>
      </c>
      <c r="CC4" s="4">
        <f>_xll.ciqfunctions.udf.CIQ($A4, "IQ_DAYS_PAYABLE_OUT",IQ_LTM,DateToday,)</f>
        <v>95.516509999999997</v>
      </c>
      <c r="CD4" s="4">
        <f>_xll.ciqfunctions.udf.CIQ($A4, "IQ_CASH_CONVERSION",IQ_LTM,DateToday,)</f>
        <v>13.835279999999999</v>
      </c>
      <c r="CE4" s="20">
        <f>_xll.ciqfunctions.udf.CIQ($A4, "IQ_ASSET_TURNS",IQ_LTM,DateToday,)</f>
        <v>0.29004000000000002</v>
      </c>
      <c r="CF4" s="20">
        <f>_xll.ciqfunctions.udf.CIQ($A4, "IQ_FIXED_ASSET_TURNS",IQ_LTM,DateToday,)</f>
        <v>3.4732500000000002</v>
      </c>
      <c r="CG4" s="20">
        <f>_xll.ciqfunctions.udf.CIQ($A4, "IQ_AR_TURNS",IQ_LTM,DateToday,)</f>
        <v>10.95332</v>
      </c>
      <c r="CH4" s="20">
        <f>_xll.ciqfunctions.udf.CIQ($A4, "IQ_INVENTORY_TURNS",IQ_LTM,DateToday,)</f>
        <v>4.7819200000000004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</row>
    <row r="5" spans="1:168" s="1" customFormat="1" x14ac:dyDescent="0.2">
      <c r="A5" s="36" t="str">
        <f>_xll.ciqfunctions.udf.CIQ($A$10,"IQ_QUICK_COMP",4)</f>
        <v>SZSE:300761</v>
      </c>
      <c r="B5" s="36" t="str">
        <f>_xll.ciqfunctions.udf.CIQ($A5, "IQ_COMPANY_NAME")</f>
        <v>Jiangsu Lihua Foods Group Co., Ltd</v>
      </c>
      <c r="C5" s="13">
        <f>_xll.ciqfunctions.udf.CIQ($A5,"IQ_PERIODDATE",IQ_FY,DateToday)</f>
        <v>46022</v>
      </c>
      <c r="D5" s="13">
        <f>_xll.ciqfunctions.udf.CIQ($A5,"IQ_PERIODDATE",IQ_LTM,DateToday)</f>
        <v>46112</v>
      </c>
      <c r="E5" s="11">
        <f>_xll.ciqfunctions.udf.CIQ($A5, "IQ_LASTSALEPRICE",DateToday,Ccy,Conv)</f>
        <v>2.8231799999999998</v>
      </c>
      <c r="F5" s="11">
        <f>_xll.ciqfunctions.udf.CIQ($A5, "IQ_YEARHIGH",DateToday,Ccy,Conv)</f>
        <v>3.7602899999999999</v>
      </c>
      <c r="G5" s="11">
        <f>_xll.ciqfunctions.udf.CIQ($A5, "IQ_YEARLOW",DateToday,Ccy,Conv)</f>
        <v>2.2961399999999998</v>
      </c>
      <c r="H5" s="37">
        <f t="shared" si="0"/>
        <v>0.75078783817205585</v>
      </c>
      <c r="I5" s="37">
        <f t="shared" si="1"/>
        <v>1.2295330424103059</v>
      </c>
      <c r="J5" s="4">
        <f>_xll.ciqfunctions.udf.CIQ($A5, "IQ_SHARESOUTSTANDING",DateToday)</f>
        <v>846.33731999999998</v>
      </c>
      <c r="K5" s="22">
        <f t="shared" si="2"/>
        <v>2389.3625950776</v>
      </c>
      <c r="L5" s="4">
        <f>_xll.ciqfunctions.udf.CIQ($A5, "IQ_CASH_ST_INVEST",IQ_FQ,DateToday,,"F",Ccy,Conv)</f>
        <v>259.98901999999998</v>
      </c>
      <c r="M5" s="4">
        <f>_xll.ciqfunctions.udf.CIQ($A5, "IQ_TOTAL_DEBT",IQ_FQ,DateToday,,"F",Ccy,Conv)</f>
        <v>551.54318999999998</v>
      </c>
      <c r="N5" s="4">
        <f>_xll.ciqfunctions.udf.CIQ($A5, "IQ_PREF_EQUITY",IQ_FQ,DateToday,,"F",Ccy,Conv)</f>
        <v>0</v>
      </c>
      <c r="O5" s="4">
        <f>_xll.ciqfunctions.udf.CIQ($A5, "IQ_MINORITY_INTEREST_TOTAL",IQ_FQ,DateToday,,"F",Ccy,Conv)</f>
        <v>0.76632999999999996</v>
      </c>
      <c r="P5" s="22">
        <f t="shared" si="6"/>
        <v>2681.6830950775998</v>
      </c>
      <c r="Q5" s="4">
        <f>_xll.ciqfunctions.udf.CIQ($A5, "IQ_TOTAL_REV", IQ_FY,DateToday,,,Ccy,Conv)</f>
        <v>2677.7654200000002</v>
      </c>
      <c r="R5" s="4">
        <f>_xll.ciqfunctions.udf.CIQ($A5, "IQ_TOTAL_REV", IQ_LTM,DateToday,,,Ccy,Conv)</f>
        <v>2845.7619599999998</v>
      </c>
      <c r="S5" s="4">
        <f>_xll.ciqfunctions.udf.CIQ($A5, "IQ_REVENUE_EST", IQ_CY+ 1,DateToday,,,Ccy,Conv)</f>
        <v>3029.2595700000002</v>
      </c>
      <c r="T5" s="4">
        <f>_xll.ciqfunctions.udf.CIQ($A5, "IQ_REVENUE_EST", IQ_CY+ 2,DateToday,,,Ccy,Conv)</f>
        <v>3425.5738200000001</v>
      </c>
      <c r="U5" s="4">
        <f>_xll.ciqfunctions.udf.CIQ($A5, "IQ_EBITDA", IQ_FY,DateToday,,,Ccy,Conv)</f>
        <v>222.2938</v>
      </c>
      <c r="V5" s="4">
        <f>_xll.ciqfunctions.udf.CIQ($A5, "IQ_EBITDA", IQ_LTM,DateToday,,,Ccy,Conv)</f>
        <v>234.4572</v>
      </c>
      <c r="W5" s="4">
        <f>_xll.ciqfunctions.udf.CIQ($A5, "IQ_EBITDA_EST", IQ_CY+ 1,DateToday,,,Ccy,Conv)</f>
        <v>280.37189999999998</v>
      </c>
      <c r="X5" s="4">
        <f>_xll.ciqfunctions.udf.CIQ($A5, "IQ_EBITDA_EST", IQ_CY+ 2,DateToday,,,Ccy,Conv)</f>
        <v>439.43853000000001</v>
      </c>
      <c r="Y5" s="11">
        <f>_xll.ciqfunctions.udf.CIQ($A5, "IQ_DILUT_EPS_EXCL", IQ_FY,DateToday,,,Ccy,Conv)</f>
        <v>9.7390000000000004E-2</v>
      </c>
      <c r="Z5" s="11">
        <f>_xll.ciqfunctions.udf.CIQ($A5, "IQ_DILUT_EPS_EXCL", IQ_LTM,DateToday,,,Ccy,Conv)</f>
        <v>8.9359999999999995E-2</v>
      </c>
      <c r="AA5" s="11">
        <f>_xll.ciqfunctions.udf.CIQ($A5, "IQ_EPS_EST", IQ_CY+ 1,DateToday,,,Ccy,Conv)</f>
        <v>0.15382999999999999</v>
      </c>
      <c r="AB5" s="11">
        <f>_xll.ciqfunctions.udf.CIQ($A5, "IQ_EPS_EST", IQ_CY+ 2,DateToday,,,Ccy,Conv)</f>
        <v>0.30496000000000001</v>
      </c>
      <c r="AC5" s="20">
        <f>_xll.ciqfunctions.udf.CIQ($A5, "IQ_TEV_TOTAL_REV",IQ_LTM,#REF!)</f>
        <v>0.92498000000000002</v>
      </c>
      <c r="AD5" s="20">
        <f>_xll.ciqfunctions.udf.CIQ($A5, "IQ_TEV_TOTAL_REV",IQ_LTM,DateToday)</f>
        <v>0.92498000000000002</v>
      </c>
      <c r="AE5" s="38">
        <f t="shared" si="3"/>
        <v>0.88526025357331783</v>
      </c>
      <c r="AF5" s="38">
        <f t="shared" si="4"/>
        <v>0.78284201012418986</v>
      </c>
      <c r="AG5" s="20">
        <f>_xll.ciqfunctions.udf.CIQ($A5, "IQ_TEV_EBITDA",IQ_LTM,#REF!)</f>
        <v>10.899330000000001</v>
      </c>
      <c r="AH5" s="20">
        <f>_xll.ciqfunctions.udf.CIQ($A5, "IQ_TEV_EBITDA",IQ_LTM,DateToday)</f>
        <v>10.899330000000001</v>
      </c>
      <c r="AI5" s="20">
        <f>_xll.ciqfunctions.udf.CIQ($A5, "IQ_TEV_EBITDA_FWD",IQ_CY+1,DateToday)</f>
        <v>9.5867400000000007</v>
      </c>
      <c r="AJ5" s="20">
        <f>_xll.ciqfunctions.udf.CIQ($A5, "IQ_TEV_EBITDA_FWD",IQ_CY+2,DateToday)</f>
        <v>6.1165599999999998</v>
      </c>
      <c r="AK5" s="20">
        <f>_xll.ciqfunctions.udf.CIQ($A5, "IQ_PE_EXCL",IQ_LTM,#REF!)</f>
        <v>30.940560000000001</v>
      </c>
      <c r="AL5" s="20">
        <f>_xll.ciqfunctions.udf.CIQ($A5, "IQ_PE_EXCL",IQ_LTM,DateToday)</f>
        <v>30.940560000000001</v>
      </c>
      <c r="AM5" s="20">
        <f>_xll.ciqfunctions.udf.CIQ($A5, "IQ_PE_EXCL_FWD",IQ_CY+1,DateToday)</f>
        <v>18.35277</v>
      </c>
      <c r="AN5" s="20">
        <f>_xll.ciqfunctions.udf.CIQ($A5, "IQ_PE_EXCL_FWD",IQ_CY+2,DateToday)</f>
        <v>9.2574199999999998</v>
      </c>
      <c r="AO5" s="20">
        <f>_xll.ciqfunctions.udf.CIQ($A5, "IQ_PBV",IQ_LTM,DateToday,)</f>
        <v>1.6817299999999999</v>
      </c>
      <c r="AP5" s="20">
        <f>_xll.ciqfunctions.udf.CIQ($A5, "IQ_PTBV",IQ_LTM,DateToday,)</f>
        <v>1.74895</v>
      </c>
      <c r="AQ5" s="4">
        <f>_xll.ciqfunctions.udf.CIQ($A5, "IQ_GROSS_MARGIN", IQ_FY- 2,DateToday,)</f>
        <v>4.0143000000000004</v>
      </c>
      <c r="AR5" s="4">
        <f>_xll.ciqfunctions.udf.CIQ($A5, "IQ_GROSS_MARGIN", IQ_FY- 1,DateToday,)</f>
        <v>15.6516</v>
      </c>
      <c r="AS5" s="4">
        <f>_xll.ciqfunctions.udf.CIQ($A5, "IQ_GROSS_MARGIN", IQ_FY,DateToday,)</f>
        <v>10.085100000000001</v>
      </c>
      <c r="AT5" s="4">
        <f>_xll.ciqfunctions.udf.CIQ($A5, "IQ_GROSS_MARGIN", IQ_LTM,DateToday,)</f>
        <v>9.9933999999999994</v>
      </c>
      <c r="AU5" s="4">
        <f>_xll.ciqfunctions.udf.CIQ($A5, "IQ_EBITDA_MARGIN", IQ_FY- 2,DateToday,)</f>
        <v>2.1070000000000002</v>
      </c>
      <c r="AV5" s="4">
        <f>_xll.ciqfunctions.udf.CIQ($A5, "IQ_EBITDA_MARGIN", IQ_FY- 1,DateToday,)</f>
        <v>13.5128</v>
      </c>
      <c r="AW5" s="4">
        <f>_xll.ciqfunctions.udf.CIQ($A5, "IQ_EBITDA_MARGIN", IQ_FY,DateToday,)</f>
        <v>8.3013999999999992</v>
      </c>
      <c r="AX5" s="4">
        <f>_xll.ciqfunctions.udf.CIQ($A5, "IQ_EBITDA_MARGIN", IQ_LTM,DateToday,)</f>
        <v>8.2387999999999995</v>
      </c>
      <c r="AY5" s="4">
        <f>_xll.ciqfunctions.udf.CIQ($A5, "IQ_NI_MARGIN", IQ_FY- 2,DateToday,)</f>
        <v>-2.8488000000000002</v>
      </c>
      <c r="AZ5" s="4">
        <f>_xll.ciqfunctions.udf.CIQ($A5, "IQ_NI_MARGIN", IQ_FY- 1,DateToday,)</f>
        <v>8.5808999999999997</v>
      </c>
      <c r="BA5" s="4">
        <f>_xll.ciqfunctions.udf.CIQ($A5, "IQ_NI_MARGIN", IQ_FY,DateToday,)</f>
        <v>3.0849000000000002</v>
      </c>
      <c r="BB5" s="4">
        <f>_xll.ciqfunctions.udf.CIQ($A5, "IQ_NI_MARGIN", IQ_LTM,DateToday,)</f>
        <v>2.6827000000000001</v>
      </c>
      <c r="BC5" s="4">
        <f>_xll.ciqfunctions.udf.CIQ($A5, "IQ_TOTAL_REV_5YR_ANN_CAGR",IQ_LTM,DateToday,)</f>
        <v>14.7957</v>
      </c>
      <c r="BD5" s="4">
        <f>_xll.ciqfunctions.udf.CIQ($A5, "IQ_TOTAL_REV_3YR_ANN_CAGR",IQ_LTM,DateToday,)</f>
        <v>9.0218000000000007</v>
      </c>
      <c r="BE5" s="4">
        <f>_xll.ciqfunctions.udf.CIQ($A5, "IQ_TOTAL_REV_1YR_ANN_GROWTH", IQ_FY,DateToday,)</f>
        <v>5.6670999999999996</v>
      </c>
      <c r="BF5" s="4">
        <f>_xll.ciqfunctions.udf.CIQ($A5, "IQ_TOTAL_REV_1YR_ANN_GROWTH",IQ_LTM,DateToday,)</f>
        <v>8.1464999999999996</v>
      </c>
      <c r="BG5" s="4">
        <f>_xll.ciqfunctions.udf.CIQ($A5, "IQ_EBITDA_5YR_ANN_CAGR",IQ_LTM,DateToday,)</f>
        <v>8.4494000000000007</v>
      </c>
      <c r="BH5" s="4">
        <f>_xll.ciqfunctions.udf.CIQ($A5, "IQ_EBITDA_3YR_ANN_CAGR",IQ_LTM,DateToday,)</f>
        <v>10.3743</v>
      </c>
      <c r="BI5" s="4">
        <f>_xll.ciqfunctions.udf.CIQ($A5, "IQ_EBITDA_1YR_ANN_GROWTH", IQ_FY,DateToday,)</f>
        <v>-35.084699999999998</v>
      </c>
      <c r="BJ5" s="4">
        <f>_xll.ciqfunctions.udf.CIQ($A5, "IQ_EBITDA_1YR_ANN_GROWTH",IQ_LTM,DateToday,)</f>
        <v>-36.106699999999996</v>
      </c>
      <c r="BK5" s="4">
        <f>_xll.ciqfunctions.udf.CIQ($A5, "IQ_EPS_5YR_ANN_CAGR",IQ_LTM,DateToday,)</f>
        <v>-9.5228000000000002</v>
      </c>
      <c r="BL5" s="4">
        <f>_xll.ciqfunctions.udf.CIQ($A5, "IQ_EPS_3YR_ANN_CAGR",IQ_LTM,DateToday,)</f>
        <v>-10.5831</v>
      </c>
      <c r="BM5" s="4">
        <f>_xll.ciqfunctions.udf.CIQ($A5, "IQ_EPS_1YR_ANN_GROWTH", IQ_FY,DateToday,)</f>
        <v>-62.932000000000002</v>
      </c>
      <c r="BN5" s="4">
        <f>_xll.ciqfunctions.udf.CIQ($A5, "IQ_EPS_1YR_ANN_GROWTH", IQ_LTM,DateToday,)</f>
        <v>-69.028400000000005</v>
      </c>
      <c r="BO5" s="20">
        <f>_xll.ciqfunctions.udf.CIQ($A5, "IQ_TOTAL_DEBT_EBITDA",IQ_LTM,DateToday,)</f>
        <v>2.2837399999999999</v>
      </c>
      <c r="BP5" s="20">
        <f>_xll.ciqfunctions.udf.CIQ($A5, "IQ_NET_DEBT_EBITDA",IQ_LTM,DateToday,)</f>
        <v>1.20722</v>
      </c>
      <c r="BQ5" s="39">
        <f t="shared" si="5"/>
        <v>2.3524259011879352</v>
      </c>
      <c r="BR5" s="20">
        <f>_xll.ciqfunctions.udf.CIQ($A5, "IQ_EBITDA_INT",IQ_LTM,DateToday,)</f>
        <v>22.90204</v>
      </c>
      <c r="BS5" s="20">
        <f>_xll.ciqfunctions.udf.CIQ($A5, "IQ_EBITDA_CAPEX_INT",IQ_LTM,DateToday,)</f>
        <v>2.0995400000000002</v>
      </c>
      <c r="BT5" s="4">
        <f>_xll.ciqfunctions.udf.CIQ($A5, "IQ_TOTAL_DEBT_EQUITY",IQ_FQ,DateToday,)</f>
        <v>40.046300000000002</v>
      </c>
      <c r="BU5" s="4">
        <f>_xll.ciqfunctions.udf.CIQ($A5, "IQ_TOTAL_DEBT_CAPITAL",IQ_FQ,DateToday,)</f>
        <v>28.594999999999999</v>
      </c>
      <c r="BV5" s="4">
        <f>_xll.ciqfunctions.udf.CIQ($A5, "IQ_RETURN_EQUITY",IQ_LTM,DateToday)</f>
        <v>5.4884000000000004</v>
      </c>
      <c r="BW5" s="4">
        <f>_xll.ciqfunctions.udf.CIQ($A5, "IQ_RETURN_ASSETS",IQ_LTM,DateToday)</f>
        <v>2.7905000000000002</v>
      </c>
      <c r="BX5" s="4">
        <f>_xll.ciqfunctions.udf.CIQ($A5, "IQ_RETURN_INVESTED_CAPITAL",IQ_LTM,DateToday)</f>
        <v>-0.24110000000000001</v>
      </c>
      <c r="BY5" s="20">
        <f>_xll.ciqfunctions.udf.CIQ($A5, "IQ_CURRENT_RATIO",IQ_FQ,DateToday,)</f>
        <v>0.83769000000000005</v>
      </c>
      <c r="BZ5" s="20">
        <f>_xll.ciqfunctions.udf.CIQ($A5, "IQ_QUICK_RATIO",IQ_FQ,DateToday,)</f>
        <v>0.32823999999999998</v>
      </c>
      <c r="CA5" s="4">
        <f>_xll.ciqfunctions.udf.CIQ($A5, "IQ_DAYS_SALES_OUT",IQ_LTM,DateToday,)</f>
        <v>0.40844000000000003</v>
      </c>
      <c r="CB5" s="4">
        <f>_xll.ciqfunctions.udf.CIQ($A5, "IQ_DAYS_INVENTORY_OUT",IQ_LTM,DateToday,)</f>
        <v>63.95129</v>
      </c>
      <c r="CC5" s="4">
        <f>_xll.ciqfunctions.udf.CIQ($A5, "IQ_DAYS_PAYABLE_OUT",IQ_LTM,DateToday,)</f>
        <v>17.518910000000002</v>
      </c>
      <c r="CD5" s="4">
        <f>_xll.ciqfunctions.udf.CIQ($A5, "IQ_CASH_CONVERSION",IQ_LTM,DateToday,)</f>
        <v>46.840820000000001</v>
      </c>
      <c r="CE5" s="20">
        <f>_xll.ciqfunctions.udf.CIQ($A5, "IQ_ASSET_TURNS",IQ_LTM,DateToday,)</f>
        <v>1.22892</v>
      </c>
      <c r="CF5" s="20">
        <f>_xll.ciqfunctions.udf.CIQ($A5, "IQ_FIXED_ASSET_TURNS",IQ_LTM,DateToday,)</f>
        <v>2.1732499999999999</v>
      </c>
      <c r="CG5" s="20">
        <f>_xll.ciqfunctions.udf.CIQ($A5, "IQ_AR_TURNS",IQ_LTM,DateToday,)</f>
        <v>893.62855000000002</v>
      </c>
      <c r="CH5" s="20">
        <f>_xll.ciqfunctions.udf.CIQ($A5, "IQ_INVENTORY_TURNS",IQ_LTM,DateToday,)</f>
        <v>5.7074499999999997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</row>
    <row r="6" spans="1:168" s="1" customFormat="1" x14ac:dyDescent="0.2">
      <c r="A6" s="36" t="str">
        <f>_xll.ciqfunctions.udf.CIQ($A$10,"IQ_QUICK_COMP",5)</f>
        <v>NasdaqGS:MDLZ</v>
      </c>
      <c r="B6" s="36" t="str">
        <f>_xll.ciqfunctions.udf.CIQ($A6, "IQ_COMPANY_NAME")</f>
        <v>Mondelez International, Inc.</v>
      </c>
      <c r="C6" s="13">
        <f>_xll.ciqfunctions.udf.CIQ($A6,"IQ_PERIODDATE",IQ_FY,DateToday)</f>
        <v>46022</v>
      </c>
      <c r="D6" s="13">
        <f>_xll.ciqfunctions.udf.CIQ($A6,"IQ_PERIODDATE",IQ_LTM,DateToday)</f>
        <v>46203</v>
      </c>
      <c r="E6" s="11">
        <f>_xll.ciqfunctions.udf.CIQ($A6, "IQ_LASTSALEPRICE",DateToday,Ccy,Conv)</f>
        <v>61.995199999999997</v>
      </c>
      <c r="F6" s="11">
        <f>_xll.ciqfunctions.udf.CIQ($A6, "IQ_YEARHIGH",DateToday,Ccy,Conv)</f>
        <v>66.650000000000006</v>
      </c>
      <c r="G6" s="11">
        <f>_xll.ciqfunctions.udf.CIQ($A6, "IQ_YEARLOW",DateToday,Ccy,Conv)</f>
        <v>51.200800000000001</v>
      </c>
      <c r="H6" s="37">
        <f t="shared" si="0"/>
        <v>0.93016054013503369</v>
      </c>
      <c r="I6" s="37">
        <f t="shared" si="1"/>
        <v>1.2108248308620178</v>
      </c>
      <c r="J6" s="4">
        <f>_xll.ciqfunctions.udf.CIQ($A6, "IQ_SHARESOUTSTANDING",DateToday)</f>
        <v>1276.3080600000001</v>
      </c>
      <c r="K6" s="22">
        <f t="shared" si="2"/>
        <v>79124.973441312002</v>
      </c>
      <c r="L6" s="4">
        <f>_xll.ciqfunctions.udf.CIQ($A6, "IQ_CASH_ST_INVEST",IQ_FQ,DateToday,,"F",Ccy,Conv)</f>
        <v>1716</v>
      </c>
      <c r="M6" s="4">
        <f>_xll.ciqfunctions.udf.CIQ($A6, "IQ_TOTAL_DEBT",IQ_FQ,DateToday,,"F",Ccy,Conv)</f>
        <v>22059</v>
      </c>
      <c r="N6" s="4">
        <f>_xll.ciqfunctions.udf.CIQ($A6, "IQ_PREF_EQUITY",IQ_FQ,DateToday,,"F",Ccy,Conv)</f>
        <v>0</v>
      </c>
      <c r="O6" s="4">
        <f>_xll.ciqfunctions.udf.CIQ($A6, "IQ_MINORITY_INTEREST_TOTAL",IQ_FQ,DateToday,,"F",Ccy,Conv)</f>
        <v>53</v>
      </c>
      <c r="P6" s="22">
        <f t="shared" si="6"/>
        <v>99520.973441312002</v>
      </c>
      <c r="Q6" s="4">
        <f>_xll.ciqfunctions.udf.CIQ($A6, "IQ_TOTAL_REV", IQ_FY,DateToday,,,Ccy,Conv)</f>
        <v>38537</v>
      </c>
      <c r="R6" s="4">
        <f>_xll.ciqfunctions.udf.CIQ($A6, "IQ_TOTAL_REV", IQ_LTM,DateToday,,,Ccy,Conv)</f>
        <v>39675</v>
      </c>
      <c r="S6" s="4">
        <f>_xll.ciqfunctions.udf.CIQ($A6, "IQ_REVENUE_EST", IQ_CY+ 1,DateToday,,,Ccy,Conv)</f>
        <v>40108.868929999997</v>
      </c>
      <c r="T6" s="4">
        <f>_xll.ciqfunctions.udf.CIQ($A6, "IQ_REVENUE_EST", IQ_CY+ 2,DateToday,,,Ccy,Conv)</f>
        <v>41284.565179999998</v>
      </c>
      <c r="U6" s="4">
        <f>_xll.ciqfunctions.udf.CIQ($A6, "IQ_EBITDA", IQ_FY,DateToday,,,Ccy,Conv)</f>
        <v>4990</v>
      </c>
      <c r="V6" s="4">
        <f>_xll.ciqfunctions.udf.CIQ($A6, "IQ_EBITDA", IQ_LTM,DateToday,,,Ccy,Conv)</f>
        <v>6080</v>
      </c>
      <c r="W6" s="4">
        <f>_xll.ciqfunctions.udf.CIQ($A6, "IQ_EBITDA_EST", IQ_CY+ 1,DateToday,,,Ccy,Conv)</f>
        <v>6728.6312399999997</v>
      </c>
      <c r="X6" s="4">
        <f>_xll.ciqfunctions.udf.CIQ($A6, "IQ_EBITDA_EST", IQ_CY+ 2,DateToday,,,Ccy,Conv)</f>
        <v>7255.7877600000002</v>
      </c>
      <c r="Y6" s="11">
        <f>_xll.ciqfunctions.udf.CIQ($A6, "IQ_DILUT_EPS_EXCL", IQ_FY,DateToday,,,Ccy,Conv)</f>
        <v>1.89</v>
      </c>
      <c r="Z6" s="11">
        <f>_xll.ciqfunctions.udf.CIQ($A6, "IQ_DILUT_EPS_EXCL", IQ_LTM,DateToday,,,Ccy,Conv)</f>
        <v>2.7287599999999999</v>
      </c>
      <c r="AA6" s="11">
        <f>_xll.ciqfunctions.udf.CIQ($A6, "IQ_EPS_EST", IQ_CY+ 1,DateToday,,,Ccy,Conv)</f>
        <v>3.0456599999999998</v>
      </c>
      <c r="AB6" s="11">
        <f>_xll.ciqfunctions.udf.CIQ($A6, "IQ_EPS_EST", IQ_CY+ 2,DateToday,,,Ccy,Conv)</f>
        <v>3.35907</v>
      </c>
      <c r="AC6" s="20">
        <f>_xll.ciqfunctions.udf.CIQ($A6, "IQ_TEV_TOTAL_REV",IQ_LTM,#REF!)</f>
        <v>2.5432999999999999</v>
      </c>
      <c r="AD6" s="20">
        <f>_xll.ciqfunctions.udf.CIQ($A6, "IQ_TEV_TOTAL_REV",IQ_LTM,DateToday)</f>
        <v>2.5432999999999999</v>
      </c>
      <c r="AE6" s="38">
        <f t="shared" si="3"/>
        <v>2.4812710030542369</v>
      </c>
      <c r="AF6" s="38">
        <f t="shared" si="4"/>
        <v>2.4106097038300454</v>
      </c>
      <c r="AG6" s="20">
        <f>_xll.ciqfunctions.udf.CIQ($A6, "IQ_TEV_EBITDA",IQ_LTM,#REF!)</f>
        <v>14.48751</v>
      </c>
      <c r="AH6" s="20">
        <f>_xll.ciqfunctions.udf.CIQ($A6, "IQ_TEV_EBITDA",IQ_LTM,DateToday)</f>
        <v>14.48751</v>
      </c>
      <c r="AI6" s="20">
        <f>_xll.ciqfunctions.udf.CIQ($A6, "IQ_TEV_EBITDA_FWD",IQ_CY+1,DateToday)</f>
        <v>14.99644</v>
      </c>
      <c r="AJ6" s="20">
        <f>_xll.ciqfunctions.udf.CIQ($A6, "IQ_TEV_EBITDA_FWD",IQ_CY+2,DateToday)</f>
        <v>13.9069</v>
      </c>
      <c r="AK6" s="20">
        <f>_xll.ciqfunctions.udf.CIQ($A6, "IQ_PE_EXCL",IQ_LTM,#REF!)</f>
        <v>23.116759999999999</v>
      </c>
      <c r="AL6" s="20">
        <f>_xll.ciqfunctions.udf.CIQ($A6, "IQ_PE_EXCL",IQ_LTM,DateToday)</f>
        <v>23.116759999999999</v>
      </c>
      <c r="AM6" s="20">
        <f>_xll.ciqfunctions.udf.CIQ($A6, "IQ_PE_EXCL_FWD",IQ_CY+1,DateToday)</f>
        <v>20.71144</v>
      </c>
      <c r="AN6" s="20">
        <f>_xll.ciqfunctions.udf.CIQ($A6, "IQ_PE_EXCL_FWD",IQ_CY+2,DateToday)</f>
        <v>18.77901</v>
      </c>
      <c r="AO6" s="20">
        <f>_xll.ciqfunctions.udf.CIQ($A6, "IQ_PBV",IQ_LTM,DateToday,)</f>
        <v>3.03226</v>
      </c>
      <c r="AP6" s="20" t="str">
        <f>_xll.ciqfunctions.udf.CIQ($A6, "IQ_PTBV",IQ_LTM,DateToday,)</f>
        <v>NM</v>
      </c>
      <c r="AQ6" s="4">
        <f>_xll.ciqfunctions.udf.CIQ($A6, "IQ_GROSS_MARGIN", IQ_FY- 2,DateToday,)</f>
        <v>38.216299999999997</v>
      </c>
      <c r="AR6" s="4">
        <f>_xll.ciqfunctions.udf.CIQ($A6, "IQ_GROSS_MARGIN", IQ_FY- 1,DateToday,)</f>
        <v>39.1235</v>
      </c>
      <c r="AS6" s="4">
        <f>_xll.ciqfunctions.udf.CIQ($A6, "IQ_GROSS_MARGIN", IQ_FY,DateToday,)</f>
        <v>28.375299999999999</v>
      </c>
      <c r="AT6" s="4">
        <f>_xll.ciqfunctions.udf.CIQ($A6, "IQ_GROSS_MARGIN", IQ_LTM,DateToday,)</f>
        <v>31.145499999999998</v>
      </c>
      <c r="AU6" s="4">
        <f>_xll.ciqfunctions.udf.CIQ($A6, "IQ_EBITDA_MARGIN", IQ_FY- 2,DateToday,)</f>
        <v>19.1525</v>
      </c>
      <c r="AV6" s="4">
        <f>_xll.ciqfunctions.udf.CIQ($A6, "IQ_EBITDA_MARGIN", IQ_FY- 1,DateToday,)</f>
        <v>21.239799999999999</v>
      </c>
      <c r="AW6" s="4">
        <f>_xll.ciqfunctions.udf.CIQ($A6, "IQ_EBITDA_MARGIN", IQ_FY,DateToday,)</f>
        <v>12.948499999999999</v>
      </c>
      <c r="AX6" s="4">
        <f>_xll.ciqfunctions.udf.CIQ($A6, "IQ_EBITDA_MARGIN", IQ_LTM,DateToday,)</f>
        <v>15.3245</v>
      </c>
      <c r="AY6" s="4">
        <f>_xll.ciqfunctions.udf.CIQ($A6, "IQ_NI_MARGIN", IQ_FY- 2,DateToday,)</f>
        <v>13.768800000000001</v>
      </c>
      <c r="AZ6" s="4">
        <f>_xll.ciqfunctions.udf.CIQ($A6, "IQ_NI_MARGIN", IQ_FY- 1,DateToday,)</f>
        <v>12.6533</v>
      </c>
      <c r="BA6" s="4">
        <f>_xll.ciqfunctions.udf.CIQ($A6, "IQ_NI_MARGIN", IQ_FY,DateToday,)</f>
        <v>6.3601000000000001</v>
      </c>
      <c r="BB6" s="4">
        <f>_xll.ciqfunctions.udf.CIQ($A6, "IQ_NI_MARGIN", IQ_LTM,DateToday,)</f>
        <v>8.8620000000000001</v>
      </c>
      <c r="BC6" s="4">
        <f>_xll.ciqfunctions.udf.CIQ($A6, "IQ_TOTAL_REV_5YR_ANN_CAGR",IQ_LTM,DateToday,)</f>
        <v>7.3395999999999999</v>
      </c>
      <c r="BD6" s="4">
        <f>_xll.ciqfunctions.udf.CIQ($A6, "IQ_TOTAL_REV_3YR_ANN_CAGR",IQ_LTM,DateToday,)</f>
        <v>5.1451000000000002</v>
      </c>
      <c r="BE6" s="4">
        <f>_xll.ciqfunctions.udf.CIQ($A6, "IQ_TOTAL_REV_1YR_ANN_GROWTH", IQ_FY,DateToday,)</f>
        <v>5.7516999999999996</v>
      </c>
      <c r="BF6" s="4">
        <f>_xll.ciqfunctions.udf.CIQ($A6, "IQ_TOTAL_REV_1YR_ANN_GROWTH",IQ_LTM,DateToday,)</f>
        <v>6.9261999999999997</v>
      </c>
      <c r="BG6" s="4">
        <f>_xll.ciqfunctions.udf.CIQ($A6, "IQ_EBITDA_5YR_ANN_CAGR",IQ_LTM,DateToday,)</f>
        <v>-0.27410000000000001</v>
      </c>
      <c r="BH6" s="4">
        <f>_xll.ciqfunctions.udf.CIQ($A6, "IQ_EBITDA_3YR_ANN_CAGR",IQ_LTM,DateToday,)</f>
        <v>-2.9283000000000001</v>
      </c>
      <c r="BI6" s="4">
        <f>_xll.ciqfunctions.udf.CIQ($A6, "IQ_EBITDA_1YR_ANN_GROWTH", IQ_FY,DateToday,)</f>
        <v>-35.529800000000002</v>
      </c>
      <c r="BJ6" s="4">
        <f>_xll.ciqfunctions.udf.CIQ($A6, "IQ_EBITDA_1YR_ANN_GROWTH",IQ_LTM,DateToday,)</f>
        <v>2.5813999999999999</v>
      </c>
      <c r="BK6" s="4">
        <f>_xll.ciqfunctions.udf.CIQ($A6, "IQ_EPS_5YR_ANN_CAGR",IQ_LTM,DateToday,)</f>
        <v>-2.0175999999999998</v>
      </c>
      <c r="BL6" s="4">
        <f>_xll.ciqfunctions.udf.CIQ($A6, "IQ_EPS_3YR_ANN_CAGR",IQ_LTM,DateToday,)</f>
        <v>-3.1686000000000001</v>
      </c>
      <c r="BM6" s="4">
        <f>_xll.ciqfunctions.udf.CIQ($A6, "IQ_EPS_1YR_ANN_GROWTH", IQ_FY,DateToday,)</f>
        <v>-44.736899999999999</v>
      </c>
      <c r="BN6" s="4">
        <f>_xll.ciqfunctions.udf.CIQ($A6, "IQ_EPS_1YR_ANN_GROWTH", IQ_LTM,DateToday,)</f>
        <v>-0.74350000000000005</v>
      </c>
      <c r="BO6" s="20">
        <f>_xll.ciqfunctions.udf.CIQ($A6, "IQ_TOTAL_DEBT_EBITDA",IQ_LTM,DateToday,)</f>
        <v>3.1978800000000001</v>
      </c>
      <c r="BP6" s="20">
        <f>_xll.ciqfunctions.udf.CIQ($A6, "IQ_NET_DEBT_EBITDA",IQ_LTM,DateToday,)</f>
        <v>2.9491200000000002</v>
      </c>
      <c r="BQ6" s="39">
        <f t="shared" si="5"/>
        <v>3.6281249999999998</v>
      </c>
      <c r="BR6" s="20">
        <f>_xll.ciqfunctions.udf.CIQ($A6, "IQ_EBITDA_INT",IQ_LTM,DateToday,)</f>
        <v>11.71138</v>
      </c>
      <c r="BS6" s="20">
        <f>_xll.ciqfunctions.udf.CIQ($A6, "IQ_EBITDA_CAPEX_INT",IQ_LTM,DateToday,)</f>
        <v>9.4176599999999997</v>
      </c>
      <c r="BT6" s="4">
        <f>_xll.ciqfunctions.udf.CIQ($A6, "IQ_TOTAL_DEBT_EQUITY",IQ_FQ,DateToday,)</f>
        <v>82.642700000000005</v>
      </c>
      <c r="BU6" s="4">
        <f>_xll.ciqfunctions.udf.CIQ($A6, "IQ_TOTAL_DEBT_CAPITAL",IQ_FQ,DateToday,)</f>
        <v>45.2483</v>
      </c>
      <c r="BV6" s="4">
        <f>_xll.ciqfunctions.udf.CIQ($A6, "IQ_RETURN_EQUITY",IQ_LTM,DateToday)</f>
        <v>13.3398</v>
      </c>
      <c r="BW6" s="4">
        <f>_xll.ciqfunctions.udf.CIQ($A6, "IQ_RETURN_ASSETS",IQ_LTM,DateToday)</f>
        <v>4.1224999999999996</v>
      </c>
      <c r="BX6" s="4">
        <f>_xll.ciqfunctions.udf.CIQ($A6, "IQ_RETURN_INVESTED_CAPITAL",IQ_LTM,DateToday)</f>
        <v>2.0206</v>
      </c>
      <c r="BY6" s="20">
        <f>_xll.ciqfunctions.udf.CIQ($A6, "IQ_CURRENT_RATIO",IQ_FQ,DateToday,)</f>
        <v>0.59918000000000005</v>
      </c>
      <c r="BZ6" s="20">
        <f>_xll.ciqfunctions.udf.CIQ($A6, "IQ_QUICK_RATIO",IQ_FQ,DateToday,)</f>
        <v>0.31140000000000001</v>
      </c>
      <c r="CA6" s="4">
        <f>_xll.ciqfunctions.udf.CIQ($A6, "IQ_DAYS_SALES_OUT",IQ_LTM,DateToday,)</f>
        <v>34.673540000000003</v>
      </c>
      <c r="CB6" s="4">
        <f>_xll.ciqfunctions.udf.CIQ($A6, "IQ_DAYS_INVENTORY_OUT",IQ_LTM,DateToday,)</f>
        <v>62.503329999999998</v>
      </c>
      <c r="CC6" s="4">
        <f>_xll.ciqfunctions.udf.CIQ($A6, "IQ_DAYS_PAYABLE_OUT",IQ_LTM,DateToday,)</f>
        <v>132.15081000000001</v>
      </c>
      <c r="CD6" s="4">
        <f>_xll.ciqfunctions.udf.CIQ($A6, "IQ_CASH_CONVERSION",IQ_LTM,DateToday,)</f>
        <v>-34.973939999999999</v>
      </c>
      <c r="CE6" s="20">
        <f>_xll.ciqfunctions.udf.CIQ($A6, "IQ_ASSET_TURNS",IQ_LTM,DateToday,)</f>
        <v>0.55774999999999997</v>
      </c>
      <c r="CF6" s="20">
        <f>_xll.ciqfunctions.udf.CIQ($A6, "IQ_FIXED_ASSET_TURNS",IQ_LTM,DateToday,)</f>
        <v>3.5337299999999998</v>
      </c>
      <c r="CG6" s="20">
        <f>_xll.ciqfunctions.udf.CIQ($A6, "IQ_AR_TURNS",IQ_LTM,DateToday,)</f>
        <v>10.52666</v>
      </c>
      <c r="CH6" s="20">
        <f>_xll.ciqfunctions.udf.CIQ($A6, "IQ_INVENTORY_TURNS",IQ_LTM,DateToday,)</f>
        <v>5.8396800000000004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</row>
    <row r="7" spans="1:168" s="1" customFormat="1" x14ac:dyDescent="0.2">
      <c r="A7" s="36" t="str">
        <f>_xll.ciqfunctions.udf.CIQ($A$10,"IQ_QUICK_COMP",6)</f>
        <v>SEHK:2419</v>
      </c>
      <c r="B7" s="36" t="str">
        <f>_xll.ciqfunctions.udf.CIQ($A7, "IQ_COMPANY_NAME")</f>
        <v>Dekon Food and Agriculture Group</v>
      </c>
      <c r="C7" s="13">
        <f>_xll.ciqfunctions.udf.CIQ($A7,"IQ_PERIODDATE",IQ_FY,DateToday)</f>
        <v>46022</v>
      </c>
      <c r="D7" s="13">
        <f>_xll.ciqfunctions.udf.CIQ($A7,"IQ_PERIODDATE",IQ_LTM,DateToday)</f>
        <v>46022</v>
      </c>
      <c r="E7" s="11">
        <f>_xll.ciqfunctions.udf.CIQ($A7, "IQ_LASTSALEPRICE",DateToday,Ccy,Conv)</f>
        <v>6.4782700000000002</v>
      </c>
      <c r="F7" s="11">
        <f>_xll.ciqfunctions.udf.CIQ($A7, "IQ_YEARHIGH",DateToday,Ccy,Conv)</f>
        <v>12.30616</v>
      </c>
      <c r="G7" s="11">
        <f>_xll.ciqfunctions.udf.CIQ($A7, "IQ_YEARLOW",DateToday,Ccy,Conv)</f>
        <v>4.81534</v>
      </c>
      <c r="H7" s="37">
        <f t="shared" si="0"/>
        <v>0.52642497740968752</v>
      </c>
      <c r="I7" s="37">
        <f t="shared" si="1"/>
        <v>1.3453401005951813</v>
      </c>
      <c r="J7" s="4">
        <f>_xll.ciqfunctions.udf.CIQ($A7, "IQ_SHARESOUTSTANDING",DateToday)</f>
        <v>385.35694000000001</v>
      </c>
      <c r="K7" s="22">
        <f t="shared" si="2"/>
        <v>2496.4463036938</v>
      </c>
      <c r="L7" s="4">
        <f>_xll.ciqfunctions.udf.CIQ($A7, "IQ_CASH_ST_INVEST",IQ_FQ,DateToday,,"F",Ccy,Conv)</f>
        <v>677.77058</v>
      </c>
      <c r="M7" s="4">
        <f>_xll.ciqfunctions.udf.CIQ($A7, "IQ_TOTAL_DEBT",IQ_FQ,DateToday,,"F",Ccy,Conv)</f>
        <v>905.86582999999996</v>
      </c>
      <c r="N7" s="4">
        <f>_xll.ciqfunctions.udf.CIQ($A7, "IQ_PREF_EQUITY",IQ_FQ,DateToday,,"F",Ccy,Conv)</f>
        <v>0</v>
      </c>
      <c r="O7" s="4">
        <f>_xll.ciqfunctions.udf.CIQ($A7, "IQ_MINORITY_INTEREST_TOTAL",IQ_FQ,DateToday,,"F",Ccy,Conv)</f>
        <v>10.41386</v>
      </c>
      <c r="P7" s="22">
        <f t="shared" si="6"/>
        <v>2734.9554136938</v>
      </c>
      <c r="Q7" s="4">
        <f>_xll.ciqfunctions.udf.CIQ($A7, "IQ_TOTAL_REV", IQ_FY,DateToday,,,Ccy,Conv)</f>
        <v>3311.0808499999998</v>
      </c>
      <c r="R7" s="4">
        <f>_xll.ciqfunctions.udf.CIQ($A7, "IQ_TOTAL_REV", IQ_LTM,DateToday,,,Ccy,Conv)</f>
        <v>3311.0808499999998</v>
      </c>
      <c r="S7" s="4">
        <f>_xll.ciqfunctions.udf.CIQ($A7, "IQ_REVENUE_EST", IQ_CY+ 1,DateToday,,,Ccy,Conv)</f>
        <v>3770.9224399999998</v>
      </c>
      <c r="T7" s="4">
        <f>_xll.ciqfunctions.udf.CIQ($A7, "IQ_REVENUE_EST", IQ_CY+ 2,DateToday,,,Ccy,Conv)</f>
        <v>5270.4474099999998</v>
      </c>
      <c r="U7" s="4">
        <f>_xll.ciqfunctions.udf.CIQ($A7, "IQ_EBITDA", IQ_FY,DateToday,,,Ccy,Conv)</f>
        <v>372.08461</v>
      </c>
      <c r="V7" s="4">
        <f>_xll.ciqfunctions.udf.CIQ($A7, "IQ_EBITDA", IQ_LTM,DateToday,,,Ccy,Conv)</f>
        <v>372.08461</v>
      </c>
      <c r="W7" s="4">
        <f>_xll.ciqfunctions.udf.CIQ($A7, "IQ_EBITDA_EST", IQ_CY+ 1,DateToday,,,Ccy,Conv)</f>
        <v>336.32539000000003</v>
      </c>
      <c r="X7" s="4">
        <f>_xll.ciqfunctions.udf.CIQ($A7, "IQ_EBITDA_EST", IQ_CY+ 2,DateToday,,,Ccy,Conv)</f>
        <v>1030.3574100000001</v>
      </c>
      <c r="Y7" s="11">
        <f>_xll.ciqfunctions.udf.CIQ($A7, "IQ_DILUT_EPS_EXCL", IQ_FY,DateToday,,,Ccy,Conv)</f>
        <v>0.52710999999999997</v>
      </c>
      <c r="Z7" s="11">
        <f>_xll.ciqfunctions.udf.CIQ($A7, "IQ_DILUT_EPS_EXCL", IQ_LTM,DateToday,,,Ccy,Conv)</f>
        <v>0.52710999999999997</v>
      </c>
      <c r="AA7" s="11">
        <f>_xll.ciqfunctions.udf.CIQ($A7, "IQ_EPS_EST", IQ_CY+ 1,DateToday,,,Ccy,Conv)</f>
        <v>0.36051</v>
      </c>
      <c r="AB7" s="11">
        <f>_xll.ciqfunctions.udf.CIQ($A7, "IQ_EPS_EST", IQ_CY+ 2,DateToday,,,Ccy,Conv)</f>
        <v>2.0363199999999999</v>
      </c>
      <c r="AC7" s="20">
        <f>_xll.ciqfunctions.udf.CIQ($A7, "IQ_TEV_TOTAL_REV",IQ_LTM,#REF!)</f>
        <v>0.83162999999999998</v>
      </c>
      <c r="AD7" s="20">
        <f>_xll.ciqfunctions.udf.CIQ($A7, "IQ_TEV_TOTAL_REV",IQ_LTM,DateToday)</f>
        <v>0.83162999999999998</v>
      </c>
      <c r="AE7" s="38">
        <f t="shared" si="3"/>
        <v>0.72527490480387613</v>
      </c>
      <c r="AF7" s="38">
        <f t="shared" si="4"/>
        <v>0.51892281640161553</v>
      </c>
      <c r="AG7" s="20">
        <f>_xll.ciqfunctions.udf.CIQ($A7, "IQ_TEV_EBITDA",IQ_LTM,#REF!)</f>
        <v>6.7621000000000002</v>
      </c>
      <c r="AH7" s="20">
        <f>_xll.ciqfunctions.udf.CIQ($A7, "IQ_TEV_EBITDA",IQ_LTM,DateToday)</f>
        <v>6.7621000000000002</v>
      </c>
      <c r="AI7" s="20">
        <f>_xll.ciqfunctions.udf.CIQ($A7, "IQ_TEV_EBITDA_FWD",IQ_CY+1,DateToday)</f>
        <v>8.1266099999999994</v>
      </c>
      <c r="AJ7" s="20">
        <f>_xll.ciqfunctions.udf.CIQ($A7, "IQ_TEV_EBITDA_FWD",IQ_CY+2,DateToday)</f>
        <v>2.65266</v>
      </c>
      <c r="AK7" s="20">
        <f>_xll.ciqfunctions.udf.CIQ($A7, "IQ_PE_EXCL",IQ_LTM,#REF!)</f>
        <v>12.382020000000001</v>
      </c>
      <c r="AL7" s="20">
        <f>_xll.ciqfunctions.udf.CIQ($A7, "IQ_PE_EXCL",IQ_LTM,DateToday)</f>
        <v>12.382020000000001</v>
      </c>
      <c r="AM7" s="20">
        <f>_xll.ciqfunctions.udf.CIQ($A7, "IQ_PE_EXCL_FWD",IQ_CY+1,DateToday)</f>
        <v>17.969539999999999</v>
      </c>
      <c r="AN7" s="20">
        <f>_xll.ciqfunctions.udf.CIQ($A7, "IQ_PE_EXCL_FWD",IQ_CY+2,DateToday)</f>
        <v>3.1813600000000002</v>
      </c>
      <c r="AO7" s="20">
        <f>_xll.ciqfunctions.udf.CIQ($A7, "IQ_PBV",IQ_LTM,DateToday,)</f>
        <v>1.9964299999999999</v>
      </c>
      <c r="AP7" s="20">
        <f>_xll.ciqfunctions.udf.CIQ($A7, "IQ_PTBV",IQ_LTM,DateToday,)</f>
        <v>2.0656500000000002</v>
      </c>
      <c r="AQ7" s="4">
        <f>_xll.ciqfunctions.udf.CIQ($A7, "IQ_GROSS_MARGIN", IQ_FY- 2,DateToday,)</f>
        <v>0.77029999999999998</v>
      </c>
      <c r="AR7" s="4">
        <f>_xll.ciqfunctions.udf.CIQ($A7, "IQ_GROSS_MARGIN", IQ_FY- 1,DateToday,)</f>
        <v>23.012599999999999</v>
      </c>
      <c r="AS7" s="4">
        <f>_xll.ciqfunctions.udf.CIQ($A7, "IQ_GROSS_MARGIN", IQ_FY,DateToday,)</f>
        <v>13.595499999999999</v>
      </c>
      <c r="AT7" s="4">
        <f>_xll.ciqfunctions.udf.CIQ($A7, "IQ_GROSS_MARGIN", IQ_LTM,DateToday,)</f>
        <v>13.595499999999999</v>
      </c>
      <c r="AU7" s="4">
        <f>_xll.ciqfunctions.udf.CIQ($A7, "IQ_EBITDA_MARGIN", IQ_FY- 2,DateToday,)</f>
        <v>-2.6528999999999998</v>
      </c>
      <c r="AV7" s="4">
        <f>_xll.ciqfunctions.udf.CIQ($A7, "IQ_EBITDA_MARGIN", IQ_FY- 1,DateToday,)</f>
        <v>20.9954</v>
      </c>
      <c r="AW7" s="4">
        <f>_xll.ciqfunctions.udf.CIQ($A7, "IQ_EBITDA_MARGIN", IQ_FY,DateToday,)</f>
        <v>11.237500000000001</v>
      </c>
      <c r="AX7" s="4">
        <f>_xll.ciqfunctions.udf.CIQ($A7, "IQ_EBITDA_MARGIN", IQ_LTM,DateToday,)</f>
        <v>11.237500000000001</v>
      </c>
      <c r="AY7" s="4">
        <f>_xll.ciqfunctions.udf.CIQ($A7, "IQ_NI_MARGIN", IQ_FY- 2,DateToday,)</f>
        <v>-10.9878</v>
      </c>
      <c r="AZ7" s="4">
        <f>_xll.ciqfunctions.udf.CIQ($A7, "IQ_NI_MARGIN", IQ_FY- 1,DateToday,)</f>
        <v>14.0664</v>
      </c>
      <c r="BA7" s="4">
        <f>_xll.ciqfunctions.udf.CIQ($A7, "IQ_NI_MARGIN", IQ_FY,DateToday,)</f>
        <v>6.1886999999999999</v>
      </c>
      <c r="BB7" s="4">
        <f>_xll.ciqfunctions.udf.CIQ($A7, "IQ_NI_MARGIN", IQ_LTM,DateToday,)</f>
        <v>6.1886999999999999</v>
      </c>
      <c r="BC7" s="4">
        <f>_xll.ciqfunctions.udf.CIQ($A7, "IQ_TOTAL_REV_5YR_ANN_CAGR",IQ_LTM,DateToday,)</f>
        <v>23.242999999999999</v>
      </c>
      <c r="BD7" s="4">
        <f>_xll.ciqfunctions.udf.CIQ($A7, "IQ_TOTAL_REV_3YR_ANN_CAGR",IQ_LTM,DateToday,)</f>
        <v>15.4834</v>
      </c>
      <c r="BE7" s="4">
        <f>_xll.ciqfunctions.udf.CIQ($A7, "IQ_TOTAL_REV_1YR_ANN_GROWTH", IQ_FY,DateToday,)</f>
        <v>3.0937999999999999</v>
      </c>
      <c r="BF7" s="4">
        <f>_xll.ciqfunctions.udf.CIQ($A7, "IQ_TOTAL_REV_1YR_ANN_GROWTH",IQ_LTM,DateToday,)</f>
        <v>3.0937999999999999</v>
      </c>
      <c r="BG7" s="4">
        <f>_xll.ciqfunctions.udf.CIQ($A7, "IQ_EBITDA_5YR_ANN_CAGR",IQ_LTM,DateToday,)</f>
        <v>2.93E-2</v>
      </c>
      <c r="BH7" s="4">
        <f>_xll.ciqfunctions.udf.CIQ($A7, "IQ_EBITDA_3YR_ANN_CAGR",IQ_LTM,DateToday,)</f>
        <v>22.420400000000001</v>
      </c>
      <c r="BI7" s="4">
        <f>_xll.ciqfunctions.udf.CIQ($A7, "IQ_EBITDA_1YR_ANN_GROWTH", IQ_FY,DateToday,)</f>
        <v>-44.8202</v>
      </c>
      <c r="BJ7" s="4">
        <f>_xll.ciqfunctions.udf.CIQ($A7, "IQ_EBITDA_1YR_ANN_GROWTH",IQ_LTM,DateToday,)</f>
        <v>-44.8202</v>
      </c>
      <c r="BK7" s="4">
        <f>_xll.ciqfunctions.udf.CIQ($A7, "IQ_EPS_5YR_ANN_CAGR",IQ_LTM,DateToday,)</f>
        <v>-17.6858</v>
      </c>
      <c r="BL7" s="4">
        <f>_xll.ciqfunctions.udf.CIQ($A7, "IQ_EPS_3YR_ANN_CAGR",IQ_LTM,DateToday,)</f>
        <v>10.3592</v>
      </c>
      <c r="BM7" s="4">
        <f>_xll.ciqfunctions.udf.CIQ($A7, "IQ_EPS_1YR_ANN_GROWTH", IQ_FY,DateToday,)</f>
        <v>-54.627899999999997</v>
      </c>
      <c r="BN7" s="4">
        <f>_xll.ciqfunctions.udf.CIQ($A7, "IQ_EPS_1YR_ANN_GROWTH", IQ_LTM,DateToday,)</f>
        <v>-54.627899999999997</v>
      </c>
      <c r="BO7" s="20">
        <f>_xll.ciqfunctions.udf.CIQ($A7, "IQ_TOTAL_DEBT_EBITDA",IQ_LTM,DateToday,)</f>
        <v>2.2245499999999998</v>
      </c>
      <c r="BP7" s="20">
        <f>_xll.ciqfunctions.udf.CIQ($A7, "IQ_NET_DEBT_EBITDA",IQ_LTM,DateToday,)</f>
        <v>0.56013999999999997</v>
      </c>
      <c r="BQ7" s="39">
        <f t="shared" si="5"/>
        <v>2.4345694652622152</v>
      </c>
      <c r="BR7" s="20">
        <f>_xll.ciqfunctions.udf.CIQ($A7, "IQ_EBITDA_INT",IQ_LTM,DateToday,)</f>
        <v>10.25409</v>
      </c>
      <c r="BS7" s="20">
        <f>_xll.ciqfunctions.udf.CIQ($A7, "IQ_EBITDA_CAPEX_INT",IQ_LTM,DateToday,)</f>
        <v>3.9438800000000001</v>
      </c>
      <c r="BT7" s="4">
        <f>_xll.ciqfunctions.udf.CIQ($A7, "IQ_TOTAL_DEBT_EQUITY",IQ_FQ,DateToday,)</f>
        <v>70.970600000000005</v>
      </c>
      <c r="BU7" s="4">
        <f>_xll.ciqfunctions.udf.CIQ($A7, "IQ_TOTAL_DEBT_CAPITAL",IQ_FQ,DateToday,)</f>
        <v>41.510399999999997</v>
      </c>
      <c r="BV7" s="4">
        <f>_xll.ciqfunctions.udf.CIQ($A7, "IQ_RETURN_EQUITY",IQ_LTM,DateToday)</f>
        <v>16.797899999999998</v>
      </c>
      <c r="BW7" s="4">
        <f>_xll.ciqfunctions.udf.CIQ($A7, "IQ_RETURN_ASSETS",IQ_LTM,DateToday)</f>
        <v>4.1436000000000002</v>
      </c>
      <c r="BX7" s="4">
        <f>_xll.ciqfunctions.udf.CIQ($A7, "IQ_RETURN_INVESTED_CAPITAL",IQ_LTM,DateToday)</f>
        <v>6.4257999999999997</v>
      </c>
      <c r="BY7" s="20">
        <f>_xll.ciqfunctions.udf.CIQ($A7, "IQ_CURRENT_RATIO",IQ_FQ,DateToday,)</f>
        <v>1.3807700000000001</v>
      </c>
      <c r="BZ7" s="20">
        <f>_xll.ciqfunctions.udf.CIQ($A7, "IQ_QUICK_RATIO",IQ_FQ,DateToday,)</f>
        <v>0.59206999999999999</v>
      </c>
      <c r="CA7" s="4">
        <f>_xll.ciqfunctions.udf.CIQ($A7, "IQ_DAYS_SALES_OUT",IQ_LTM,DateToday,)</f>
        <v>0.43653999999999998</v>
      </c>
      <c r="CB7" s="4">
        <f>_xll.ciqfunctions.udf.CIQ($A7, "IQ_DAYS_INVENTORY_OUT",IQ_LTM,DateToday,)</f>
        <v>106.03542</v>
      </c>
      <c r="CC7" s="4">
        <f>_xll.ciqfunctions.udf.CIQ($A7, "IQ_DAYS_PAYABLE_OUT",IQ_LTM,DateToday,)</f>
        <v>39.175089999999997</v>
      </c>
      <c r="CD7" s="4">
        <f>_xll.ciqfunctions.udf.CIQ($A7, "IQ_CASH_CONVERSION",IQ_LTM,DateToday,)</f>
        <v>67.296880000000002</v>
      </c>
      <c r="CE7" s="20">
        <f>_xll.ciqfunctions.udf.CIQ($A7, "IQ_ASSET_TURNS",IQ_LTM,DateToday,)</f>
        <v>1.0085900000000001</v>
      </c>
      <c r="CF7" s="20">
        <f>_xll.ciqfunctions.udf.CIQ($A7, "IQ_FIXED_ASSET_TURNS",IQ_LTM,DateToday,)</f>
        <v>2.0896699999999999</v>
      </c>
      <c r="CG7" s="20">
        <f>_xll.ciqfunctions.udf.CIQ($A7, "IQ_AR_TURNS",IQ_LTM,DateToday,)</f>
        <v>835.46478999999999</v>
      </c>
      <c r="CH7" s="20">
        <f>_xll.ciqfunctions.udf.CIQ($A7, "IQ_INVENTORY_TURNS",IQ_LTM,DateToday,)</f>
        <v>3.44225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</row>
    <row r="8" spans="1:168" s="1" customFormat="1" x14ac:dyDescent="0.2">
      <c r="A8" s="36" t="str">
        <f>_xll.ciqfunctions.udf.CIQ($A$10,"IQ_QUICK_COMP",7)</f>
        <v>NYSE:LW</v>
      </c>
      <c r="B8" s="36" t="str">
        <f>_xll.ciqfunctions.udf.CIQ($A8, "IQ_COMPANY_NAME")</f>
        <v>Lamb Weston Holdings, Inc.</v>
      </c>
      <c r="C8" s="13">
        <f>_xll.ciqfunctions.udf.CIQ($A8,"IQ_PERIODDATE",IQ_FY,DateToday)</f>
        <v>46173</v>
      </c>
      <c r="D8" s="13">
        <f>_xll.ciqfunctions.udf.CIQ($A8,"IQ_PERIODDATE",IQ_LTM,DateToday)</f>
        <v>46173</v>
      </c>
      <c r="E8" s="11">
        <f>_xll.ciqfunctions.udf.CIQ($A8, "IQ_LASTSALEPRICE",DateToday,Ccy,Conv)</f>
        <v>52.36</v>
      </c>
      <c r="F8" s="11">
        <f>_xll.ciqfunctions.udf.CIQ($A8, "IQ_YEARHIGH",DateToday,Ccy,Conv)</f>
        <v>67.069999999999993</v>
      </c>
      <c r="G8" s="11">
        <f>_xll.ciqfunctions.udf.CIQ($A8, "IQ_YEARLOW",DateToday,Ccy,Conv)</f>
        <v>37.619999999999997</v>
      </c>
      <c r="H8" s="37">
        <f t="shared" si="0"/>
        <v>0.78067690472640527</v>
      </c>
      <c r="I8" s="37">
        <f t="shared" si="1"/>
        <v>1.3918128654970761</v>
      </c>
      <c r="J8" s="4">
        <f>_xll.ciqfunctions.udf.CIQ($A8, "IQ_SHARESOUTSTANDING",DateToday)</f>
        <v>137.48101</v>
      </c>
      <c r="K8" s="22">
        <f t="shared" si="2"/>
        <v>7198.5056835999994</v>
      </c>
      <c r="L8" s="4">
        <f>_xll.ciqfunctions.udf.CIQ($A8, "IQ_CASH_ST_INVEST",IQ_FQ,DateToday,,"F",Ccy,Conv)</f>
        <v>68.2</v>
      </c>
      <c r="M8" s="4">
        <f>_xll.ciqfunctions.udf.CIQ($A8, "IQ_TOTAL_DEBT",IQ_FQ,DateToday,,"F",Ccy,Conv)</f>
        <v>4037.1</v>
      </c>
      <c r="N8" s="4">
        <f>_xll.ciqfunctions.udf.CIQ($A8, "IQ_PREF_EQUITY",IQ_FQ,DateToday,,"F",Ccy,Conv)</f>
        <v>0</v>
      </c>
      <c r="O8" s="4">
        <f>_xll.ciqfunctions.udf.CIQ($A8, "IQ_MINORITY_INTEREST_TOTAL",IQ_FQ,DateToday,,"F",Ccy,Conv)</f>
        <v>0</v>
      </c>
      <c r="P8" s="22">
        <f t="shared" si="6"/>
        <v>11167.4056836</v>
      </c>
      <c r="Q8" s="4">
        <f>_xll.ciqfunctions.udf.CIQ($A8, "IQ_TOTAL_REV", IQ_FY,DateToday,,,Ccy,Conv)</f>
        <v>6612.3</v>
      </c>
      <c r="R8" s="4">
        <f>_xll.ciqfunctions.udf.CIQ($A8, "IQ_TOTAL_REV", IQ_LTM,DateToday,,,Ccy,Conv)</f>
        <v>6612.3</v>
      </c>
      <c r="S8" s="4">
        <f>_xll.ciqfunctions.udf.CIQ($A8, "IQ_REVENUE_EST", IQ_CY+ 1,DateToday,,,Ccy,Conv)</f>
        <v>6606.9250000000002</v>
      </c>
      <c r="T8" s="4">
        <f>_xll.ciqfunctions.udf.CIQ($A8, "IQ_REVENUE_EST", IQ_CY+ 2,DateToday,,,Ccy,Conv)</f>
        <v>6574.7227999999996</v>
      </c>
      <c r="U8" s="4">
        <f>_xll.ciqfunctions.udf.CIQ($A8, "IQ_EBITDA", IQ_FY,DateToday,,,Ccy,Conv)</f>
        <v>1104.3</v>
      </c>
      <c r="V8" s="4">
        <f>_xll.ciqfunctions.udf.CIQ($A8, "IQ_EBITDA", IQ_LTM,DateToday,,,Ccy,Conv)</f>
        <v>1104.3</v>
      </c>
      <c r="W8" s="4">
        <f>_xll.ciqfunctions.udf.CIQ($A8, "IQ_EBITDA_EST", IQ_CY+ 1,DateToday,,,Ccy,Conv)</f>
        <v>1116.0211999999999</v>
      </c>
      <c r="X8" s="4">
        <f>_xll.ciqfunctions.udf.CIQ($A8, "IQ_EBITDA_EST", IQ_CY+ 2,DateToday,,,Ccy,Conv)</f>
        <v>1216.4025999999999</v>
      </c>
      <c r="Y8" s="11">
        <f>_xll.ciqfunctions.udf.CIQ($A8, "IQ_DILUT_EPS_EXCL", IQ_FY,DateToday,,,Ccy,Conv)</f>
        <v>2.08</v>
      </c>
      <c r="Z8" s="11">
        <f>_xll.ciqfunctions.udf.CIQ($A8, "IQ_DILUT_EPS_EXCL", IQ_LTM,DateToday,,,Ccy,Conv)</f>
        <v>2.08</v>
      </c>
      <c r="AA8" s="11">
        <f>_xll.ciqfunctions.udf.CIQ($A8, "IQ_EPS_EST", IQ_CY+ 1,DateToday,,,Ccy,Conv)</f>
        <v>2.9523000000000001</v>
      </c>
      <c r="AB8" s="11">
        <f>_xll.ciqfunctions.udf.CIQ($A8, "IQ_EPS_EST", IQ_CY+ 2,DateToday,,,Ccy,Conv)</f>
        <v>3.2660999999999998</v>
      </c>
      <c r="AC8" s="20">
        <f>_xll.ciqfunctions.udf.CIQ($A8, "IQ_TEV_TOTAL_REV",IQ_LTM,#REF!)</f>
        <v>1.71363</v>
      </c>
      <c r="AD8" s="20">
        <f>_xll.ciqfunctions.udf.CIQ($A8, "IQ_TEV_TOTAL_REV",IQ_LTM,DateToday)</f>
        <v>1.71363</v>
      </c>
      <c r="AE8" s="38">
        <f t="shared" si="3"/>
        <v>1.6902576741222277</v>
      </c>
      <c r="AF8" s="38">
        <f t="shared" si="4"/>
        <v>1.6985363525288093</v>
      </c>
      <c r="AG8" s="20">
        <f>_xll.ciqfunctions.udf.CIQ($A8, "IQ_TEV_EBITDA",IQ_LTM,#REF!)</f>
        <v>10.10164</v>
      </c>
      <c r="AH8" s="20">
        <f>_xll.ciqfunctions.udf.CIQ($A8, "IQ_TEV_EBITDA",IQ_LTM,DateToday)</f>
        <v>10.10164</v>
      </c>
      <c r="AI8" s="20">
        <f>_xll.ciqfunctions.udf.CIQ($A8, "IQ_TEV_EBITDA_FWD",IQ_CY+1,DateToday)</f>
        <v>10.153040000000001</v>
      </c>
      <c r="AJ8" s="20">
        <f>_xll.ciqfunctions.udf.CIQ($A8, "IQ_TEV_EBITDA_FWD",IQ_CY+2,DateToday)</f>
        <v>9.3151799999999998</v>
      </c>
      <c r="AK8" s="20">
        <f>_xll.ciqfunctions.udf.CIQ($A8, "IQ_PE_EXCL",IQ_LTM,#REF!)</f>
        <v>25.745190000000001</v>
      </c>
      <c r="AL8" s="20">
        <f>_xll.ciqfunctions.udf.CIQ($A8, "IQ_PE_EXCL",IQ_LTM,DateToday)</f>
        <v>25.745190000000001</v>
      </c>
      <c r="AM8" s="20">
        <f>_xll.ciqfunctions.udf.CIQ($A8, "IQ_PE_EXCL_FWD",IQ_CY+1,DateToday)</f>
        <v>18.138400000000001</v>
      </c>
      <c r="AN8" s="20">
        <f>_xll.ciqfunctions.udf.CIQ($A8, "IQ_PE_EXCL_FWD",IQ_CY+2,DateToday)</f>
        <v>16.395700000000001</v>
      </c>
      <c r="AO8" s="20">
        <f>_xll.ciqfunctions.udf.CIQ($A8, "IQ_PBV",IQ_LTM,DateToday,)</f>
        <v>4.0335000000000001</v>
      </c>
      <c r="AP8" s="20">
        <f>_xll.ciqfunctions.udf.CIQ($A8, "IQ_PTBV",IQ_LTM,DateToday,)</f>
        <v>17.922419999999999</v>
      </c>
      <c r="AQ8" s="4">
        <f>_xll.ciqfunctions.udf.CIQ($A8, "IQ_GROSS_MARGIN", IQ_FY- 2,DateToday,)</f>
        <v>27.316099999999999</v>
      </c>
      <c r="AR8" s="4">
        <f>_xll.ciqfunctions.udf.CIQ($A8, "IQ_GROSS_MARGIN", IQ_FY- 1,DateToday,)</f>
        <v>22.846499999999999</v>
      </c>
      <c r="AS8" s="4">
        <f>_xll.ciqfunctions.udf.CIQ($A8, "IQ_GROSS_MARGIN", IQ_FY,DateToday,)</f>
        <v>20.678100000000001</v>
      </c>
      <c r="AT8" s="4">
        <f>_xll.ciqfunctions.udf.CIQ($A8, "IQ_GROSS_MARGIN", IQ_LTM,DateToday,)</f>
        <v>20.678100000000001</v>
      </c>
      <c r="AU8" s="4">
        <f>_xll.ciqfunctions.udf.CIQ($A8, "IQ_EBITDA_MARGIN", IQ_FY- 2,DateToday,)</f>
        <v>21.587599999999998</v>
      </c>
      <c r="AV8" s="4">
        <f>_xll.ciqfunctions.udf.CIQ($A8, "IQ_EBITDA_MARGIN", IQ_FY- 1,DateToday,)</f>
        <v>19.078299999999999</v>
      </c>
      <c r="AW8" s="4">
        <f>_xll.ciqfunctions.udf.CIQ($A8, "IQ_EBITDA_MARGIN", IQ_FY,DateToday,)</f>
        <v>16.700600000000001</v>
      </c>
      <c r="AX8" s="4">
        <f>_xll.ciqfunctions.udf.CIQ($A8, "IQ_EBITDA_MARGIN", IQ_LTM,DateToday,)</f>
        <v>16.700600000000001</v>
      </c>
      <c r="AY8" s="4">
        <f>_xll.ciqfunctions.udf.CIQ($A8, "IQ_NI_MARGIN", IQ_FY- 2,DateToday,)</f>
        <v>11.2174</v>
      </c>
      <c r="AZ8" s="4">
        <f>_xll.ciqfunctions.udf.CIQ($A8, "IQ_NI_MARGIN", IQ_FY- 1,DateToday,)</f>
        <v>5.5368000000000004</v>
      </c>
      <c r="BA8" s="4">
        <f>_xll.ciqfunctions.udf.CIQ($A8, "IQ_NI_MARGIN", IQ_FY,DateToday,)</f>
        <v>4.3856999999999999</v>
      </c>
      <c r="BB8" s="4">
        <f>_xll.ciqfunctions.udf.CIQ($A8, "IQ_NI_MARGIN", IQ_LTM,DateToday,)</f>
        <v>4.3856999999999999</v>
      </c>
      <c r="BC8" s="4">
        <f>_xll.ciqfunctions.udf.CIQ($A8, "IQ_TOTAL_REV_5YR_ANN_CAGR",IQ_LTM,DateToday,)</f>
        <v>12.490500000000001</v>
      </c>
      <c r="BD8" s="4">
        <f>_xll.ciqfunctions.udf.CIQ($A8, "IQ_TOTAL_REV_3YR_ANN_CAGR",IQ_LTM,DateToday,)</f>
        <v>7.3124000000000002</v>
      </c>
      <c r="BE8" s="4">
        <f>_xll.ciqfunctions.udf.CIQ($A8, "IQ_TOTAL_REV_1YR_ANN_GROWTH", IQ_FY,DateToday,)</f>
        <v>2.4956</v>
      </c>
      <c r="BF8" s="4">
        <f>_xll.ciqfunctions.udf.CIQ($A8, "IQ_TOTAL_REV_1YR_ANN_GROWTH",IQ_LTM,DateToday,)</f>
        <v>2.4956</v>
      </c>
      <c r="BG8" s="4">
        <f>_xll.ciqfunctions.udf.CIQ($A8, "IQ_EBITDA_5YR_ANN_CAGR",IQ_LTM,DateToday,)</f>
        <v>11.005000000000001</v>
      </c>
      <c r="BH8" s="4">
        <f>_xll.ciqfunctions.udf.CIQ($A8, "IQ_EBITDA_3YR_ANN_CAGR",IQ_LTM,DateToday,)</f>
        <v>0.71020000000000005</v>
      </c>
      <c r="BI8" s="4">
        <f>_xll.ciqfunctions.udf.CIQ($A8, "IQ_EBITDA_1YR_ANN_GROWTH", IQ_FY,DateToday,)</f>
        <v>-10.277900000000001</v>
      </c>
      <c r="BJ8" s="4">
        <f>_xll.ciqfunctions.udf.CIQ($A8, "IQ_EBITDA_1YR_ANN_GROWTH",IQ_LTM,DateToday,)</f>
        <v>-10.277900000000001</v>
      </c>
      <c r="BK8" s="4">
        <f>_xll.ciqfunctions.udf.CIQ($A8, "IQ_EPS_5YR_ANN_CAGR",IQ_LTM,DateToday,)</f>
        <v>-0.752</v>
      </c>
      <c r="BL8" s="4">
        <f>_xll.ciqfunctions.udf.CIQ($A8, "IQ_EPS_3YR_ANN_CAGR",IQ_LTM,DateToday,)</f>
        <v>-33.110300000000002</v>
      </c>
      <c r="BM8" s="4">
        <f>_xll.ciqfunctions.udf.CIQ($A8, "IQ_EPS_1YR_ANN_GROWTH", IQ_FY,DateToday,)</f>
        <v>-16.8</v>
      </c>
      <c r="BN8" s="4">
        <f>_xll.ciqfunctions.udf.CIQ($A8, "IQ_EPS_1YR_ANN_GROWTH", IQ_LTM,DateToday,)</f>
        <v>-16.8</v>
      </c>
      <c r="BO8" s="20">
        <f>_xll.ciqfunctions.udf.CIQ($A8, "IQ_TOTAL_DEBT_EBITDA",IQ_LTM,DateToday,)</f>
        <v>3.6233200000000001</v>
      </c>
      <c r="BP8" s="20">
        <f>_xll.ciqfunctions.udf.CIQ($A8, "IQ_NET_DEBT_EBITDA",IQ_LTM,DateToday,)</f>
        <v>3.5621100000000001</v>
      </c>
      <c r="BQ8" s="39">
        <f t="shared" si="5"/>
        <v>3.6558000543330618</v>
      </c>
      <c r="BR8" s="20">
        <f>_xll.ciqfunctions.udf.CIQ($A8, "IQ_EBITDA_INT",IQ_LTM,DateToday,)</f>
        <v>6.1728500000000004</v>
      </c>
      <c r="BS8" s="20">
        <f>_xll.ciqfunctions.udf.CIQ($A8, "IQ_EBITDA_CAPEX_INT",IQ_LTM,DateToday,)</f>
        <v>3.9418299999999999</v>
      </c>
      <c r="BT8" s="4">
        <f>_xll.ciqfunctions.udf.CIQ($A8, "IQ_TOTAL_DEBT_EQUITY",IQ_FQ,DateToday,)</f>
        <v>221.22300000000001</v>
      </c>
      <c r="BU8" s="4">
        <f>_xll.ciqfunctions.udf.CIQ($A8, "IQ_TOTAL_DEBT_CAPITAL",IQ_FQ,DateToday,)</f>
        <v>68.868899999999996</v>
      </c>
      <c r="BV8" s="4">
        <f>_xll.ciqfunctions.udf.CIQ($A8, "IQ_RETURN_EQUITY",IQ_LTM,DateToday)</f>
        <v>16.280200000000001</v>
      </c>
      <c r="BW8" s="4">
        <f>_xll.ciqfunctions.udf.CIQ($A8, "IQ_RETURN_ASSETS",IQ_LTM,DateToday)</f>
        <v>6.0305</v>
      </c>
      <c r="BX8" s="4">
        <f>_xll.ciqfunctions.udf.CIQ($A8, "IQ_RETURN_INVESTED_CAPITAL",IQ_LTM,DateToday)</f>
        <v>1.3918999999999999</v>
      </c>
      <c r="BY8" s="20">
        <f>_xll.ciqfunctions.udf.CIQ($A8, "IQ_CURRENT_RATIO",IQ_FQ,DateToday,)</f>
        <v>1.4231</v>
      </c>
      <c r="BZ8" s="20">
        <f>_xll.ciqfunctions.udf.CIQ($A8, "IQ_QUICK_RATIO",IQ_FQ,DateToday,)</f>
        <v>0.59858999999999996</v>
      </c>
      <c r="CA8" s="4">
        <f>_xll.ciqfunctions.udf.CIQ($A8, "IQ_DAYS_SALES_OUT",IQ_LTM,DateToday,)</f>
        <v>43.783189999999998</v>
      </c>
      <c r="CB8" s="4">
        <f>_xll.ciqfunctions.udf.CIQ($A8, "IQ_DAYS_INVENTORY_OUT",IQ_LTM,DateToday,)</f>
        <v>73.315539999999999</v>
      </c>
      <c r="CC8" s="4">
        <f>_xll.ciqfunctions.udf.CIQ($A8, "IQ_DAYS_PAYABLE_OUT",IQ_LTM,DateToday,)</f>
        <v>44.049570000000003</v>
      </c>
      <c r="CD8" s="4">
        <f>_xll.ciqfunctions.udf.CIQ($A8, "IQ_CASH_CONVERSION",IQ_LTM,DateToday,)</f>
        <v>73.049160000000001</v>
      </c>
      <c r="CE8" s="20">
        <f>_xll.ciqfunctions.udf.CIQ($A8, "IQ_ASSET_TURNS",IQ_LTM,DateToday,)</f>
        <v>0.89520999999999995</v>
      </c>
      <c r="CF8" s="20">
        <f>_xll.ciqfunctions.udf.CIQ($A8, "IQ_FIXED_ASSET_TURNS",IQ_LTM,DateToday,)</f>
        <v>1.73946</v>
      </c>
      <c r="CG8" s="20">
        <f>_xll.ciqfunctions.udf.CIQ($A8, "IQ_AR_TURNS",IQ_LTM,DateToday,)</f>
        <v>8.4735099999999992</v>
      </c>
      <c r="CH8" s="20">
        <f>_xll.ciqfunctions.udf.CIQ($A8, "IQ_INVENTORY_TURNS",IQ_LTM,DateToday,)</f>
        <v>5.0602999999999998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</row>
    <row r="9" spans="1:168" s="1" customFormat="1" x14ac:dyDescent="0.2">
      <c r="A9" s="36" t="str">
        <f>_xll.ciqfunctions.udf.CIQ($A$10,"IQ_QUICK_COMP",8)</f>
        <v>NYSE:GIS</v>
      </c>
      <c r="B9" s="36" t="str">
        <f>_xll.ciqfunctions.udf.CIQ($A9, "IQ_COMPANY_NAME")</f>
        <v>General Mills, Inc.</v>
      </c>
      <c r="C9" s="13">
        <f>_xll.ciqfunctions.udf.CIQ($A9,"IQ_PERIODDATE",IQ_FY,DateToday)</f>
        <v>46173</v>
      </c>
      <c r="D9" s="13">
        <f>_xll.ciqfunctions.udf.CIQ($A9,"IQ_PERIODDATE",IQ_LTM,DateToday)</f>
        <v>46173</v>
      </c>
      <c r="E9" s="11">
        <f>_xll.ciqfunctions.udf.CIQ($A9, "IQ_LASTSALEPRICE",DateToday,Ccy,Conv)</f>
        <v>35.85</v>
      </c>
      <c r="F9" s="11">
        <f>_xll.ciqfunctions.udf.CIQ($A9, "IQ_YEARHIGH",DateToday,Ccy,Conv)</f>
        <v>51.33</v>
      </c>
      <c r="G9" s="11">
        <f>_xll.ciqfunctions.udf.CIQ($A9, "IQ_YEARLOW",DateToday,Ccy,Conv)</f>
        <v>31.75</v>
      </c>
      <c r="H9" s="37">
        <f t="shared" si="0"/>
        <v>0.69842197545295159</v>
      </c>
      <c r="I9" s="37">
        <f t="shared" si="1"/>
        <v>1.1291338582677166</v>
      </c>
      <c r="J9" s="4">
        <f>_xll.ciqfunctions.udf.CIQ($A9, "IQ_SHARESOUTSTANDING",DateToday)</f>
        <v>533.70839999999998</v>
      </c>
      <c r="K9" s="22">
        <f t="shared" si="2"/>
        <v>19133.44614</v>
      </c>
      <c r="L9" s="4">
        <f>_xll.ciqfunctions.udf.CIQ($A9, "IQ_CASH_ST_INVEST",IQ_FQ,DateToday,,"F",Ccy,Conv)</f>
        <v>453.8</v>
      </c>
      <c r="M9" s="4">
        <f>_xll.ciqfunctions.udf.CIQ($A9, "IQ_TOTAL_DEBT",IQ_FQ,DateToday,,"F",Ccy,Conv)</f>
        <v>13940.4</v>
      </c>
      <c r="N9" s="4">
        <f>_xll.ciqfunctions.udf.CIQ($A9, "IQ_PREF_EQUITY",IQ_FQ,DateToday,,"F",Ccy,Conv)</f>
        <v>0</v>
      </c>
      <c r="O9" s="4">
        <f>_xll.ciqfunctions.udf.CIQ($A9, "IQ_MINORITY_INTEREST_TOTAL",IQ_FQ,DateToday,,"F",Ccy,Conv)</f>
        <v>12.2</v>
      </c>
      <c r="P9" s="22">
        <f t="shared" si="6"/>
        <v>32632.246139999999</v>
      </c>
      <c r="Q9" s="4">
        <f>_xll.ciqfunctions.udf.CIQ($A9, "IQ_TOTAL_REV", IQ_FY,DateToday,,,Ccy,Conv)</f>
        <v>18424.599999999999</v>
      </c>
      <c r="R9" s="4">
        <f>_xll.ciqfunctions.udf.CIQ($A9, "IQ_TOTAL_REV", IQ_LTM,DateToday,,,Ccy,Conv)</f>
        <v>18424.599999999999</v>
      </c>
      <c r="S9" s="4">
        <f>_xll.ciqfunctions.udf.CIQ($A9, "IQ_REVENUE_EST", IQ_CY+ 1,DateToday,,,Ccy,Conv)</f>
        <v>18151.189399999999</v>
      </c>
      <c r="T9" s="4">
        <f>_xll.ciqfunctions.udf.CIQ($A9, "IQ_REVENUE_EST", IQ_CY+ 2,DateToday,,,Ccy,Conv)</f>
        <v>17798.588299999999</v>
      </c>
      <c r="U9" s="4">
        <f>_xll.ciqfunctions.udf.CIQ($A9, "IQ_EBITDA", IQ_FY,DateToday,,,Ccy,Conv)</f>
        <v>3449.6</v>
      </c>
      <c r="V9" s="4">
        <f>_xll.ciqfunctions.udf.CIQ($A9, "IQ_EBITDA", IQ_LTM,DateToday,,,Ccy,Conv)</f>
        <v>3449.6</v>
      </c>
      <c r="W9" s="4">
        <f>_xll.ciqfunctions.udf.CIQ($A9, "IQ_EBITDA_EST", IQ_CY+ 1,DateToday,,,Ccy,Conv)</f>
        <v>3195.1655999999998</v>
      </c>
      <c r="X9" s="4">
        <f>_xll.ciqfunctions.udf.CIQ($A9, "IQ_EBITDA_EST", IQ_CY+ 2,DateToday,,,Ccy,Conv)</f>
        <v>3140.9949999999999</v>
      </c>
      <c r="Y9" s="11">
        <f>_xll.ciqfunctions.udf.CIQ($A9, "IQ_DILUT_EPS_EXCL", IQ_FY,DateToday,,,Ccy,Conv)</f>
        <v>-0.16292000000000001</v>
      </c>
      <c r="Z9" s="11">
        <f>_xll.ciqfunctions.udf.CIQ($A9, "IQ_DILUT_EPS_EXCL", IQ_LTM,DateToday,,,Ccy,Conv)</f>
        <v>-0.16292000000000001</v>
      </c>
      <c r="AA9" s="11">
        <f>_xll.ciqfunctions.udf.CIQ($A9, "IQ_EPS_EST", IQ_CY+ 1,DateToday,,,Ccy,Conv)</f>
        <v>3.2909999999999999</v>
      </c>
      <c r="AB9" s="11">
        <f>_xll.ciqfunctions.udf.CIQ($A9, "IQ_EPS_EST", IQ_CY+ 2,DateToday,,,Ccy,Conv)</f>
        <v>3.1536</v>
      </c>
      <c r="AC9" s="20">
        <f>_xll.ciqfunctions.udf.CIQ($A9, "IQ_TEV_TOTAL_REV",IQ_LTM,#REF!)</f>
        <v>1.7876300000000001</v>
      </c>
      <c r="AD9" s="20">
        <f>_xll.ciqfunctions.udf.CIQ($A9, "IQ_TEV_TOTAL_REV",IQ_LTM,DateToday)</f>
        <v>1.7876300000000001</v>
      </c>
      <c r="AE9" s="38">
        <f t="shared" si="3"/>
        <v>1.7978020845289622</v>
      </c>
      <c r="AF9" s="38">
        <f t="shared" si="4"/>
        <v>1.8334176615569</v>
      </c>
      <c r="AG9" s="20">
        <f>_xll.ciqfunctions.udf.CIQ($A9, "IQ_TEV_EBITDA",IQ_LTM,#REF!)</f>
        <v>9.2791800000000002</v>
      </c>
      <c r="AH9" s="20">
        <f>_xll.ciqfunctions.udf.CIQ($A9, "IQ_TEV_EBITDA",IQ_LTM,DateToday)</f>
        <v>9.2791800000000002</v>
      </c>
      <c r="AI9" s="20">
        <f>_xll.ciqfunctions.udf.CIQ($A9, "IQ_TEV_EBITDA_FWD",IQ_CY+1,DateToday)</f>
        <v>10.30822</v>
      </c>
      <c r="AJ9" s="20">
        <f>_xll.ciqfunctions.udf.CIQ($A9, "IQ_TEV_EBITDA_FWD",IQ_CY+2,DateToday)</f>
        <v>10.486000000000001</v>
      </c>
      <c r="AK9" s="20" t="str">
        <f>_xll.ciqfunctions.udf.CIQ($A9, "IQ_PE_EXCL",IQ_LTM,#REF!)</f>
        <v>NM</v>
      </c>
      <c r="AL9" s="20" t="str">
        <f>_xll.ciqfunctions.udf.CIQ($A9, "IQ_PE_EXCL",IQ_LTM,DateToday)</f>
        <v>NM</v>
      </c>
      <c r="AM9" s="20">
        <f>_xll.ciqfunctions.udf.CIQ($A9, "IQ_PE_EXCL_FWD",IQ_CY+1,DateToday)</f>
        <v>11.066549999999999</v>
      </c>
      <c r="AN9" s="20">
        <f>_xll.ciqfunctions.udf.CIQ($A9, "IQ_PE_EXCL_FWD",IQ_CY+2,DateToday)</f>
        <v>11.54871</v>
      </c>
      <c r="AO9" s="20">
        <f>_xll.ciqfunctions.udf.CIQ($A9, "IQ_PBV",IQ_LTM,DateToday,)</f>
        <v>2.6379299999999999</v>
      </c>
      <c r="AP9" s="20" t="str">
        <f>_xll.ciqfunctions.udf.CIQ($A9, "IQ_PTBV",IQ_LTM,DateToday,)</f>
        <v>NM</v>
      </c>
      <c r="AQ9" s="4">
        <f>_xll.ciqfunctions.udf.CIQ($A9, "IQ_GROSS_MARGIN", IQ_FY- 2,DateToday,)</f>
        <v>34.9983</v>
      </c>
      <c r="AR9" s="4">
        <f>_xll.ciqfunctions.udf.CIQ($A9, "IQ_GROSS_MARGIN", IQ_FY- 1,DateToday,)</f>
        <v>34.601700000000001</v>
      </c>
      <c r="AS9" s="4">
        <f>_xll.ciqfunctions.udf.CIQ($A9, "IQ_GROSS_MARGIN", IQ_FY,DateToday,)</f>
        <v>33.732599999999998</v>
      </c>
      <c r="AT9" s="4">
        <f>_xll.ciqfunctions.udf.CIQ($A9, "IQ_GROSS_MARGIN", IQ_LTM,DateToday,)</f>
        <v>33.732599999999998</v>
      </c>
      <c r="AU9" s="4">
        <f>_xll.ciqfunctions.udf.CIQ($A9, "IQ_EBITDA_MARGIN", IQ_FY- 2,DateToday,)</f>
        <v>21.751300000000001</v>
      </c>
      <c r="AV9" s="4">
        <f>_xll.ciqfunctions.udf.CIQ($A9, "IQ_EBITDA_MARGIN", IQ_FY- 1,DateToday,)</f>
        <v>20.035299999999999</v>
      </c>
      <c r="AW9" s="4">
        <f>_xll.ciqfunctions.udf.CIQ($A9, "IQ_EBITDA_MARGIN", IQ_FY,DateToday,)</f>
        <v>18.7227</v>
      </c>
      <c r="AX9" s="4">
        <f>_xll.ciqfunctions.udf.CIQ($A9, "IQ_EBITDA_MARGIN", IQ_LTM,DateToday,)</f>
        <v>18.7227</v>
      </c>
      <c r="AY9" s="4">
        <f>_xll.ciqfunctions.udf.CIQ($A9, "IQ_NI_MARGIN", IQ_FY- 2,DateToday,)</f>
        <v>12.572699999999999</v>
      </c>
      <c r="AZ9" s="4">
        <f>_xll.ciqfunctions.udf.CIQ($A9, "IQ_NI_MARGIN", IQ_FY- 1,DateToday,)</f>
        <v>11.7783</v>
      </c>
      <c r="BA9" s="4">
        <f>_xll.ciqfunctions.udf.CIQ($A9, "IQ_NI_MARGIN", IQ_FY,DateToday,)</f>
        <v>-0.47539999999999999</v>
      </c>
      <c r="BB9" s="4">
        <f>_xll.ciqfunctions.udf.CIQ($A9, "IQ_NI_MARGIN", IQ_LTM,DateToday,)</f>
        <v>-0.47539999999999999</v>
      </c>
      <c r="BC9" s="4">
        <f>_xll.ciqfunctions.udf.CIQ($A9, "IQ_TOTAL_REV_5YR_ANN_CAGR",IQ_LTM,DateToday,)</f>
        <v>0.32619999999999999</v>
      </c>
      <c r="BD9" s="4">
        <f>_xll.ciqfunctions.udf.CIQ($A9, "IQ_TOTAL_REV_3YR_ANN_CAGR",IQ_LTM,DateToday,)</f>
        <v>-2.8500999999999999</v>
      </c>
      <c r="BE9" s="4">
        <f>_xll.ciqfunctions.udf.CIQ($A9, "IQ_TOTAL_REV_1YR_ANN_GROWTH", IQ_FY,DateToday,)</f>
        <v>-5.4499000000000004</v>
      </c>
      <c r="BF9" s="4">
        <f>_xll.ciqfunctions.udf.CIQ($A9, "IQ_TOTAL_REV_1YR_ANN_GROWTH",IQ_LTM,DateToday,)</f>
        <v>-5.4499000000000004</v>
      </c>
      <c r="BG9" s="4">
        <f>_xll.ciqfunctions.udf.CIQ($A9, "IQ_EBITDA_5YR_ANN_CAGR",IQ_LTM,DateToday,)</f>
        <v>-3.4201000000000001</v>
      </c>
      <c r="BH9" s="4">
        <f>_xll.ciqfunctions.udf.CIQ($A9, "IQ_EBITDA_3YR_ANN_CAGR",IQ_LTM,DateToday,)</f>
        <v>-2.2029000000000001</v>
      </c>
      <c r="BI9" s="4">
        <f>_xll.ciqfunctions.udf.CIQ($A9, "IQ_EBITDA_1YR_ANN_GROWTH", IQ_FY,DateToday,)</f>
        <v>-11.6439</v>
      </c>
      <c r="BJ9" s="4">
        <f>_xll.ciqfunctions.udf.CIQ($A9, "IQ_EBITDA_1YR_ANN_GROWTH",IQ_LTM,DateToday,)</f>
        <v>-11.6439</v>
      </c>
      <c r="BK9" s="4" t="str">
        <f>_xll.ciqfunctions.udf.CIQ($A9, "IQ_EPS_5YR_ANN_CAGR",IQ_LTM,DateToday,)</f>
        <v>NM</v>
      </c>
      <c r="BL9" s="4" t="str">
        <f>_xll.ciqfunctions.udf.CIQ($A9, "IQ_EPS_3YR_ANN_CAGR",IQ_LTM,DateToday,)</f>
        <v>NM</v>
      </c>
      <c r="BM9" s="4" t="str">
        <f>_xll.ciqfunctions.udf.CIQ($A9, "IQ_EPS_1YR_ANN_GROWTH", IQ_FY,DateToday,)</f>
        <v>NM</v>
      </c>
      <c r="BN9" s="4" t="str">
        <f>_xll.ciqfunctions.udf.CIQ($A9, "IQ_EPS_1YR_ANN_GROWTH", IQ_LTM,DateToday,)</f>
        <v>NM</v>
      </c>
      <c r="BO9" s="20">
        <f>_xll.ciqfunctions.udf.CIQ($A9, "IQ_TOTAL_DEBT_EBITDA",IQ_LTM,DateToday,)</f>
        <v>3.84457</v>
      </c>
      <c r="BP9" s="20">
        <f>_xll.ciqfunctions.udf.CIQ($A9, "IQ_NET_DEBT_EBITDA",IQ_LTM,DateToday,)</f>
        <v>3.7194199999999999</v>
      </c>
      <c r="BQ9" s="39">
        <f t="shared" si="5"/>
        <v>4.0411641929499069</v>
      </c>
      <c r="BR9" s="20">
        <f>_xll.ciqfunctions.udf.CIQ($A9, "IQ_EBITDA_INT",IQ_LTM,DateToday,)</f>
        <v>6.3658700000000001</v>
      </c>
      <c r="BS9" s="20">
        <f>_xll.ciqfunctions.udf.CIQ($A9, "IQ_EBITDA_CAPEX_INT",IQ_LTM,DateToday,)</f>
        <v>5.4180099999999998</v>
      </c>
      <c r="BT9" s="4">
        <f>_xll.ciqfunctions.udf.CIQ($A9, "IQ_TOTAL_DEBT_EQUITY",IQ_FQ,DateToday,)</f>
        <v>188.87889999999999</v>
      </c>
      <c r="BU9" s="4">
        <f>_xll.ciqfunctions.udf.CIQ($A9, "IQ_TOTAL_DEBT_CAPITAL",IQ_FQ,DateToday,)</f>
        <v>65.383399999999995</v>
      </c>
      <c r="BV9" s="4">
        <f>_xll.ciqfunctions.udf.CIQ($A9, "IQ_RETURN_EQUITY",IQ_LTM,DateToday)</f>
        <v>-1.0282</v>
      </c>
      <c r="BW9" s="4">
        <f>_xll.ciqfunctions.udf.CIQ($A9, "IQ_RETURN_ASSETS",IQ_LTM,DateToday)</f>
        <v>5.7347999999999999</v>
      </c>
      <c r="BX9" s="4">
        <f>_xll.ciqfunctions.udf.CIQ($A9, "IQ_RETURN_INVESTED_CAPITAL",IQ_LTM,DateToday)</f>
        <v>-6.1223000000000001</v>
      </c>
      <c r="BY9" s="20">
        <f>_xll.ciqfunctions.udf.CIQ($A9, "IQ_CURRENT_RATIO",IQ_FQ,DateToday,)</f>
        <v>0.68176000000000003</v>
      </c>
      <c r="BZ9" s="20">
        <f>_xll.ciqfunctions.udf.CIQ($A9, "IQ_QUICK_RATIO",IQ_FQ,DateToday,)</f>
        <v>0.34599000000000002</v>
      </c>
      <c r="CA9" s="4">
        <f>_xll.ciqfunctions.udf.CIQ($A9, "IQ_DAYS_SALES_OUT",IQ_LTM,DateToday,)</f>
        <v>34.661050000000003</v>
      </c>
      <c r="CB9" s="4">
        <f>_xll.ciqfunctions.udf.CIQ($A9, "IQ_DAYS_INVENTORY_OUT",IQ_LTM,DateToday,)</f>
        <v>58.169460000000001</v>
      </c>
      <c r="CC9" s="4">
        <f>_xll.ciqfunctions.udf.CIQ($A9, "IQ_DAYS_PAYABLE_OUT",IQ_LTM,DateToday,)</f>
        <v>117.51091</v>
      </c>
      <c r="CD9" s="4">
        <f>_xll.ciqfunctions.udf.CIQ($A9, "IQ_CASH_CONVERSION",IQ_LTM,DateToday,)</f>
        <v>-24.680399999999999</v>
      </c>
      <c r="CE9" s="20">
        <f>_xll.ciqfunctions.udf.CIQ($A9, "IQ_ASSET_TURNS",IQ_LTM,DateToday,)</f>
        <v>0.58409</v>
      </c>
      <c r="CF9" s="20">
        <f>_xll.ciqfunctions.udf.CIQ($A9, "IQ_FIXED_ASSET_TURNS",IQ_LTM,DateToday,)</f>
        <v>4.68825</v>
      </c>
      <c r="CG9" s="20">
        <f>_xll.ciqfunctions.udf.CIQ($A9, "IQ_AR_TURNS",IQ_LTM,DateToday,)</f>
        <v>10.703580000000001</v>
      </c>
      <c r="CH9" s="20">
        <f>_xll.ciqfunctions.udf.CIQ($A9, "IQ_INVENTORY_TURNS",IQ_LTM,DateToday,)</f>
        <v>6.3778800000000002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</row>
    <row r="10" spans="1:168" s="14" customFormat="1" x14ac:dyDescent="0.2">
      <c r="A10" s="60" t="str">
        <f>InputTicker</f>
        <v>NASDAQ:CALM</v>
      </c>
      <c r="B10" s="61" t="str">
        <f>_xll.ciqfunctions.udf.CIQ($A10, "IQ_COMPANY_NAME")</f>
        <v>Cal-Maine Foods, Inc.</v>
      </c>
      <c r="C10" s="62">
        <f>_xll.ciqfunctions.udf.CIQ($A10,"IQ_PERIODDATE",IQ_FY,DateToday)</f>
        <v>46172</v>
      </c>
      <c r="D10" s="62">
        <f>_xll.ciqfunctions.udf.CIQ($A10,"IQ_PERIODDATE",IQ_LTM,DateToday)</f>
        <v>46172</v>
      </c>
      <c r="E10" s="63">
        <f>_xll.ciqfunctions.udf.CIQ($A10, "IQ_LASTSALEPRICE",DateToday,Ccy,Conv)</f>
        <v>87.550299999999993</v>
      </c>
      <c r="F10" s="63">
        <f>_xll.ciqfunctions.udf.CIQ($A10, "IQ_YEARHIGH",DateToday,Ccy,Conv)</f>
        <v>117.45</v>
      </c>
      <c r="G10" s="63">
        <f>_xll.ciqfunctions.udf.CIQ($A10, "IQ_YEARLOW",DateToday,Ccy,Conv)</f>
        <v>71.92</v>
      </c>
      <c r="H10" s="64">
        <f t="shared" si="0"/>
        <v>0.74542613878246056</v>
      </c>
      <c r="I10" s="64">
        <f t="shared" si="1"/>
        <v>1.2173289766407118</v>
      </c>
      <c r="J10" s="10">
        <f>_xll.ciqfunctions.udf.CIQ($A10, "IQ_SHARESOUTSTANDING",DateToday)</f>
        <v>46.917079999999999</v>
      </c>
      <c r="K10" s="65">
        <f t="shared" si="2"/>
        <v>4107.6044291239996</v>
      </c>
      <c r="L10" s="10">
        <f>_xll.ciqfunctions.udf.CIQ($A10, "IQ_CASH_ST_INVEST",IQ_FQ,DateToday,,"F",Ccy,Conv)</f>
        <v>924.05700000000002</v>
      </c>
      <c r="M10" s="10">
        <f>_xll.ciqfunctions.udf.CIQ($A10, "IQ_TOTAL_DEBT",IQ_FQ,DateToday,,"F",Ccy,Conv)</f>
        <v>0</v>
      </c>
      <c r="N10" s="10">
        <f>_xll.ciqfunctions.udf.CIQ($A10, "IQ_PREF_EQUITY",IQ_FQ,DateToday,,"F",Ccy,Conv)</f>
        <v>0</v>
      </c>
      <c r="O10" s="10">
        <f>_xll.ciqfunctions.udf.CIQ($A10, "IQ_MINORITY_INTEREST_TOTAL",IQ_FQ,DateToday,,"F",Ccy,Conv)</f>
        <v>7.8</v>
      </c>
      <c r="P10" s="65">
        <f t="shared" si="6"/>
        <v>3191.347429124</v>
      </c>
      <c r="Q10" s="10">
        <f>_xll.ciqfunctions.udf.CIQ($A10, "IQ_TOTAL_REV", IQ_FY,DateToday,,,Ccy,Conv)</f>
        <v>2911.6320000000001</v>
      </c>
      <c r="R10" s="10">
        <f>_xll.ciqfunctions.udf.CIQ($A10, "IQ_TOTAL_REV", IQ_LTM,DateToday,,,Ccy,Conv)</f>
        <v>2911.6320000000001</v>
      </c>
      <c r="S10" s="10">
        <f>_xll.ciqfunctions.udf.CIQ($A10, "IQ_REVENUE_EST", IQ_CY+ 1,DateToday,,,Ccy,Conv)</f>
        <v>2487.1138000000001</v>
      </c>
      <c r="T10" s="10">
        <f>_xll.ciqfunctions.udf.CIQ($A10, "IQ_REVENUE_EST", IQ_CY+ 2,DateToday,,,Ccy,Conv)</f>
        <v>2602.9250000000002</v>
      </c>
      <c r="U10" s="10">
        <f>_xll.ciqfunctions.udf.CIQ($A10, "IQ_EBITDA", IQ_FY,DateToday,,,Ccy,Conv)</f>
        <v>467.69400000000002</v>
      </c>
      <c r="V10" s="10">
        <f>_xll.ciqfunctions.udf.CIQ($A10, "IQ_EBITDA", IQ_LTM,DateToday,,,Ccy,Conv)</f>
        <v>467.69400000000002</v>
      </c>
      <c r="W10" s="10">
        <f>_xll.ciqfunctions.udf.CIQ($A10, "IQ_EBITDA_EST", IQ_CY+ 1,DateToday,,,Ccy,Conv)</f>
        <v>97.395499999999998</v>
      </c>
      <c r="X10" s="10">
        <f>_xll.ciqfunctions.udf.CIQ($A10, "IQ_EBITDA_EST", IQ_CY+ 2,DateToday,,,Ccy,Conv)</f>
        <v>259.60250000000002</v>
      </c>
      <c r="Y10" s="63">
        <f>_xll.ciqfunctions.udf.CIQ($A10, "IQ_DILUT_EPS_EXCL", IQ_FY,DateToday,,,Ccy,Conv)</f>
        <v>6.63</v>
      </c>
      <c r="Z10" s="63">
        <f>_xll.ciqfunctions.udf.CIQ($A10, "IQ_DILUT_EPS_EXCL", IQ_LTM,DateToday,,,Ccy,Conv)</f>
        <v>6.63</v>
      </c>
      <c r="AA10" s="63">
        <f>_xll.ciqfunctions.udf.CIQ($A10, "IQ_EPS_EST", IQ_CY+ 1,DateToday,,,Ccy,Conv)</f>
        <v>0.44750000000000001</v>
      </c>
      <c r="AB10" s="63">
        <f>_xll.ciqfunctions.udf.CIQ($A10, "IQ_EPS_EST", IQ_CY+ 2,DateToday,,,Ccy,Conv)</f>
        <v>3.145</v>
      </c>
      <c r="AC10" s="66">
        <f>_xll.ciqfunctions.udf.CIQ($A10, "IQ_TEV_TOTAL_REV",IQ_LTM,#REF!)</f>
        <v>1.08849</v>
      </c>
      <c r="AD10" s="66">
        <f>_xll.ciqfunctions.udf.CIQ($A10, "IQ_TEV_TOTAL_REV",IQ_LTM,DateToday)</f>
        <v>1.08849</v>
      </c>
      <c r="AE10" s="67">
        <f t="shared" si="3"/>
        <v>1.283152957908078</v>
      </c>
      <c r="AF10" s="67">
        <f t="shared" si="4"/>
        <v>1.2260619991448081</v>
      </c>
      <c r="AG10" s="66">
        <f>_xll.ciqfunctions.udf.CIQ($A10, "IQ_TEV_EBITDA",IQ_LTM,#REF!)</f>
        <v>6.7952899999999996</v>
      </c>
      <c r="AH10" s="66">
        <f>_xll.ciqfunctions.udf.CIQ($A10, "IQ_TEV_EBITDA",IQ_LTM,DateToday)</f>
        <v>6.7952899999999996</v>
      </c>
      <c r="AI10" s="66">
        <f>_xll.ciqfunctions.udf.CIQ($A10, "IQ_TEV_EBITDA_FWD",IQ_CY+1,DateToday)</f>
        <v>32.54034</v>
      </c>
      <c r="AJ10" s="66">
        <f>_xll.ciqfunctions.udf.CIQ($A10, "IQ_TEV_EBITDA_FWD",IQ_CY+2,DateToday)</f>
        <v>12.208209999999999</v>
      </c>
      <c r="AK10" s="66">
        <f>_xll.ciqfunctions.udf.CIQ($A10, "IQ_PE_EXCL",IQ_LTM,#REF!)</f>
        <v>13.13424</v>
      </c>
      <c r="AL10" s="66">
        <f>_xll.ciqfunctions.udf.CIQ($A10, "IQ_PE_EXCL",IQ_LTM,DateToday)</f>
        <v>13.13424</v>
      </c>
      <c r="AM10" s="66">
        <f>_xll.ciqfunctions.udf.CIQ($A10, "IQ_PE_EXCL_FWD",IQ_CY+1,DateToday)</f>
        <v>194.59218000000001</v>
      </c>
      <c r="AN10" s="66">
        <f>_xll.ciqfunctions.udf.CIQ($A10, "IQ_PE_EXCL_FWD",IQ_CY+2,DateToday)</f>
        <v>27.688389999999998</v>
      </c>
      <c r="AO10" s="66">
        <f>_xll.ciqfunctions.udf.CIQ($A10, "IQ_PBV",IQ_LTM,DateToday,)</f>
        <v>1.5539400000000001</v>
      </c>
      <c r="AP10" s="66">
        <f>_xll.ciqfunctions.udf.CIQ($A10, "IQ_PTBV",IQ_LTM,DateToday,)</f>
        <v>1.66133</v>
      </c>
      <c r="AQ10" s="10">
        <f>_xll.ciqfunctions.udf.CIQ($A10, "IQ_GROSS_MARGIN", IQ_FY- 2,DateToday,)</f>
        <v>23.2789</v>
      </c>
      <c r="AR10" s="10">
        <f>_xll.ciqfunctions.udf.CIQ($A10, "IQ_GROSS_MARGIN", IQ_FY- 1,DateToday,)</f>
        <v>43.428699999999999</v>
      </c>
      <c r="AS10" s="10">
        <f>_xll.ciqfunctions.udf.CIQ($A10, "IQ_GROSS_MARGIN", IQ_FY,DateToday,)</f>
        <v>23.081499999999998</v>
      </c>
      <c r="AT10" s="10">
        <f>_xll.ciqfunctions.udf.CIQ($A10, "IQ_GROSS_MARGIN", IQ_LTM,DateToday,)</f>
        <v>23.081499999999998</v>
      </c>
      <c r="AU10" s="10">
        <f>_xll.ciqfunctions.udf.CIQ($A10, "IQ_EBITDA_MARGIN", IQ_FY- 2,DateToday,)</f>
        <v>16.105499999999999</v>
      </c>
      <c r="AV10" s="10">
        <f>_xll.ciqfunctions.udf.CIQ($A10, "IQ_EBITDA_MARGIN", IQ_FY- 1,DateToday,)</f>
        <v>38.763500000000001</v>
      </c>
      <c r="AW10" s="10">
        <f>_xll.ciqfunctions.udf.CIQ($A10, "IQ_EBITDA_MARGIN", IQ_FY,DateToday,)</f>
        <v>16.062899999999999</v>
      </c>
      <c r="AX10" s="10">
        <f>_xll.ciqfunctions.udf.CIQ($A10, "IQ_EBITDA_MARGIN", IQ_LTM,DateToday,)</f>
        <v>16.062899999999999</v>
      </c>
      <c r="AY10" s="10">
        <f>_xll.ciqfunctions.udf.CIQ($A10, "IQ_NI_MARGIN", IQ_FY- 2,DateToday,)</f>
        <v>11.944699999999999</v>
      </c>
      <c r="AZ10" s="10">
        <f>_xll.ciqfunctions.udf.CIQ($A10, "IQ_NI_MARGIN", IQ_FY- 1,DateToday,)</f>
        <v>28.626899999999999</v>
      </c>
      <c r="BA10" s="10">
        <f>_xll.ciqfunctions.udf.CIQ($A10, "IQ_NI_MARGIN", IQ_FY,DateToday,)</f>
        <v>10.8764</v>
      </c>
      <c r="BB10" s="10">
        <f>_xll.ciqfunctions.udf.CIQ($A10, "IQ_NI_MARGIN", IQ_LTM,DateToday,)</f>
        <v>10.8764</v>
      </c>
      <c r="BC10" s="10">
        <f>_xll.ciqfunctions.udf.CIQ($A10, "IQ_TOTAL_REV_5YR_ANN_CAGR",IQ_LTM,DateToday,)</f>
        <v>16.6342</v>
      </c>
      <c r="BD10" s="10">
        <f>_xll.ciqfunctions.udf.CIQ($A10, "IQ_TOTAL_REV_3YR_ANN_CAGR",IQ_LTM,DateToday,)</f>
        <v>-2.5497999999999998</v>
      </c>
      <c r="BE10" s="10">
        <f>_xll.ciqfunctions.udf.CIQ($A10, "IQ_TOTAL_REV_1YR_ANN_GROWTH", IQ_FY,DateToday,)</f>
        <v>-31.682099999999998</v>
      </c>
      <c r="BF10" s="10">
        <f>_xll.ciqfunctions.udf.CIQ($A10, "IQ_TOTAL_REV_1YR_ANN_GROWTH",IQ_LTM,DateToday,)</f>
        <v>-31.682099999999998</v>
      </c>
      <c r="BG10" s="10">
        <f>_xll.ciqfunctions.udf.CIQ($A10, "IQ_EBITDA_5YR_ANN_CAGR",IQ_LTM,DateToday,)</f>
        <v>66.825599999999994</v>
      </c>
      <c r="BH10" s="10">
        <f>_xll.ciqfunctions.udf.CIQ($A10, "IQ_EBITDA_3YR_ANN_CAGR",IQ_LTM,DateToday,)</f>
        <v>-23.299199999999999</v>
      </c>
      <c r="BI10" s="10">
        <f>_xll.ciqfunctions.udf.CIQ($A10, "IQ_EBITDA_1YR_ANN_GROWTH", IQ_FY,DateToday,)</f>
        <v>-71.690299999999993</v>
      </c>
      <c r="BJ10" s="10">
        <f>_xll.ciqfunctions.udf.CIQ($A10, "IQ_EBITDA_1YR_ANN_GROWTH",IQ_LTM,DateToday,)</f>
        <v>-71.690299999999993</v>
      </c>
      <c r="BK10" s="10">
        <f>_xll.ciqfunctions.udf.CIQ($A10, "IQ_EPS_5YR_ANN_CAGR",IQ_LTM,DateToday,)</f>
        <v>177.9014</v>
      </c>
      <c r="BL10" s="10">
        <f>_xll.ciqfunctions.udf.CIQ($A10, "IQ_EPS_3YR_ANN_CAGR",IQ_LTM,DateToday,)</f>
        <v>-24.686399999999999</v>
      </c>
      <c r="BM10" s="10">
        <f>_xll.ciqfunctions.udf.CIQ($A10, "IQ_EPS_1YR_ANN_GROWTH", IQ_FY,DateToday,)</f>
        <v>-73.426900000000003</v>
      </c>
      <c r="BN10" s="10">
        <f>_xll.ciqfunctions.udf.CIQ($A10, "IQ_EPS_1YR_ANN_GROWTH", IQ_LTM,DateToday,)</f>
        <v>-73.426900000000003</v>
      </c>
      <c r="BO10" s="66">
        <f>_xll.ciqfunctions.udf.CIQ($A10, "IQ_TOTAL_DEBT_EBITDA",IQ_LTM,DateToday,)</f>
        <v>0</v>
      </c>
      <c r="BP10" s="66" t="str">
        <f>_xll.ciqfunctions.udf.CIQ($A10, "IQ_NET_DEBT_EBITDA",IQ_LTM,DateToday,)</f>
        <v>NM</v>
      </c>
      <c r="BQ10" s="68">
        <f t="shared" si="5"/>
        <v>0</v>
      </c>
      <c r="BR10" s="66">
        <f>_xll.ciqfunctions.udf.CIQ($A10, "IQ_EBITDA_INT",IQ_LTM,DateToday,)</f>
        <v>841.17625999999996</v>
      </c>
      <c r="BS10" s="66">
        <f>_xll.ciqfunctions.udf.CIQ($A10, "IQ_EBITDA_CAPEX_INT",IQ_LTM,DateToday,)</f>
        <v>569.19784000000004</v>
      </c>
      <c r="BT10" s="10">
        <f>_xll.ciqfunctions.udf.CIQ($A10, "IQ_TOTAL_DEBT_EQUITY",IQ_FQ,DateToday,)</f>
        <v>0</v>
      </c>
      <c r="BU10" s="10">
        <f>_xll.ciqfunctions.udf.CIQ($A10, "IQ_TOTAL_DEBT_CAPITAL",IQ_FQ,DateToday,)</f>
        <v>0</v>
      </c>
      <c r="BV10" s="10">
        <f>_xll.ciqfunctions.udf.CIQ($A10, "IQ_RETURN_EQUITY",IQ_LTM,DateToday)</f>
        <v>12.2196</v>
      </c>
      <c r="BW10" s="10">
        <f>_xll.ciqfunctions.udf.CIQ($A10, "IQ_RETURN_ASSETS",IQ_LTM,DateToday)</f>
        <v>6.9310999999999998</v>
      </c>
      <c r="BX10" s="10">
        <f>_xll.ciqfunctions.udf.CIQ($A10, "IQ_RETURN_INVESTED_CAPITAL",IQ_LTM,DateToday)</f>
        <v>3.2673999999999999</v>
      </c>
      <c r="BY10" s="66">
        <f>_xll.ciqfunctions.udf.CIQ($A10, "IQ_CURRENT_RATIO",IQ_FQ,DateToday,)</f>
        <v>7.6954700000000003</v>
      </c>
      <c r="BZ10" s="66">
        <f>_xll.ciqfunctions.udf.CIQ($A10, "IQ_QUICK_RATIO",IQ_FQ,DateToday,)</f>
        <v>5.7829499999999996</v>
      </c>
      <c r="CA10" s="10">
        <f>_xll.ciqfunctions.udf.CIQ($A10, "IQ_DAYS_SALES_OUT",IQ_LTM,DateToday,)</f>
        <v>23.773199999999999</v>
      </c>
      <c r="CB10" s="10">
        <f>_xll.ciqfunctions.udf.CIQ($A10, "IQ_DAYS_INVENTORY_OUT",IQ_LTM,DateToday,)</f>
        <v>54.523560000000003</v>
      </c>
      <c r="CC10" s="10">
        <f>_xll.ciqfunctions.udf.CIQ($A10, "IQ_DAYS_PAYABLE_OUT",IQ_LTM,DateToday,)</f>
        <v>15.470359999999999</v>
      </c>
      <c r="CD10" s="10">
        <f>_xll.ciqfunctions.udf.CIQ($A10, "IQ_CASH_CONVERSION",IQ_LTM,DateToday,)</f>
        <v>62.8264</v>
      </c>
      <c r="CE10" s="66">
        <f>_xll.ciqfunctions.udf.CIQ($A10, "IQ_ASSET_TURNS",IQ_LTM,DateToday,)</f>
        <v>0.94042000000000003</v>
      </c>
      <c r="CF10" s="66">
        <f>_xll.ciqfunctions.udf.CIQ($A10, "IQ_FIXED_ASSET_TURNS",IQ_LTM,DateToday,)</f>
        <v>2.48325</v>
      </c>
      <c r="CG10" s="66">
        <f>_xll.ciqfunctions.udf.CIQ($A10, "IQ_AR_TURNS",IQ_LTM,DateToday,)</f>
        <v>15.311159999999999</v>
      </c>
      <c r="CH10" s="66">
        <f>_xll.ciqfunctions.udf.CIQ($A10, "IQ_INVENTORY_TURNS",IQ_LTM,DateToday,)</f>
        <v>6.6760099999999998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</row>
  </sheetData>
  <phoneticPr fontId="0" type="noConversion"/>
  <printOptions horizontalCentered="1"/>
  <pageMargins left="0" right="0" top="0.25" bottom="0.25" header="0.5" footer="0.25"/>
  <pageSetup scale="56" fitToWidth="7" orientation="landscape" r:id="rId1"/>
  <headerFooter alignWithMargins="0">
    <oddFooter>&amp;C&amp;"Times New Roman,Regular"&amp;11&amp;P of &amp;N</oddFooter>
  </headerFooter>
  <colBreaks count="6" manualBreakCount="6">
    <brk id="16" max="1048575" man="1"/>
    <brk id="28" max="1048575" man="1"/>
    <brk id="42" max="1048575" man="1"/>
    <brk id="54" max="1048575" man="1"/>
    <brk id="66" max="1048575" man="1"/>
    <brk id="7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41F65D8D85C643B279395178BBB636" ma:contentTypeVersion="10" ma:contentTypeDescription="Create a new document." ma:contentTypeScope="" ma:versionID="5485f5b32512d653f7453980de4c8998">
  <xsd:schema xmlns:xsd="http://www.w3.org/2001/XMLSchema" xmlns:xs="http://www.w3.org/2001/XMLSchema" xmlns:p="http://schemas.microsoft.com/office/2006/metadata/properties" xmlns:ns3="d0640473-7254-4dee-a68e-1aa7dfe87080" targetNamespace="http://schemas.microsoft.com/office/2006/metadata/properties" ma:root="true" ma:fieldsID="840fc2309eebaf0bed357e94e47325f3" ns3:_="">
    <xsd:import namespace="d0640473-7254-4dee-a68e-1aa7dfe870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40473-7254-4dee-a68e-1aa7dfe87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B6BFC5-2350-491A-A2BD-DF7D1D851D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BD9CC6-B147-4C24-8FF1-F5911A43A6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640473-7254-4dee-a68e-1aa7dfe870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413BBB-3D79-405A-85C3-05E4A0559BD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D655590-134C-4BB6-A148-E23000AF82E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Input_Raw</vt:lpstr>
      <vt:lpstr>Input</vt:lpstr>
      <vt:lpstr>Financial Statements</vt:lpstr>
      <vt:lpstr>Common Size</vt:lpstr>
      <vt:lpstr>Detailed Comps</vt:lpstr>
      <vt:lpstr>Ccy</vt:lpstr>
      <vt:lpstr>Conv</vt:lpstr>
      <vt:lpstr>Date</vt:lpstr>
      <vt:lpstr>InputTicker</vt:lpstr>
      <vt:lpstr>'Common Size'!Print_Area</vt:lpstr>
      <vt:lpstr>'Detailed Comps'!Print_Area</vt:lpstr>
      <vt:lpstr>'Financial Statements'!Print_Area</vt:lpstr>
      <vt:lpstr>'Detailed Comps'!Print_Titles</vt:lpstr>
    </vt:vector>
  </TitlesOfParts>
  <Manager>Capital IQ, Inc.</Manager>
  <Company>Capital IQ,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 IQ, Inc.</dc:creator>
  <cp:lastModifiedBy>Patrik Šmid</cp:lastModifiedBy>
  <cp:lastPrinted>2012-06-05T17:05:55Z</cp:lastPrinted>
  <dcterms:created xsi:type="dcterms:W3CDTF">2002-03-18T23:28:38Z</dcterms:created>
  <dcterms:modified xsi:type="dcterms:W3CDTF">2026-07-31T17:37:52Z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{B4D9AC75-597D-4044-A6A8-5AE76CDFFFDC}</vt:lpwstr>
  </property>
  <property fmtid="{D5CDD505-2E9C-101B-9397-08002B2CF9AE}" pid="3" name="ContentTypeId">
    <vt:lpwstr>0x010100BA41F65D8D85C643B279395178BBB636</vt:lpwstr>
  </property>
</Properties>
</file>