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s>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0.00&quot;x&quot;"/>
    <numFmt numFmtId="166" formatCode="#,##0.0;[Red](#,##0.0);-"/>
    <numFmt numFmtId="167" formatCode="#,##0;[Red](#,##0);-"/>
  </numFmts>
  <fonts count="12">
    <font>
      <name val="Calibri"/>
      <family val="2"/>
      <color theme="1"/>
      <sz val="11"/>
      <scheme val="minor"/>
    </font>
    <font>
      <b val="1"/>
      <color rgb="00FFFFFF"/>
      <sz val="16"/>
    </font>
    <font>
      <i val="1"/>
      <color rgb="00666666"/>
    </font>
    <font>
      <b val="1"/>
      <color rgb="00FFFFFF"/>
    </font>
    <font>
      <b val="1"/>
    </font>
    <font>
      <b val="1"/>
      <color rgb="00C00000"/>
    </font>
    <font>
      <b val="1"/>
      <color rgb="00008000"/>
    </font>
    <font>
      <i val="1"/>
      <color rgb="00888888"/>
    </font>
    <font>
      <i val="1"/>
      <color rgb="00C00000"/>
    </font>
    <font>
      <color rgb="00B26B00"/>
    </font>
    <font>
      <color rgb="00008000"/>
    </font>
    <font>
      <color rgb="000070C0"/>
    </font>
  </fonts>
  <fills count="8">
    <fill>
      <patternFill/>
    </fill>
    <fill>
      <patternFill patternType="gray125"/>
    </fill>
    <fill>
      <patternFill patternType="solid">
        <fgColor rgb="001F4E78"/>
      </patternFill>
    </fill>
    <fill>
      <patternFill patternType="solid">
        <fgColor rgb="0017365D"/>
      </patternFill>
    </fill>
    <fill>
      <patternFill patternType="solid">
        <fgColor rgb="00FBE4D5"/>
      </patternFill>
    </fill>
    <fill>
      <patternFill patternType="solid">
        <fgColor rgb="00FFF0D0"/>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3">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0" borderId="0" pivotButton="0" quotePrefix="0" xfId="0"/>
    <xf numFmtId="0" fontId="7" fillId="0" borderId="0" pivotButton="0" quotePrefix="0" xfId="0"/>
    <xf numFmtId="0" fontId="8"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2" fillId="0" borderId="0" applyAlignment="1" pivotButton="0" quotePrefix="0" xfId="0">
      <alignment vertical="top" wrapText="1"/>
    </xf>
    <xf numFmtId="0" fontId="4" fillId="4" borderId="1" applyAlignment="1" pivotButton="0" quotePrefix="0" xfId="0">
      <alignment vertical="center"/>
    </xf>
    <xf numFmtId="0" fontId="0" fillId="4" borderId="1" applyAlignment="1" pivotButton="0" quotePrefix="0" xfId="0">
      <alignment vertical="center"/>
    </xf>
    <xf numFmtId="0" fontId="5" fillId="4" borderId="1" applyAlignment="1" pivotButton="0" quotePrefix="0" xfId="0">
      <alignment vertical="center"/>
    </xf>
    <xf numFmtId="0" fontId="0" fillId="0" borderId="1" applyAlignment="1" pivotButton="0" quotePrefix="0" xfId="0">
      <alignment vertical="top" wrapText="1"/>
    </xf>
    <xf numFmtId="0" fontId="4" fillId="5" borderId="1" applyAlignment="1" pivotButton="0" quotePrefix="0" xfId="0">
      <alignment vertical="center"/>
    </xf>
    <xf numFmtId="0" fontId="0" fillId="5" borderId="1" applyAlignment="1" pivotButton="0" quotePrefix="0" xfId="0">
      <alignment vertical="center"/>
    </xf>
    <xf numFmtId="0" fontId="9" fillId="5" borderId="1" applyAlignment="1" pivotButton="0" quotePrefix="0" xfId="0">
      <alignment vertical="center"/>
    </xf>
    <xf numFmtId="166" fontId="10" fillId="6" borderId="1" applyAlignment="1" pivotButton="0" quotePrefix="0" xfId="0">
      <alignment vertical="center"/>
    </xf>
    <xf numFmtId="166" fontId="11" fillId="7" borderId="1" applyAlignment="1" pivotButton="0" quotePrefix="0" xfId="0">
      <alignment vertical="center"/>
    </xf>
    <xf numFmtId="166" fontId="4" fillId="0" borderId="1" applyAlignment="1" pivotButton="0" quotePrefix="0" xfId="0">
      <alignment vertical="center"/>
    </xf>
    <xf numFmtId="0" fontId="10" fillId="6" borderId="1" applyAlignment="1" pivotButton="0" quotePrefix="0" xfId="0">
      <alignment vertical="center"/>
    </xf>
    <xf numFmtId="0" fontId="11" fillId="7" borderId="1" applyAlignment="1" pivotButton="0" quotePrefix="0" xfId="0">
      <alignment vertical="center"/>
    </xf>
    <xf numFmtId="164" fontId="10" fillId="6" borderId="1" applyAlignment="1" pivotButton="0" quotePrefix="0" xfId="0">
      <alignment vertical="center"/>
    </xf>
    <xf numFmtId="164" fontId="11" fillId="7" borderId="1" applyAlignment="1" pivotButton="0" quotePrefix="0" xfId="0">
      <alignment vertical="center"/>
    </xf>
    <xf numFmtId="164" fontId="4" fillId="0" borderId="1" applyAlignment="1" pivotButton="0" quotePrefix="0" xfId="0">
      <alignment vertical="center"/>
    </xf>
    <xf numFmtId="165" fontId="10" fillId="6" borderId="1" applyAlignment="1" pivotButton="0" quotePrefix="0" xfId="0">
      <alignment vertical="center"/>
    </xf>
    <xf numFmtId="165" fontId="11" fillId="7" borderId="1" applyAlignment="1" pivotButton="0" quotePrefix="0" xfId="0">
      <alignment vertical="center"/>
    </xf>
    <xf numFmtId="165" fontId="4" fillId="0" borderId="1" applyAlignment="1" pivotButton="0" quotePrefix="0" xfId="0">
      <alignment vertical="center"/>
    </xf>
    <xf numFmtId="167" fontId="0" fillId="0" borderId="1" applyAlignment="1" pivotButton="0" quotePrefix="0" xfId="0">
      <alignment vertical="center"/>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Historical_Financials_Table" displayName="Historical_Financials_Table" ref="A4:V14" headerRowCount="1">
  <autoFilter ref="A4:V14"/>
  <tableColumns count="22">
    <tableColumn id="1" name="Fiscal Year"/>
    <tableColumn id="2" name="Period"/>
    <tableColumn id="3" name="Revenue"/>
    <tableColumn id="4" name="Rev Growth"/>
    <tableColumn id="5" name="EBIT"/>
    <tableColumn id="6" name="EBIT Margin"/>
    <tableColumn id="7" name="EBITDA"/>
    <tableColumn id="8" name="EBITDA Margin"/>
    <tableColumn id="9" name="D&amp;A"/>
    <tableColumn id="10" name="D&amp;A %"/>
    <tableColumn id="11" name="Capex"/>
    <tableColumn id="12" name="Capex %"/>
    <tableColumn id="13" name="CFO"/>
    <tableColumn id="14" name="Pretax"/>
    <tableColumn id="15" name="Tax"/>
    <tableColumn id="16" name="Tax Rate"/>
    <tableColumn id="17" name="Cash"/>
    <tableColumn id="18" name="Debt"/>
    <tableColumn id="19" name="Net Debt"/>
    <tableColumn id="20" name="Tot Assets"/>
    <tableColumn id="21" name="Tot Equity"/>
    <tableColumn id="22" name="Source"/>
  </tableColumns>
  <tableStyleInfo name="TableStyleLight9" showRowStripes="1" showColumnStripes="0"/>
</table>
</file>

<file path=xl/tables/table2.xml><?xml version="1.0" encoding="utf-8"?>
<table xmlns="http://schemas.openxmlformats.org/spreadsheetml/2006/main" id="2"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CALM — Cal-Maine Foods, Inc.</t>
        </is>
      </c>
    </row>
    <row r="2">
      <c r="A2" s="2" t="inlineStr">
        <is>
          <t>Advanced DCF review workbook (deterministic backend + agent judgment)</t>
        </is>
      </c>
    </row>
    <row r="3"/>
    <row r="4">
      <c r="A4" s="3" t="inlineStr">
        <is>
          <t>Headline</t>
        </is>
      </c>
      <c r="B4" s="4" t="n"/>
      <c r="C4" s="4" t="n"/>
      <c r="D4" s="4" t="n"/>
    </row>
    <row r="5">
      <c r="A5" s="5" t="inlineStr">
        <is>
          <t>Sector / Industry</t>
        </is>
      </c>
      <c r="B5" t="inlineStr">
        <is>
          <t>Consumer Defensive / Farm Products</t>
        </is>
      </c>
    </row>
    <row r="6">
      <c r="A6" s="5" t="inlineStr">
        <is>
          <t>Current price</t>
        </is>
      </c>
      <c r="B6" s="6" t="n">
        <v>75.65000000000001</v>
      </c>
    </row>
    <row r="7">
      <c r="A7" s="5" t="inlineStr">
        <is>
          <t>Backend Base IV</t>
        </is>
      </c>
      <c r="B7" s="6" t="n">
        <v>592.52</v>
      </c>
    </row>
    <row r="8">
      <c r="A8" s="5" t="inlineStr">
        <is>
          <t>Base upside</t>
        </is>
      </c>
      <c r="B8" s="7" t="n">
        <v>6.832000000000001</v>
      </c>
    </row>
    <row r="9">
      <c r="A9" s="5" t="inlineStr">
        <is>
          <t>Expected IV (prob-weighted)</t>
        </is>
      </c>
      <c r="B9" s="6" t="n">
        <v>628.16</v>
      </c>
    </row>
    <row r="10">
      <c r="A10" s="5" t="inlineStr">
        <is>
          <t>Expected upside</t>
        </is>
      </c>
      <c r="B10" s="7" t="n">
        <v>7.303999999999999</v>
      </c>
    </row>
    <row r="11">
      <c r="A11" s="5" t="inlineStr">
        <is>
          <t>Margin of safety</t>
        </is>
      </c>
      <c r="B11" s="7" t="n">
        <v>0.872</v>
      </c>
    </row>
    <row r="12">
      <c r="A12" s="5" t="inlineStr">
        <is>
          <t>Analyst target / rec</t>
        </is>
      </c>
      <c r="B12" t="inlineStr">
        <is>
          <t>88.00  (buy)</t>
        </is>
      </c>
    </row>
    <row r="13">
      <c r="A13" s="5" t="inlineStr">
        <is>
          <t>Model applicability</t>
        </is>
      </c>
      <c r="B13" t="inlineStr">
        <is>
          <t>dcf_applicable</t>
        </is>
      </c>
    </row>
    <row r="14">
      <c r="A14" s="5" t="inlineStr">
        <is>
          <t>Model trust state</t>
        </is>
      </c>
      <c r="B14" s="8" t="inlineStr">
        <is>
          <t>review_required</t>
        </is>
      </c>
    </row>
    <row r="15">
      <c r="A15" s="5" t="inlineStr">
        <is>
          <t>Default resolution</t>
        </is>
      </c>
      <c r="B15" s="8" t="inlineStr">
        <is>
          <t>review_required</t>
        </is>
      </c>
    </row>
    <row r="16"/>
    <row r="17">
      <c r="A17" s="3" t="inlineStr">
        <is>
          <t>Reconciliation to deterministic backend</t>
        </is>
      </c>
      <c r="B17" s="4" t="n"/>
      <c r="C17" s="4" t="n"/>
      <c r="D17" s="4" t="n"/>
    </row>
    <row r="18">
      <c r="A18" s="5" t="inlineStr">
        <is>
          <t>Workbook Base IV (rebuilt)</t>
        </is>
      </c>
      <c r="B18" s="6" t="n">
        <v>592.520714498909</v>
      </c>
    </row>
    <row r="19">
      <c r="A19" s="5" t="inlineStr">
        <is>
          <t>Backend Base IV</t>
        </is>
      </c>
      <c r="B19" s="6" t="n">
        <v>592.52</v>
      </c>
    </row>
    <row r="20">
      <c r="A20" s="5" t="inlineStr">
        <is>
          <t>Gap</t>
        </is>
      </c>
      <c r="B20" s="6" t="n">
        <v>0.0007144989090193121</v>
      </c>
    </row>
    <row r="21">
      <c r="A21" s="5" t="inlineStr">
        <is>
          <t>Status</t>
        </is>
      </c>
      <c r="B21" s="9" t="inlineStr">
        <is>
          <t>RECONCILED</t>
        </is>
      </c>
    </row>
    <row r="22"/>
    <row r="23">
      <c r="A23" s="3" t="inlineStr">
        <is>
          <t>How to read this workbook</t>
        </is>
      </c>
      <c r="B23" s="4" t="n"/>
      <c r="C23" s="4" t="n"/>
      <c r="D23" s="4" t="n"/>
      <c r="E23" s="4" t="n"/>
      <c r="F23" s="4" t="n"/>
    </row>
    <row r="24">
      <c r="A24" s="5" t="inlineStr">
        <is>
          <t>Thesis_Drivers</t>
        </is>
      </c>
      <c r="B24" t="inlineStr">
        <is>
          <t>Agent thesis cards (when a guided workup exists) + the deterministic story/sector layer.</t>
        </is>
      </c>
    </row>
    <row r="25">
      <c r="A25" s="5" t="inlineStr">
        <is>
          <t>PM_Review_Queue</t>
        </is>
      </c>
      <c r="B25" t="inlineStr">
        <is>
          <t>Agent driver proposals + missing-data flags + deterministic resolution items for your sign-off.</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1"/>
    <row r="32">
      <c r="A32" s="10" t="inlineStr">
        <is>
          <t>Source JSON</t>
        </is>
      </c>
      <c r="B32" s="10" t="inlineStr">
        <is>
          <t>C:\Projects\03-Finance\ai-fund\data\valuations\json\CALM_latest.json</t>
        </is>
      </c>
    </row>
    <row r="33">
      <c r="A33" s="10" t="inlineStr">
        <is>
          <t>Generated</t>
        </is>
      </c>
      <c r="B33" s="10" t="inlineStr">
        <is>
          <t>2026-06-15T22:14:19</t>
        </is>
      </c>
    </row>
    <row r="34">
      <c r="A34" s="10" t="inlineStr">
        <is>
          <t>Note</t>
        </is>
      </c>
      <c r="B34" s="10"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Story &amp; Driver Layer (deterministic)</t>
        </is>
      </c>
    </row>
    <row r="2">
      <c r="A2" s="2" t="inlineStr">
        <is>
          <t>Source: story_sector. These are deterministic story/sector priors, NOT a per-name agent read.</t>
        </is>
      </c>
    </row>
    <row r="3" ht="56" customHeight="1">
      <c r="A3" s="11" t="inlineStr">
        <is>
          <t>NOTE: No guided-workup / analyst-prep run was found for this ticker, so there is no per-name agent judgment to show. story_profile below is a deterministic sector prior. Run the guided ticker workup (output/guided_workups/) to populate agent thesis and driver proposals.</t>
        </is>
      </c>
    </row>
    <row r="4">
      <c r="A4" s="3" t="inlineStr">
        <is>
          <t>Story Profile (deterministic sector prior)</t>
        </is>
      </c>
      <c r="B4" s="4" t="n"/>
      <c r="C4" s="4" t="n"/>
      <c r="D4" s="4" t="n"/>
    </row>
    <row r="5">
      <c r="A5" s="12" t="inlineStr">
        <is>
          <t>Attribute</t>
        </is>
      </c>
      <c r="B5" s="12" t="inlineStr">
        <is>
          <t>Assessment</t>
        </is>
      </c>
      <c r="C5" s="12" t="inlineStr">
        <is>
          <t>Scale</t>
        </is>
      </c>
      <c r="D5" s="12" t="inlineStr">
        <is>
          <t>Read</t>
        </is>
      </c>
    </row>
    <row r="6">
      <c r="A6" s="13" t="inlineStr">
        <is>
          <t>Moat strength</t>
        </is>
      </c>
      <c r="B6" s="14" t="n">
        <v>4</v>
      </c>
      <c r="C6" s="14" t="inlineStr">
        <is>
          <t>0-5</t>
        </is>
      </c>
      <c r="D6" s="14" t="inlineStr">
        <is>
          <t>Durability of competitive advantage</t>
        </is>
      </c>
    </row>
    <row r="7">
      <c r="A7" s="13" t="inlineStr">
        <is>
          <t>Pricing power</t>
        </is>
      </c>
      <c r="B7" s="14" t="n">
        <v>4</v>
      </c>
      <c r="C7" s="14" t="inlineStr">
        <is>
          <t>0-5</t>
        </is>
      </c>
      <c r="D7" s="14" t="inlineStr">
        <is>
          <t>Ability to pass through cost / take price</t>
        </is>
      </c>
    </row>
    <row r="8">
      <c r="A8" s="13" t="inlineStr">
        <is>
          <t>Cyclicality</t>
        </is>
      </c>
      <c r="B8" s="14" t="inlineStr">
        <is>
          <t>low</t>
        </is>
      </c>
      <c r="C8" s="14" t="inlineStr">
        <is>
          <t>low/med/high</t>
        </is>
      </c>
      <c r="D8" s="14" t="inlineStr">
        <is>
          <t>Sensitivity of demand to the cycle</t>
        </is>
      </c>
    </row>
    <row r="9">
      <c r="A9" s="13" t="inlineStr">
        <is>
          <t>Capital intensity</t>
        </is>
      </c>
      <c r="B9" s="14" t="inlineStr">
        <is>
          <t>medium</t>
        </is>
      </c>
      <c r="C9" s="14" t="inlineStr">
        <is>
          <t>low/med/high</t>
        </is>
      </c>
      <c r="D9" s="14" t="inlineStr">
        <is>
          <t>Reinvestment needed to grow</t>
        </is>
      </c>
    </row>
    <row r="10">
      <c r="A10" s="13" t="inlineStr">
        <is>
          <t>Governance risk</t>
        </is>
      </c>
      <c r="B10" s="14" t="inlineStr">
        <is>
          <t>low</t>
        </is>
      </c>
      <c r="C10" s="14" t="inlineStr">
        <is>
          <t>low/med/high</t>
        </is>
      </c>
      <c r="D10" s="14" t="inlineStr">
        <is>
          <t>Capital-allocation / disclosure risk</t>
        </is>
      </c>
    </row>
    <row r="11">
      <c r="A11" s="13" t="inlineStr">
        <is>
          <t>Advantage period</t>
        </is>
      </c>
      <c r="B11" s="14" t="n">
        <v>8</v>
      </c>
      <c r="C11" s="14" t="inlineStr">
        <is>
          <t>years</t>
        </is>
      </c>
      <c r="D11" s="14" t="inlineStr">
        <is>
          <t>Years of excess returns assumed</t>
        </is>
      </c>
    </row>
    <row r="12"/>
    <row r="13">
      <c r="A13" s="3" t="inlineStr">
        <is>
          <t>Story -&gt; Model Adjustments (what the thesis changed)</t>
        </is>
      </c>
      <c r="B13" s="4" t="n"/>
      <c r="C13" s="4" t="n"/>
      <c r="D13" s="4" t="n"/>
    </row>
    <row r="14">
      <c r="A14" s="12" t="inlineStr">
        <is>
          <t>Adjustment</t>
        </is>
      </c>
      <c r="B14" s="12" t="inlineStr">
        <is>
          <t>Value</t>
        </is>
      </c>
      <c r="C14" s="12" t="inlineStr">
        <is>
          <t>Effect on the model</t>
        </is>
      </c>
    </row>
    <row r="15">
      <c r="A15" s="13" t="inlineStr">
        <is>
          <t>Growth add</t>
        </is>
      </c>
      <c r="B15" s="15" t="n">
        <v>0.008</v>
      </c>
      <c r="C15" s="14" t="inlineStr">
        <is>
          <t>Added to near/mid revenue growth</t>
        </is>
      </c>
      <c r="D15" s="14" t="n"/>
    </row>
    <row r="16">
      <c r="A16" s="13" t="inlineStr">
        <is>
          <t>Margin add</t>
        </is>
      </c>
      <c r="B16" s="15" t="n">
        <v>0.012</v>
      </c>
      <c r="C16" s="14" t="inlineStr">
        <is>
          <t>Added to EBIT margin path</t>
        </is>
      </c>
      <c r="D16" s="14" t="n"/>
    </row>
    <row r="17">
      <c r="A17" s="13" t="inlineStr">
        <is>
          <t>Cyclicality growth multiplier</t>
        </is>
      </c>
      <c r="B17" s="16" t="n">
        <v>1.05</v>
      </c>
      <c r="C17" s="14" t="inlineStr">
        <is>
          <t>Scales growth for cycle exposure</t>
        </is>
      </c>
      <c r="D17" s="14" t="n"/>
    </row>
    <row r="18">
      <c r="A18" s="13" t="inlineStr">
        <is>
          <t>Cyclicality WACC add</t>
        </is>
      </c>
      <c r="B18" s="15" t="n">
        <v>-0.003</v>
      </c>
      <c r="C18" s="14" t="inlineStr">
        <is>
          <t>Raises discount rate for cyclical names</t>
        </is>
      </c>
      <c r="D18" s="14" t="n"/>
    </row>
    <row r="19">
      <c r="A19" s="13" t="inlineStr">
        <is>
          <t>Governance WACC add</t>
        </is>
      </c>
      <c r="B19" s="15" t="n">
        <v>-0.002</v>
      </c>
      <c r="C19" s="14" t="inlineStr">
        <is>
          <t>Raises discount rate for governance risk</t>
        </is>
      </c>
      <c r="D19" s="14" t="n"/>
    </row>
    <row r="20">
      <c r="A20" s="13" t="inlineStr">
        <is>
          <t>Capex target add</t>
        </is>
      </c>
      <c r="B20" s="15" t="n">
        <v>0</v>
      </c>
      <c r="C20" s="14" t="inlineStr">
        <is>
          <t>Raises terminal reinvestment intensity</t>
        </is>
      </c>
      <c r="D20" s="14" t="n"/>
    </row>
    <row r="21">
      <c r="A21" s="13" t="inlineStr">
        <is>
          <t>D&amp;A target add</t>
        </is>
      </c>
      <c r="B21" s="15" t="n">
        <v>0</v>
      </c>
      <c r="C21" s="14" t="inlineStr">
        <is>
          <t>Adjusts terminal D&amp;A intensity</t>
        </is>
      </c>
      <c r="D21" s="14" t="n"/>
    </row>
    <row r="22">
      <c r="A22" s="13" t="inlineStr">
        <is>
          <t>Exit multiple cyclicality mult.</t>
        </is>
      </c>
      <c r="B22" s="16" t="n">
        <v>1.05</v>
      </c>
      <c r="C22" s="14" t="inlineStr">
        <is>
          <t>Haircut/premium on exit multiple</t>
        </is>
      </c>
      <c r="D22" s="14" t="n"/>
    </row>
    <row r="23">
      <c r="A23" s="13" t="inlineStr">
        <is>
          <t>Exit multiple governance mult.</t>
        </is>
      </c>
      <c r="B23" s="16" t="n">
        <v>1.02</v>
      </c>
      <c r="C23" s="14" t="inlineStr">
        <is>
          <t>Haircut/premium on exit multiple</t>
        </is>
      </c>
      <c r="D23" s="14" t="n"/>
    </row>
    <row r="24">
      <c r="A24" s="13" t="inlineStr">
        <is>
          <t>Terminal blend — Gordon weight</t>
        </is>
      </c>
      <c r="B24" s="15" t="n">
        <v>0.62</v>
      </c>
      <c r="C24" s="14" t="inlineStr">
        <is>
          <t>Weight on Gordon TV (cyclicality-driven)</t>
        </is>
      </c>
      <c r="D24" s="14" t="n"/>
    </row>
    <row r="25">
      <c r="A25" s="13" t="inlineStr">
        <is>
          <t>Terminal blend — Exit weight</t>
        </is>
      </c>
      <c r="B25" s="15" t="n">
        <v>0.38</v>
      </c>
      <c r="C25" s="14" t="inlineStr">
        <is>
          <t>Weight on exit-multiple TV</t>
        </is>
      </c>
      <c r="D25" s="14" t="n"/>
    </row>
    <row r="26"/>
    <row r="27" ht="44" customHeight="1">
      <c r="A27" s="17"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3">
    <mergeCell ref="A3:F3"/>
    <mergeCell ref="A1:J1"/>
    <mergeCell ref="A27:F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  (resolved 5, review_required 2)</t>
        </is>
      </c>
    </row>
    <row r="3"/>
    <row r="4">
      <c r="A4" s="3" t="inlineStr">
        <is>
          <t>Default-resolution fields (deterministic)</t>
        </is>
      </c>
      <c r="B4" s="4" t="n"/>
      <c r="C4" s="4" t="n"/>
      <c r="D4" s="4" t="n"/>
      <c r="E4" s="4" t="n"/>
      <c r="F4" s="4" t="n"/>
      <c r="G4" s="4" t="n"/>
      <c r="H4" s="4" t="n"/>
    </row>
    <row r="5">
      <c r="A5" s="12" t="inlineStr">
        <is>
          <t>Field</t>
        </is>
      </c>
      <c r="B5" s="12" t="inlineStr">
        <is>
          <t>Value</t>
        </is>
      </c>
      <c r="C5" s="12" t="inlineStr">
        <is>
          <t>Source</t>
        </is>
      </c>
      <c r="D5" s="12" t="inlineStr">
        <is>
          <t>Source class</t>
        </is>
      </c>
      <c r="E5" s="12" t="inlineStr">
        <is>
          <t>Severity</t>
        </is>
      </c>
      <c r="F5" s="12" t="inlineStr">
        <is>
          <t>PM review?</t>
        </is>
      </c>
      <c r="G5" s="12" t="inlineStr">
        <is>
          <t>Fallback</t>
        </is>
      </c>
      <c r="H5" s="12" t="inlineStr">
        <is>
          <t>Why it matters</t>
        </is>
      </c>
    </row>
    <row r="6" ht="30" customHeight="1">
      <c r="A6" s="18" t="inlineStr">
        <is>
          <t>pension_deficit</t>
        </is>
      </c>
      <c r="B6" s="14" t="n">
        <v>0</v>
      </c>
      <c r="C6" s="14" t="inlineStr">
        <is>
          <t>default</t>
        </is>
      </c>
      <c r="D6" s="14" t="inlineStr">
        <is>
          <t>unproven_zero</t>
        </is>
      </c>
      <c r="E6" s="19" t="inlineStr">
        <is>
          <t>medium</t>
        </is>
      </c>
      <c r="F6" s="20" t="inlineStr">
        <is>
          <t>YES</t>
        </is>
      </c>
      <c r="G6" s="14" t="n">
        <v>0</v>
      </c>
      <c r="H6" s="21" t="inlineStr">
        <is>
          <t>Can be a non-equity claim in the equity bridge.</t>
        </is>
      </c>
    </row>
    <row r="7" ht="30" customHeight="1">
      <c r="A7" s="18" t="inlineStr">
        <is>
          <t>preferred_equity</t>
        </is>
      </c>
      <c r="B7" s="14" t="n">
        <v>0</v>
      </c>
      <c r="C7" s="14" t="inlineStr">
        <is>
          <t>default</t>
        </is>
      </c>
      <c r="D7" s="14" t="inlineStr">
        <is>
          <t>unproven_zero</t>
        </is>
      </c>
      <c r="E7" s="19" t="inlineStr">
        <is>
          <t>low</t>
        </is>
      </c>
      <c r="F7" s="20" t="inlineStr">
        <is>
          <t>YES</t>
        </is>
      </c>
      <c r="G7" s="14" t="n">
        <v>0</v>
      </c>
      <c r="H7" s="21" t="inlineStr">
        <is>
          <t>Can be a non-equity claim in the equity bridge.</t>
        </is>
      </c>
    </row>
    <row r="8" ht="30" customHeight="1">
      <c r="A8" s="22" t="inlineStr">
        <is>
          <t>exit_multiple</t>
        </is>
      </c>
      <c r="B8" s="14" t="n">
        <v>10.5412104</v>
      </c>
      <c r="C8" s="14" t="inlineStr">
        <is>
          <t>ciq_comps_tev_ebitda_fwd|story_sector</t>
        </is>
      </c>
      <c r="D8" s="14" t="inlineStr">
        <is>
          <t>ciq</t>
        </is>
      </c>
      <c r="E8" s="23" t="inlineStr">
        <is>
          <t>high</t>
        </is>
      </c>
      <c r="F8" s="24" t="inlineStr">
        <is>
          <t>no</t>
        </is>
      </c>
      <c r="G8" s="14" t="n">
        <v>12</v>
      </c>
      <c r="H8" s="21" t="inlineStr">
        <is>
          <t>Directly affects terminal value and equity value.</t>
        </is>
      </c>
    </row>
    <row r="9" ht="30" customHeight="1">
      <c r="A9" s="22" t="inlineStr">
        <is>
          <t>dso_start</t>
        </is>
      </c>
      <c r="B9" s="14" t="n">
        <v>20.4</v>
      </c>
      <c r="C9" s="14" t="inlineStr">
        <is>
          <t>ciq</t>
        </is>
      </c>
      <c r="D9" s="14" t="inlineStr">
        <is>
          <t>ciq</t>
        </is>
      </c>
      <c r="E9" s="23" t="inlineStr">
        <is>
          <t>medium</t>
        </is>
      </c>
      <c r="F9" s="24" t="inlineStr">
        <is>
          <t>no</t>
        </is>
      </c>
      <c r="G9" s="14" t="n">
        <v>40</v>
      </c>
      <c r="H9" s="21" t="inlineStr">
        <is>
          <t>Affects working-capital cash drag.</t>
        </is>
      </c>
    </row>
    <row r="10" ht="30" customHeight="1">
      <c r="A10" s="22" t="inlineStr">
        <is>
          <t>dio_start</t>
        </is>
      </c>
      <c r="B10" s="14" t="n">
        <v>29.5</v>
      </c>
      <c r="C10" s="14" t="inlineStr">
        <is>
          <t>ciq</t>
        </is>
      </c>
      <c r="D10" s="14" t="inlineStr">
        <is>
          <t>ciq</t>
        </is>
      </c>
      <c r="E10" s="23" t="inlineStr">
        <is>
          <t>medium</t>
        </is>
      </c>
      <c r="F10" s="24" t="inlineStr">
        <is>
          <t>no</t>
        </is>
      </c>
      <c r="G10" s="14" t="n">
        <v>58</v>
      </c>
      <c r="H10" s="21" t="inlineStr">
        <is>
          <t>Affects inventory investment and working-capital cash drag.</t>
        </is>
      </c>
    </row>
    <row r="11" ht="30" customHeight="1">
      <c r="A11" s="22" t="inlineStr">
        <is>
          <t>dpo_start</t>
        </is>
      </c>
      <c r="B11" s="14" t="n">
        <v>10.7</v>
      </c>
      <c r="C11" s="14" t="inlineStr">
        <is>
          <t>ciq</t>
        </is>
      </c>
      <c r="D11" s="14" t="inlineStr">
        <is>
          <t>ciq</t>
        </is>
      </c>
      <c r="E11" s="23" t="inlineStr">
        <is>
          <t>medium</t>
        </is>
      </c>
      <c r="F11" s="24" t="inlineStr">
        <is>
          <t>no</t>
        </is>
      </c>
      <c r="G11" s="14" t="n">
        <v>50</v>
      </c>
      <c r="H11" s="21" t="inlineStr">
        <is>
          <t>Affects supplier financing and working-capital cash drag.</t>
        </is>
      </c>
    </row>
    <row r="12" ht="30" customHeight="1">
      <c r="A12" s="13" t="inlineStr">
        <is>
          <t>minority_interest</t>
        </is>
      </c>
      <c r="B12" s="14" t="n">
        <v>5391000</v>
      </c>
      <c r="C12" s="14" t="inlineStr">
        <is>
          <t>yfinance</t>
        </is>
      </c>
      <c r="D12" s="14" t="inlineStr">
        <is>
          <t>public_market</t>
        </is>
      </c>
      <c r="E12" s="14" t="inlineStr">
        <is>
          <t>low</t>
        </is>
      </c>
      <c r="F12" s="14" t="inlineStr">
        <is>
          <t>no</t>
        </is>
      </c>
      <c r="G12" s="14" t="n">
        <v>0</v>
      </c>
      <c r="H12" s="21" t="inlineStr">
        <is>
          <t>Can be a non-equity claim in the equity bridge.</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3"/>
    <row r="4">
      <c r="A4" s="12" t="inlineStr">
        <is>
          <t>Category</t>
        </is>
      </c>
      <c r="B4" s="12" t="inlineStr">
        <is>
          <t>Key</t>
        </is>
      </c>
      <c r="C4" s="12" t="inlineStr">
        <is>
          <t>Source Value</t>
        </is>
      </c>
      <c r="D4" s="12" t="inlineStr">
        <is>
          <t>PM Override</t>
        </is>
      </c>
      <c r="E4" s="12" t="inlineStr">
        <is>
          <t>Effective Value</t>
        </is>
      </c>
      <c r="F4" s="12" t="inlineStr">
        <is>
          <t>Unit</t>
        </is>
      </c>
      <c r="G4" s="12" t="inlineStr">
        <is>
          <t>Source</t>
        </is>
      </c>
      <c r="H4" s="12" t="inlineStr">
        <is>
          <t>Flag</t>
        </is>
      </c>
    </row>
    <row r="5">
      <c r="A5" s="14" t="inlineStr">
        <is>
          <t>Company</t>
        </is>
      </c>
      <c r="B5" s="14" t="inlineStr">
        <is>
          <t>current_price</t>
        </is>
      </c>
      <c r="C5" s="25" t="n">
        <v>75.65000000000001</v>
      </c>
      <c r="D5" s="26" t="n"/>
      <c r="E5" s="27">
        <f>IF(D5="",C5,D5)</f>
        <v/>
      </c>
      <c r="F5" s="14" t="inlineStr">
        <is>
          <t>$/sh</t>
        </is>
      </c>
      <c r="G5" s="14" t="inlineStr"/>
      <c r="H5" s="14" t="inlineStr"/>
    </row>
    <row r="6">
      <c r="A6" s="14" t="inlineStr">
        <is>
          <t>Company</t>
        </is>
      </c>
      <c r="B6" s="14" t="inlineStr">
        <is>
          <t>shares_outstanding_mm</t>
        </is>
      </c>
      <c r="C6" s="28" t="n">
        <v>48.562</v>
      </c>
      <c r="D6" s="29" t="n"/>
      <c r="E6" s="13">
        <f>IF(D6="",C6,D6)</f>
        <v/>
      </c>
      <c r="F6" s="14" t="inlineStr">
        <is>
          <t>mm</t>
        </is>
      </c>
      <c r="G6" s="14" t="inlineStr">
        <is>
          <t>ciq</t>
        </is>
      </c>
      <c r="H6" s="14" t="inlineStr"/>
    </row>
    <row r="7">
      <c r="A7" s="14" t="inlineStr">
        <is>
          <t>Company</t>
        </is>
      </c>
      <c r="B7" s="14" t="inlineStr">
        <is>
          <t>annual_dilution_pct</t>
        </is>
      </c>
      <c r="C7" s="30" t="n">
        <v>0</v>
      </c>
      <c r="D7" s="31" t="n"/>
      <c r="E7" s="32">
        <f>IF(D7="",C7,D7)</f>
        <v/>
      </c>
      <c r="F7" s="14" t="inlineStr">
        <is>
          <t>%</t>
        </is>
      </c>
      <c r="G7" s="14" t="inlineStr"/>
      <c r="H7" s="14" t="inlineStr"/>
    </row>
    <row r="8">
      <c r="A8" s="14" t="inlineStr">
        <is>
          <t>Company</t>
        </is>
      </c>
      <c r="B8" s="14" t="inlineStr">
        <is>
          <t>net_debt_mm</t>
        </is>
      </c>
      <c r="C8" s="25" t="n">
        <v>-369.45</v>
      </c>
      <c r="D8" s="26" t="n"/>
      <c r="E8" s="27">
        <f>IF(D8="",C8,D8)</f>
        <v/>
      </c>
      <c r="F8" s="14" t="inlineStr">
        <is>
          <t>$mm</t>
        </is>
      </c>
      <c r="G8" s="14" t="inlineStr">
        <is>
          <t>ciq</t>
        </is>
      </c>
      <c r="H8" s="14" t="inlineStr"/>
    </row>
    <row r="9">
      <c r="A9" s="14" t="inlineStr">
        <is>
          <t>Company</t>
        </is>
      </c>
      <c r="B9" s="14" t="inlineStr">
        <is>
          <t>non_operating_assets_mm</t>
        </is>
      </c>
      <c r="C9" s="25" t="n">
        <v>285.181</v>
      </c>
      <c r="D9" s="26" t="n"/>
      <c r="E9" s="27">
        <f>IF(D9="",C9,D9)</f>
        <v/>
      </c>
      <c r="F9" s="14" t="inlineStr">
        <is>
          <t>$mm</t>
        </is>
      </c>
      <c r="G9" s="14" t="inlineStr">
        <is>
          <t>ciq_cash_excess</t>
        </is>
      </c>
      <c r="H9" s="14" t="inlineStr"/>
    </row>
    <row r="10">
      <c r="A10" s="14" t="inlineStr">
        <is>
          <t>Company</t>
        </is>
      </c>
      <c r="B10" s="14" t="inlineStr">
        <is>
          <t>minority_interest_mm</t>
        </is>
      </c>
      <c r="C10" s="25" t="n">
        <v>5.391</v>
      </c>
      <c r="D10" s="26" t="n"/>
      <c r="E10" s="27">
        <f>IF(D10="",C10,D10)</f>
        <v/>
      </c>
      <c r="F10" s="14" t="inlineStr">
        <is>
          <t>$mm</t>
        </is>
      </c>
      <c r="G10" s="14" t="inlineStr">
        <is>
          <t>yfinance</t>
        </is>
      </c>
      <c r="H10" s="14" t="inlineStr"/>
    </row>
    <row r="11">
      <c r="A11" s="14" t="inlineStr">
        <is>
          <t>Company</t>
        </is>
      </c>
      <c r="B11" s="14" t="inlineStr">
        <is>
          <t>preferred_equity_mm</t>
        </is>
      </c>
      <c r="C11" s="25" t="n">
        <v>0</v>
      </c>
      <c r="D11" s="26" t="n"/>
      <c r="E11" s="27">
        <f>IF(D11="",C11,D11)</f>
        <v/>
      </c>
      <c r="F11" s="14" t="inlineStr">
        <is>
          <t>$mm</t>
        </is>
      </c>
      <c r="G11" s="14" t="inlineStr">
        <is>
          <t>default</t>
        </is>
      </c>
      <c r="H11" s="14" t="inlineStr"/>
    </row>
    <row r="12">
      <c r="A12" s="14" t="inlineStr">
        <is>
          <t>Company</t>
        </is>
      </c>
      <c r="B12" s="14" t="inlineStr">
        <is>
          <t>pension_deficit_mm</t>
        </is>
      </c>
      <c r="C12" s="25" t="n">
        <v>0</v>
      </c>
      <c r="D12" s="26" t="n"/>
      <c r="E12" s="27">
        <f>IF(D12="",C12,D12)</f>
        <v/>
      </c>
      <c r="F12" s="14" t="inlineStr">
        <is>
          <t>$mm</t>
        </is>
      </c>
      <c r="G12" s="14" t="inlineStr">
        <is>
          <t>default</t>
        </is>
      </c>
      <c r="H12" s="14" t="inlineStr"/>
    </row>
    <row r="13">
      <c r="A13" s="14" t="inlineStr">
        <is>
          <t>Company</t>
        </is>
      </c>
      <c r="B13" s="14" t="inlineStr">
        <is>
          <t>lease_liabilities_mm</t>
        </is>
      </c>
      <c r="C13" s="25" t="n">
        <v>0</v>
      </c>
      <c r="D13" s="26" t="n"/>
      <c r="E13" s="27">
        <f>IF(D13="",C13,D13)</f>
        <v/>
      </c>
      <c r="F13" s="14" t="inlineStr">
        <is>
          <t>$mm</t>
        </is>
      </c>
      <c r="G13" s="14" t="inlineStr">
        <is>
          <t>default</t>
        </is>
      </c>
      <c r="H13" s="14" t="inlineStr"/>
    </row>
    <row r="14">
      <c r="A14" s="14" t="inlineStr">
        <is>
          <t>Company</t>
        </is>
      </c>
      <c r="B14" s="14" t="inlineStr">
        <is>
          <t>options_value_mm</t>
        </is>
      </c>
      <c r="C14" s="25" t="n">
        <v>13.581</v>
      </c>
      <c r="D14" s="26" t="n"/>
      <c r="E14" s="27">
        <f>IF(D14="",C14,D14)</f>
        <v/>
      </c>
      <c r="F14" s="14" t="inlineStr">
        <is>
          <t>$mm</t>
        </is>
      </c>
      <c r="G14" s="14" t="inlineStr">
        <is>
          <t>sbc_proxy</t>
        </is>
      </c>
      <c r="H14" s="14" t="inlineStr"/>
    </row>
    <row r="15">
      <c r="A15" s="14" t="inlineStr">
        <is>
          <t>Company</t>
        </is>
      </c>
      <c r="B15" s="14" t="inlineStr">
        <is>
          <t>convertibles_value_mm</t>
        </is>
      </c>
      <c r="C15" s="25" t="n">
        <v>0</v>
      </c>
      <c r="D15" s="26" t="n"/>
      <c r="E15" s="27">
        <f>IF(D15="",C15,D15)</f>
        <v/>
      </c>
      <c r="F15" s="14" t="inlineStr">
        <is>
          <t>$mm</t>
        </is>
      </c>
      <c r="G15" s="14" t="inlineStr">
        <is>
          <t>default</t>
        </is>
      </c>
      <c r="H15" s="14" t="inlineStr"/>
    </row>
    <row r="16">
      <c r="A16" s="14" t="inlineStr">
        <is>
          <t>Operating</t>
        </is>
      </c>
      <c r="B16" s="14" t="inlineStr">
        <is>
          <t>revenue_mm</t>
        </is>
      </c>
      <c r="C16" s="25" t="n">
        <v>4213.443</v>
      </c>
      <c r="D16" s="26" t="n"/>
      <c r="E16" s="27">
        <f>IF(D16="",C16,D16)</f>
        <v/>
      </c>
      <c r="F16" s="14" t="inlineStr">
        <is>
          <t>$mm</t>
        </is>
      </c>
      <c r="G16" s="14" t="inlineStr">
        <is>
          <t>ciq</t>
        </is>
      </c>
      <c r="H16" s="14" t="inlineStr"/>
    </row>
    <row r="17">
      <c r="A17" s="14" t="inlineStr">
        <is>
          <t>Operating</t>
        </is>
      </c>
      <c r="B17" s="14" t="inlineStr">
        <is>
          <t>cogs_pct_of_revenue</t>
        </is>
      </c>
      <c r="C17" s="30" t="n">
        <v>0.6509</v>
      </c>
      <c r="D17" s="31" t="n"/>
      <c r="E17" s="32">
        <f>IF(D17="",C17,D17)</f>
        <v/>
      </c>
      <c r="F17" s="14" t="inlineStr">
        <is>
          <t>% rev</t>
        </is>
      </c>
      <c r="G17" s="14" t="inlineStr"/>
      <c r="H17" s="14" t="inlineStr"/>
    </row>
    <row r="18">
      <c r="A18" s="14" t="inlineStr">
        <is>
          <t>Operating</t>
        </is>
      </c>
      <c r="B18" s="14" t="inlineStr">
        <is>
          <t>growth_terminal_pct</t>
        </is>
      </c>
      <c r="C18" s="30" t="n">
        <v>0.025</v>
      </c>
      <c r="D18" s="31" t="n"/>
      <c r="E18" s="32">
        <f>IF(D18="",C18,D18)</f>
        <v/>
      </c>
      <c r="F18" s="14" t="inlineStr">
        <is>
          <t>%</t>
        </is>
      </c>
      <c r="G18" s="14" t="inlineStr"/>
      <c r="H18" s="14" t="inlineStr"/>
    </row>
    <row r="19">
      <c r="A19" s="14" t="inlineStr">
        <is>
          <t>WACC</t>
        </is>
      </c>
      <c r="B19" s="14" t="inlineStr">
        <is>
          <t>wacc</t>
        </is>
      </c>
      <c r="C19" s="30" t="n">
        <v>0.06644</v>
      </c>
      <c r="D19" s="31" t="n"/>
      <c r="E19" s="32">
        <f>IF(D19="",C19,D19)</f>
        <v/>
      </c>
      <c r="F19" s="14" t="inlineStr">
        <is>
          <t>%</t>
        </is>
      </c>
      <c r="G19" s="14" t="inlineStr"/>
      <c r="H19" s="14" t="inlineStr"/>
    </row>
    <row r="20">
      <c r="A20" s="14" t="inlineStr">
        <is>
          <t>WACC</t>
        </is>
      </c>
      <c r="B20" s="14" t="inlineStr">
        <is>
          <t>cost_of_equity</t>
        </is>
      </c>
      <c r="C20" s="30" t="n">
        <v>0.06816999999999999</v>
      </c>
      <c r="D20" s="31" t="n"/>
      <c r="E20" s="32">
        <f>IF(D20="",C20,D20)</f>
        <v/>
      </c>
      <c r="F20" s="14" t="inlineStr">
        <is>
          <t>%</t>
        </is>
      </c>
      <c r="G20" s="14" t="inlineStr">
        <is>
          <t>wacc_methodology:blended</t>
        </is>
      </c>
      <c r="H20" s="14" t="inlineStr"/>
    </row>
    <row r="21">
      <c r="A21" s="14" t="inlineStr">
        <is>
          <t>WACC</t>
        </is>
      </c>
      <c r="B21" s="14" t="inlineStr">
        <is>
          <t>cost_of_debt</t>
        </is>
      </c>
      <c r="C21" s="30" t="inlineStr"/>
      <c r="D21" s="31" t="n"/>
      <c r="E21" s="32">
        <f>IF(D21="",C21,D21)</f>
        <v/>
      </c>
      <c r="F21" s="14" t="inlineStr">
        <is>
          <t>%</t>
        </is>
      </c>
      <c r="G21" s="14" t="inlineStr"/>
      <c r="H21" s="14" t="inlineStr"/>
    </row>
    <row r="22">
      <c r="A22" s="14" t="inlineStr">
        <is>
          <t>WACC</t>
        </is>
      </c>
      <c r="B22" s="14" t="inlineStr">
        <is>
          <t>risk_free_rate</t>
        </is>
      </c>
      <c r="C22" s="30" t="inlineStr"/>
      <c r="D22" s="31" t="n"/>
      <c r="E22" s="32">
        <f>IF(D22="",C22,D22)</f>
        <v/>
      </c>
      <c r="F22" s="14" t="inlineStr">
        <is>
          <t>%</t>
        </is>
      </c>
      <c r="G22" s="14" t="inlineStr"/>
      <c r="H22" s="14" t="inlineStr"/>
    </row>
    <row r="23">
      <c r="A23" s="14" t="inlineStr">
        <is>
          <t>WACC</t>
        </is>
      </c>
      <c r="B23" s="14" t="inlineStr">
        <is>
          <t>equity_risk_premium</t>
        </is>
      </c>
      <c r="C23" s="30" t="inlineStr"/>
      <c r="D23" s="31" t="n"/>
      <c r="E23" s="32">
        <f>IF(D23="",C23,D23)</f>
        <v/>
      </c>
      <c r="F23" s="14" t="inlineStr">
        <is>
          <t>%</t>
        </is>
      </c>
      <c r="G23" s="14" t="inlineStr"/>
      <c r="H23" s="14" t="inlineStr"/>
    </row>
    <row r="24">
      <c r="A24" s="14" t="inlineStr">
        <is>
          <t>WACC</t>
        </is>
      </c>
      <c r="B24" s="14" t="inlineStr">
        <is>
          <t>beta_relevered</t>
        </is>
      </c>
      <c r="C24" s="33" t="n">
        <v>0.24</v>
      </c>
      <c r="D24" s="34" t="n"/>
      <c r="E24" s="35">
        <f>IF(D24="",C24,D24)</f>
        <v/>
      </c>
      <c r="F24" s="14" t="inlineStr">
        <is>
          <t>x</t>
        </is>
      </c>
      <c r="G24" s="14" t="inlineStr"/>
      <c r="H24" s="14" t="inlineStr"/>
    </row>
    <row r="25">
      <c r="A25" s="14" t="inlineStr">
        <is>
          <t>WACC</t>
        </is>
      </c>
      <c r="B25" s="14" t="inlineStr">
        <is>
          <t>size_premium</t>
        </is>
      </c>
      <c r="C25" s="30" t="n">
        <v>0.011</v>
      </c>
      <c r="D25" s="31" t="n"/>
      <c r="E25" s="32">
        <f>IF(D25="",C25,D25)</f>
        <v/>
      </c>
      <c r="F25" s="14" t="inlineStr">
        <is>
          <t>%</t>
        </is>
      </c>
      <c r="G25" s="14" t="inlineStr"/>
      <c r="H25" s="14" t="inlineStr"/>
    </row>
    <row r="26">
      <c r="A26" s="14" t="inlineStr">
        <is>
          <t>WACC</t>
        </is>
      </c>
      <c r="B26" s="14" t="inlineStr">
        <is>
          <t>equity_weight</t>
        </is>
      </c>
      <c r="C26" s="30" t="n">
        <v>0.9167</v>
      </c>
      <c r="D26" s="31" t="n"/>
      <c r="E26" s="32">
        <f>IF(D26="",C26,D26)</f>
        <v/>
      </c>
      <c r="F26" s="14" t="inlineStr">
        <is>
          <t>% cap</t>
        </is>
      </c>
      <c r="G26" s="14" t="inlineStr"/>
      <c r="H26" s="14" t="inlineStr"/>
    </row>
    <row r="27">
      <c r="A27" s="14" t="inlineStr">
        <is>
          <t>WACC</t>
        </is>
      </c>
      <c r="B27" s="14" t="inlineStr">
        <is>
          <t>debt_weight</t>
        </is>
      </c>
      <c r="C27" s="30" t="n">
        <v>0.0833</v>
      </c>
      <c r="D27" s="31" t="n"/>
      <c r="E27" s="32">
        <f>IF(D27="",C27,D27)</f>
        <v/>
      </c>
      <c r="F27" s="14" t="inlineStr">
        <is>
          <t>% cap</t>
        </is>
      </c>
      <c r="G27" s="14" t="inlineStr">
        <is>
          <t>wacc_methodology:blended</t>
        </is>
      </c>
      <c r="H27" s="14" t="inlineStr"/>
    </row>
    <row r="28">
      <c r="A28" s="14" t="inlineStr">
        <is>
          <t>Terminal</t>
        </is>
      </c>
      <c r="B28" s="14" t="inlineStr">
        <is>
          <t>exit_multiple</t>
        </is>
      </c>
      <c r="C28" s="33" t="n">
        <v>10.5412104</v>
      </c>
      <c r="D28" s="34" t="n"/>
      <c r="E28" s="35">
        <f>IF(D28="",C28,D28)</f>
        <v/>
      </c>
      <c r="F28" s="14" t="inlineStr">
        <is>
          <t>x</t>
        </is>
      </c>
      <c r="G28" s="14" t="inlineStr">
        <is>
          <t>ciq_comps_tev_ebitda_fwd|story_sector</t>
        </is>
      </c>
      <c r="H28" s="14" t="inlineStr"/>
    </row>
    <row r="29">
      <c r="A29" s="14" t="inlineStr">
        <is>
          <t>Terminal</t>
        </is>
      </c>
      <c r="B29" s="14" t="inlineStr">
        <is>
          <t>exit_metric</t>
        </is>
      </c>
      <c r="C29" s="28" t="inlineStr">
        <is>
          <t>ev_ebitda</t>
        </is>
      </c>
      <c r="D29" s="29" t="n"/>
      <c r="E29" s="13">
        <f>IF(D29="",C29,D29)</f>
        <v/>
      </c>
      <c r="F29" s="14" t="inlineStr">
        <is>
          <t>text</t>
        </is>
      </c>
      <c r="G29" s="14" t="inlineStr"/>
      <c r="H29" s="14" t="inlineStr"/>
    </row>
    <row r="30">
      <c r="A30" s="14" t="inlineStr">
        <is>
          <t>Terminal</t>
        </is>
      </c>
      <c r="B30" s="14" t="inlineStr">
        <is>
          <t>ronic_terminal</t>
        </is>
      </c>
      <c r="C30" s="30" t="n">
        <v>0.11</v>
      </c>
      <c r="D30" s="31" t="n"/>
      <c r="E30" s="32">
        <f>IF(D30="",C30,D30)</f>
        <v/>
      </c>
      <c r="F30" s="14" t="inlineStr">
        <is>
          <t>%</t>
        </is>
      </c>
      <c r="G30" s="14" t="inlineStr">
        <is>
          <t>default</t>
        </is>
      </c>
      <c r="H30" s="14" t="inlineStr"/>
    </row>
    <row r="31">
      <c r="A31" s="14" t="inlineStr">
        <is>
          <t>Terminal</t>
        </is>
      </c>
      <c r="B31" s="14" t="inlineStr">
        <is>
          <t>terminal_blend_gordon_weight</t>
        </is>
      </c>
      <c r="C31" s="30" t="n">
        <v>0.62</v>
      </c>
      <c r="D31" s="31" t="n"/>
      <c r="E31" s="32">
        <f>IF(D31="",C31,D31)</f>
        <v/>
      </c>
      <c r="F31" s="14" t="inlineStr">
        <is>
          <t>%</t>
        </is>
      </c>
      <c r="G31" s="14" t="inlineStr"/>
      <c r="H31" s="14" t="inlineStr"/>
    </row>
    <row r="32">
      <c r="A32" s="14" t="inlineStr">
        <is>
          <t>Terminal</t>
        </is>
      </c>
      <c r="B32" s="14" t="inlineStr">
        <is>
          <t>terminal_blend_exit_weight</t>
        </is>
      </c>
      <c r="C32" s="30" t="n">
        <v>0.38</v>
      </c>
      <c r="D32" s="31" t="n"/>
      <c r="E32" s="32">
        <f>IF(D32="",C32,D32)</f>
        <v/>
      </c>
      <c r="F32" s="14" t="inlineStr">
        <is>
          <t>%</t>
        </is>
      </c>
      <c r="G32" s="14" t="inlineStr"/>
      <c r="H32" s="14" t="inlineStr"/>
    </row>
    <row r="33">
      <c r="A33" s="14" t="inlineStr">
        <is>
          <t>Scenario</t>
        </is>
      </c>
      <c r="B33" s="14" t="inlineStr">
        <is>
          <t>scenario_prob_bear</t>
        </is>
      </c>
      <c r="C33" s="30" t="n">
        <v>0.2</v>
      </c>
      <c r="D33" s="31" t="n"/>
      <c r="E33" s="32">
        <f>IF(D33="",C33,D33)</f>
        <v/>
      </c>
      <c r="F33" s="14" t="inlineStr">
        <is>
          <t>%</t>
        </is>
      </c>
      <c r="G33" s="14" t="inlineStr"/>
      <c r="H33" s="14" t="inlineStr"/>
    </row>
    <row r="34">
      <c r="A34" s="14" t="inlineStr">
        <is>
          <t>Scenario</t>
        </is>
      </c>
      <c r="B34" s="14" t="inlineStr">
        <is>
          <t>scenario_prob_base</t>
        </is>
      </c>
      <c r="C34" s="30" t="n">
        <v>0.6</v>
      </c>
      <c r="D34" s="31" t="n"/>
      <c r="E34" s="32">
        <f>IF(D34="",C34,D34)</f>
        <v/>
      </c>
      <c r="F34" s="14" t="inlineStr">
        <is>
          <t>%</t>
        </is>
      </c>
      <c r="G34" s="14" t="inlineStr"/>
      <c r="H34" s="14" t="inlineStr"/>
    </row>
    <row r="35">
      <c r="A35" s="14" t="inlineStr">
        <is>
          <t>Scenario</t>
        </is>
      </c>
      <c r="B35" s="14" t="inlineStr">
        <is>
          <t>scenario_prob_bull</t>
        </is>
      </c>
      <c r="C35" s="30" t="n">
        <v>0.2</v>
      </c>
      <c r="D35" s="31" t="n"/>
      <c r="E35" s="32">
        <f>IF(D35="",C35,D35)</f>
        <v/>
      </c>
      <c r="F35" s="14" t="inlineStr">
        <is>
          <t>%</t>
        </is>
      </c>
      <c r="G35" s="14" t="inlineStr"/>
      <c r="H35" s="14" t="inlineStr"/>
    </row>
    <row r="36">
      <c r="A36" s="14" t="inlineStr">
        <is>
          <t>Backend</t>
        </is>
      </c>
      <c r="B36" s="14" t="inlineStr">
        <is>
          <t>backend_iv_base</t>
        </is>
      </c>
      <c r="C36" s="25" t="n">
        <v>592.52</v>
      </c>
      <c r="D36" s="26" t="n"/>
      <c r="E36" s="27">
        <f>IF(D36="",C36,D36)</f>
        <v/>
      </c>
      <c r="F36" s="14" t="inlineStr">
        <is>
          <t>$/sh</t>
        </is>
      </c>
      <c r="G36" s="14" t="inlineStr"/>
      <c r="H36" s="14" t="inlineStr"/>
    </row>
    <row r="37">
      <c r="A37" s="14" t="inlineStr">
        <is>
          <t>Backend</t>
        </is>
      </c>
      <c r="B37" s="14" t="inlineStr">
        <is>
          <t>backend_iv_gordon</t>
        </is>
      </c>
      <c r="C37" s="25" t="n">
        <v>643.96</v>
      </c>
      <c r="D37" s="26" t="n"/>
      <c r="E37" s="27">
        <f>IF(D37="",C37,D37)</f>
        <v/>
      </c>
      <c r="F37" s="14" t="inlineStr">
        <is>
          <t>$/sh</t>
        </is>
      </c>
      <c r="G37" s="14" t="inlineStr"/>
      <c r="H37" s="14" t="inlineStr"/>
    </row>
    <row r="38">
      <c r="A38" s="14" t="inlineStr">
        <is>
          <t>Backend</t>
        </is>
      </c>
      <c r="B38" s="14" t="inlineStr">
        <is>
          <t>backend_iv_exit</t>
        </is>
      </c>
      <c r="C38" s="25" t="n">
        <v>508.59</v>
      </c>
      <c r="D38" s="26" t="n"/>
      <c r="E38" s="27">
        <f>IF(D38="",C38,D38)</f>
        <v/>
      </c>
      <c r="F38" s="14" t="inlineStr">
        <is>
          <t>$/sh</t>
        </is>
      </c>
      <c r="G38" s="14" t="inlineStr"/>
      <c r="H38" s="14" t="inlineStr"/>
    </row>
    <row r="39">
      <c r="A39" s="14" t="inlineStr">
        <is>
          <t>Backend</t>
        </is>
      </c>
      <c r="B39" s="14" t="inlineStr">
        <is>
          <t>backend_tv_pct_ev</t>
        </is>
      </c>
      <c r="C39" s="30" t="n">
        <v>0.747</v>
      </c>
      <c r="D39" s="31" t="n"/>
      <c r="E39" s="32">
        <f>IF(D39="",C39,D39)</f>
        <v/>
      </c>
      <c r="F39" s="14" t="inlineStr">
        <is>
          <t>%</t>
        </is>
      </c>
      <c r="G39" s="14" t="inlineStr"/>
      <c r="H39" s="14"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10" customWidth="1" min="3" max="3"/>
    <col width="23" customWidth="1" min="4" max="4"/>
    <col width="10" customWidth="1" min="5" max="5"/>
    <col width="23" customWidth="1" min="6" max="6"/>
    <col width="10" customWidth="1" min="7" max="7"/>
    <col width="22" customWidth="1" min="8" max="8"/>
    <col width="8" customWidth="1" min="9" max="9"/>
    <col width="22" customWidth="1" min="10" max="10"/>
    <col width="9" customWidth="1" min="11" max="11"/>
    <col width="22" customWidth="1" min="12" max="12"/>
    <col width="10" customWidth="1" min="13" max="13"/>
    <col width="10" customWidth="1" min="14" max="14"/>
    <col width="9" customWidth="1" min="15" max="15"/>
    <col width="22" customWidth="1" min="16" max="16"/>
    <col width="9" customWidth="1" min="17" max="17"/>
    <col width="8" customWidth="1" min="18" max="18"/>
    <col width="21"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3"/>
    <row r="4">
      <c r="A4" s="12" t="inlineStr">
        <is>
          <t>Fiscal Year</t>
        </is>
      </c>
      <c r="B4" s="12" t="inlineStr">
        <is>
          <t>Period</t>
        </is>
      </c>
      <c r="C4" s="12" t="inlineStr">
        <is>
          <t>Revenue</t>
        </is>
      </c>
      <c r="D4" s="12" t="inlineStr">
        <is>
          <t>Rev Growth</t>
        </is>
      </c>
      <c r="E4" s="12" t="inlineStr">
        <is>
          <t>EBIT</t>
        </is>
      </c>
      <c r="F4" s="12" t="inlineStr">
        <is>
          <t>EBIT Margin</t>
        </is>
      </c>
      <c r="G4" s="12" t="inlineStr">
        <is>
          <t>EBITDA</t>
        </is>
      </c>
      <c r="H4" s="12" t="inlineStr">
        <is>
          <t>EBITDA Margin</t>
        </is>
      </c>
      <c r="I4" s="12" t="inlineStr">
        <is>
          <t>D&amp;A</t>
        </is>
      </c>
      <c r="J4" s="12" t="inlineStr">
        <is>
          <t>D&amp;A %</t>
        </is>
      </c>
      <c r="K4" s="12" t="inlineStr">
        <is>
          <t>Capex</t>
        </is>
      </c>
      <c r="L4" s="12" t="inlineStr">
        <is>
          <t>Capex %</t>
        </is>
      </c>
      <c r="M4" s="12" t="inlineStr">
        <is>
          <t>CFO</t>
        </is>
      </c>
      <c r="N4" s="12" t="inlineStr">
        <is>
          <t>Pretax</t>
        </is>
      </c>
      <c r="O4" s="12" t="inlineStr">
        <is>
          <t>Tax</t>
        </is>
      </c>
      <c r="P4" s="12" t="inlineStr">
        <is>
          <t>Tax Rate</t>
        </is>
      </c>
      <c r="Q4" s="12" t="inlineStr">
        <is>
          <t>Cash</t>
        </is>
      </c>
      <c r="R4" s="12" t="inlineStr">
        <is>
          <t>Debt</t>
        </is>
      </c>
      <c r="S4" s="12" t="inlineStr">
        <is>
          <t>Net Debt</t>
        </is>
      </c>
      <c r="T4" s="12" t="inlineStr">
        <is>
          <t>Tot Assets</t>
        </is>
      </c>
      <c r="U4" s="12" t="inlineStr">
        <is>
          <t>Tot Equity</t>
        </is>
      </c>
      <c r="V4" s="12" t="inlineStr">
        <is>
          <t>Source</t>
        </is>
      </c>
    </row>
    <row r="5">
      <c r="A5" s="14" t="inlineStr">
        <is>
          <t>FY16</t>
        </is>
      </c>
      <c r="B5" s="14" t="inlineStr">
        <is>
          <t>2016-05-28</t>
        </is>
      </c>
      <c r="C5" s="36" t="n">
        <v>1908.65</v>
      </c>
      <c r="D5" s="15" t="n">
        <v>0.2109739818085843</v>
      </c>
      <c r="E5" s="36" t="n">
        <v>470.314</v>
      </c>
      <c r="F5" s="15" t="n">
        <v>0.246411861787127</v>
      </c>
      <c r="G5" s="36" t="n">
        <v>514.9059999999999</v>
      </c>
      <c r="H5" s="15" t="n">
        <v>0.2697749718387342</v>
      </c>
      <c r="I5" s="36" t="n">
        <v>41.992</v>
      </c>
      <c r="J5" s="15" t="n">
        <v>0.02200089068189558</v>
      </c>
      <c r="K5" s="36" t="n">
        <v>76.125</v>
      </c>
      <c r="L5" s="15" t="n">
        <v>0.03988421135357451</v>
      </c>
      <c r="M5" s="36" t="n">
        <v>388.437</v>
      </c>
      <c r="N5" s="36" t="n">
        <v>485.665</v>
      </c>
      <c r="O5" s="36" t="n">
        <v>169.202</v>
      </c>
      <c r="P5" s="15" t="n">
        <v>0.3483924104063501</v>
      </c>
      <c r="Q5" s="36" t="n">
        <v>29.046</v>
      </c>
      <c r="R5" s="36" t="n">
        <v>25.57</v>
      </c>
      <c r="S5" s="36" t="n">
        <v>-3.475999999999999</v>
      </c>
      <c r="T5" s="36" t="n">
        <v>1111.765</v>
      </c>
      <c r="U5" s="36" t="n">
        <v>917.361</v>
      </c>
      <c r="V5" s="14" t="inlineStr">
        <is>
          <t>CALM_Standard.xlsx</t>
        </is>
      </c>
    </row>
    <row r="6">
      <c r="A6" s="14" t="inlineStr">
        <is>
          <t>FY17</t>
        </is>
      </c>
      <c r="B6" s="14" t="inlineStr">
        <is>
          <t>2017-06-03</t>
        </is>
      </c>
      <c r="C6" s="36" t="n">
        <v>1074.513</v>
      </c>
      <c r="D6" s="15" t="n">
        <v>-0.437029837843502</v>
      </c>
      <c r="E6" s="36" t="n">
        <v>-130.482</v>
      </c>
      <c r="F6" s="15" t="n">
        <v>-0.1214336169036578</v>
      </c>
      <c r="G6" s="36" t="n">
        <v>-81.369</v>
      </c>
      <c r="H6" s="15" t="n">
        <v>-0.07572639884301074</v>
      </c>
      <c r="I6" s="36" t="n">
        <v>46.913</v>
      </c>
      <c r="J6" s="15" t="n">
        <v>0.04365977889518322</v>
      </c>
      <c r="K6" s="36" t="n">
        <v>66.657</v>
      </c>
      <c r="L6" s="15" t="n">
        <v>0.06203461475105466</v>
      </c>
      <c r="M6" s="36" t="n">
        <v>-45.918</v>
      </c>
      <c r="N6" s="36" t="n">
        <v>-110.854</v>
      </c>
      <c r="O6" s="36" t="n">
        <v>39.867</v>
      </c>
      <c r="P6" s="15" t="n">
        <v>-0.3596351958431811</v>
      </c>
      <c r="Q6" s="36" t="n">
        <v>17.564</v>
      </c>
      <c r="R6" s="36" t="n">
        <v>10.939</v>
      </c>
      <c r="S6" s="36" t="n">
        <v>-6.625</v>
      </c>
      <c r="T6" s="36" t="n">
        <v>1033.094</v>
      </c>
      <c r="U6" s="36" t="n">
        <v>844.4930000000001</v>
      </c>
      <c r="V6" s="14" t="inlineStr">
        <is>
          <t>CALM_Standard.xlsx</t>
        </is>
      </c>
    </row>
    <row r="7">
      <c r="A7" s="14" t="inlineStr">
        <is>
          <t>FY18</t>
        </is>
      </c>
      <c r="B7" s="14" t="inlineStr">
        <is>
          <t>2018-06-02</t>
        </is>
      </c>
      <c r="C7" s="36" t="n">
        <v>1502.932</v>
      </c>
      <c r="D7" s="15" t="n">
        <v>0.3987099271949246</v>
      </c>
      <c r="E7" s="36" t="n">
        <v>181.73</v>
      </c>
      <c r="F7" s="15" t="n">
        <v>0.1209169809412535</v>
      </c>
      <c r="G7" s="36" t="n">
        <v>235.756</v>
      </c>
      <c r="H7" s="15" t="n">
        <v>0.1568640497374465</v>
      </c>
      <c r="I7" s="36" t="n">
        <v>51.226</v>
      </c>
      <c r="J7" s="15" t="n">
        <v>0.03408404372253701</v>
      </c>
      <c r="K7" s="36" t="n">
        <v>19.671</v>
      </c>
      <c r="L7" s="15" t="n">
        <v>0.01308841650853132</v>
      </c>
      <c r="M7" s="36" t="n">
        <v>200.415</v>
      </c>
      <c r="N7" s="36" t="n">
        <v>198.595</v>
      </c>
      <c r="O7" s="36" t="n">
        <v>8.859</v>
      </c>
      <c r="P7" s="15" t="n">
        <v>0.04460837382612855</v>
      </c>
      <c r="Q7" s="36" t="n">
        <v>48.431</v>
      </c>
      <c r="R7" s="36" t="n">
        <v>6.09</v>
      </c>
      <c r="S7" s="36" t="n">
        <v>-42.34099999999999</v>
      </c>
      <c r="T7" s="36" t="n">
        <v>1150.447</v>
      </c>
      <c r="U7" s="36" t="n">
        <v>955.682</v>
      </c>
      <c r="V7" s="14" t="inlineStr">
        <is>
          <t>CALM_Standard.xlsx</t>
        </is>
      </c>
    </row>
    <row r="8">
      <c r="A8" s="14" t="inlineStr">
        <is>
          <t>FY19</t>
        </is>
      </c>
      <c r="B8" s="14" t="inlineStr">
        <is>
          <t>2019-06-01</t>
        </is>
      </c>
      <c r="C8" s="36" t="n">
        <v>1361.188</v>
      </c>
      <c r="D8" s="15" t="n">
        <v>-0.0943116521572499</v>
      </c>
      <c r="E8" s="36" t="n">
        <v>45.814</v>
      </c>
      <c r="F8" s="15" t="n">
        <v>0.03365736400849845</v>
      </c>
      <c r="G8" s="36" t="n">
        <v>100.464</v>
      </c>
      <c r="H8" s="15" t="n">
        <v>0.07380611642183151</v>
      </c>
      <c r="I8" s="36" t="n">
        <v>51.85</v>
      </c>
      <c r="J8" s="15" t="n">
        <v>0.0380917257572062</v>
      </c>
      <c r="K8" s="36" t="n">
        <v>67.989</v>
      </c>
      <c r="L8" s="15" t="n">
        <v>0.04994828047264595</v>
      </c>
      <c r="M8" s="36" t="n">
        <v>115.085</v>
      </c>
      <c r="N8" s="36" t="n">
        <v>70.81399999999999</v>
      </c>
      <c r="O8" s="36" t="n">
        <v>15.743</v>
      </c>
      <c r="P8" s="15" t="n">
        <v>0.2223147965091649</v>
      </c>
      <c r="Q8" s="36" t="n">
        <v>69.247</v>
      </c>
      <c r="R8" s="36" t="n">
        <v>2.554</v>
      </c>
      <c r="S8" s="36" t="n">
        <v>-66.693</v>
      </c>
      <c r="T8" s="36" t="n">
        <v>1156.278</v>
      </c>
      <c r="U8" s="36" t="n">
        <v>989.806</v>
      </c>
      <c r="V8" s="14" t="inlineStr">
        <is>
          <t>CALM_Standard.xlsx</t>
        </is>
      </c>
    </row>
    <row r="9">
      <c r="A9" s="14" t="inlineStr">
        <is>
          <t>FY20</t>
        </is>
      </c>
      <c r="B9" s="14" t="inlineStr">
        <is>
          <t>2020-05-30</t>
        </is>
      </c>
      <c r="C9" s="36" t="n">
        <v>1351.609</v>
      </c>
      <c r="D9" s="15" t="n">
        <v>-0.007037235121085561</v>
      </c>
      <c r="E9" s="36" t="n">
        <v>1.351</v>
      </c>
      <c r="F9" s="15" t="n">
        <v>0.0009995494259064568</v>
      </c>
      <c r="G9" s="36" t="n">
        <v>59.454</v>
      </c>
      <c r="H9" s="15" t="n">
        <v>0.04398757332926904</v>
      </c>
      <c r="I9" s="36" t="n">
        <v>55.203</v>
      </c>
      <c r="J9" s="15" t="n">
        <v>0.04084243298172771</v>
      </c>
      <c r="K9" s="36" t="n">
        <v>124.178</v>
      </c>
      <c r="L9" s="15" t="n">
        <v>0.09187420326440561</v>
      </c>
      <c r="M9" s="36" t="n">
        <v>73.60899999999999</v>
      </c>
      <c r="N9" s="36" t="n">
        <v>20.002</v>
      </c>
      <c r="O9" s="36" t="n">
        <v>1.731</v>
      </c>
      <c r="P9" s="15" t="n">
        <v>0.08654134586541347</v>
      </c>
      <c r="Q9" s="36" t="n">
        <v>78.13</v>
      </c>
      <c r="R9" s="36" t="n">
        <v>3.388</v>
      </c>
      <c r="S9" s="36" t="n">
        <v>-74.74199999999999</v>
      </c>
      <c r="T9" s="36" t="n">
        <v>1206.694</v>
      </c>
      <c r="U9" s="36" t="n">
        <v>1009.675</v>
      </c>
      <c r="V9" s="14" t="inlineStr">
        <is>
          <t>CALM_Standard.xlsx</t>
        </is>
      </c>
    </row>
    <row r="10">
      <c r="A10" s="14" t="inlineStr">
        <is>
          <t>FY21</t>
        </is>
      </c>
      <c r="B10" s="14" t="inlineStr">
        <is>
          <t>2021-05-29</t>
        </is>
      </c>
      <c r="C10" s="36" t="n">
        <v>1348.987</v>
      </c>
      <c r="D10" s="15" t="n">
        <v>-0.001939910136733225</v>
      </c>
      <c r="E10" s="36" t="n">
        <v>-23.282</v>
      </c>
      <c r="F10" s="15" t="n">
        <v>-0.01725887647545899</v>
      </c>
      <c r="G10" s="36" t="n">
        <v>36.195</v>
      </c>
      <c r="H10" s="15" t="n">
        <v>0.02683124448197054</v>
      </c>
      <c r="I10" s="36" t="n">
        <v>59.477</v>
      </c>
      <c r="J10" s="15" t="n">
        <v>0.04409012095742953</v>
      </c>
      <c r="K10" s="36" t="n">
        <v>95.069</v>
      </c>
      <c r="L10" s="15" t="n">
        <v>0.07047436335561424</v>
      </c>
      <c r="M10" s="36" t="n">
        <v>26.136</v>
      </c>
      <c r="N10" s="36" t="n">
        <v>-5.616</v>
      </c>
      <c r="O10" s="36" t="n">
        <v>12.009</v>
      </c>
      <c r="P10" s="15" t="n">
        <v>-2.138354700854701</v>
      </c>
      <c r="Q10" s="36" t="n">
        <v>57.352</v>
      </c>
      <c r="R10" s="36" t="n">
        <v>2.378</v>
      </c>
      <c r="S10" s="36" t="n">
        <v>-54.974</v>
      </c>
      <c r="T10" s="36" t="n">
        <v>1229.174</v>
      </c>
      <c r="U10" s="36" t="n">
        <v>1012.781</v>
      </c>
      <c r="V10" s="14" t="inlineStr">
        <is>
          <t>CALM_Standard.xlsx</t>
        </is>
      </c>
    </row>
    <row r="11">
      <c r="A11" s="14" t="inlineStr">
        <is>
          <t>FY22</t>
        </is>
      </c>
      <c r="B11" s="14" t="inlineStr">
        <is>
          <t>2022-05-28</t>
        </is>
      </c>
      <c r="C11" s="36" t="n">
        <v>1777.159</v>
      </c>
      <c r="D11" s="15" t="n">
        <v>0.3174026139614392</v>
      </c>
      <c r="E11" s="36" t="n">
        <v>138.428</v>
      </c>
      <c r="F11" s="15" t="n">
        <v>0.07789286158413512</v>
      </c>
      <c r="G11" s="36" t="n">
        <v>206.823</v>
      </c>
      <c r="H11" s="15" t="n">
        <v>0.1163784444723291</v>
      </c>
      <c r="I11" s="36" t="n">
        <v>68.395</v>
      </c>
      <c r="J11" s="15" t="n">
        <v>0.03848558288819402</v>
      </c>
      <c r="K11" s="36" t="n">
        <v>72.399</v>
      </c>
      <c r="L11" s="15" t="n">
        <v>0.04073861708490911</v>
      </c>
      <c r="M11" s="36" t="n">
        <v>126.209</v>
      </c>
      <c r="N11" s="36" t="n">
        <v>160.801</v>
      </c>
      <c r="O11" s="36" t="n">
        <v>33.574</v>
      </c>
      <c r="P11" s="15" t="n">
        <v>0.2087922338791426</v>
      </c>
      <c r="Q11" s="36" t="n">
        <v>59.084</v>
      </c>
      <c r="R11" s="36" t="n">
        <v>0</v>
      </c>
      <c r="S11" s="36" t="n">
        <v>-59.084</v>
      </c>
      <c r="T11" s="36" t="n">
        <v>1427.489</v>
      </c>
      <c r="U11" s="36" t="n">
        <v>1104.345</v>
      </c>
      <c r="V11" s="14" t="inlineStr">
        <is>
          <t>CALM_Standard.xlsx</t>
        </is>
      </c>
    </row>
    <row r="12">
      <c r="A12" s="14" t="inlineStr">
        <is>
          <t>FY23</t>
        </is>
      </c>
      <c r="B12" s="14" t="inlineStr">
        <is>
          <t>2023-06-03</t>
        </is>
      </c>
      <c r="C12" s="36" t="n">
        <v>3146.217</v>
      </c>
      <c r="D12" s="15" t="n">
        <v>0.7703632595620313</v>
      </c>
      <c r="E12" s="36" t="n">
        <v>964.25</v>
      </c>
      <c r="F12" s="15" t="n">
        <v>0.3064791780096541</v>
      </c>
      <c r="G12" s="36" t="n">
        <v>1036.484</v>
      </c>
      <c r="H12" s="15" t="n">
        <v>0.3294381792482845</v>
      </c>
      <c r="I12" s="36" t="n">
        <v>70</v>
      </c>
      <c r="J12" s="15" t="n">
        <v>0.02224894214226164</v>
      </c>
      <c r="K12" s="36" t="n">
        <v>136.569</v>
      </c>
      <c r="L12" s="15" t="n">
        <v>0.04340736827752185</v>
      </c>
      <c r="M12" s="36" t="n">
        <v>863.01</v>
      </c>
      <c r="N12" s="36" t="n">
        <v>998.455</v>
      </c>
      <c r="O12" s="36" t="n">
        <v>241.818</v>
      </c>
      <c r="P12" s="15" t="n">
        <v>0.242192186928805</v>
      </c>
      <c r="Q12" s="36" t="n">
        <v>292.824</v>
      </c>
      <c r="R12" s="36" t="n">
        <v>0</v>
      </c>
      <c r="S12" s="36" t="n">
        <v>-292.824</v>
      </c>
      <c r="T12" s="36" t="n">
        <v>1954.525</v>
      </c>
      <c r="U12" s="36" t="n">
        <v>1609.583</v>
      </c>
      <c r="V12" s="14" t="inlineStr">
        <is>
          <t>CALM_Standard.xlsx</t>
        </is>
      </c>
    </row>
    <row r="13">
      <c r="A13" s="14" t="inlineStr">
        <is>
          <t>FY24</t>
        </is>
      </c>
      <c r="B13" s="14" t="inlineStr">
        <is>
          <t>2024-06-01</t>
        </is>
      </c>
      <c r="C13" s="36" t="n">
        <v>2326.443</v>
      </c>
      <c r="D13" s="15" t="n">
        <v>-0.2605586327961484</v>
      </c>
      <c r="E13" s="36" t="n">
        <v>314.094</v>
      </c>
      <c r="F13" s="15" t="n">
        <v>0.1350103999969051</v>
      </c>
      <c r="G13" s="36" t="n">
        <v>394.335</v>
      </c>
      <c r="H13" s="15" t="n">
        <v>0.1695012514813387</v>
      </c>
      <c r="I13" s="36" t="n">
        <v>78.068</v>
      </c>
      <c r="J13" s="15" t="n">
        <v>0.0335568075383751</v>
      </c>
      <c r="K13" s="36" t="n">
        <v>147.116</v>
      </c>
      <c r="L13" s="15" t="n">
        <v>0.06323645152707373</v>
      </c>
      <c r="M13" s="36" t="n">
        <v>451.398</v>
      </c>
      <c r="N13" s="36" t="n">
        <v>384.954</v>
      </c>
      <c r="O13" s="36" t="n">
        <v>83.68899999999999</v>
      </c>
      <c r="P13" s="15" t="n">
        <v>0.2174000010390852</v>
      </c>
      <c r="Q13" s="36" t="n">
        <v>237.878</v>
      </c>
      <c r="R13" s="36" t="n">
        <v>0</v>
      </c>
      <c r="S13" s="36" t="n">
        <v>-237.878</v>
      </c>
      <c r="T13" s="36" t="n">
        <v>2184.761</v>
      </c>
      <c r="U13" s="36" t="n">
        <v>1797.043</v>
      </c>
      <c r="V13" s="14" t="inlineStr">
        <is>
          <t>CALM_Standard.xlsx</t>
        </is>
      </c>
    </row>
    <row r="14">
      <c r="A14" s="14" t="inlineStr">
        <is>
          <t>FY25</t>
        </is>
      </c>
      <c r="B14" s="14" t="inlineStr">
        <is>
          <t>2025-05-31</t>
        </is>
      </c>
      <c r="C14" s="36" t="n">
        <v>4261.885</v>
      </c>
      <c r="D14" s="15" t="n">
        <v>0.8319318375734974</v>
      </c>
      <c r="E14" s="36" t="n">
        <v>1551.436</v>
      </c>
      <c r="F14" s="15" t="n">
        <v>0.36402577732623</v>
      </c>
      <c r="G14" s="36" t="n">
        <v>1645.457</v>
      </c>
      <c r="H14" s="15" t="n">
        <v>0.3860866729158577</v>
      </c>
      <c r="I14" s="36" t="n">
        <v>91.863</v>
      </c>
      <c r="J14" s="15" t="n">
        <v>0.02155454687303857</v>
      </c>
      <c r="K14" s="36" t="n">
        <v>161.255</v>
      </c>
      <c r="L14" s="15" t="n">
        <v>0.03783654415827738</v>
      </c>
      <c r="M14" s="36" t="n">
        <v>1224.734</v>
      </c>
      <c r="N14" s="36" t="n">
        <v>1617.807</v>
      </c>
      <c r="O14" s="36" t="n">
        <v>384.91</v>
      </c>
      <c r="P14" s="15" t="n">
        <v>0.2379208397540621</v>
      </c>
      <c r="Q14" s="36" t="n">
        <v>499.392</v>
      </c>
      <c r="R14" s="36" t="n">
        <v>0</v>
      </c>
      <c r="S14" s="36" t="n">
        <v>-499.392</v>
      </c>
      <c r="T14" s="36" t="n">
        <v>3084.619</v>
      </c>
      <c r="U14" s="36" t="n">
        <v>2566.015</v>
      </c>
      <c r="V14" s="14" t="inlineStr">
        <is>
          <t>CALM_Standard.xlsx</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0" customWidth="1" min="2" max="2"/>
    <col width="23" customWidth="1" min="3" max="3"/>
    <col width="21" customWidth="1" min="4" max="4"/>
    <col width="21" customWidth="1" min="5" max="5"/>
    <col width="21" customWidth="1" min="6" max="6"/>
    <col width="22" customWidth="1" min="7" max="7"/>
    <col width="20" customWidth="1" min="8" max="8"/>
    <col width="20" customWidth="1" min="9" max="9"/>
    <col width="20" customWidth="1" min="10" max="10"/>
    <col width="10" customWidth="1" min="11" max="11"/>
    <col width="10" customWidth="1" min="12" max="12"/>
    <col width="8" customWidth="1" min="13" max="13"/>
    <col width="10" customWidth="1" min="14" max="14"/>
    <col width="9" customWidth="1" min="15" max="15"/>
    <col width="11" customWidth="1" min="16" max="16"/>
    <col width="9" customWidth="1" min="17" max="17"/>
    <col width="9" customWidth="1" min="18" max="18"/>
    <col width="11" customWidth="1" min="19" max="19"/>
    <col width="10" customWidth="1" min="20" max="20"/>
    <col width="20" customWidth="1" min="21" max="21"/>
    <col width="9" customWidth="1" min="22" max="22"/>
    <col width="21"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3"/>
    <row r="4">
      <c r="A4" s="12" t="inlineStr">
        <is>
          <t>Year</t>
        </is>
      </c>
      <c r="B4" s="12" t="inlineStr">
        <is>
          <t>Revenue</t>
        </is>
      </c>
      <c r="C4" s="12" t="inlineStr">
        <is>
          <t>Growth</t>
        </is>
      </c>
      <c r="D4" s="12" t="inlineStr">
        <is>
          <t>EBIT Margin</t>
        </is>
      </c>
      <c r="E4" s="12" t="inlineStr">
        <is>
          <t>Tax Rate</t>
        </is>
      </c>
      <c r="F4" s="12" t="inlineStr">
        <is>
          <t>Capex %</t>
        </is>
      </c>
      <c r="G4" s="12" t="inlineStr">
        <is>
          <t>D&amp;A %</t>
        </is>
      </c>
      <c r="H4" s="12" t="inlineStr">
        <is>
          <t>DSO</t>
        </is>
      </c>
      <c r="I4" s="12" t="inlineStr">
        <is>
          <t>DIO</t>
        </is>
      </c>
      <c r="J4" s="12" t="inlineStr">
        <is>
          <t>DPO</t>
        </is>
      </c>
      <c r="K4" s="12" t="inlineStr">
        <is>
          <t>EBIT</t>
        </is>
      </c>
      <c r="L4" s="12" t="inlineStr">
        <is>
          <t>NOPAT</t>
        </is>
      </c>
      <c r="M4" s="12" t="inlineStr">
        <is>
          <t>D&amp;A</t>
        </is>
      </c>
      <c r="N4" s="12" t="inlineStr">
        <is>
          <t>Capex</t>
        </is>
      </c>
      <c r="O4" s="12" t="inlineStr">
        <is>
          <t>AR</t>
        </is>
      </c>
      <c r="P4" s="12" t="inlineStr">
        <is>
          <t>Inventory</t>
        </is>
      </c>
      <c r="Q4" s="12" t="inlineStr">
        <is>
          <t>AP</t>
        </is>
      </c>
      <c r="R4" s="12" t="inlineStr">
        <is>
          <t>NWC</t>
        </is>
      </c>
      <c r="S4" s="12" t="inlineStr">
        <is>
          <t>Delta NWC</t>
        </is>
      </c>
      <c r="T4" s="12" t="inlineStr">
        <is>
          <t>FCFF</t>
        </is>
      </c>
      <c r="U4" s="12" t="inlineStr">
        <is>
          <t>Disc Factor</t>
        </is>
      </c>
      <c r="V4" s="12" t="inlineStr">
        <is>
          <t>PV FCFF</t>
        </is>
      </c>
      <c r="W4" s="12" t="inlineStr">
        <is>
          <t>ROIC</t>
        </is>
      </c>
      <c r="X4" s="12" t="inlineStr">
        <is>
          <t>Econ Profit</t>
        </is>
      </c>
    </row>
    <row r="5">
      <c r="A5" s="14" t="n">
        <v>1</v>
      </c>
      <c r="B5" s="37" t="n">
        <v>4825.768</v>
      </c>
      <c r="C5" s="15" t="n">
        <v>0.145326581472905</v>
      </c>
      <c r="D5" s="15" t="n">
        <v>0.6</v>
      </c>
      <c r="E5" s="15" t="n">
        <v>0.2185988708007648</v>
      </c>
      <c r="F5" s="15" t="n">
        <v>0.25</v>
      </c>
      <c r="G5" s="15" t="n">
        <v>0.008371142871360388</v>
      </c>
      <c r="H5" s="37" t="n">
        <v>20.4</v>
      </c>
      <c r="I5" s="37" t="n">
        <v>29.5</v>
      </c>
      <c r="J5" s="37" t="n">
        <v>10.7</v>
      </c>
      <c r="K5" s="37" t="n">
        <v>2895.461</v>
      </c>
      <c r="L5" s="37" t="n">
        <v>2262.516</v>
      </c>
      <c r="M5" s="37" t="n">
        <v>40.397</v>
      </c>
      <c r="N5" s="37" t="n">
        <v>1206.442</v>
      </c>
      <c r="O5" s="37" t="n">
        <v>269.714</v>
      </c>
      <c r="P5" s="37" t="n">
        <v>253.869</v>
      </c>
      <c r="Q5" s="37" t="n">
        <v>92.081</v>
      </c>
      <c r="R5" s="37" t="n">
        <v>431.502</v>
      </c>
      <c r="S5" s="37" t="n">
        <v>54.752</v>
      </c>
      <c r="T5" s="37" t="n">
        <v>1041.72</v>
      </c>
      <c r="U5" s="37" t="n">
        <v>1.06644</v>
      </c>
      <c r="V5" s="37" t="n">
        <v>976.8200000000001</v>
      </c>
      <c r="W5" s="15" t="n">
        <v>0.9937020452984011</v>
      </c>
      <c r="X5" s="37" t="n">
        <v>2111.242</v>
      </c>
    </row>
    <row r="6">
      <c r="A6" s="14" t="n">
        <v>2</v>
      </c>
      <c r="B6" s="37" t="n">
        <v>5527.081</v>
      </c>
      <c r="C6" s="15" t="n">
        <v>0.145326581472905</v>
      </c>
      <c r="D6" s="15" t="n">
        <v>0.5757777777777777</v>
      </c>
      <c r="E6" s="15" t="n">
        <v>0.2185988708007648</v>
      </c>
      <c r="F6" s="15" t="n">
        <v>0.2486111111111111</v>
      </c>
      <c r="G6" s="15" t="n">
        <v>0.008324636522075053</v>
      </c>
      <c r="H6" s="37" t="n">
        <v>21.92444444444444</v>
      </c>
      <c r="I6" s="37" t="n">
        <v>31.71666666666667</v>
      </c>
      <c r="J6" s="37" t="n">
        <v>13.75666666666667</v>
      </c>
      <c r="K6" s="37" t="n">
        <v>3182.37</v>
      </c>
      <c r="L6" s="37" t="n">
        <v>2486.708</v>
      </c>
      <c r="M6" s="37" t="n">
        <v>46.011</v>
      </c>
      <c r="N6" s="37" t="n">
        <v>1374.094</v>
      </c>
      <c r="O6" s="37" t="n">
        <v>331.995</v>
      </c>
      <c r="P6" s="37" t="n">
        <v>312.611</v>
      </c>
      <c r="Q6" s="37" t="n">
        <v>135.591</v>
      </c>
      <c r="R6" s="37" t="n">
        <v>509.015</v>
      </c>
      <c r="S6" s="37" t="n">
        <v>77.514</v>
      </c>
      <c r="T6" s="37" t="n">
        <v>1081.111</v>
      </c>
      <c r="U6" s="37" t="n">
        <v>1.1372942736</v>
      </c>
      <c r="V6" s="37" t="n">
        <v>950.6</v>
      </c>
      <c r="W6" s="15" t="n">
        <v>0.7109647285123654</v>
      </c>
      <c r="X6" s="37" t="n">
        <v>2254.324</v>
      </c>
    </row>
    <row r="7">
      <c r="A7" s="14" t="n">
        <v>3</v>
      </c>
      <c r="B7" s="37" t="n">
        <v>6330.312</v>
      </c>
      <c r="C7" s="15" t="n">
        <v>0.145326581472905</v>
      </c>
      <c r="D7" s="15" t="n">
        <v>0.5515555555555556</v>
      </c>
      <c r="E7" s="15" t="n">
        <v>0.2185988708007648</v>
      </c>
      <c r="F7" s="15" t="n">
        <v>0.2472222222222222</v>
      </c>
      <c r="G7" s="15" t="n">
        <v>0.008278130172789716</v>
      </c>
      <c r="H7" s="37" t="n">
        <v>23.44888888888889</v>
      </c>
      <c r="I7" s="37" t="n">
        <v>33.93333333333333</v>
      </c>
      <c r="J7" s="37" t="n">
        <v>16.81333333333333</v>
      </c>
      <c r="K7" s="37" t="n">
        <v>3491.519</v>
      </c>
      <c r="L7" s="37" t="n">
        <v>2728.277</v>
      </c>
      <c r="M7" s="37" t="n">
        <v>52.403</v>
      </c>
      <c r="N7" s="37" t="n">
        <v>1564.994</v>
      </c>
      <c r="O7" s="37" t="n">
        <v>406.682</v>
      </c>
      <c r="P7" s="37" t="n">
        <v>383.066</v>
      </c>
      <c r="Q7" s="37" t="n">
        <v>189.802</v>
      </c>
      <c r="R7" s="37" t="n">
        <v>599.9450000000001</v>
      </c>
      <c r="S7" s="37" t="n">
        <v>90.93000000000001</v>
      </c>
      <c r="T7" s="37" t="n">
        <v>1124.756</v>
      </c>
      <c r="U7" s="37" t="n">
        <v>1.212856105137984</v>
      </c>
      <c r="V7" s="37" t="n">
        <v>927.362</v>
      </c>
      <c r="W7" s="15" t="n">
        <v>0.5564222628497817</v>
      </c>
      <c r="X7" s="37" t="n">
        <v>2402.505</v>
      </c>
    </row>
    <row r="8">
      <c r="A8" s="14" t="n">
        <v>4</v>
      </c>
      <c r="B8" s="37" t="n">
        <v>7071.944</v>
      </c>
      <c r="C8" s="15" t="n">
        <v>0.11715564126249</v>
      </c>
      <c r="D8" s="15" t="n">
        <v>0.5273333333333333</v>
      </c>
      <c r="E8" s="15" t="n">
        <v>0.2185988708007648</v>
      </c>
      <c r="F8" s="15" t="n">
        <v>0.2458333333333333</v>
      </c>
      <c r="G8" s="15" t="n">
        <v>0.008231623823504381</v>
      </c>
      <c r="H8" s="37" t="n">
        <v>24.97333333333333</v>
      </c>
      <c r="I8" s="37" t="n">
        <v>36.15</v>
      </c>
      <c r="J8" s="37" t="n">
        <v>19.87</v>
      </c>
      <c r="K8" s="37" t="n">
        <v>3729.272</v>
      </c>
      <c r="L8" s="37" t="n">
        <v>2914.057</v>
      </c>
      <c r="M8" s="37" t="n">
        <v>58.214</v>
      </c>
      <c r="N8" s="37" t="n">
        <v>1738.52</v>
      </c>
      <c r="O8" s="37" t="n">
        <v>483.863</v>
      </c>
      <c r="P8" s="37" t="n">
        <v>455.899</v>
      </c>
      <c r="Q8" s="37" t="n">
        <v>250.587</v>
      </c>
      <c r="R8" s="37" t="n">
        <v>689.175</v>
      </c>
      <c r="S8" s="37" t="n">
        <v>89.23</v>
      </c>
      <c r="T8" s="37" t="n">
        <v>1144.521</v>
      </c>
      <c r="U8" s="37" t="n">
        <v>1.293438264763352</v>
      </c>
      <c r="V8" s="37" t="n">
        <v>884.867</v>
      </c>
      <c r="W8" s="15" t="n">
        <v>0.4478500845002239</v>
      </c>
      <c r="X8" s="37" t="n">
        <v>2481.748</v>
      </c>
    </row>
    <row r="9">
      <c r="A9" s="14" t="n">
        <v>5</v>
      </c>
      <c r="B9" s="37" t="n">
        <v>7701.239</v>
      </c>
      <c r="C9" s="15" t="n">
        <v>0.08898470105207501</v>
      </c>
      <c r="D9" s="15" t="n">
        <v>0.5031111111111111</v>
      </c>
      <c r="E9" s="15" t="n">
        <v>0.2185988708007648</v>
      </c>
      <c r="F9" s="15" t="n">
        <v>0.2444444444444444</v>
      </c>
      <c r="G9" s="15" t="n">
        <v>0.008185117474219046</v>
      </c>
      <c r="H9" s="37" t="n">
        <v>26.49777777777778</v>
      </c>
      <c r="I9" s="37" t="n">
        <v>38.36666666666666</v>
      </c>
      <c r="J9" s="37" t="n">
        <v>22.92666666666667</v>
      </c>
      <c r="K9" s="37" t="n">
        <v>3874.579</v>
      </c>
      <c r="L9" s="37" t="n">
        <v>3027.6</v>
      </c>
      <c r="M9" s="37" t="n">
        <v>63.036</v>
      </c>
      <c r="N9" s="37" t="n">
        <v>1882.525</v>
      </c>
      <c r="O9" s="37" t="n">
        <v>559.0839999999999</v>
      </c>
      <c r="P9" s="37" t="n">
        <v>526.91</v>
      </c>
      <c r="Q9" s="37" t="n">
        <v>314.864</v>
      </c>
      <c r="R9" s="37" t="n">
        <v>771.13</v>
      </c>
      <c r="S9" s="37" t="n">
        <v>81.955</v>
      </c>
      <c r="T9" s="37" t="n">
        <v>1126.156</v>
      </c>
      <c r="U9" s="37" t="n">
        <v>1.379374303074229</v>
      </c>
      <c r="V9" s="37" t="n">
        <v>816.425</v>
      </c>
      <c r="W9" s="15" t="n">
        <v>0.3658154446321354</v>
      </c>
      <c r="X9" s="37" t="n">
        <v>2477.723</v>
      </c>
    </row>
    <row r="10">
      <c r="A10" s="14" t="n">
        <v>6</v>
      </c>
      <c r="B10" s="37" t="n">
        <v>8169.58</v>
      </c>
      <c r="C10" s="15" t="n">
        <v>0.06081376084166</v>
      </c>
      <c r="D10" s="15" t="n">
        <v>0.4788888888888889</v>
      </c>
      <c r="E10" s="15" t="n">
        <v>0.2185988708007648</v>
      </c>
      <c r="F10" s="15" t="n">
        <v>0.2430555555555556</v>
      </c>
      <c r="G10" s="15" t="n">
        <v>0.00813861112493371</v>
      </c>
      <c r="H10" s="37" t="n">
        <v>28.02222222222222</v>
      </c>
      <c r="I10" s="37" t="n">
        <v>40.58333333333333</v>
      </c>
      <c r="J10" s="37" t="n">
        <v>25.98333333333333</v>
      </c>
      <c r="K10" s="37" t="n">
        <v>3912.321</v>
      </c>
      <c r="L10" s="37" t="n">
        <v>3057.092</v>
      </c>
      <c r="M10" s="37" t="n">
        <v>66.489</v>
      </c>
      <c r="N10" s="37" t="n">
        <v>1985.662</v>
      </c>
      <c r="O10" s="37" t="n">
        <v>627.205</v>
      </c>
      <c r="P10" s="37" t="n">
        <v>591.247</v>
      </c>
      <c r="Q10" s="37" t="n">
        <v>378.544</v>
      </c>
      <c r="R10" s="37" t="n">
        <v>839.908</v>
      </c>
      <c r="S10" s="37" t="n">
        <v>68.77800000000001</v>
      </c>
      <c r="T10" s="37" t="n">
        <v>1069.141</v>
      </c>
      <c r="U10" s="37" t="n">
        <v>1.471019931770481</v>
      </c>
      <c r="V10" s="37" t="n">
        <v>726.803</v>
      </c>
      <c r="W10" s="15" t="n">
        <v>0.3003701583489189</v>
      </c>
      <c r="X10" s="37" t="n">
        <v>2380.883</v>
      </c>
    </row>
    <row r="11">
      <c r="A11" s="14" t="n">
        <v>7</v>
      </c>
      <c r="B11" s="37" t="n">
        <v>8436.259</v>
      </c>
      <c r="C11" s="15" t="n">
        <v>0.032642820631245</v>
      </c>
      <c r="D11" s="15" t="n">
        <v>0.4546666666666667</v>
      </c>
      <c r="E11" s="15" t="n">
        <v>0.2185988708007648</v>
      </c>
      <c r="F11" s="15" t="n">
        <v>0.2416666666666667</v>
      </c>
      <c r="G11" s="15" t="n">
        <v>0.008092104775648375</v>
      </c>
      <c r="H11" s="37" t="n">
        <v>29.54666666666666</v>
      </c>
      <c r="I11" s="37" t="n">
        <v>42.8</v>
      </c>
      <c r="J11" s="37" t="n">
        <v>29.04</v>
      </c>
      <c r="K11" s="37" t="n">
        <v>3835.686</v>
      </c>
      <c r="L11" s="37" t="n">
        <v>2997.209</v>
      </c>
      <c r="M11" s="37" t="n">
        <v>68.267</v>
      </c>
      <c r="N11" s="37" t="n">
        <v>2038.762</v>
      </c>
      <c r="O11" s="37" t="n">
        <v>682.913</v>
      </c>
      <c r="P11" s="37" t="n">
        <v>643.895</v>
      </c>
      <c r="Q11" s="37" t="n">
        <v>436.886</v>
      </c>
      <c r="R11" s="37" t="n">
        <v>889.922</v>
      </c>
      <c r="S11" s="37" t="n">
        <v>50.014</v>
      </c>
      <c r="T11" s="37" t="n">
        <v>976.699</v>
      </c>
      <c r="U11" s="37" t="n">
        <v>1.568754496037312</v>
      </c>
      <c r="V11" s="37" t="n">
        <v>622.595</v>
      </c>
      <c r="W11" s="15" t="n">
        <v>0.2463655047324143</v>
      </c>
      <c r="X11" s="37" t="n">
        <v>2188.92</v>
      </c>
    </row>
    <row r="12">
      <c r="A12" s="14" t="n">
        <v>8</v>
      </c>
      <c r="B12" s="37" t="n">
        <v>8473.984</v>
      </c>
      <c r="C12" s="15" t="n">
        <v>0.004471880420829993</v>
      </c>
      <c r="D12" s="15" t="n">
        <v>0.4304444444444444</v>
      </c>
      <c r="E12" s="15" t="n">
        <v>0.2185988708007648</v>
      </c>
      <c r="F12" s="15" t="n">
        <v>0.2402777777777778</v>
      </c>
      <c r="G12" s="15" t="n">
        <v>0.00804559842636304</v>
      </c>
      <c r="H12" s="37" t="n">
        <v>31.07111111111111</v>
      </c>
      <c r="I12" s="37" t="n">
        <v>45.01666666666667</v>
      </c>
      <c r="J12" s="37" t="n">
        <v>32.09666666666666</v>
      </c>
      <c r="K12" s="37" t="n">
        <v>3647.58</v>
      </c>
      <c r="L12" s="37" t="n">
        <v>2850.223</v>
      </c>
      <c r="M12" s="37" t="n">
        <v>68.178</v>
      </c>
      <c r="N12" s="37" t="n">
        <v>2036.11</v>
      </c>
      <c r="O12" s="37" t="n">
        <v>721.359</v>
      </c>
      <c r="P12" s="37" t="n">
        <v>680.272</v>
      </c>
      <c r="Q12" s="37" t="n">
        <v>485.03</v>
      </c>
      <c r="R12" s="37" t="n">
        <v>916.6</v>
      </c>
      <c r="S12" s="37" t="n">
        <v>26.678</v>
      </c>
      <c r="T12" s="37" t="n">
        <v>855.6130000000001</v>
      </c>
      <c r="U12" s="37" t="n">
        <v>1.672982544754031</v>
      </c>
      <c r="V12" s="37" t="n">
        <v>511.43</v>
      </c>
      <c r="W12" s="15" t="n">
        <v>0.200915020176259</v>
      </c>
      <c r="X12" s="37" t="n">
        <v>1907.691</v>
      </c>
    </row>
    <row r="13">
      <c r="A13" s="14" t="n">
        <v>9</v>
      </c>
      <c r="B13" s="37" t="n">
        <v>8273.159</v>
      </c>
      <c r="C13" s="15" t="n">
        <v>-0.023699059789585</v>
      </c>
      <c r="D13" s="15" t="n">
        <v>0.4062222222222223</v>
      </c>
      <c r="E13" s="15" t="n">
        <v>0.2185988708007648</v>
      </c>
      <c r="F13" s="15" t="n">
        <v>0.2388888888888889</v>
      </c>
      <c r="G13" s="15" t="n">
        <v>0.007999092077077703</v>
      </c>
      <c r="H13" s="37" t="n">
        <v>32.59555555555555</v>
      </c>
      <c r="I13" s="37" t="n">
        <v>47.23333333333333</v>
      </c>
      <c r="J13" s="37" t="n">
        <v>35.15333333333334</v>
      </c>
      <c r="K13" s="37" t="n">
        <v>3360.741</v>
      </c>
      <c r="L13" s="37" t="n">
        <v>2626.087</v>
      </c>
      <c r="M13" s="37" t="n">
        <v>66.178</v>
      </c>
      <c r="N13" s="37" t="n">
        <v>1976.366</v>
      </c>
      <c r="O13" s="37" t="n">
        <v>738.817</v>
      </c>
      <c r="P13" s="37" t="n">
        <v>696.853</v>
      </c>
      <c r="Q13" s="37" t="n">
        <v>518.6319999999999</v>
      </c>
      <c r="R13" s="37" t="n">
        <v>917.038</v>
      </c>
      <c r="S13" s="37" t="n">
        <v>0.438</v>
      </c>
      <c r="T13" s="37" t="n">
        <v>715.461</v>
      </c>
      <c r="U13" s="37" t="n">
        <v>1.784135505027489</v>
      </c>
      <c r="V13" s="37" t="n">
        <v>401.013</v>
      </c>
      <c r="W13" s="15" t="n">
        <v>0.1622962725920112</v>
      </c>
      <c r="X13" s="37" t="n">
        <v>1551.033</v>
      </c>
    </row>
    <row r="14">
      <c r="A14" s="14" t="n">
        <v>10</v>
      </c>
      <c r="B14" s="37" t="n">
        <v>7844.03</v>
      </c>
      <c r="C14" s="15" t="n">
        <v>-0.05187000000000001</v>
      </c>
      <c r="D14" s="15" t="n">
        <v>0.382</v>
      </c>
      <c r="E14" s="15" t="n">
        <v>0.2185988708007648</v>
      </c>
      <c r="F14" s="15" t="n">
        <v>0.2375</v>
      </c>
      <c r="G14" s="15" t="n">
        <v>0.007952585727792368</v>
      </c>
      <c r="H14" s="37" t="n">
        <v>34.12</v>
      </c>
      <c r="I14" s="37" t="n">
        <v>49.45</v>
      </c>
      <c r="J14" s="37" t="n">
        <v>38.21</v>
      </c>
      <c r="K14" s="37" t="n">
        <v>2996.42</v>
      </c>
      <c r="L14" s="37" t="n">
        <v>2341.406</v>
      </c>
      <c r="M14" s="37" t="n">
        <v>62.38</v>
      </c>
      <c r="N14" s="37" t="n">
        <v>1862.957</v>
      </c>
      <c r="O14" s="37" t="n">
        <v>733.256</v>
      </c>
      <c r="P14" s="37" t="n">
        <v>691.715</v>
      </c>
      <c r="Q14" s="37" t="n">
        <v>534.4880000000001</v>
      </c>
      <c r="R14" s="37" t="n">
        <v>890.4829999999999</v>
      </c>
      <c r="S14" s="37" t="n">
        <v>-26.556</v>
      </c>
      <c r="T14" s="37" t="n">
        <v>567.385</v>
      </c>
      <c r="U14" s="37" t="n">
        <v>1.902673467981515</v>
      </c>
      <c r="V14" s="37" t="n">
        <v>298.204</v>
      </c>
      <c r="W14" s="15" t="n">
        <v>0.1294205881956776</v>
      </c>
      <c r="X14" s="37" t="n">
        <v>1139.41</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3"/>
    <row r="4">
      <c r="A4" s="12" t="inlineStr">
        <is>
          <t>Line</t>
        </is>
      </c>
      <c r="B4" s="12" t="inlineStr">
        <is>
          <t>Value</t>
        </is>
      </c>
      <c r="C4" s="12" t="inlineStr">
        <is>
          <t>Notes</t>
        </is>
      </c>
    </row>
    <row r="5">
      <c r="A5" s="14" t="inlineStr">
        <is>
          <t>Backend WACC (used in DCF)</t>
        </is>
      </c>
      <c r="B5" s="15">
        <f>'Assumptions'!$E$19</f>
        <v/>
      </c>
      <c r="C5" s="14" t="inlineStr">
        <is>
          <t>Default discount rate from backend</t>
        </is>
      </c>
    </row>
    <row r="6">
      <c r="A6" s="14" t="inlineStr">
        <is>
          <t>Cost of equity</t>
        </is>
      </c>
      <c r="B6" s="15">
        <f>'Assumptions'!$E$20</f>
        <v/>
      </c>
      <c r="C6" s="14" t="inlineStr">
        <is>
          <t>CAPM cost of equity</t>
        </is>
      </c>
    </row>
    <row r="7">
      <c r="A7" s="14" t="inlineStr">
        <is>
          <t>Risk-free rate</t>
        </is>
      </c>
      <c r="B7" s="15">
        <f>'Assumptions'!$E$22</f>
        <v/>
      </c>
      <c r="C7" s="14" t="inlineStr">
        <is>
          <t>Blank if unavailable</t>
        </is>
      </c>
    </row>
    <row r="8">
      <c r="A8" s="14" t="inlineStr">
        <is>
          <t>Equity risk premium</t>
        </is>
      </c>
      <c r="B8" s="15">
        <f>'Assumptions'!$E$23</f>
        <v/>
      </c>
      <c r="C8" s="14" t="inlineStr">
        <is>
          <t>Blank if unavailable</t>
        </is>
      </c>
    </row>
    <row r="9">
      <c r="A9" s="14" t="inlineStr">
        <is>
          <t>Relevered beta</t>
        </is>
      </c>
      <c r="B9" s="16">
        <f>'Assumptions'!$E$24</f>
        <v/>
      </c>
      <c r="C9" s="14" t="inlineStr">
        <is>
          <t>Peer/structure beta</t>
        </is>
      </c>
    </row>
    <row r="10">
      <c r="A10" s="14" t="inlineStr">
        <is>
          <t>Size premium</t>
        </is>
      </c>
      <c r="B10" s="15">
        <f>'Assumptions'!$E$25</f>
        <v/>
      </c>
      <c r="C10" s="14" t="inlineStr">
        <is>
          <t>Duff &amp; Phelps</t>
        </is>
      </c>
    </row>
    <row r="11">
      <c r="A11" s="14" t="inlineStr">
        <is>
          <t>Cost of debt</t>
        </is>
      </c>
      <c r="B11" s="15">
        <f>'Assumptions'!$E$21</f>
        <v/>
      </c>
      <c r="C11" s="14" t="inlineStr">
        <is>
          <t>Blank if unavailable</t>
        </is>
      </c>
    </row>
    <row r="12">
      <c r="A12" s="14" t="inlineStr">
        <is>
          <t>Equity weight</t>
        </is>
      </c>
      <c r="B12" s="15">
        <f>'Assumptions'!$E$26</f>
        <v/>
      </c>
      <c r="C12" s="14" t="inlineStr">
        <is>
          <t>Market-value weight</t>
        </is>
      </c>
    </row>
    <row r="13">
      <c r="A13" s="14" t="inlineStr">
        <is>
          <t>Debt weight</t>
        </is>
      </c>
      <c r="B13" s="15">
        <f>'Assumptions'!$E$27</f>
        <v/>
      </c>
      <c r="C13" s="14" t="inlineStr">
        <is>
          <t>Market-value weight</t>
        </is>
      </c>
    </row>
    <row r="14">
      <c r="A14" s="14" t="inlineStr">
        <is>
          <t>Rebuilt cost of equity (check)</t>
        </is>
      </c>
      <c r="B14" s="15">
        <f>IF(OR(ISBLANK('Assumptions'!$E$22),ISBLANK('Assumptions'!$E$23)),'Assumptions'!$E$20,'Assumptions'!$E$22+'Assumptions'!$E$24*'Assumptions'!$E$23+'Assumptions'!$E$25)</f>
        <v/>
      </c>
      <c r="C14" s="14"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3"/>
    <row r="4">
      <c r="A4" s="38" t="inlineStr">
        <is>
          <t>Operating model</t>
        </is>
      </c>
      <c r="B4" s="39" t="n"/>
      <c r="C4" s="39" t="n"/>
      <c r="D4" s="39" t="n"/>
      <c r="E4" s="39" t="n"/>
      <c r="F4" s="39" t="n"/>
      <c r="G4" s="39" t="n"/>
      <c r="H4" s="39" t="n"/>
      <c r="I4" s="39" t="n"/>
      <c r="J4" s="39" t="n"/>
      <c r="K4" s="39" t="n"/>
      <c r="L4" s="39" t="n"/>
    </row>
    <row r="5">
      <c r="A5" s="14" t="n"/>
      <c r="B5" s="14" t="n"/>
      <c r="C5" s="40" t="inlineStr">
        <is>
          <t>Y1</t>
        </is>
      </c>
      <c r="D5" s="40" t="inlineStr">
        <is>
          <t>Y2</t>
        </is>
      </c>
      <c r="E5" s="40" t="inlineStr">
        <is>
          <t>Y3</t>
        </is>
      </c>
      <c r="F5" s="40" t="inlineStr">
        <is>
          <t>Y4</t>
        </is>
      </c>
      <c r="G5" s="40" t="inlineStr">
        <is>
          <t>Y5</t>
        </is>
      </c>
      <c r="H5" s="40" t="inlineStr">
        <is>
          <t>Y6</t>
        </is>
      </c>
      <c r="I5" s="40" t="inlineStr">
        <is>
          <t>Y7</t>
        </is>
      </c>
      <c r="J5" s="40" t="inlineStr">
        <is>
          <t>Y8</t>
        </is>
      </c>
      <c r="K5" s="40" t="inlineStr">
        <is>
          <t>Y9</t>
        </is>
      </c>
      <c r="L5" s="40" t="inlineStr">
        <is>
          <t>Y10</t>
        </is>
      </c>
    </row>
    <row r="6">
      <c r="A6" s="14" t="inlineStr">
        <is>
          <t>Revenue</t>
        </is>
      </c>
      <c r="B6" s="14" t="n"/>
      <c r="C6" s="37">
        <f>'Input_Forecast'!$B$5</f>
        <v/>
      </c>
      <c r="D6" s="37">
        <f>'Input_Forecast'!$B$6</f>
        <v/>
      </c>
      <c r="E6" s="37">
        <f>'Input_Forecast'!$B$7</f>
        <v/>
      </c>
      <c r="F6" s="37">
        <f>'Input_Forecast'!$B$8</f>
        <v/>
      </c>
      <c r="G6" s="37">
        <f>'Input_Forecast'!$B$9</f>
        <v/>
      </c>
      <c r="H6" s="37">
        <f>'Input_Forecast'!$B$10</f>
        <v/>
      </c>
      <c r="I6" s="37">
        <f>'Input_Forecast'!$B$11</f>
        <v/>
      </c>
      <c r="J6" s="37">
        <f>'Input_Forecast'!$B$12</f>
        <v/>
      </c>
      <c r="K6" s="37">
        <f>'Input_Forecast'!$B$13</f>
        <v/>
      </c>
      <c r="L6" s="37">
        <f>'Input_Forecast'!$B$14</f>
        <v/>
      </c>
    </row>
    <row r="7">
      <c r="A7" s="14" t="inlineStr">
        <is>
          <t>Revenue growth</t>
        </is>
      </c>
      <c r="B7" s="14" t="n"/>
      <c r="C7" s="15">
        <f>'Input_Forecast'!$C$5</f>
        <v/>
      </c>
      <c r="D7" s="15">
        <f>'Input_Forecast'!$C$6</f>
        <v/>
      </c>
      <c r="E7" s="15">
        <f>'Input_Forecast'!$C$7</f>
        <v/>
      </c>
      <c r="F7" s="15">
        <f>'Input_Forecast'!$C$8</f>
        <v/>
      </c>
      <c r="G7" s="15">
        <f>'Input_Forecast'!$C$9</f>
        <v/>
      </c>
      <c r="H7" s="15">
        <f>'Input_Forecast'!$C$10</f>
        <v/>
      </c>
      <c r="I7" s="15">
        <f>'Input_Forecast'!$C$11</f>
        <v/>
      </c>
      <c r="J7" s="15">
        <f>'Input_Forecast'!$C$12</f>
        <v/>
      </c>
      <c r="K7" s="15">
        <f>'Input_Forecast'!$C$13</f>
        <v/>
      </c>
      <c r="L7" s="15">
        <f>'Input_Forecast'!$C$14</f>
        <v/>
      </c>
    </row>
    <row r="8">
      <c r="A8" s="14" t="inlineStr">
        <is>
          <t>EBIT margin</t>
        </is>
      </c>
      <c r="B8" s="14" t="n"/>
      <c r="C8" s="15">
        <f>'Input_Forecast'!$D$5</f>
        <v/>
      </c>
      <c r="D8" s="15">
        <f>'Input_Forecast'!$D$6</f>
        <v/>
      </c>
      <c r="E8" s="15">
        <f>'Input_Forecast'!$D$7</f>
        <v/>
      </c>
      <c r="F8" s="15">
        <f>'Input_Forecast'!$D$8</f>
        <v/>
      </c>
      <c r="G8" s="15">
        <f>'Input_Forecast'!$D$9</f>
        <v/>
      </c>
      <c r="H8" s="15">
        <f>'Input_Forecast'!$D$10</f>
        <v/>
      </c>
      <c r="I8" s="15">
        <f>'Input_Forecast'!$D$11</f>
        <v/>
      </c>
      <c r="J8" s="15">
        <f>'Input_Forecast'!$D$12</f>
        <v/>
      </c>
      <c r="K8" s="15">
        <f>'Input_Forecast'!$D$13</f>
        <v/>
      </c>
      <c r="L8" s="15">
        <f>'Input_Forecast'!$D$14</f>
        <v/>
      </c>
    </row>
    <row r="9">
      <c r="A9" s="14" t="inlineStr">
        <is>
          <t>EBIT</t>
        </is>
      </c>
      <c r="B9" s="14" t="n"/>
      <c r="C9" s="37">
        <f>C6*C8</f>
        <v/>
      </c>
      <c r="D9" s="37">
        <f>D6*D8</f>
        <v/>
      </c>
      <c r="E9" s="37">
        <f>E6*E8</f>
        <v/>
      </c>
      <c r="F9" s="37">
        <f>F6*F8</f>
        <v/>
      </c>
      <c r="G9" s="37">
        <f>G6*G8</f>
        <v/>
      </c>
      <c r="H9" s="37">
        <f>H6*H8</f>
        <v/>
      </c>
      <c r="I9" s="37">
        <f>I6*I8</f>
        <v/>
      </c>
      <c r="J9" s="37">
        <f>J6*J8</f>
        <v/>
      </c>
      <c r="K9" s="37">
        <f>K6*K8</f>
        <v/>
      </c>
      <c r="L9" s="37">
        <f>L6*L8</f>
        <v/>
      </c>
    </row>
    <row r="10">
      <c r="A10" s="14" t="inlineStr">
        <is>
          <t>Tax rate</t>
        </is>
      </c>
      <c r="B10" s="14" t="n"/>
      <c r="C10" s="15">
        <f>'Input_Forecast'!$E$5</f>
        <v/>
      </c>
      <c r="D10" s="15">
        <f>'Input_Forecast'!$E$6</f>
        <v/>
      </c>
      <c r="E10" s="15">
        <f>'Input_Forecast'!$E$7</f>
        <v/>
      </c>
      <c r="F10" s="15">
        <f>'Input_Forecast'!$E$8</f>
        <v/>
      </c>
      <c r="G10" s="15">
        <f>'Input_Forecast'!$E$9</f>
        <v/>
      </c>
      <c r="H10" s="15">
        <f>'Input_Forecast'!$E$10</f>
        <v/>
      </c>
      <c r="I10" s="15">
        <f>'Input_Forecast'!$E$11</f>
        <v/>
      </c>
      <c r="J10" s="15">
        <f>'Input_Forecast'!$E$12</f>
        <v/>
      </c>
      <c r="K10" s="15">
        <f>'Input_Forecast'!$E$13</f>
        <v/>
      </c>
      <c r="L10" s="15">
        <f>'Input_Forecast'!$E$14</f>
        <v/>
      </c>
    </row>
    <row r="11">
      <c r="A11" s="14" t="inlineStr">
        <is>
          <t>NOPAT</t>
        </is>
      </c>
      <c r="B11" s="14" t="n"/>
      <c r="C11" s="37">
        <f>C9*(1-C10)</f>
        <v/>
      </c>
      <c r="D11" s="37">
        <f>D9*(1-D10)</f>
        <v/>
      </c>
      <c r="E11" s="37">
        <f>E9*(1-E10)</f>
        <v/>
      </c>
      <c r="F11" s="37">
        <f>F9*(1-F10)</f>
        <v/>
      </c>
      <c r="G11" s="37">
        <f>G9*(1-G10)</f>
        <v/>
      </c>
      <c r="H11" s="37">
        <f>H9*(1-H10)</f>
        <v/>
      </c>
      <c r="I11" s="37">
        <f>I9*(1-I10)</f>
        <v/>
      </c>
      <c r="J11" s="37">
        <f>J9*(1-J10)</f>
        <v/>
      </c>
      <c r="K11" s="37">
        <f>K9*(1-K10)</f>
        <v/>
      </c>
      <c r="L11" s="37">
        <f>L9*(1-L10)</f>
        <v/>
      </c>
    </row>
    <row r="12">
      <c r="A12" s="14" t="inlineStr">
        <is>
          <t>D&amp;A</t>
        </is>
      </c>
      <c r="B12" s="14" t="n"/>
      <c r="C12" s="37">
        <f>'Input_Forecast'!$M$5</f>
        <v/>
      </c>
      <c r="D12" s="37">
        <f>'Input_Forecast'!$M$6</f>
        <v/>
      </c>
      <c r="E12" s="37">
        <f>'Input_Forecast'!$M$7</f>
        <v/>
      </c>
      <c r="F12" s="37">
        <f>'Input_Forecast'!$M$8</f>
        <v/>
      </c>
      <c r="G12" s="37">
        <f>'Input_Forecast'!$M$9</f>
        <v/>
      </c>
      <c r="H12" s="37">
        <f>'Input_Forecast'!$M$10</f>
        <v/>
      </c>
      <c r="I12" s="37">
        <f>'Input_Forecast'!$M$11</f>
        <v/>
      </c>
      <c r="J12" s="37">
        <f>'Input_Forecast'!$M$12</f>
        <v/>
      </c>
      <c r="K12" s="37">
        <f>'Input_Forecast'!$M$13</f>
        <v/>
      </c>
      <c r="L12" s="37">
        <f>'Input_Forecast'!$M$14</f>
        <v/>
      </c>
    </row>
    <row r="13">
      <c r="A13" s="14" t="inlineStr">
        <is>
          <t>Capex</t>
        </is>
      </c>
      <c r="B13" s="14" t="n"/>
      <c r="C13" s="37">
        <f>'Input_Forecast'!$N$5</f>
        <v/>
      </c>
      <c r="D13" s="37">
        <f>'Input_Forecast'!$N$6</f>
        <v/>
      </c>
      <c r="E13" s="37">
        <f>'Input_Forecast'!$N$7</f>
        <v/>
      </c>
      <c r="F13" s="37">
        <f>'Input_Forecast'!$N$8</f>
        <v/>
      </c>
      <c r="G13" s="37">
        <f>'Input_Forecast'!$N$9</f>
        <v/>
      </c>
      <c r="H13" s="37">
        <f>'Input_Forecast'!$N$10</f>
        <v/>
      </c>
      <c r="I13" s="37">
        <f>'Input_Forecast'!$N$11</f>
        <v/>
      </c>
      <c r="J13" s="37">
        <f>'Input_Forecast'!$N$12</f>
        <v/>
      </c>
      <c r="K13" s="37">
        <f>'Input_Forecast'!$N$13</f>
        <v/>
      </c>
      <c r="L13" s="37">
        <f>'Input_Forecast'!$N$14</f>
        <v/>
      </c>
    </row>
    <row r="14">
      <c r="A14" s="14" t="inlineStr">
        <is>
          <t>Net working capital</t>
        </is>
      </c>
      <c r="B14" s="14" t="n"/>
      <c r="C14" s="37">
        <f>'Input_Forecast'!$R$5</f>
        <v/>
      </c>
      <c r="D14" s="37">
        <f>'Input_Forecast'!$R$6</f>
        <v/>
      </c>
      <c r="E14" s="37">
        <f>'Input_Forecast'!$R$7</f>
        <v/>
      </c>
      <c r="F14" s="37">
        <f>'Input_Forecast'!$R$8</f>
        <v/>
      </c>
      <c r="G14" s="37">
        <f>'Input_Forecast'!$R$9</f>
        <v/>
      </c>
      <c r="H14" s="37">
        <f>'Input_Forecast'!$R$10</f>
        <v/>
      </c>
      <c r="I14" s="37">
        <f>'Input_Forecast'!$R$11</f>
        <v/>
      </c>
      <c r="J14" s="37">
        <f>'Input_Forecast'!$R$12</f>
        <v/>
      </c>
      <c r="K14" s="37">
        <f>'Input_Forecast'!$R$13</f>
        <v/>
      </c>
      <c r="L14" s="37">
        <f>'Input_Forecast'!$R$14</f>
        <v/>
      </c>
    </row>
    <row r="15">
      <c r="A15" s="14" t="inlineStr">
        <is>
          <t>Delta NWC</t>
        </is>
      </c>
      <c r="B15" s="14" t="n"/>
      <c r="C15" s="37">
        <f>'Input_Forecast'!$S$5</f>
        <v/>
      </c>
      <c r="D15" s="37">
        <f>D14-C14</f>
        <v/>
      </c>
      <c r="E15" s="37">
        <f>E14-D14</f>
        <v/>
      </c>
      <c r="F15" s="37">
        <f>F14-E14</f>
        <v/>
      </c>
      <c r="G15" s="37">
        <f>G14-F14</f>
        <v/>
      </c>
      <c r="H15" s="37">
        <f>H14-G14</f>
        <v/>
      </c>
      <c r="I15" s="37">
        <f>I14-H14</f>
        <v/>
      </c>
      <c r="J15" s="37">
        <f>J14-I14</f>
        <v/>
      </c>
      <c r="K15" s="37">
        <f>K14-J14</f>
        <v/>
      </c>
      <c r="L15" s="37">
        <f>L14-K14</f>
        <v/>
      </c>
    </row>
    <row r="16">
      <c r="A16" s="13" t="inlineStr">
        <is>
          <t>FCFF (NOPAT+D&amp;A-Capex-dNWC)</t>
        </is>
      </c>
      <c r="B16" s="14" t="n"/>
      <c r="C16" s="37">
        <f>C11+C12-C13-C15</f>
        <v/>
      </c>
      <c r="D16" s="37">
        <f>D11+D12-D13-D15</f>
        <v/>
      </c>
      <c r="E16" s="37">
        <f>E11+E12-E13-E15</f>
        <v/>
      </c>
      <c r="F16" s="37">
        <f>F11+F12-F13-F15</f>
        <v/>
      </c>
      <c r="G16" s="37">
        <f>G11+G12-G13-G15</f>
        <v/>
      </c>
      <c r="H16" s="37">
        <f>H11+H12-H13-H15</f>
        <v/>
      </c>
      <c r="I16" s="37">
        <f>I11+I12-I13-I15</f>
        <v/>
      </c>
      <c r="J16" s="37">
        <f>J11+J12-J13-J15</f>
        <v/>
      </c>
      <c r="K16" s="37">
        <f>K11+K12-K13-K15</f>
        <v/>
      </c>
      <c r="L16" s="37">
        <f>L11+L12-L13-L15</f>
        <v/>
      </c>
    </row>
    <row r="17">
      <c r="A17" s="14" t="inlineStr">
        <is>
          <t>FCFF — backend (foot check)</t>
        </is>
      </c>
      <c r="B17" s="14" t="n"/>
      <c r="C17" s="37">
        <f>'Input_Forecast'!$T$5</f>
        <v/>
      </c>
      <c r="D17" s="37">
        <f>'Input_Forecast'!$T$6</f>
        <v/>
      </c>
      <c r="E17" s="37">
        <f>'Input_Forecast'!$T$7</f>
        <v/>
      </c>
      <c r="F17" s="37">
        <f>'Input_Forecast'!$T$8</f>
        <v/>
      </c>
      <c r="G17" s="37">
        <f>'Input_Forecast'!$T$9</f>
        <v/>
      </c>
      <c r="H17" s="37">
        <f>'Input_Forecast'!$T$10</f>
        <v/>
      </c>
      <c r="I17" s="37">
        <f>'Input_Forecast'!$T$11</f>
        <v/>
      </c>
      <c r="J17" s="37">
        <f>'Input_Forecast'!$T$12</f>
        <v/>
      </c>
      <c r="K17" s="37">
        <f>'Input_Forecast'!$T$13</f>
        <v/>
      </c>
      <c r="L17" s="37">
        <f>'Input_Forecast'!$T$14</f>
        <v/>
      </c>
    </row>
    <row r="18">
      <c r="A18" s="14" t="inlineStr">
        <is>
          <t>Discount factor</t>
        </is>
      </c>
      <c r="B18" s="14" t="n"/>
      <c r="C18" s="16">
        <f>POWER(1+'Assumptions'!$E$19,1)</f>
        <v/>
      </c>
      <c r="D18" s="16">
        <f>POWER(1+'Assumptions'!$E$19,2)</f>
        <v/>
      </c>
      <c r="E18" s="16">
        <f>POWER(1+'Assumptions'!$E$19,3)</f>
        <v/>
      </c>
      <c r="F18" s="16">
        <f>POWER(1+'Assumptions'!$E$19,4)</f>
        <v/>
      </c>
      <c r="G18" s="16">
        <f>POWER(1+'Assumptions'!$E$19,5)</f>
        <v/>
      </c>
      <c r="H18" s="16">
        <f>POWER(1+'Assumptions'!$E$19,6)</f>
        <v/>
      </c>
      <c r="I18" s="16">
        <f>POWER(1+'Assumptions'!$E$19,7)</f>
        <v/>
      </c>
      <c r="J18" s="16">
        <f>POWER(1+'Assumptions'!$E$19,8)</f>
        <v/>
      </c>
      <c r="K18" s="16">
        <f>POWER(1+'Assumptions'!$E$19,9)</f>
        <v/>
      </c>
      <c r="L18" s="16">
        <f>POWER(1+'Assumptions'!$E$19,10)</f>
        <v/>
      </c>
    </row>
    <row r="19">
      <c r="A19" s="13" t="inlineStr">
        <is>
          <t>PV of FCFF</t>
        </is>
      </c>
      <c r="B19" s="14" t="n"/>
      <c r="C19" s="37">
        <f>C16/C18</f>
        <v/>
      </c>
      <c r="D19" s="37">
        <f>D16/D18</f>
        <v/>
      </c>
      <c r="E19" s="37">
        <f>E16/E18</f>
        <v/>
      </c>
      <c r="F19" s="37">
        <f>F16/F18</f>
        <v/>
      </c>
      <c r="G19" s="37">
        <f>G16/G18</f>
        <v/>
      </c>
      <c r="H19" s="37">
        <f>H16/H18</f>
        <v/>
      </c>
      <c r="I19" s="37">
        <f>I16/I18</f>
        <v/>
      </c>
      <c r="J19" s="37">
        <f>J16/J18</f>
        <v/>
      </c>
      <c r="K19" s="37">
        <f>K16/K18</f>
        <v/>
      </c>
      <c r="L19" s="37">
        <f>L16/L18</f>
        <v/>
      </c>
    </row>
    <row r="20">
      <c r="A20" s="14" t="inlineStr">
        <is>
          <t>EBITDA</t>
        </is>
      </c>
      <c r="B20" s="14" t="n"/>
      <c r="C20" s="37">
        <f>C9+C12</f>
        <v/>
      </c>
      <c r="D20" s="37">
        <f>D9+D12</f>
        <v/>
      </c>
      <c r="E20" s="37">
        <f>E9+E12</f>
        <v/>
      </c>
      <c r="F20" s="37">
        <f>F9+F12</f>
        <v/>
      </c>
      <c r="G20" s="37">
        <f>G9+G12</f>
        <v/>
      </c>
      <c r="H20" s="37">
        <f>H9+H12</f>
        <v/>
      </c>
      <c r="I20" s="37">
        <f>I9+I12</f>
        <v/>
      </c>
      <c r="J20" s="37">
        <f>J9+J12</f>
        <v/>
      </c>
      <c r="K20" s="37">
        <f>K9+K12</f>
        <v/>
      </c>
      <c r="L20" s="37">
        <f>L9+L12</f>
        <v/>
      </c>
    </row>
    <row r="21">
      <c r="A21" s="14" t="n"/>
      <c r="B21" s="14" t="n"/>
      <c r="C21" s="14" t="n"/>
      <c r="D21" s="14" t="n"/>
      <c r="E21" s="14" t="n"/>
      <c r="F21" s="14" t="n"/>
      <c r="G21" s="14" t="n"/>
      <c r="H21" s="14" t="n"/>
      <c r="I21" s="14" t="n"/>
      <c r="J21" s="14" t="n"/>
      <c r="K21" s="14" t="n"/>
      <c r="L21" s="14" t="n"/>
    </row>
    <row r="22">
      <c r="A22" s="38" t="inlineStr">
        <is>
          <t>Terminal value &amp; equity bridge</t>
        </is>
      </c>
      <c r="B22" s="39" t="n"/>
      <c r="C22" s="39" t="n"/>
      <c r="D22" s="39" t="n"/>
      <c r="E22" s="14" t="n"/>
      <c r="F22" s="14" t="n"/>
      <c r="G22" s="14" t="n"/>
      <c r="H22" s="14" t="n"/>
      <c r="I22" s="14" t="n"/>
      <c r="J22" s="14" t="n"/>
      <c r="K22" s="14" t="n"/>
      <c r="L22" s="14" t="n"/>
    </row>
    <row r="23">
      <c r="A23" s="14" t="inlineStr">
        <is>
          <t>Terminal revenue (Y+1)</t>
        </is>
      </c>
      <c r="B23" s="37">
        <f>L6*(1+'Assumptions'!$E$18)</f>
        <v/>
      </c>
      <c r="C23" s="14" t="n"/>
      <c r="D23" s="14" t="n"/>
      <c r="E23" s="14" t="n"/>
      <c r="F23" s="14" t="n"/>
      <c r="G23" s="14" t="n"/>
      <c r="H23" s="14" t="n"/>
      <c r="I23" s="14" t="n"/>
      <c r="J23" s="14" t="n"/>
      <c r="K23" s="14" t="n"/>
      <c r="L23" s="14" t="n"/>
    </row>
    <row r="24">
      <c r="A24" s="14" t="inlineStr">
        <is>
          <t>Terminal EBIT</t>
        </is>
      </c>
      <c r="B24" s="37">
        <f>B23*L8</f>
        <v/>
      </c>
      <c r="C24" s="14" t="n"/>
      <c r="D24" s="14" t="n"/>
      <c r="E24" s="14" t="n"/>
      <c r="F24" s="14" t="n"/>
      <c r="G24" s="14" t="n"/>
      <c r="H24" s="14" t="n"/>
      <c r="I24" s="14" t="n"/>
      <c r="J24" s="14" t="n"/>
      <c r="K24" s="14" t="n"/>
      <c r="L24" s="14" t="n"/>
    </row>
    <row r="25">
      <c r="A25" s="14" t="inlineStr">
        <is>
          <t>Terminal NOPAT</t>
        </is>
      </c>
      <c r="B25" s="37">
        <f>B24*(1-L10)</f>
        <v/>
      </c>
      <c r="C25" s="14" t="n"/>
      <c r="D25" s="14" t="n"/>
      <c r="E25" s="14" t="n"/>
      <c r="F25" s="14" t="n"/>
      <c r="G25" s="14" t="n"/>
      <c r="H25" s="14" t="n"/>
      <c r="I25" s="14" t="n"/>
      <c r="J25" s="14" t="n"/>
      <c r="K25" s="14" t="n"/>
      <c r="L25" s="14" t="n"/>
    </row>
    <row r="26">
      <c r="A26" s="14" t="inlineStr">
        <is>
          <t>Terminal reinvestment rate (g/RONIC)</t>
        </is>
      </c>
      <c r="B26" s="15">
        <f>'Assumptions'!$E$18/'Assumptions'!$E$30</f>
        <v/>
      </c>
      <c r="C26" s="14" t="n"/>
      <c r="D26" s="14" t="n"/>
      <c r="E26" s="14" t="n"/>
      <c r="F26" s="14" t="n"/>
      <c r="G26" s="14" t="n"/>
      <c r="H26" s="14" t="n"/>
      <c r="I26" s="14" t="n"/>
      <c r="J26" s="14" t="n"/>
      <c r="K26" s="14" t="n"/>
      <c r="L26" s="14" t="n"/>
    </row>
    <row r="27">
      <c r="A27" s="14" t="inlineStr">
        <is>
          <t>Terminal FCFF (value-driver)</t>
        </is>
      </c>
      <c r="B27" s="37">
        <f>B25*(1-B26)</f>
        <v/>
      </c>
      <c r="C27" s="14" t="n"/>
      <c r="D27" s="14" t="n"/>
      <c r="E27" s="14" t="n"/>
      <c r="F27" s="14" t="n"/>
      <c r="G27" s="14" t="n"/>
      <c r="H27" s="14" t="n"/>
      <c r="I27" s="14" t="n"/>
      <c r="J27" s="14" t="n"/>
      <c r="K27" s="14" t="n"/>
      <c r="L27" s="14" t="n"/>
    </row>
    <row r="28">
      <c r="A28" s="14" t="inlineStr">
        <is>
          <t>Gordon terminal value</t>
        </is>
      </c>
      <c r="B28" s="37">
        <f>IF('Assumptions'!$E$19&lt;='Assumptions'!$E$18,NA(),B27/('Assumptions'!$E$19-'Assumptions'!$E$18))</f>
        <v/>
      </c>
      <c r="C28" s="14" t="n"/>
      <c r="D28" s="14" t="n"/>
      <c r="E28" s="14" t="n"/>
      <c r="F28" s="14" t="n"/>
      <c r="G28" s="14" t="n"/>
      <c r="H28" s="14" t="n"/>
      <c r="I28" s="14" t="n"/>
      <c r="J28" s="14" t="n"/>
      <c r="K28" s="14" t="n"/>
      <c r="L28" s="14" t="n"/>
    </row>
    <row r="29">
      <c r="A29" s="14" t="inlineStr">
        <is>
          <t>Exit terminal value</t>
        </is>
      </c>
      <c r="B29" s="37">
        <f>IF('Assumptions'!$E$29="ev_ebit",L9,L20)*'Assumptions'!$E$28</f>
        <v/>
      </c>
      <c r="C29" s="14" t="n"/>
      <c r="D29" s="14" t="n"/>
      <c r="E29" s="14" t="n"/>
      <c r="F29" s="14" t="n"/>
      <c r="G29" s="14" t="n"/>
      <c r="H29" s="14" t="n"/>
      <c r="I29" s="14" t="n"/>
      <c r="J29" s="14" t="n"/>
      <c r="K29" s="14" t="n"/>
      <c r="L29" s="14" t="n"/>
    </row>
    <row r="30">
      <c r="A30" s="14" t="inlineStr">
        <is>
          <t>PV of Gordon TV</t>
        </is>
      </c>
      <c r="B30" s="37">
        <f>B28/POWER(1+'Assumptions'!$E$19,10)</f>
        <v/>
      </c>
      <c r="C30" s="14" t="n"/>
      <c r="D30" s="14" t="n"/>
      <c r="E30" s="14" t="n"/>
      <c r="F30" s="14" t="n"/>
      <c r="G30" s="14" t="n"/>
      <c r="H30" s="14" t="n"/>
      <c r="I30" s="14" t="n"/>
      <c r="J30" s="14" t="n"/>
      <c r="K30" s="14" t="n"/>
      <c r="L30" s="14" t="n"/>
    </row>
    <row r="31">
      <c r="A31" s="14" t="inlineStr">
        <is>
          <t>PV of exit TV</t>
        </is>
      </c>
      <c r="B31" s="37">
        <f>B29/POWER(1+'Assumptions'!$E$19,10)</f>
        <v/>
      </c>
      <c r="C31" s="14" t="n"/>
      <c r="D31" s="14" t="n"/>
      <c r="E31" s="14" t="n"/>
      <c r="F31" s="14" t="n"/>
      <c r="G31" s="14" t="n"/>
      <c r="H31" s="14" t="n"/>
      <c r="I31" s="14" t="n"/>
      <c r="J31" s="14" t="n"/>
      <c r="K31" s="14" t="n"/>
      <c r="L31" s="14" t="n"/>
    </row>
    <row r="32">
      <c r="A32" s="14" t="inlineStr">
        <is>
          <t>PV of blended TV</t>
        </is>
      </c>
      <c r="B32" s="37">
        <f>'Assumptions'!$E$31*B30+'Assumptions'!$E$32*B31</f>
        <v/>
      </c>
      <c r="C32" s="14" t="n"/>
      <c r="D32" s="14" t="n"/>
      <c r="E32" s="14" t="n"/>
      <c r="F32" s="14" t="n"/>
      <c r="G32" s="14" t="n"/>
      <c r="H32" s="14" t="n"/>
      <c r="I32" s="14" t="n"/>
      <c r="J32" s="14" t="n"/>
      <c r="K32" s="14" t="n"/>
      <c r="L32" s="14" t="n"/>
    </row>
    <row r="33">
      <c r="A33" s="14" t="inlineStr">
        <is>
          <t>PV of explicit FCFF</t>
        </is>
      </c>
      <c r="B33" s="37">
        <f>SUM(C19:L19)</f>
        <v/>
      </c>
      <c r="C33" s="14" t="n"/>
      <c r="D33" s="14" t="n"/>
      <c r="E33" s="14" t="n"/>
      <c r="F33" s="14" t="n"/>
      <c r="G33" s="14" t="n"/>
      <c r="H33" s="14" t="n"/>
      <c r="I33" s="14" t="n"/>
      <c r="J33" s="14" t="n"/>
      <c r="K33" s="14" t="n"/>
      <c r="L33" s="14" t="n"/>
    </row>
    <row r="34">
      <c r="A34" s="13" t="inlineStr">
        <is>
          <t>Enterprise value — operations</t>
        </is>
      </c>
      <c r="B34" s="27">
        <f>B33+B32</f>
        <v/>
      </c>
      <c r="C34" s="14" t="n"/>
      <c r="D34" s="14" t="n"/>
      <c r="E34" s="14" t="n"/>
      <c r="F34" s="14" t="n"/>
      <c r="G34" s="14" t="n"/>
      <c r="H34" s="14" t="n"/>
      <c r="I34" s="14" t="n"/>
      <c r="J34" s="14" t="n"/>
      <c r="K34" s="14" t="n"/>
      <c r="L34" s="14" t="n"/>
    </row>
    <row r="35">
      <c r="A35" s="14" t="inlineStr">
        <is>
          <t>Terminal value % of EV</t>
        </is>
      </c>
      <c r="B35" s="15">
        <f>B32/B34</f>
        <v/>
      </c>
      <c r="C35" s="14" t="n"/>
      <c r="D35" s="14" t="n"/>
      <c r="E35" s="14" t="n"/>
      <c r="F35" s="14" t="n"/>
      <c r="G35" s="14" t="n"/>
      <c r="H35" s="14" t="n"/>
      <c r="I35" s="14" t="n"/>
      <c r="J35" s="14" t="n"/>
      <c r="K35" s="14" t="n"/>
      <c r="L35" s="14" t="n"/>
    </row>
    <row r="36">
      <c r="A36" s="14" t="inlineStr">
        <is>
          <t>Non-operating assets</t>
        </is>
      </c>
      <c r="B36" s="37">
        <f>'Assumptions'!$E$9</f>
        <v/>
      </c>
      <c r="C36" s="14" t="n"/>
      <c r="D36" s="14" t="n"/>
      <c r="E36" s="14" t="n"/>
      <c r="F36" s="14" t="n"/>
      <c r="G36" s="14" t="n"/>
      <c r="H36" s="14" t="n"/>
      <c r="I36" s="14" t="n"/>
      <c r="J36" s="14" t="n"/>
      <c r="K36" s="14" t="n"/>
      <c r="L36" s="14" t="n"/>
    </row>
    <row r="37">
      <c r="A37" s="14" t="inlineStr">
        <is>
          <t>Non-equity claims</t>
        </is>
      </c>
      <c r="B37" s="37">
        <f>'Assumptions'!$E$8+'Assumptions'!$E$10+'Assumptions'!$E$11+'Assumptions'!$E$12+'Assumptions'!$E$13+'Assumptions'!$E$14+'Assumptions'!$E$15</f>
        <v/>
      </c>
      <c r="C37" s="14" t="n"/>
      <c r="D37" s="14" t="n"/>
      <c r="E37" s="14" t="n"/>
      <c r="F37" s="14" t="n"/>
      <c r="G37" s="14" t="n"/>
      <c r="H37" s="14" t="n"/>
      <c r="I37" s="14" t="n"/>
      <c r="J37" s="14" t="n"/>
      <c r="K37" s="14" t="n"/>
      <c r="L37" s="14" t="n"/>
    </row>
    <row r="38">
      <c r="A38" s="13" t="inlineStr">
        <is>
          <t>Equity value</t>
        </is>
      </c>
      <c r="B38" s="27">
        <f>B34+B36-B37</f>
        <v/>
      </c>
      <c r="C38" s="14" t="n"/>
      <c r="D38" s="14" t="n"/>
      <c r="E38" s="14" t="n"/>
      <c r="F38" s="14" t="n"/>
      <c r="G38" s="14" t="n"/>
      <c r="H38" s="14" t="n"/>
      <c r="I38" s="14" t="n"/>
      <c r="J38" s="14" t="n"/>
      <c r="K38" s="14" t="n"/>
      <c r="L38" s="14" t="n"/>
    </row>
    <row r="39">
      <c r="A39" s="14" t="inlineStr">
        <is>
          <t>Diluted terminal shares</t>
        </is>
      </c>
      <c r="B39" s="37">
        <f>'Assumptions'!$E$6*POWER(1+'Assumptions'!$E$7,10)</f>
        <v/>
      </c>
      <c r="C39" s="14" t="n"/>
      <c r="D39" s="14" t="n"/>
      <c r="E39" s="14" t="n"/>
      <c r="F39" s="14" t="n"/>
      <c r="G39" s="14" t="n"/>
      <c r="H39" s="14" t="n"/>
      <c r="I39" s="14" t="n"/>
      <c r="J39" s="14" t="n"/>
      <c r="K39" s="14" t="n"/>
      <c r="L39" s="14" t="n"/>
    </row>
    <row r="40">
      <c r="A40" s="13" t="inlineStr">
        <is>
          <t>Intrinsic value / share</t>
        </is>
      </c>
      <c r="B40" s="41">
        <f>B38/B39</f>
        <v/>
      </c>
      <c r="C40" s="14" t="n"/>
      <c r="D40" s="14" t="n"/>
      <c r="E40" s="14" t="n"/>
      <c r="F40" s="14" t="n"/>
      <c r="G40" s="14" t="n"/>
      <c r="H40" s="14" t="n"/>
      <c r="I40" s="14" t="n"/>
      <c r="J40" s="14" t="n"/>
      <c r="K40" s="14" t="n"/>
      <c r="L40" s="14" t="n"/>
    </row>
    <row r="41">
      <c r="A41" s="14" t="inlineStr">
        <is>
          <t>IV / share — Gordon only</t>
        </is>
      </c>
      <c r="B41" s="42">
        <f>(B33+B30+B36-B37)/B39</f>
        <v/>
      </c>
      <c r="C41" s="14" t="n"/>
      <c r="D41" s="14" t="n"/>
      <c r="E41" s="14" t="n"/>
      <c r="F41" s="14" t="n"/>
      <c r="G41" s="14" t="n"/>
      <c r="H41" s="14" t="n"/>
      <c r="I41" s="14" t="n"/>
      <c r="J41" s="14" t="n"/>
      <c r="K41" s="14" t="n"/>
      <c r="L41" s="14" t="n"/>
    </row>
    <row r="42">
      <c r="A42" s="14" t="inlineStr">
        <is>
          <t>IV / share — exit only</t>
        </is>
      </c>
      <c r="B42" s="42">
        <f>(B33+B31+B36-B37)/B39</f>
        <v/>
      </c>
      <c r="C42" s="14" t="n"/>
      <c r="D42" s="14" t="n"/>
      <c r="E42" s="14" t="n"/>
      <c r="F42" s="14" t="n"/>
      <c r="G42" s="14" t="n"/>
      <c r="H42" s="14" t="n"/>
      <c r="I42" s="14" t="n"/>
      <c r="J42" s="14" t="n"/>
      <c r="K42" s="14" t="n"/>
      <c r="L42" s="14" t="n"/>
    </row>
    <row r="43">
      <c r="A43" s="13" t="inlineStr">
        <is>
          <t>Upside / downside vs price</t>
        </is>
      </c>
      <c r="B43" s="32">
        <f>B40/'Assumptions'!$E$5-1</f>
        <v/>
      </c>
      <c r="C43" s="14" t="n"/>
      <c r="D43" s="14" t="n"/>
      <c r="E43" s="14" t="n"/>
      <c r="F43" s="14" t="n"/>
      <c r="G43" s="14" t="n"/>
      <c r="H43" s="14" t="n"/>
      <c r="I43" s="14" t="n"/>
      <c r="J43" s="14" t="n"/>
      <c r="K43" s="14" t="n"/>
      <c r="L43" s="14" t="n"/>
    </row>
    <row r="44">
      <c r="A44" s="14" t="n"/>
      <c r="B44" s="14" t="n"/>
      <c r="C44" s="14" t="n"/>
      <c r="D44" s="14" t="n"/>
      <c r="E44" s="14" t="n"/>
      <c r="F44" s="14" t="n"/>
      <c r="G44" s="14" t="n"/>
      <c r="H44" s="14" t="n"/>
      <c r="I44" s="14" t="n"/>
      <c r="J44" s="14" t="n"/>
      <c r="K44" s="14" t="n"/>
      <c r="L44" s="14" t="n"/>
    </row>
    <row r="45">
      <c r="A45" s="13" t="inlineStr">
        <is>
          <t>Reconciliation gap vs backend Base IV</t>
        </is>
      </c>
      <c r="B45" s="42">
        <f>B40-'Assumptions'!$E$36</f>
        <v/>
      </c>
      <c r="C45" s="14">
        <f>IF(ABS(B45)&lt;=0.1,"RECONCILED","CHECK")</f>
        <v/>
      </c>
      <c r="D45" s="14" t="n"/>
      <c r="E45" s="14" t="n"/>
      <c r="F45" s="14" t="n"/>
      <c r="G45" s="14" t="n"/>
      <c r="H45" s="14" t="n"/>
      <c r="I45" s="14" t="n"/>
      <c r="J45" s="14" t="n"/>
      <c r="K45" s="14" t="n"/>
      <c r="L45" s="14"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13" customWidth="1" min="3" max="3"/>
    <col width="22" customWidth="1" min="4" max="4"/>
    <col width="22" customWidth="1" min="5" max="5"/>
    <col width="11" customWidth="1" min="6" max="6"/>
    <col width="12" customWidth="1" min="7" max="7"/>
    <col width="20"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3"/>
    <row r="4">
      <c r="A4" s="3" t="inlineStr">
        <is>
          <t>Official scenarios (canonical)</t>
        </is>
      </c>
      <c r="B4" s="4" t="n"/>
      <c r="C4" s="4" t="n"/>
      <c r="D4" s="4" t="n"/>
      <c r="E4" s="4" t="n"/>
      <c r="F4" s="4" t="n"/>
      <c r="G4" s="4" t="n"/>
      <c r="H4" s="4" t="n"/>
      <c r="I4" s="4" t="n"/>
    </row>
    <row r="5">
      <c r="A5" s="12" t="inlineStr">
        <is>
          <t>Scenario</t>
        </is>
      </c>
      <c r="B5" s="12" t="inlineStr">
        <is>
          <t>Prob</t>
        </is>
      </c>
      <c r="C5" s="12" t="inlineStr">
        <is>
          <t>Growth mult</t>
        </is>
      </c>
      <c r="D5" s="12" t="inlineStr">
        <is>
          <t>Margin shift</t>
        </is>
      </c>
      <c r="E5" s="12" t="inlineStr">
        <is>
          <t>WACC shift</t>
        </is>
      </c>
      <c r="F5" s="12" t="inlineStr">
        <is>
          <t>Exit mult</t>
        </is>
      </c>
      <c r="G5" s="12" t="inlineStr">
        <is>
          <t>Backend IV</t>
        </is>
      </c>
      <c r="H5" s="12" t="inlineStr">
        <is>
          <t>Upside</t>
        </is>
      </c>
      <c r="I5" s="12" t="inlineStr">
        <is>
          <t>Prob-weighted IV</t>
        </is>
      </c>
    </row>
    <row r="6">
      <c r="A6" s="13" t="inlineStr">
        <is>
          <t>bear</t>
        </is>
      </c>
      <c r="B6" s="15" t="n">
        <v>0.2</v>
      </c>
      <c r="C6" s="16" t="n">
        <v>0.8</v>
      </c>
      <c r="D6" s="15" t="n">
        <v>-0.02</v>
      </c>
      <c r="E6" s="15" t="n">
        <v>0.01</v>
      </c>
      <c r="F6" s="16" t="n">
        <v>0.9</v>
      </c>
      <c r="G6" s="42" t="n">
        <v>398.26</v>
      </c>
      <c r="H6" s="15" t="n">
        <v>4.263999999999999</v>
      </c>
      <c r="I6" s="14" t="n"/>
    </row>
    <row r="7">
      <c r="A7" s="13" t="inlineStr">
        <is>
          <t>base</t>
        </is>
      </c>
      <c r="B7" s="15" t="n">
        <v>0.6</v>
      </c>
      <c r="C7" s="16" t="n">
        <v>1</v>
      </c>
      <c r="D7" s="15" t="n">
        <v>0</v>
      </c>
      <c r="E7" s="15" t="n">
        <v>0</v>
      </c>
      <c r="F7" s="16" t="n">
        <v>1</v>
      </c>
      <c r="G7" s="42" t="n">
        <v>592.52</v>
      </c>
      <c r="H7" s="15" t="n">
        <v>6.832000000000001</v>
      </c>
      <c r="I7" s="14" t="n"/>
    </row>
    <row r="8">
      <c r="A8" s="13" t="inlineStr">
        <is>
          <t>bull</t>
        </is>
      </c>
      <c r="B8" s="15" t="n">
        <v>0.2</v>
      </c>
      <c r="C8" s="16" t="n">
        <v>1.2</v>
      </c>
      <c r="D8" s="15" t="n">
        <v>0.02</v>
      </c>
      <c r="E8" s="15" t="n">
        <v>-0.01</v>
      </c>
      <c r="F8" s="16" t="n">
        <v>1.1</v>
      </c>
      <c r="G8" s="42" t="n">
        <v>964.99</v>
      </c>
      <c r="H8" s="15" t="n">
        <v>11.756</v>
      </c>
      <c r="I8" s="14" t="n"/>
    </row>
    <row r="9">
      <c r="A9" s="13" t="inlineStr">
        <is>
          <t>Expected (prob-weighted)</t>
        </is>
      </c>
      <c r="B9" s="14" t="n"/>
      <c r="C9" s="14" t="n"/>
      <c r="D9" s="14" t="n"/>
      <c r="E9" s="14" t="n"/>
      <c r="F9" s="14" t="n"/>
      <c r="G9" s="41" t="n">
        <v>628.16</v>
      </c>
      <c r="H9" s="15" t="n">
        <v>7.303999999999999</v>
      </c>
      <c r="I9" s="14" t="n"/>
    </row>
    <row r="10"/>
    <row r="11">
      <c r="A11" s="3" t="inlineStr">
        <is>
          <t>Context-advisory scenarios (cyclicality-aware, not canonical)</t>
        </is>
      </c>
      <c r="B11" s="4" t="n"/>
      <c r="C11" s="4" t="n"/>
      <c r="D11" s="4" t="n"/>
      <c r="E11" s="4" t="n"/>
      <c r="F11" s="4" t="n"/>
      <c r="G11" s="4" t="n"/>
      <c r="H11" s="4" t="n"/>
      <c r="I11" s="4" t="n"/>
    </row>
    <row r="12">
      <c r="A12" s="12" t="inlineStr">
        <is>
          <t>Scenario</t>
        </is>
      </c>
      <c r="B12" s="12" t="inlineStr">
        <is>
          <t>Prob</t>
        </is>
      </c>
      <c r="C12" s="12" t="inlineStr">
        <is>
          <t>Growth mult</t>
        </is>
      </c>
      <c r="D12" s="12" t="inlineStr">
        <is>
          <t>Margin shift</t>
        </is>
      </c>
      <c r="E12" s="12" t="inlineStr">
        <is>
          <t>WACC shift</t>
        </is>
      </c>
      <c r="F12" s="12" t="inlineStr">
        <is>
          <t>Exit mult</t>
        </is>
      </c>
      <c r="G12" s="14" t="n"/>
      <c r="H12" s="14" t="n"/>
      <c r="I12" s="14" t="n"/>
    </row>
    <row r="13">
      <c r="A13" s="13" t="inlineStr">
        <is>
          <t>bear</t>
        </is>
      </c>
      <c r="B13" s="15" t="n">
        <v>0.2</v>
      </c>
      <c r="C13" s="16" t="n">
        <v>0.92</v>
      </c>
      <c r="D13" s="15" t="n">
        <v>-0.0161</v>
      </c>
      <c r="E13" s="15" t="n">
        <v>0.007500000000000001</v>
      </c>
      <c r="F13" s="16" t="n">
        <v>0.915</v>
      </c>
      <c r="G13" s="14" t="n"/>
      <c r="H13" s="14" t="n"/>
      <c r="I13" s="14" t="n"/>
    </row>
    <row r="14">
      <c r="A14" s="13" t="inlineStr">
        <is>
          <t>base</t>
        </is>
      </c>
      <c r="B14" s="15" t="n">
        <v>0.6</v>
      </c>
      <c r="C14" s="16" t="n">
        <v>1</v>
      </c>
      <c r="D14" s="15" t="n">
        <v>0</v>
      </c>
      <c r="E14" s="15" t="n">
        <v>0</v>
      </c>
      <c r="F14" s="16" t="n">
        <v>1</v>
      </c>
      <c r="G14" s="14" t="n"/>
      <c r="H14" s="14" t="n"/>
      <c r="I14" s="14" t="n"/>
    </row>
    <row r="15">
      <c r="A15" s="13" t="inlineStr">
        <is>
          <t>bull</t>
        </is>
      </c>
      <c r="B15" s="15" t="n">
        <v>0.2</v>
      </c>
      <c r="C15" s="16" t="n">
        <v>1.26</v>
      </c>
      <c r="D15" s="15" t="n">
        <v>0.0179</v>
      </c>
      <c r="E15" s="15" t="n">
        <v>-0.008500000000000001</v>
      </c>
      <c r="F15" s="16" t="n">
        <v>1.175</v>
      </c>
      <c r="G15" s="14" t="n"/>
      <c r="H15" s="14" t="n"/>
      <c r="I15" s="14" t="n"/>
    </row>
    <row r="16">
      <c r="A16" s="13" t="inlineStr">
        <is>
          <t>Context expected IV</t>
        </is>
      </c>
      <c r="B16" s="41" t="n">
        <v>642.53</v>
      </c>
      <c r="C16" s="14" t="n"/>
      <c r="D16" s="14" t="n"/>
      <c r="E16" s="14" t="n"/>
      <c r="F16" s="14" t="n"/>
      <c r="G16" s="14" t="n"/>
      <c r="H16" s="14" t="n"/>
      <c r="I16" s="14" t="n"/>
    </row>
    <row r="17"/>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3"/>
    <row r="4">
      <c r="A4" s="12" t="inlineStr">
        <is>
          <t>Method</t>
        </is>
      </c>
      <c r="B4" s="12" t="inlineStr">
        <is>
          <t>Low</t>
        </is>
      </c>
      <c r="C4" s="12" t="inlineStr">
        <is>
          <t>Mid</t>
        </is>
      </c>
      <c r="D4" s="12" t="inlineStr">
        <is>
          <t>High</t>
        </is>
      </c>
      <c r="E4" s="12" t="inlineStr">
        <is>
          <t>Note</t>
        </is>
      </c>
    </row>
    <row r="5">
      <c r="A5" s="13" t="inlineStr">
        <is>
          <t>DCF — scenario range (backend)</t>
        </is>
      </c>
      <c r="B5" s="42" t="n">
        <v>398.26</v>
      </c>
      <c r="C5" s="42" t="n">
        <v>592.52</v>
      </c>
      <c r="D5" s="42" t="n">
        <v>964.99</v>
      </c>
      <c r="E5" s="14" t="inlineStr">
        <is>
          <t>Bear / Base / Bull</t>
        </is>
      </c>
    </row>
    <row r="6">
      <c r="A6" s="13" t="inlineStr">
        <is>
          <t>DCF — terminal method (this wb)</t>
        </is>
      </c>
      <c r="B6" s="42">
        <f>'DCF_Base'!$B$42</f>
        <v/>
      </c>
      <c r="C6" s="42">
        <f>'DCF_Base'!$B$40</f>
        <v/>
      </c>
      <c r="D6" s="42">
        <f>'DCF_Base'!$B$41</f>
        <v/>
      </c>
      <c r="E6" s="14" t="inlineStr">
        <is>
          <t>Exit / Blended / Gordon (rebuilt)</t>
        </is>
      </c>
    </row>
    <row r="7">
      <c r="A7" s="13" t="inlineStr">
        <is>
          <t>Economic profit (EP) IV</t>
        </is>
      </c>
      <c r="B7" s="42" t="inlineStr"/>
      <c r="C7" s="42" t="n">
        <v>656.71</v>
      </c>
      <c r="D7" s="42" t="inlineStr"/>
      <c r="E7" s="14" t="inlineStr">
        <is>
          <t>Invested capital + PV economic profit</t>
        </is>
      </c>
    </row>
    <row r="8">
      <c r="A8" s="13" t="inlineStr">
        <is>
          <t>FCFE IV</t>
        </is>
      </c>
      <c r="B8" s="42" t="inlineStr"/>
      <c r="C8" s="42" t="n">
        <v>640.48</v>
      </c>
      <c r="D8" s="42" t="inlineStr"/>
      <c r="E8" s="14" t="inlineStr">
        <is>
          <t>Direct-to-equity cross-check</t>
        </is>
      </c>
    </row>
    <row r="9">
      <c r="A9" s="13" t="inlineStr">
        <is>
          <t>Comps</t>
        </is>
      </c>
      <c r="B9" s="42" t="n">
        <v>339.2132</v>
      </c>
      <c r="C9" s="42" t="n">
        <v>384.639</v>
      </c>
      <c r="D9" s="42" t="n">
        <v>430.0647</v>
      </c>
      <c r="E9" s="14" t="inlineStr">
        <is>
          <t>EV/EBITDA / blended / P/E</t>
        </is>
      </c>
    </row>
    <row r="10">
      <c r="A10" s="13" t="inlineStr">
        <is>
          <t>Market / street</t>
        </is>
      </c>
      <c r="B10" s="42" t="n">
        <v>75.65000000000001</v>
      </c>
      <c r="C10" s="42" t="n">
        <v>88</v>
      </c>
      <c r="D10" s="42" t="inlineStr"/>
      <c r="E10" s="14" t="inlineStr">
        <is>
          <t>Current price / analyst target</t>
        </is>
      </c>
    </row>
    <row r="11"/>
    <row r="12">
      <c r="A12" s="5" t="inlineStr">
        <is>
          <t>Implied growth priced in</t>
        </is>
      </c>
      <c r="B12" s="7" t="n">
        <v>0</v>
      </c>
    </row>
    <row r="13">
      <c r="A13" s="5" t="inlineStr">
        <is>
          <t>DCF vs EP gap</t>
        </is>
      </c>
      <c r="B13" s="7" t="n">
        <v>0.1108</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3"/>
    <row r="4">
      <c r="A4" s="38" t="inlineStr">
        <is>
          <t>IV/share: WACC (cols) vs terminal growth (rows) — Gordon path</t>
        </is>
      </c>
      <c r="B4" s="39" t="n"/>
      <c r="C4" s="39" t="n"/>
      <c r="D4" s="39" t="n"/>
      <c r="E4" s="39" t="n"/>
      <c r="F4" s="39" t="n"/>
      <c r="G4" s="39" t="n"/>
      <c r="H4" s="39" t="n"/>
    </row>
    <row r="5">
      <c r="A5" s="14" t="inlineStr">
        <is>
          <t>g \ WACC</t>
        </is>
      </c>
      <c r="B5" s="15">
        <f>'Assumptions'!$E$19+-0.01</f>
        <v/>
      </c>
      <c r="C5" s="15">
        <f>'Assumptions'!$E$19+-0.005</f>
        <v/>
      </c>
      <c r="D5" s="15">
        <f>'Assumptions'!$E$19+0.0</f>
        <v/>
      </c>
      <c r="E5" s="15">
        <f>'Assumptions'!$E$19+0.005</f>
        <v/>
      </c>
      <c r="F5" s="15">
        <f>'Assumptions'!$E$19+0.01</f>
        <v/>
      </c>
      <c r="G5" s="14" t="n"/>
      <c r="H5" s="14" t="n"/>
    </row>
    <row r="6">
      <c r="A6" s="15">
        <f>'Assumptions'!$E$18+-0.01</f>
        <v/>
      </c>
      <c r="B6" s="42">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2">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2">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2">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2">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4" t="n"/>
      <c r="H6" s="14" t="n"/>
    </row>
    <row r="7">
      <c r="A7" s="15">
        <f>'Assumptions'!$E$18+-0.005</f>
        <v/>
      </c>
      <c r="B7" s="42">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2">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2">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2">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2">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4" t="n"/>
      <c r="H7" s="14" t="n"/>
    </row>
    <row r="8">
      <c r="A8" s="15">
        <f>'Assumptions'!$E$18+0.0</f>
        <v/>
      </c>
      <c r="B8" s="42">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2">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2">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2">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2">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4" t="n"/>
      <c r="H8" s="14" t="n"/>
    </row>
    <row r="9">
      <c r="A9" s="15">
        <f>'Assumptions'!$E$18+0.005</f>
        <v/>
      </c>
      <c r="B9" s="42">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2">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2">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2">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2">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4" t="n"/>
      <c r="H9" s="14" t="n"/>
    </row>
    <row r="10">
      <c r="A10" s="15">
        <f>'Assumptions'!$E$18+0.01</f>
        <v/>
      </c>
      <c r="B10" s="42">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2">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2">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2">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2">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38" t="inlineStr">
        <is>
          <t>IV/share: WACC (cols) vs exit multiple (rows) — exit path</t>
        </is>
      </c>
      <c r="B13" s="39" t="n"/>
      <c r="C13" s="39" t="n"/>
      <c r="D13" s="39" t="n"/>
      <c r="E13" s="39" t="n"/>
      <c r="F13" s="39" t="n"/>
      <c r="G13" s="39" t="n"/>
      <c r="H13" s="39" t="n"/>
    </row>
    <row r="14">
      <c r="A14" s="14" t="inlineStr">
        <is>
          <t>Exit \ WACC</t>
        </is>
      </c>
      <c r="B14" s="15">
        <f>'Assumptions'!$E$19+-0.01</f>
        <v/>
      </c>
      <c r="C14" s="15">
        <f>'Assumptions'!$E$19+-0.005</f>
        <v/>
      </c>
      <c r="D14" s="15">
        <f>'Assumptions'!$E$19+0.0</f>
        <v/>
      </c>
      <c r="E14" s="15">
        <f>'Assumptions'!$E$19+0.005</f>
        <v/>
      </c>
      <c r="F14" s="15">
        <f>'Assumptions'!$E$19+0.01</f>
        <v/>
      </c>
      <c r="G14" s="14" t="n"/>
      <c r="H14" s="14" t="n"/>
    </row>
    <row r="15">
      <c r="A15" s="16">
        <f>'Assumptions'!$E$28+-2</f>
        <v/>
      </c>
      <c r="B15" s="42">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2">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2">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2">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2">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4" t="n"/>
      <c r="H15" s="14" t="n"/>
    </row>
    <row r="16">
      <c r="A16" s="16">
        <f>'Assumptions'!$E$28+-1</f>
        <v/>
      </c>
      <c r="B16" s="42">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2">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2">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2">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2">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4" t="n"/>
      <c r="H16" s="14" t="n"/>
    </row>
    <row r="17">
      <c r="A17" s="16">
        <f>'Assumptions'!$E$28+0</f>
        <v/>
      </c>
      <c r="B17" s="42">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2">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2">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2">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2">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4" t="n"/>
      <c r="H17" s="14" t="n"/>
    </row>
    <row r="18">
      <c r="A18" s="16">
        <f>'Assumptions'!$E$28+1</f>
        <v/>
      </c>
      <c r="B18" s="42">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2">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2">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2">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2">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4" t="n"/>
      <c r="H18" s="14" t="n"/>
    </row>
    <row r="19">
      <c r="A19" s="16">
        <f>'Assumptions'!$E$28+2</f>
        <v/>
      </c>
      <c r="B19" s="42">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2">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2">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2">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2">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4" t="n"/>
      <c r="H19" s="14" t="n"/>
    </row>
    <row r="20">
      <c r="A20" s="14" t="n"/>
      <c r="B20" s="14" t="n"/>
      <c r="C20" s="14" t="n"/>
      <c r="D20" s="14" t="n"/>
      <c r="E20" s="14" t="n"/>
      <c r="F20" s="14" t="n"/>
      <c r="G20" s="14" t="n"/>
      <c r="H20" s="14" t="n"/>
    </row>
    <row r="21">
      <c r="A21" s="13" t="inlineStr">
        <is>
          <t>Backend Base IV</t>
        </is>
      </c>
      <c r="B21" s="42">
        <f>'Assumptions'!$E$36</f>
        <v/>
      </c>
      <c r="C21" s="14" t="n"/>
      <c r="D21" s="14" t="n"/>
      <c r="E21" s="14" t="n"/>
      <c r="F21" s="14" t="n"/>
      <c r="G21" s="14" t="n"/>
      <c r="H21" s="14" t="n"/>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3"/>
    <row r="4">
      <c r="A4" s="12" t="inlineStr">
        <is>
          <t>Check</t>
        </is>
      </c>
      <c r="B4" s="12" t="inlineStr">
        <is>
          <t>Value</t>
        </is>
      </c>
      <c r="C4" s="12" t="inlineStr">
        <is>
          <t>Status</t>
        </is>
      </c>
      <c r="D4" s="12" t="inlineStr">
        <is>
          <t>Notes</t>
        </is>
      </c>
    </row>
    <row r="5">
      <c r="A5" s="14" t="inlineStr">
        <is>
          <t>Reconciles to backend Base IV</t>
        </is>
      </c>
      <c r="B5" s="42">
        <f>'DCF_Base'!$B$40-'Assumptions'!$E$36</f>
        <v/>
      </c>
      <c r="C5" s="14">
        <f>IF(ABS(B5)&lt;=0.1,"OK","FAIL")</f>
        <v/>
      </c>
      <c r="D5" s="14" t="inlineStr">
        <is>
          <t>Rebuilt Base IV must equal backend iv_base</t>
        </is>
      </c>
    </row>
    <row r="6">
      <c r="A6" s="14" t="inlineStr">
        <is>
          <t>WACC greater than terminal growth</t>
        </is>
      </c>
      <c r="B6" s="15">
        <f>'Assumptions'!$E$19-'Assumptions'!$E$18</f>
        <v/>
      </c>
      <c r="C6" s="14">
        <f>IF(B6&gt;0,"OK","FAIL")</f>
        <v/>
      </c>
      <c r="D6" s="14" t="inlineStr">
        <is>
          <t>Gordon invalid if WACC &lt;= g</t>
        </is>
      </c>
    </row>
    <row r="7">
      <c r="A7" s="14" t="inlineStr">
        <is>
          <t>RONIC greater than terminal growth</t>
        </is>
      </c>
      <c r="B7" s="15">
        <f>'Assumptions'!$E$30-'Assumptions'!$E$18</f>
        <v/>
      </c>
      <c r="C7" s="14">
        <f>IF(B7&gt;0,"OK","FAIL")</f>
        <v/>
      </c>
      <c r="D7" s="14" t="inlineStr">
        <is>
          <t>Value-driver TV requires RONIC &gt; g</t>
        </is>
      </c>
    </row>
    <row r="8">
      <c r="A8" s="14" t="inlineStr">
        <is>
          <t>Terminal value share of EV</t>
        </is>
      </c>
      <c r="B8" s="15">
        <f>'DCF_Base'!$B$35</f>
        <v/>
      </c>
      <c r="C8" s="14">
        <f>IF(AND(B8&gt;=0.4,B8&lt;=0.85),"OK","REVIEW")</f>
        <v/>
      </c>
      <c r="D8" s="14" t="inlineStr">
        <is>
          <t>Outside 40-85% deserves a look</t>
        </is>
      </c>
    </row>
    <row r="9">
      <c r="A9" s="14" t="inlineStr">
        <is>
          <t>Scenario probabilities sum to 100%</t>
        </is>
      </c>
      <c r="B9" s="15">
        <f>'Assumptions'!$E$33+'Assumptions'!$E$34+'Assumptions'!$E$35</f>
        <v/>
      </c>
      <c r="C9" s="14">
        <f>IF(ABS(B9-1)&lt;0.001,"OK","FAIL")</f>
        <v/>
      </c>
      <c r="D9" s="14" t="inlineStr">
        <is>
          <t>Edit probabilities in Assumptions</t>
        </is>
      </c>
    </row>
    <row r="10">
      <c r="A10" s="14" t="inlineStr">
        <is>
          <t>Exit metric present</t>
        </is>
      </c>
      <c r="B10" s="14">
        <f>'Assumptions'!$E$29</f>
        <v/>
      </c>
      <c r="C10" s="14">
        <f>IF(B10&lt;&gt;"","OK","FAIL")</f>
        <v/>
      </c>
      <c r="D10" s="14" t="inlineStr">
        <is>
          <t>Needed for exit terminal value</t>
        </is>
      </c>
    </row>
    <row r="11">
      <c r="A11" s="14" t="inlineStr">
        <is>
          <t>Model applicability</t>
        </is>
      </c>
      <c r="B11" s="14" t="inlineStr">
        <is>
          <t>dcf_applicable</t>
        </is>
      </c>
      <c r="C11" s="14">
        <f>IF(B11="dcf_applicable","OK","REVIEW")</f>
        <v/>
      </c>
      <c r="D11" s="14" t="inlineStr">
        <is>
          <t>Backend DCF applicability gate</t>
        </is>
      </c>
    </row>
    <row r="12">
      <c r="A12" s="14" t="inlineStr">
        <is>
          <t>Model trust state</t>
        </is>
      </c>
      <c r="B12" s="14" t="inlineStr">
        <is>
          <t>review_required</t>
        </is>
      </c>
      <c r="C12" s="14">
        <f>IF(B12="ok","OK","REVIEW")</f>
        <v/>
      </c>
      <c r="D12" s="14" t="inlineStr">
        <is>
          <t>Register flags: {'none': 27, 'watch': 5, 'review_required': 1, 'critical': 0}</t>
        </is>
      </c>
    </row>
    <row r="13">
      <c r="A13" s="14" t="inlineStr">
        <is>
          <t>PM review items outstanding</t>
        </is>
      </c>
      <c r="B13" s="14" t="n">
        <v>2</v>
      </c>
      <c r="C13" s="14">
        <f>IF(B13=0,"OK","REVIEW")</f>
        <v/>
      </c>
      <c r="D13" s="14" t="inlineStr">
        <is>
          <t>See PM_Review_Queue tab</t>
        </is>
      </c>
    </row>
    <row r="14">
      <c r="A14" s="14" t="inlineStr">
        <is>
          <t>No hidden writeback</t>
        </is>
      </c>
      <c r="B14" s="14" t="inlineStr">
        <is>
          <t>Review artifact only</t>
        </is>
      </c>
      <c r="C14" s="14">
        <f>"OK"</f>
        <v/>
      </c>
      <c r="D14" s="14" t="inlineStr">
        <is>
          <t>Workbook never mutates the database or approved assumptions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2026-06-15T20:14:19Z</dcterms:created>
  <dcterms:modified xmlns:dcterms="http://purl.org/dc/terms/" xmlns:xsi="http://www.w3.org/2001/XMLSchema-instance" xsi:type="dcterms:W3CDTF">2026-06-15T20:14:20Z</dcterms:modified>
</cp:coreProperties>
</file>