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229</v>
      </c>
    </row>
    <row r="8">
      <c r="A8" s="5" t="inlineStr">
        <is>
          <t>Base upside</t>
        </is>
      </c>
      <c r="B8" s="7" t="n">
        <v>-0.414</v>
      </c>
    </row>
    <row r="9">
      <c r="A9" s="5" t="inlineStr">
        <is>
          <t>Expected IV (prob-weighted)</t>
        </is>
      </c>
      <c r="B9" s="6" t="n">
        <v>240.7</v>
      </c>
    </row>
    <row r="10">
      <c r="A10" s="5" t="inlineStr">
        <is>
          <t>Expected upside</t>
        </is>
      </c>
      <c r="B10" s="7" t="n">
        <v>-0.384</v>
      </c>
    </row>
    <row r="11">
      <c r="A11" s="5" t="inlineStr">
        <is>
          <t>Margin of safety</t>
        </is>
      </c>
      <c r="B11" s="7" t="n">
        <v>-0.705</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228.9989410254908</v>
      </c>
    </row>
    <row r="19">
      <c r="A19" s="5" t="inlineStr">
        <is>
          <t>Backend Base IV</t>
        </is>
      </c>
      <c r="B19" s="6" t="n">
        <v>229</v>
      </c>
    </row>
    <row r="20">
      <c r="A20" s="5" t="inlineStr">
        <is>
          <t>Gap</t>
        </is>
      </c>
      <c r="B20" s="6" t="n">
        <v>0.001058974509192012</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C:\Projects\03-Finance\ai-fund\output\guided_workups\MSFT\20260705T221357Z-valuation.json</t>
        </is>
      </c>
    </row>
    <row r="33">
      <c r="A33" s="10" t="inlineStr">
        <is>
          <t>Generated</t>
        </is>
      </c>
      <c r="B33" s="10" t="inlineStr">
        <is>
          <t>2026-07-06T00:21:35</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20260705T221357Z; deterministic story/sector layer below.</t>
        </is>
      </c>
    </row>
    <row r="3" ht="56" customHeight="1">
      <c r="A3" s="11" t="inlineStr">
        <is>
          <t>Agent thesis from MSFT-workup-h4bc5y1c.json.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229.00 versus current price 390.49.</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0.3245652274170628</v>
      </c>
      <c r="D7" s="19" t="inlineStr">
        <is>
          <t>review_required</t>
        </is>
      </c>
      <c r="E7" s="15" t="inlineStr"/>
      <c r="F7" s="14" t="inlineStr">
        <is>
          <t>PM Queue item 92 is previewed and discusses this driver: Microsoft warns that competitive dynamics in cloud, AI, and marketplaces may increase cost of revenue and lower operating margins.</t>
        </is>
      </c>
      <c r="G7" s="15" t="n"/>
      <c r="H7" s="15" t="n"/>
    </row>
    <row r="8" ht="40" customHeight="1">
      <c r="A8" s="18" t="inlineStr">
        <is>
          <t>exit_multiple</t>
        </is>
      </c>
      <c r="B8" s="15" t="n">
        <v>20.072682</v>
      </c>
      <c r="C8" s="15" t="n">
        <v>18.572682</v>
      </c>
      <c r="D8" s="19" t="inlineStr">
        <is>
          <t>review_required</t>
        </is>
      </c>
      <c r="E8" s="15" t="inlineStr"/>
      <c r="F8" s="14" t="inlineStr">
        <is>
          <t>PM Queue item 96 is previewed and discusses this driver: The deterministic model's target multiples are significantly below the peer medians across all three reported metrics (EV/EBITDA fwd, EV/EBITDA LTM, P/E LTM), indicating a structural discount.</t>
        </is>
      </c>
      <c r="G8" s="15" t="n"/>
      <c r="H8" s="15" t="n"/>
    </row>
    <row r="9" ht="40" customHeight="1">
      <c r="A9" s="13" t="inlineStr">
        <is>
          <t>revenue_growth_near</t>
        </is>
      </c>
      <c r="B9" s="15" t="n">
        <v>0.1279213954529603</v>
      </c>
      <c r="C9" s="15" t="n">
        <v>0.1423213954529603</v>
      </c>
      <c r="D9" s="15" t="inlineStr">
        <is>
          <t>conflict</t>
        </is>
      </c>
      <c r="E9" s="15" t="inlineStr"/>
      <c r="F9" s="14" t="inlineStr">
        <is>
          <t>Multiple profiles propose different values for this driver. Review queue items 84, 82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0.10377</v>
      </c>
      <c r="C11" s="15" t="n">
        <v>0.10377</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preferred_equity default needs review</t>
        </is>
      </c>
      <c r="B19" s="15" t="inlineStr">
        <is>
          <t>low</t>
        </is>
      </c>
      <c r="C19" s="14" t="inlineStr">
        <is>
          <t>Default-resolution layer flagged this assumption.</t>
        </is>
      </c>
      <c r="D19" s="15" t="inlineStr"/>
      <c r="E19" s="15" t="n"/>
      <c r="F19" s="15" t="n"/>
      <c r="G19" s="15" t="n"/>
      <c r="H19" s="15" t="n"/>
    </row>
    <row r="20"/>
    <row r="21"/>
    <row r="22">
      <c r="A22" s="3" t="inlineStr">
        <is>
          <t>Default-resolution fields (deterministic)</t>
        </is>
      </c>
      <c r="B22" s="4" t="n"/>
      <c r="C22" s="4" t="n"/>
      <c r="D22" s="4" t="n"/>
      <c r="E22" s="4" t="n"/>
      <c r="F22" s="4" t="n"/>
      <c r="G22" s="4" t="n"/>
      <c r="H22" s="4" t="n"/>
    </row>
    <row r="23">
      <c r="A23" s="12" t="inlineStr">
        <is>
          <t>Field</t>
        </is>
      </c>
      <c r="B23" s="12" t="inlineStr">
        <is>
          <t>Value</t>
        </is>
      </c>
      <c r="C23" s="12" t="inlineStr">
        <is>
          <t>Source</t>
        </is>
      </c>
      <c r="D23" s="12" t="inlineStr">
        <is>
          <t>Source class</t>
        </is>
      </c>
      <c r="E23" s="12" t="inlineStr">
        <is>
          <t>Severity</t>
        </is>
      </c>
      <c r="F23" s="12" t="inlineStr">
        <is>
          <t>PM review?</t>
        </is>
      </c>
      <c r="G23" s="12" t="inlineStr">
        <is>
          <t>Fallback</t>
        </is>
      </c>
      <c r="H23" s="12" t="inlineStr">
        <is>
          <t>Why it matters</t>
        </is>
      </c>
    </row>
    <row r="24" ht="30" customHeight="1">
      <c r="A24" s="18" t="inlineStr">
        <is>
          <t>pension_deficit</t>
        </is>
      </c>
      <c r="B24" s="15" t="n">
        <v>0</v>
      </c>
      <c r="C24" s="15" t="inlineStr">
        <is>
          <t>default</t>
        </is>
      </c>
      <c r="D24" s="15" t="inlineStr">
        <is>
          <t>unproven_zero</t>
        </is>
      </c>
      <c r="E24" s="21" t="inlineStr">
        <is>
          <t>medium</t>
        </is>
      </c>
      <c r="F24" s="19" t="inlineStr">
        <is>
          <t>YES</t>
        </is>
      </c>
      <c r="G24" s="15" t="n">
        <v>0</v>
      </c>
      <c r="H24" s="14" t="inlineStr">
        <is>
          <t>Can be a non-equity claim in the equity bridge.</t>
        </is>
      </c>
    </row>
    <row r="25" ht="30" customHeight="1">
      <c r="A25" s="18" t="inlineStr">
        <is>
          <t>preferred_equity</t>
        </is>
      </c>
      <c r="B25" s="15" t="n">
        <v>0</v>
      </c>
      <c r="C25" s="15" t="inlineStr">
        <is>
          <t>default</t>
        </is>
      </c>
      <c r="D25" s="15" t="inlineStr">
        <is>
          <t>unproven_zero</t>
        </is>
      </c>
      <c r="E25" s="21" t="inlineStr">
        <is>
          <t>low</t>
        </is>
      </c>
      <c r="F25" s="19" t="inlineStr">
        <is>
          <t>YES</t>
        </is>
      </c>
      <c r="G25" s="15" t="n">
        <v>0</v>
      </c>
      <c r="H25" s="14" t="inlineStr">
        <is>
          <t>Can be a non-equity claim in the equity bridge.</t>
        </is>
      </c>
    </row>
    <row r="26" ht="30" customHeight="1">
      <c r="A26" s="22" t="inlineStr">
        <is>
          <t>exit_multiple</t>
        </is>
      </c>
      <c r="B26" s="15" t="n">
        <v>20.072682</v>
      </c>
      <c r="C26" s="15" t="inlineStr">
        <is>
          <t>ciq_comps_tev_ebitda_fwd|story_sector</t>
        </is>
      </c>
      <c r="D26" s="15" t="inlineStr">
        <is>
          <t>ciq</t>
        </is>
      </c>
      <c r="E26" s="20" t="inlineStr">
        <is>
          <t>high</t>
        </is>
      </c>
      <c r="F26" s="23" t="inlineStr">
        <is>
          <t>no</t>
        </is>
      </c>
      <c r="G26" s="15" t="n">
        <v>16</v>
      </c>
      <c r="H26" s="14" t="inlineStr">
        <is>
          <t>Directly affects terminal value and equity value.</t>
        </is>
      </c>
    </row>
    <row r="27" ht="30" customHeight="1">
      <c r="A27" s="22" t="inlineStr">
        <is>
          <t>dso_start</t>
        </is>
      </c>
      <c r="B27" s="15" t="n">
        <v>68.90000000000001</v>
      </c>
      <c r="C27" s="15" t="inlineStr">
        <is>
          <t>ciq</t>
        </is>
      </c>
      <c r="D27" s="15" t="inlineStr">
        <is>
          <t>ciq</t>
        </is>
      </c>
      <c r="E27" s="20" t="inlineStr">
        <is>
          <t>medium</t>
        </is>
      </c>
      <c r="F27" s="23" t="inlineStr">
        <is>
          <t>no</t>
        </is>
      </c>
      <c r="G27" s="15" t="n">
        <v>45</v>
      </c>
      <c r="H27" s="14" t="inlineStr">
        <is>
          <t>Affects working-capital cash drag.</t>
        </is>
      </c>
    </row>
    <row r="28" ht="30" customHeight="1">
      <c r="A28" s="22" t="inlineStr">
        <is>
          <t>dio_start</t>
        </is>
      </c>
      <c r="B28" s="15" t="n">
        <v>5</v>
      </c>
      <c r="C28" s="15" t="inlineStr">
        <is>
          <t>ciq</t>
        </is>
      </c>
      <c r="D28" s="15" t="inlineStr">
        <is>
          <t>ciq</t>
        </is>
      </c>
      <c r="E28" s="20" t="inlineStr">
        <is>
          <t>medium</t>
        </is>
      </c>
      <c r="F28" s="23" t="inlineStr">
        <is>
          <t>no</t>
        </is>
      </c>
      <c r="G28" s="15" t="n">
        <v>35</v>
      </c>
      <c r="H28" s="14" t="inlineStr">
        <is>
          <t>Affects inventory investment and working-capital cash drag.</t>
        </is>
      </c>
    </row>
    <row r="29" ht="30" customHeight="1">
      <c r="A29" s="22" t="inlineStr">
        <is>
          <t>dpo_start</t>
        </is>
      </c>
      <c r="B29" s="15" t="n">
        <v>43</v>
      </c>
      <c r="C29" s="15" t="inlineStr">
        <is>
          <t>ciq</t>
        </is>
      </c>
      <c r="D29" s="15" t="inlineStr">
        <is>
          <t>ciq</t>
        </is>
      </c>
      <c r="E29" s="20" t="inlineStr">
        <is>
          <t>medium</t>
        </is>
      </c>
      <c r="F29" s="23" t="inlineStr">
        <is>
          <t>no</t>
        </is>
      </c>
      <c r="G29" s="15" t="n">
        <v>38</v>
      </c>
      <c r="H29" s="14" t="inlineStr">
        <is>
          <t>Affects supplier financing and working-capital cash drag.</t>
        </is>
      </c>
    </row>
    <row r="30" ht="30" customHeight="1">
      <c r="A30" s="13" t="inlineStr">
        <is>
          <t>minority_interest</t>
        </is>
      </c>
      <c r="B30" s="15" t="n">
        <v>43688000000</v>
      </c>
      <c r="C30" s="15" t="inlineStr">
        <is>
          <t>edgar_xbrl</t>
        </is>
      </c>
      <c r="D30" s="15" t="inlineStr">
        <is>
          <t>filing</t>
        </is>
      </c>
      <c r="E30" s="15" t="inlineStr">
        <is>
          <t>low</t>
        </is>
      </c>
      <c r="F30" s="15" t="inlineStr">
        <is>
          <t>no</t>
        </is>
      </c>
      <c r="G30" s="15" t="n">
        <v>0</v>
      </c>
      <c r="H30" s="14"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43688</v>
      </c>
      <c r="D10" s="25" t="n"/>
      <c r="E10" s="26">
        <f>IF(D10="",C10,D10)</f>
        <v/>
      </c>
      <c r="F10" s="15" t="inlineStr">
        <is>
          <t>$mm</t>
        </is>
      </c>
      <c r="G10" s="15" t="inlineStr">
        <is>
          <t>edgar_xbrl</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52626</v>
      </c>
      <c r="D13" s="25" t="n"/>
      <c r="E13" s="26">
        <f>IF(D13="",C13,D13)</f>
        <v/>
      </c>
      <c r="F13" s="15" t="inlineStr">
        <is>
          <t>$mm</t>
        </is>
      </c>
      <c r="G13" s="15" t="inlineStr">
        <is>
          <t>edgar_xbrl</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0.10377</v>
      </c>
      <c r="D19" s="30" t="n"/>
      <c r="E19" s="31">
        <f>IF(D19="",C19,D19)</f>
        <v/>
      </c>
      <c r="F19" s="15" t="inlineStr">
        <is>
          <t>%</t>
        </is>
      </c>
      <c r="G19" s="15" t="inlineStr"/>
      <c r="H19" s="15" t="inlineStr"/>
    </row>
    <row r="20">
      <c r="A20" s="15" t="inlineStr">
        <is>
          <t>WACC</t>
        </is>
      </c>
      <c r="B20" s="15" t="inlineStr">
        <is>
          <t>cost_of_equity</t>
        </is>
      </c>
      <c r="C20" s="29" t="n">
        <v>0.10504</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1.32</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229</v>
      </c>
      <c r="D36" s="25" t="n"/>
      <c r="E36" s="26">
        <f>IF(D36="",C36,D36)</f>
        <v/>
      </c>
      <c r="F36" s="15" t="inlineStr">
        <is>
          <t>$/sh</t>
        </is>
      </c>
      <c r="G36" s="15" t="inlineStr"/>
      <c r="H36" s="15" t="inlineStr"/>
    </row>
    <row r="37">
      <c r="A37" s="15" t="inlineStr">
        <is>
          <t>Backend</t>
        </is>
      </c>
      <c r="B37" s="15" t="inlineStr">
        <is>
          <t>backend_iv_gordon</t>
        </is>
      </c>
      <c r="C37" s="24" t="n">
        <v>171.37</v>
      </c>
      <c r="D37" s="25" t="n"/>
      <c r="E37" s="26">
        <f>IF(D37="",C37,D37)</f>
        <v/>
      </c>
      <c r="F37" s="15" t="inlineStr">
        <is>
          <t>$/sh</t>
        </is>
      </c>
      <c r="G37" s="15" t="inlineStr"/>
      <c r="H37" s="15" t="inlineStr"/>
    </row>
    <row r="38">
      <c r="A38" s="15" t="inlineStr">
        <is>
          <t>Backend</t>
        </is>
      </c>
      <c r="B38" s="15" t="inlineStr">
        <is>
          <t>backend_iv_exit</t>
        </is>
      </c>
      <c r="C38" s="24" t="n">
        <v>340.86</v>
      </c>
      <c r="D38" s="25" t="n"/>
      <c r="E38" s="26">
        <f>IF(D38="",C38,D38)</f>
        <v/>
      </c>
      <c r="F38" s="15" t="inlineStr">
        <is>
          <t>$/sh</t>
        </is>
      </c>
      <c r="G38" s="15" t="inlineStr"/>
      <c r="H38" s="15" t="inlineStr"/>
    </row>
    <row r="39">
      <c r="A39" s="15" t="inlineStr">
        <is>
          <t>Backend</t>
        </is>
      </c>
      <c r="B39" s="15" t="inlineStr">
        <is>
          <t>backend_tv_pct_ev</t>
        </is>
      </c>
      <c r="C39" s="29" t="n">
        <v>0.7759999999999999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MSFT_Standard.xlsx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MSFT_Standard.xlsx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MSFT_Standard.xlsx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MSFT_Standard.xlsx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MSFT_Standard.xlsx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MSFT_Standard.xlsx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MSFT_Standard.xlsx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MSFT_Standard.xlsx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MSFT_Standard.xlsx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1.10377</v>
      </c>
      <c r="V5" s="36" t="n">
        <v>50887.816</v>
      </c>
      <c r="W5" s="16" t="n">
        <v>0.2809874455967756</v>
      </c>
      <c r="X5" s="36" t="n">
        <v>79312.427</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1.2183082129</v>
      </c>
      <c r="V6" s="36" t="n">
        <v>50189.412</v>
      </c>
      <c r="W6" s="16" t="n">
        <v>0.2668021834051162</v>
      </c>
      <c r="X6" s="36" t="n">
        <v>84308.592</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1.344732056152633</v>
      </c>
      <c r="V7" s="36" t="n">
        <v>48594.938</v>
      </c>
      <c r="W7" s="16" t="n">
        <v>0.2546595457710995</v>
      </c>
      <c r="X7" s="36" t="n">
        <v>89621.353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1.484274901619591</v>
      </c>
      <c r="V8" s="36" t="n">
        <v>46904.621</v>
      </c>
      <c r="W8" s="16" t="n">
        <v>0.2425147128872247</v>
      </c>
      <c r="X8" s="36" t="n">
        <v>94327.27</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1.638298108160656</v>
      </c>
      <c r="V9" s="36" t="n">
        <v>44916.477</v>
      </c>
      <c r="W9" s="16" t="n">
        <v>0.2305297386735278</v>
      </c>
      <c r="X9" s="36" t="n">
        <v>98253.91899999999</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1.808304302844487</v>
      </c>
      <c r="V10" s="36" t="n">
        <v>42657.305</v>
      </c>
      <c r="W10" s="16" t="n">
        <v>0.2187238502668683</v>
      </c>
      <c r="X10" s="36" t="n">
        <v>101184.766</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1.99595204035066</v>
      </c>
      <c r="V11" s="36" t="n">
        <v>40158.812</v>
      </c>
      <c r="W11" s="16" t="n">
        <v>0.2071143844048894</v>
      </c>
      <c r="X11" s="36" t="n">
        <v>102890.563</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2.203071983577847</v>
      </c>
      <c r="V12" s="36" t="n">
        <v>37456.882</v>
      </c>
      <c r="W12" s="16" t="n">
        <v>0.1957171792470035</v>
      </c>
      <c r="X12" s="36" t="n">
        <v>103133.332</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2.43168476331372</v>
      </c>
      <c r="V13" s="36" t="n">
        <v>34590.728</v>
      </c>
      <c r="W13" s="16" t="n">
        <v>0.1845468763174984</v>
      </c>
      <c r="X13" s="36" t="n">
        <v>101671.115</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2.684020691202785</v>
      </c>
      <c r="V14" s="36" t="n">
        <v>31601.946</v>
      </c>
      <c r="W14" s="16" t="n">
        <v>0.173617150447037</v>
      </c>
      <c r="X14" s="36" t="n">
        <v>98263.432</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8"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138.79</v>
      </c>
      <c r="H6" s="16" t="n">
        <v>-0.645</v>
      </c>
      <c r="I6" s="15" t="n"/>
    </row>
    <row r="7">
      <c r="A7" s="13" t="inlineStr">
        <is>
          <t>base</t>
        </is>
      </c>
      <c r="B7" s="16" t="n">
        <v>0.6</v>
      </c>
      <c r="C7" s="17" t="n">
        <v>1</v>
      </c>
      <c r="D7" s="16" t="n">
        <v>0</v>
      </c>
      <c r="E7" s="16" t="n">
        <v>0</v>
      </c>
      <c r="F7" s="17" t="n">
        <v>1</v>
      </c>
      <c r="G7" s="41" t="n">
        <v>229</v>
      </c>
      <c r="H7" s="16" t="n">
        <v>-0.414</v>
      </c>
      <c r="I7" s="15" t="n"/>
    </row>
    <row r="8">
      <c r="A8" s="13" t="inlineStr">
        <is>
          <t>bull</t>
        </is>
      </c>
      <c r="B8" s="16" t="n">
        <v>0.2</v>
      </c>
      <c r="C8" s="17" t="n">
        <v>1.2</v>
      </c>
      <c r="D8" s="16" t="n">
        <v>0.02</v>
      </c>
      <c r="E8" s="16" t="n">
        <v>-0.01</v>
      </c>
      <c r="F8" s="17" t="n">
        <v>1.1</v>
      </c>
      <c r="G8" s="41" t="n">
        <v>377.72</v>
      </c>
      <c r="H8" s="16" t="n">
        <v>-0.033</v>
      </c>
      <c r="I8" s="15" t="n"/>
    </row>
    <row r="9">
      <c r="A9" s="13" t="inlineStr">
        <is>
          <t>Expected (prob-weighted)</t>
        </is>
      </c>
      <c r="B9" s="15" t="n"/>
      <c r="C9" s="15" t="n"/>
      <c r="D9" s="15" t="n"/>
      <c r="E9" s="15" t="n"/>
      <c r="F9" s="15" t="n"/>
      <c r="G9" s="40" t="n">
        <v>240.7</v>
      </c>
      <c r="H9" s="16" t="n">
        <v>-0.384</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0.1</v>
      </c>
      <c r="C13" s="17" t="n">
        <v>0.93</v>
      </c>
      <c r="D13" s="16" t="n">
        <v>-0.0151</v>
      </c>
      <c r="E13" s="16" t="n">
        <v>0.006</v>
      </c>
      <c r="F13" s="17" t="n">
        <v>0.92</v>
      </c>
      <c r="G13" s="15" t="n"/>
      <c r="H13" s="15" t="n"/>
      <c r="I13" s="15" t="n"/>
    </row>
    <row r="14">
      <c r="A14" s="13" t="inlineStr">
        <is>
          <t>base</t>
        </is>
      </c>
      <c r="B14" s="16" t="n">
        <v>0.55</v>
      </c>
      <c r="C14" s="17" t="n">
        <v>1</v>
      </c>
      <c r="D14" s="16" t="n">
        <v>0</v>
      </c>
      <c r="E14" s="16" t="n">
        <v>0</v>
      </c>
      <c r="F14" s="17" t="n">
        <v>1</v>
      </c>
      <c r="G14" s="15" t="n"/>
      <c r="H14" s="15" t="n"/>
      <c r="I14" s="15" t="n"/>
    </row>
    <row r="15">
      <c r="A15" s="13" t="inlineStr">
        <is>
          <t>bull</t>
        </is>
      </c>
      <c r="B15" s="16" t="n">
        <v>0.35</v>
      </c>
      <c r="C15" s="17" t="n">
        <v>1.25</v>
      </c>
      <c r="D15" s="16" t="n">
        <v>0.0169</v>
      </c>
      <c r="E15" s="16" t="n">
        <v>-0.008</v>
      </c>
      <c r="F15" s="17" t="n">
        <v>1.17</v>
      </c>
      <c r="G15" s="15" t="n"/>
      <c r="H15" s="15" t="n"/>
      <c r="I15" s="15" t="n"/>
    </row>
    <row r="16">
      <c r="A16" s="13" t="inlineStr">
        <is>
          <t>Context expected IV</t>
        </is>
      </c>
      <c r="B16" s="40" t="n">
        <v>280.74</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138.79</v>
      </c>
      <c r="C5" s="41" t="n">
        <v>229</v>
      </c>
      <c r="D5" s="41" t="n">
        <v>377.72</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174.4</v>
      </c>
      <c r="D7" s="41" t="inlineStr"/>
      <c r="E7" s="15" t="inlineStr">
        <is>
          <t>Invested capital + PV economic profit</t>
        </is>
      </c>
    </row>
    <row r="8">
      <c r="A8" s="13" t="inlineStr">
        <is>
          <t>FCFE IV</t>
        </is>
      </c>
      <c r="B8" s="41" t="inlineStr"/>
      <c r="C8" s="41" t="n">
        <v>181.42</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0.199</v>
      </c>
    </row>
    <row r="13">
      <c r="A13" s="5" t="inlineStr">
        <is>
          <t>DCF vs EP gap</t>
        </is>
      </c>
      <c r="B13" s="7" t="n">
        <v>-0.2134</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2026-07-05T22:21:35Z</dcterms:created>
  <dcterms:modified xmlns:dcterms="http://purl.org/dc/terms/" xmlns:xsi="http://www.w3.org/2001/XMLSchema-instance" xsi:type="dcterms:W3CDTF">2026-07-05T22:21:36Z</dcterms:modified>
</cp:coreProperties>
</file>