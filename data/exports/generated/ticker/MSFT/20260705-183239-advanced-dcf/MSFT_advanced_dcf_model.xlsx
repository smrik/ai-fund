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390.74</v>
      </c>
    </row>
    <row r="7">
      <c r="A7" s="5" t="inlineStr">
        <is>
          <t>Backend Base IV</t>
        </is>
      </c>
      <c r="B7" s="6" t="n">
        <v>283.16</v>
      </c>
    </row>
    <row r="8">
      <c r="A8" s="5" t="inlineStr">
        <is>
          <t>Base upside</t>
        </is>
      </c>
      <c r="B8" s="7" t="n">
        <v>-0.275</v>
      </c>
    </row>
    <row r="9">
      <c r="A9" s="5" t="inlineStr">
        <is>
          <t>Expected IV (prob-weighted)</t>
        </is>
      </c>
      <c r="B9" s="6" t="n">
        <v>299.66</v>
      </c>
    </row>
    <row r="10">
      <c r="A10" s="5" t="inlineStr">
        <is>
          <t>Expected upside</t>
        </is>
      </c>
      <c r="B10" s="7" t="n">
        <v>-0.233</v>
      </c>
    </row>
    <row r="11">
      <c r="A11" s="5" t="inlineStr">
        <is>
          <t>Margin of safety</t>
        </is>
      </c>
      <c r="B11" s="7" t="n">
        <v>-0.38</v>
      </c>
    </row>
    <row r="12">
      <c r="A12" s="5" t="inlineStr">
        <is>
          <t>Analyst target / rec</t>
        </is>
      </c>
      <c r="B12" t="inlineStr">
        <is>
          <t>561.39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283.1575210273662</v>
      </c>
    </row>
    <row r="19">
      <c r="A19" s="5" t="inlineStr">
        <is>
          <t>Backend Base IV</t>
        </is>
      </c>
      <c r="B19" s="6" t="n">
        <v>283.16</v>
      </c>
    </row>
    <row r="20">
      <c r="A20" s="5" t="inlineStr">
        <is>
          <t>Gap</t>
        </is>
      </c>
      <c r="B20" s="6" t="n">
        <v>0.002478972633809917</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C:\Projects\03-Finance\ai-fund\output\guided_workups\MSFT\20260705T160125Z-valuation.json</t>
        </is>
      </c>
    </row>
    <row r="33">
      <c r="A33" s="10" t="inlineStr">
        <is>
          <t>Generated</t>
        </is>
      </c>
      <c r="B33" s="10" t="inlineStr">
        <is>
          <t>2026-07-05T18:32:39</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20260705T160125Z; deterministic story/sector layer below.</t>
        </is>
      </c>
    </row>
    <row r="3" ht="56" customHeight="1">
      <c r="A3" s="11" t="inlineStr">
        <is>
          <t>Agent thesis from MSFT-workup-8etv_y4k.json.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283.16 versus current price 390.74.</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Exit Multiple.</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4, review_required 3)</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exit_multiple</t>
        </is>
      </c>
      <c r="B7" s="15" t="n">
        <v>20.072682</v>
      </c>
      <c r="C7" s="15" t="n">
        <v>21.572682</v>
      </c>
      <c r="D7" s="19" t="inlineStr">
        <is>
          <t>review_required</t>
        </is>
      </c>
      <c r="E7" s="15" t="inlineStr"/>
      <c r="F7" s="14" t="inlineStr">
        <is>
          <t>PM Queue item 91 is previewed and discusses this driver: The deterministic comps packet has enough peer data for PM review of the exit multiple, but the comps model diagnostics still need inspection.</t>
        </is>
      </c>
      <c r="G7" s="15" t="n"/>
      <c r="H7" s="15" t="n"/>
    </row>
    <row r="8" ht="40" customHeight="1">
      <c r="A8" s="13" t="inlineStr">
        <is>
          <t>revenue_growth_near</t>
        </is>
      </c>
      <c r="B8" s="15" t="n">
        <v>0.1279213954529603</v>
      </c>
      <c r="C8" s="15" t="n">
        <v>0.1423213954529603</v>
      </c>
      <c r="D8" s="15" t="inlineStr">
        <is>
          <t>conflict</t>
        </is>
      </c>
      <c r="E8" s="15" t="inlineStr"/>
      <c r="F8" s="14" t="inlineStr">
        <is>
          <t>Multiple profiles propose different values for this driver. Review queue items 84, 82 together.</t>
        </is>
      </c>
      <c r="G8" s="15" t="n"/>
      <c r="H8" s="15" t="n"/>
    </row>
    <row r="9" ht="40" customHeight="1">
      <c r="A9" s="13" t="inlineStr">
        <is>
          <t>ebit_margin_start</t>
        </is>
      </c>
      <c r="B9" s="15" t="n">
        <v>0.4401304548341256</v>
      </c>
      <c r="C9" s="15" t="n">
        <v>0.4401304548341256</v>
      </c>
      <c r="D9" s="15" t="inlineStr">
        <is>
          <t>ok</t>
        </is>
      </c>
      <c r="E9" s="15" t="inlineStr"/>
      <c r="F9" s="14" t="inlineStr">
        <is>
          <t>Current deterministic model source: ciq.</t>
        </is>
      </c>
      <c r="G9" s="15" t="n"/>
      <c r="H9" s="15" t="n"/>
    </row>
    <row r="10" ht="40" customHeight="1">
      <c r="A10" s="13" t="inlineStr">
        <is>
          <t>ebit_margin_target</t>
        </is>
      </c>
      <c r="B10" s="15" t="n">
        <v>0.3320652274170628</v>
      </c>
      <c r="C10" s="15" t="n">
        <v>0.3320652274170628</v>
      </c>
      <c r="D10" s="15" t="inlineStr">
        <is>
          <t>ok</t>
        </is>
      </c>
      <c r="E10" s="15" t="inlineStr"/>
      <c r="F10" s="14" t="inlineStr">
        <is>
          <t>Current deterministic model source: story_sector.</t>
        </is>
      </c>
      <c r="G10" s="15" t="n"/>
      <c r="H10" s="15" t="n"/>
    </row>
    <row r="11" ht="40" customHeight="1">
      <c r="A11" s="13" t="inlineStr">
        <is>
          <t>wacc</t>
        </is>
      </c>
      <c r="B11" s="15" t="n">
        <v>0.09326</v>
      </c>
      <c r="C11" s="15" t="n">
        <v>0.09326</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minority_interest default needs review</t>
        </is>
      </c>
      <c r="B19" s="15" t="inlineStr">
        <is>
          <t>low</t>
        </is>
      </c>
      <c r="C19" s="14" t="inlineStr">
        <is>
          <t>Default-resolution layer flagged this assumption.</t>
        </is>
      </c>
      <c r="D19" s="15" t="inlineStr"/>
      <c r="E19" s="15" t="n"/>
      <c r="F19" s="15" t="n"/>
      <c r="G19" s="15" t="n"/>
      <c r="H19" s="15" t="n"/>
    </row>
    <row r="20" ht="30" customHeight="1">
      <c r="A20" s="13" t="inlineStr">
        <is>
          <t>preferred_equity default needs review</t>
        </is>
      </c>
      <c r="B20" s="15" t="inlineStr">
        <is>
          <t>low</t>
        </is>
      </c>
      <c r="C20" s="14" t="inlineStr">
        <is>
          <t>Default-resolution layer flagged this assumption.</t>
        </is>
      </c>
      <c r="D20" s="15" t="inlineStr"/>
      <c r="E20" s="15" t="n"/>
      <c r="F20" s="15" t="n"/>
      <c r="G20" s="15" t="n"/>
      <c r="H20" s="15" t="n"/>
    </row>
    <row r="21"/>
    <row r="22"/>
    <row r="23">
      <c r="A23" s="3" t="inlineStr">
        <is>
          <t>Default-resolution fields (deterministic)</t>
        </is>
      </c>
      <c r="B23" s="4" t="n"/>
      <c r="C23" s="4" t="n"/>
      <c r="D23" s="4" t="n"/>
      <c r="E23" s="4" t="n"/>
      <c r="F23" s="4" t="n"/>
      <c r="G23" s="4" t="n"/>
      <c r="H23" s="4" t="n"/>
    </row>
    <row r="24">
      <c r="A24" s="12" t="inlineStr">
        <is>
          <t>Field</t>
        </is>
      </c>
      <c r="B24" s="12" t="inlineStr">
        <is>
          <t>Value</t>
        </is>
      </c>
      <c r="C24" s="12" t="inlineStr">
        <is>
          <t>Source</t>
        </is>
      </c>
      <c r="D24" s="12" t="inlineStr">
        <is>
          <t>Source class</t>
        </is>
      </c>
      <c r="E24" s="12" t="inlineStr">
        <is>
          <t>Severity</t>
        </is>
      </c>
      <c r="F24" s="12" t="inlineStr">
        <is>
          <t>PM review?</t>
        </is>
      </c>
      <c r="G24" s="12" t="inlineStr">
        <is>
          <t>Fallback</t>
        </is>
      </c>
      <c r="H24" s="12" t="inlineStr">
        <is>
          <t>Why it matters</t>
        </is>
      </c>
    </row>
    <row r="25" ht="30" customHeight="1">
      <c r="A25" s="18" t="inlineStr">
        <is>
          <t>pension_deficit</t>
        </is>
      </c>
      <c r="B25" s="15" t="n">
        <v>0</v>
      </c>
      <c r="C25" s="15" t="inlineStr">
        <is>
          <t>default</t>
        </is>
      </c>
      <c r="D25" s="15" t="inlineStr">
        <is>
          <t>unproven_zero</t>
        </is>
      </c>
      <c r="E25" s="21" t="inlineStr">
        <is>
          <t>medium</t>
        </is>
      </c>
      <c r="F25" s="19" t="inlineStr">
        <is>
          <t>YES</t>
        </is>
      </c>
      <c r="G25" s="15" t="n">
        <v>0</v>
      </c>
      <c r="H25" s="14" t="inlineStr">
        <is>
          <t>Can be a non-equity claim in the equity bridge.</t>
        </is>
      </c>
    </row>
    <row r="26" ht="30" customHeight="1">
      <c r="A26" s="18" t="inlineStr">
        <is>
          <t>minority_interest</t>
        </is>
      </c>
      <c r="B26" s="15" t="n">
        <v>0</v>
      </c>
      <c r="C26" s="15" t="inlineStr">
        <is>
          <t>default</t>
        </is>
      </c>
      <c r="D26" s="15" t="inlineStr">
        <is>
          <t>unproven_zero</t>
        </is>
      </c>
      <c r="E26" s="21" t="inlineStr">
        <is>
          <t>low</t>
        </is>
      </c>
      <c r="F26" s="19" t="inlineStr">
        <is>
          <t>YES</t>
        </is>
      </c>
      <c r="G26" s="15" t="n">
        <v>0</v>
      </c>
      <c r="H26" s="14" t="inlineStr">
        <is>
          <t>Can be a non-equity claim in the equity bridge.</t>
        </is>
      </c>
    </row>
    <row r="27" ht="30" customHeight="1">
      <c r="A27" s="18" t="inlineStr">
        <is>
          <t>preferred_equity</t>
        </is>
      </c>
      <c r="B27" s="15" t="n">
        <v>0</v>
      </c>
      <c r="C27" s="15" t="inlineStr">
        <is>
          <t>default</t>
        </is>
      </c>
      <c r="D27" s="15" t="inlineStr">
        <is>
          <t>unproven_zero</t>
        </is>
      </c>
      <c r="E27" s="21" t="inlineStr">
        <is>
          <t>low</t>
        </is>
      </c>
      <c r="F27" s="19" t="inlineStr">
        <is>
          <t>YES</t>
        </is>
      </c>
      <c r="G27" s="15" t="n">
        <v>0</v>
      </c>
      <c r="H27" s="14" t="inlineStr">
        <is>
          <t>Can be a non-equity claim in the equity bridge.</t>
        </is>
      </c>
    </row>
    <row r="28" ht="30" customHeight="1">
      <c r="A28" s="22" t="inlineStr">
        <is>
          <t>exit_multiple</t>
        </is>
      </c>
      <c r="B28" s="15" t="n">
        <v>20.072682</v>
      </c>
      <c r="C28" s="15" t="inlineStr">
        <is>
          <t>ciq_comps_tev_ebitda_fwd|story_sector</t>
        </is>
      </c>
      <c r="D28" s="15" t="inlineStr">
        <is>
          <t>ciq</t>
        </is>
      </c>
      <c r="E28" s="20" t="inlineStr">
        <is>
          <t>high</t>
        </is>
      </c>
      <c r="F28" s="23" t="inlineStr">
        <is>
          <t>no</t>
        </is>
      </c>
      <c r="G28" s="15" t="n">
        <v>16</v>
      </c>
      <c r="H28" s="14" t="inlineStr">
        <is>
          <t>Directly affects terminal value and equity value.</t>
        </is>
      </c>
    </row>
    <row r="29" ht="30" customHeight="1">
      <c r="A29" s="22" t="inlineStr">
        <is>
          <t>dso_start</t>
        </is>
      </c>
      <c r="B29" s="15" t="n">
        <v>68.90000000000001</v>
      </c>
      <c r="C29" s="15" t="inlineStr">
        <is>
          <t>ciq</t>
        </is>
      </c>
      <c r="D29" s="15" t="inlineStr">
        <is>
          <t>ciq</t>
        </is>
      </c>
      <c r="E29" s="20" t="inlineStr">
        <is>
          <t>medium</t>
        </is>
      </c>
      <c r="F29" s="23" t="inlineStr">
        <is>
          <t>no</t>
        </is>
      </c>
      <c r="G29" s="15" t="n">
        <v>45</v>
      </c>
      <c r="H29" s="14" t="inlineStr">
        <is>
          <t>Affects working-capital cash drag.</t>
        </is>
      </c>
    </row>
    <row r="30" ht="30" customHeight="1">
      <c r="A30" s="22" t="inlineStr">
        <is>
          <t>dio_start</t>
        </is>
      </c>
      <c r="B30" s="15" t="n">
        <v>5</v>
      </c>
      <c r="C30" s="15" t="inlineStr">
        <is>
          <t>ciq</t>
        </is>
      </c>
      <c r="D30" s="15" t="inlineStr">
        <is>
          <t>ciq</t>
        </is>
      </c>
      <c r="E30" s="20" t="inlineStr">
        <is>
          <t>medium</t>
        </is>
      </c>
      <c r="F30" s="23" t="inlineStr">
        <is>
          <t>no</t>
        </is>
      </c>
      <c r="G30" s="15" t="n">
        <v>35</v>
      </c>
      <c r="H30" s="14" t="inlineStr">
        <is>
          <t>Affects inventory investment and working-capital cash drag.</t>
        </is>
      </c>
    </row>
    <row r="31" ht="30" customHeight="1">
      <c r="A31" s="22" t="inlineStr">
        <is>
          <t>dpo_start</t>
        </is>
      </c>
      <c r="B31" s="15" t="n">
        <v>43</v>
      </c>
      <c r="C31" s="15" t="inlineStr">
        <is>
          <t>ciq</t>
        </is>
      </c>
      <c r="D31" s="15" t="inlineStr">
        <is>
          <t>ciq</t>
        </is>
      </c>
      <c r="E31" s="20" t="inlineStr">
        <is>
          <t>medium</t>
        </is>
      </c>
      <c r="F31" s="23" t="inlineStr">
        <is>
          <t>no</t>
        </is>
      </c>
      <c r="G31" s="15" t="n">
        <v>38</v>
      </c>
      <c r="H31" s="14" t="inlineStr">
        <is>
          <t>Affects supplier financing and working-capital cash drag.</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390.74</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0</v>
      </c>
      <c r="D10" s="25" t="n"/>
      <c r="E10" s="26">
        <f>IF(D10="",C10,D10)</f>
        <v/>
      </c>
      <c r="F10" s="15" t="inlineStr">
        <is>
          <t>$mm</t>
        </is>
      </c>
      <c r="G10" s="15" t="inlineStr">
        <is>
          <t>default</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0</v>
      </c>
      <c r="D13" s="25" t="n"/>
      <c r="E13" s="26">
        <f>IF(D13="",C13,D13)</f>
        <v/>
      </c>
      <c r="F13" s="15" t="inlineStr">
        <is>
          <t>$mm</t>
        </is>
      </c>
      <c r="G13" s="15" t="inlineStr">
        <is>
          <t>default</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0.09326</v>
      </c>
      <c r="D19" s="30" t="n"/>
      <c r="E19" s="31">
        <f>IF(D19="",C19,D19)</f>
        <v/>
      </c>
      <c r="F19" s="15" t="inlineStr">
        <is>
          <t>%</t>
        </is>
      </c>
      <c r="G19" s="15" t="inlineStr"/>
      <c r="H19" s="15" t="inlineStr"/>
    </row>
    <row r="20">
      <c r="A20" s="15" t="inlineStr">
        <is>
          <t>WACC</t>
        </is>
      </c>
      <c r="B20" s="15" t="inlineStr">
        <is>
          <t>cost_of_equity</t>
        </is>
      </c>
      <c r="C20" s="29" t="n">
        <v>0.09434999999999999</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1.1</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283.16</v>
      </c>
      <c r="D36" s="25" t="n"/>
      <c r="E36" s="26">
        <f>IF(D36="",C36,D36)</f>
        <v/>
      </c>
      <c r="F36" s="15" t="inlineStr">
        <is>
          <t>$/sh</t>
        </is>
      </c>
      <c r="G36" s="15" t="inlineStr"/>
      <c r="H36" s="15" t="inlineStr"/>
    </row>
    <row r="37">
      <c r="A37" s="15" t="inlineStr">
        <is>
          <t>Backend</t>
        </is>
      </c>
      <c r="B37" s="15" t="inlineStr">
        <is>
          <t>backend_iv_gordon</t>
        </is>
      </c>
      <c r="C37" s="24" t="n">
        <v>229.25</v>
      </c>
      <c r="D37" s="25" t="n"/>
      <c r="E37" s="26">
        <f>IF(D37="",C37,D37)</f>
        <v/>
      </c>
      <c r="F37" s="15" t="inlineStr">
        <is>
          <t>$/sh</t>
        </is>
      </c>
      <c r="G37" s="15" t="inlineStr"/>
      <c r="H37" s="15" t="inlineStr"/>
    </row>
    <row r="38">
      <c r="A38" s="15" t="inlineStr">
        <is>
          <t>Backend</t>
        </is>
      </c>
      <c r="B38" s="15" t="inlineStr">
        <is>
          <t>backend_iv_exit</t>
        </is>
      </c>
      <c r="C38" s="24" t="n">
        <v>387.8</v>
      </c>
      <c r="D38" s="25" t="n"/>
      <c r="E38" s="26">
        <f>IF(D38="",C38,D38)</f>
        <v/>
      </c>
      <c r="F38" s="15" t="inlineStr">
        <is>
          <t>$/sh</t>
        </is>
      </c>
      <c r="G38" s="15" t="inlineStr"/>
      <c r="H38" s="15" t="inlineStr"/>
    </row>
    <row r="39">
      <c r="A39" s="15" t="inlineStr">
        <is>
          <t>Backend</t>
        </is>
      </c>
      <c r="B39" s="15" t="inlineStr">
        <is>
          <t>backend_tv_pct_ev</t>
        </is>
      </c>
      <c r="C39" s="29" t="n">
        <v>0.797</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3" customWidth="1" min="4" max="4"/>
    <col width="10" customWidth="1" min="5" max="5"/>
    <col width="23" customWidth="1" min="6" max="6"/>
    <col width="10" customWidth="1" min="7" max="7"/>
    <col width="22" customWidth="1" min="8" max="8"/>
    <col width="8" customWidth="1" min="9" max="9"/>
    <col width="22" customWidth="1" min="10" max="10"/>
    <col width="9" customWidth="1" min="11" max="11"/>
    <col width="22" customWidth="1" min="12" max="12"/>
    <col width="10" customWidth="1" min="13" max="13"/>
    <col width="10" customWidth="1" min="14" max="14"/>
    <col width="9" customWidth="1" min="15" max="15"/>
    <col width="22" customWidth="1" min="16" max="16"/>
    <col width="9" customWidth="1" min="17" max="17"/>
    <col width="8" customWidth="1" min="18" max="18"/>
    <col width="21"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5" t="inlineStr">
        <is>
          <t>FY16</t>
        </is>
      </c>
      <c r="B5" s="15" t="inlineStr">
        <is>
          <t>2016-05-28</t>
        </is>
      </c>
      <c r="C5" s="35" t="n">
        <v>1908.65</v>
      </c>
      <c r="D5" s="16" t="n">
        <v>0.2109739818085843</v>
      </c>
      <c r="E5" s="35" t="n">
        <v>470.314</v>
      </c>
      <c r="F5" s="16" t="n">
        <v>0.246411861787127</v>
      </c>
      <c r="G5" s="35" t="n">
        <v>514.9059999999999</v>
      </c>
      <c r="H5" s="16" t="n">
        <v>0.2697749718387342</v>
      </c>
      <c r="I5" s="35" t="n">
        <v>41.992</v>
      </c>
      <c r="J5" s="16" t="n">
        <v>0.02200089068189558</v>
      </c>
      <c r="K5" s="35" t="n">
        <v>76.125</v>
      </c>
      <c r="L5" s="16" t="n">
        <v>0.03988421135357451</v>
      </c>
      <c r="M5" s="35" t="n">
        <v>388.437</v>
      </c>
      <c r="N5" s="35" t="n">
        <v>485.665</v>
      </c>
      <c r="O5" s="35" t="n">
        <v>169.202</v>
      </c>
      <c r="P5" s="16" t="n">
        <v>0.3483924104063501</v>
      </c>
      <c r="Q5" s="35" t="n">
        <v>29.046</v>
      </c>
      <c r="R5" s="35" t="n">
        <v>25.57</v>
      </c>
      <c r="S5" s="35" t="n">
        <v>-3.475999999999999</v>
      </c>
      <c r="T5" s="35" t="n">
        <v>1111.765</v>
      </c>
      <c r="U5" s="35" t="n">
        <v>917.361</v>
      </c>
      <c r="V5" s="15" t="inlineStr">
        <is>
          <t>MSFT_Standard.xlsx</t>
        </is>
      </c>
    </row>
    <row r="6">
      <c r="A6" s="15" t="inlineStr">
        <is>
          <t>FY17</t>
        </is>
      </c>
      <c r="B6" s="15" t="inlineStr">
        <is>
          <t>2017-06-03</t>
        </is>
      </c>
      <c r="C6" s="35" t="n">
        <v>1074.513</v>
      </c>
      <c r="D6" s="16" t="n">
        <v>-0.437029837843502</v>
      </c>
      <c r="E6" s="35" t="n">
        <v>-130.482</v>
      </c>
      <c r="F6" s="16" t="n">
        <v>-0.1214336169036578</v>
      </c>
      <c r="G6" s="35" t="n">
        <v>-81.369</v>
      </c>
      <c r="H6" s="16" t="n">
        <v>-0.07572639884301074</v>
      </c>
      <c r="I6" s="35" t="n">
        <v>46.913</v>
      </c>
      <c r="J6" s="16" t="n">
        <v>0.04365977889518322</v>
      </c>
      <c r="K6" s="35" t="n">
        <v>66.657</v>
      </c>
      <c r="L6" s="16" t="n">
        <v>0.06203461475105466</v>
      </c>
      <c r="M6" s="35" t="n">
        <v>-45.918</v>
      </c>
      <c r="N6" s="35" t="n">
        <v>-110.854</v>
      </c>
      <c r="O6" s="35" t="n">
        <v>39.867</v>
      </c>
      <c r="P6" s="16" t="n">
        <v>-0.3596351958431811</v>
      </c>
      <c r="Q6" s="35" t="n">
        <v>17.564</v>
      </c>
      <c r="R6" s="35" t="n">
        <v>10.939</v>
      </c>
      <c r="S6" s="35" t="n">
        <v>-6.625</v>
      </c>
      <c r="T6" s="35" t="n">
        <v>1033.094</v>
      </c>
      <c r="U6" s="35" t="n">
        <v>844.4930000000001</v>
      </c>
      <c r="V6" s="15" t="inlineStr">
        <is>
          <t>MSFT_Standard.xlsx</t>
        </is>
      </c>
    </row>
    <row r="7">
      <c r="A7" s="15" t="inlineStr">
        <is>
          <t>FY18</t>
        </is>
      </c>
      <c r="B7" s="15" t="inlineStr">
        <is>
          <t>2018-06-02</t>
        </is>
      </c>
      <c r="C7" s="35" t="n">
        <v>1502.932</v>
      </c>
      <c r="D7" s="16" t="n">
        <v>0.3987099271949246</v>
      </c>
      <c r="E7" s="35" t="n">
        <v>181.73</v>
      </c>
      <c r="F7" s="16" t="n">
        <v>0.1209169809412535</v>
      </c>
      <c r="G7" s="35" t="n">
        <v>235.756</v>
      </c>
      <c r="H7" s="16" t="n">
        <v>0.1568640497374465</v>
      </c>
      <c r="I7" s="35" t="n">
        <v>51.226</v>
      </c>
      <c r="J7" s="16" t="n">
        <v>0.03408404372253701</v>
      </c>
      <c r="K7" s="35" t="n">
        <v>19.671</v>
      </c>
      <c r="L7" s="16" t="n">
        <v>0.01308841650853132</v>
      </c>
      <c r="M7" s="35" t="n">
        <v>200.415</v>
      </c>
      <c r="N7" s="35" t="n">
        <v>198.595</v>
      </c>
      <c r="O7" s="35" t="n">
        <v>8.859</v>
      </c>
      <c r="P7" s="16" t="n">
        <v>0.04460837382612855</v>
      </c>
      <c r="Q7" s="35" t="n">
        <v>48.431</v>
      </c>
      <c r="R7" s="35" t="n">
        <v>6.09</v>
      </c>
      <c r="S7" s="35" t="n">
        <v>-42.34099999999999</v>
      </c>
      <c r="T7" s="35" t="n">
        <v>1150.447</v>
      </c>
      <c r="U7" s="35" t="n">
        <v>955.682</v>
      </c>
      <c r="V7" s="15" t="inlineStr">
        <is>
          <t>MSFT_Standard.xlsx</t>
        </is>
      </c>
    </row>
    <row r="8">
      <c r="A8" s="15" t="inlineStr">
        <is>
          <t>FY19</t>
        </is>
      </c>
      <c r="B8" s="15" t="inlineStr">
        <is>
          <t>2019-06-01</t>
        </is>
      </c>
      <c r="C8" s="35" t="n">
        <v>1361.188</v>
      </c>
      <c r="D8" s="16" t="n">
        <v>-0.0943116521572499</v>
      </c>
      <c r="E8" s="35" t="n">
        <v>45.814</v>
      </c>
      <c r="F8" s="16" t="n">
        <v>0.03365736400849845</v>
      </c>
      <c r="G8" s="35" t="n">
        <v>100.464</v>
      </c>
      <c r="H8" s="16" t="n">
        <v>0.07380611642183151</v>
      </c>
      <c r="I8" s="35" t="n">
        <v>51.85</v>
      </c>
      <c r="J8" s="16" t="n">
        <v>0.0380917257572062</v>
      </c>
      <c r="K8" s="35" t="n">
        <v>67.989</v>
      </c>
      <c r="L8" s="16" t="n">
        <v>0.04994828047264595</v>
      </c>
      <c r="M8" s="35" t="n">
        <v>115.085</v>
      </c>
      <c r="N8" s="35" t="n">
        <v>70.81399999999999</v>
      </c>
      <c r="O8" s="35" t="n">
        <v>15.743</v>
      </c>
      <c r="P8" s="16" t="n">
        <v>0.2223147965091649</v>
      </c>
      <c r="Q8" s="35" t="n">
        <v>69.247</v>
      </c>
      <c r="R8" s="35" t="n">
        <v>2.554</v>
      </c>
      <c r="S8" s="35" t="n">
        <v>-66.693</v>
      </c>
      <c r="T8" s="35" t="n">
        <v>1156.278</v>
      </c>
      <c r="U8" s="35" t="n">
        <v>989.806</v>
      </c>
      <c r="V8" s="15" t="inlineStr">
        <is>
          <t>MSFT_Standard.xlsx</t>
        </is>
      </c>
    </row>
    <row r="9">
      <c r="A9" s="15" t="inlineStr">
        <is>
          <t>FY20</t>
        </is>
      </c>
      <c r="B9" s="15" t="inlineStr">
        <is>
          <t>2020-05-30</t>
        </is>
      </c>
      <c r="C9" s="35" t="n">
        <v>1351.609</v>
      </c>
      <c r="D9" s="16" t="n">
        <v>-0.007037235121085561</v>
      </c>
      <c r="E9" s="35" t="n">
        <v>1.351</v>
      </c>
      <c r="F9" s="16" t="n">
        <v>0.0009995494259064568</v>
      </c>
      <c r="G9" s="35" t="n">
        <v>59.454</v>
      </c>
      <c r="H9" s="16" t="n">
        <v>0.04398757332926904</v>
      </c>
      <c r="I9" s="35" t="n">
        <v>55.203</v>
      </c>
      <c r="J9" s="16" t="n">
        <v>0.04084243298172771</v>
      </c>
      <c r="K9" s="35" t="n">
        <v>124.178</v>
      </c>
      <c r="L9" s="16" t="n">
        <v>0.09187420326440561</v>
      </c>
      <c r="M9" s="35" t="n">
        <v>73.60899999999999</v>
      </c>
      <c r="N9" s="35" t="n">
        <v>20.002</v>
      </c>
      <c r="O9" s="35" t="n">
        <v>1.731</v>
      </c>
      <c r="P9" s="16" t="n">
        <v>0.08654134586541347</v>
      </c>
      <c r="Q9" s="35" t="n">
        <v>78.13</v>
      </c>
      <c r="R9" s="35" t="n">
        <v>3.388</v>
      </c>
      <c r="S9" s="35" t="n">
        <v>-74.74199999999999</v>
      </c>
      <c r="T9" s="35" t="n">
        <v>1206.694</v>
      </c>
      <c r="U9" s="35" t="n">
        <v>1009.675</v>
      </c>
      <c r="V9" s="15" t="inlineStr">
        <is>
          <t>MSFT_Standard.xlsx</t>
        </is>
      </c>
    </row>
    <row r="10">
      <c r="A10" s="15" t="inlineStr">
        <is>
          <t>FY21</t>
        </is>
      </c>
      <c r="B10" s="15" t="inlineStr">
        <is>
          <t>2021-05-29</t>
        </is>
      </c>
      <c r="C10" s="35" t="n">
        <v>1348.987</v>
      </c>
      <c r="D10" s="16" t="n">
        <v>-0.001939910136733225</v>
      </c>
      <c r="E10" s="35" t="n">
        <v>-23.282</v>
      </c>
      <c r="F10" s="16" t="n">
        <v>-0.01725887647545899</v>
      </c>
      <c r="G10" s="35" t="n">
        <v>36.195</v>
      </c>
      <c r="H10" s="16" t="n">
        <v>0.02683124448197054</v>
      </c>
      <c r="I10" s="35" t="n">
        <v>59.477</v>
      </c>
      <c r="J10" s="16" t="n">
        <v>0.04409012095742953</v>
      </c>
      <c r="K10" s="35" t="n">
        <v>95.069</v>
      </c>
      <c r="L10" s="16" t="n">
        <v>0.07047436335561424</v>
      </c>
      <c r="M10" s="35" t="n">
        <v>26.136</v>
      </c>
      <c r="N10" s="35" t="n">
        <v>-5.616</v>
      </c>
      <c r="O10" s="35" t="n">
        <v>12.009</v>
      </c>
      <c r="P10" s="16" t="n">
        <v>-2.138354700854701</v>
      </c>
      <c r="Q10" s="35" t="n">
        <v>57.352</v>
      </c>
      <c r="R10" s="35" t="n">
        <v>2.378</v>
      </c>
      <c r="S10" s="35" t="n">
        <v>-54.974</v>
      </c>
      <c r="T10" s="35" t="n">
        <v>1229.174</v>
      </c>
      <c r="U10" s="35" t="n">
        <v>1012.781</v>
      </c>
      <c r="V10" s="15" t="inlineStr">
        <is>
          <t>MSFT_Standard.xlsx</t>
        </is>
      </c>
    </row>
    <row r="11">
      <c r="A11" s="15" t="inlineStr">
        <is>
          <t>FY22</t>
        </is>
      </c>
      <c r="B11" s="15" t="inlineStr">
        <is>
          <t>2022-05-28</t>
        </is>
      </c>
      <c r="C11" s="35" t="n">
        <v>1777.159</v>
      </c>
      <c r="D11" s="16" t="n">
        <v>0.3174026139614392</v>
      </c>
      <c r="E11" s="35" t="n">
        <v>138.428</v>
      </c>
      <c r="F11" s="16" t="n">
        <v>0.07789286158413512</v>
      </c>
      <c r="G11" s="35" t="n">
        <v>206.823</v>
      </c>
      <c r="H11" s="16" t="n">
        <v>0.1163784444723291</v>
      </c>
      <c r="I11" s="35" t="n">
        <v>68.395</v>
      </c>
      <c r="J11" s="16" t="n">
        <v>0.03848558288819402</v>
      </c>
      <c r="K11" s="35" t="n">
        <v>72.399</v>
      </c>
      <c r="L11" s="16" t="n">
        <v>0.04073861708490911</v>
      </c>
      <c r="M11" s="35" t="n">
        <v>126.209</v>
      </c>
      <c r="N11" s="35" t="n">
        <v>160.801</v>
      </c>
      <c r="O11" s="35" t="n">
        <v>33.574</v>
      </c>
      <c r="P11" s="16" t="n">
        <v>0.2087922338791426</v>
      </c>
      <c r="Q11" s="35" t="n">
        <v>59.084</v>
      </c>
      <c r="R11" s="35" t="n">
        <v>0</v>
      </c>
      <c r="S11" s="35" t="n">
        <v>-59.084</v>
      </c>
      <c r="T11" s="35" t="n">
        <v>1427.489</v>
      </c>
      <c r="U11" s="35" t="n">
        <v>1104.345</v>
      </c>
      <c r="V11" s="15" t="inlineStr">
        <is>
          <t>MSFT_Standard.xlsx</t>
        </is>
      </c>
    </row>
    <row r="12">
      <c r="A12" s="15" t="inlineStr">
        <is>
          <t>FY23</t>
        </is>
      </c>
      <c r="B12" s="15" t="inlineStr">
        <is>
          <t>2023-06-03</t>
        </is>
      </c>
      <c r="C12" s="35" t="n">
        <v>3146.217</v>
      </c>
      <c r="D12" s="16" t="n">
        <v>0.7703632595620313</v>
      </c>
      <c r="E12" s="35" t="n">
        <v>964.25</v>
      </c>
      <c r="F12" s="16" t="n">
        <v>0.3064791780096541</v>
      </c>
      <c r="G12" s="35" t="n">
        <v>1036.484</v>
      </c>
      <c r="H12" s="16" t="n">
        <v>0.3294381792482845</v>
      </c>
      <c r="I12" s="35" t="n">
        <v>70</v>
      </c>
      <c r="J12" s="16" t="n">
        <v>0.02224894214226164</v>
      </c>
      <c r="K12" s="35" t="n">
        <v>136.569</v>
      </c>
      <c r="L12" s="16" t="n">
        <v>0.04340736827752185</v>
      </c>
      <c r="M12" s="35" t="n">
        <v>863.01</v>
      </c>
      <c r="N12" s="35" t="n">
        <v>998.455</v>
      </c>
      <c r="O12" s="35" t="n">
        <v>241.818</v>
      </c>
      <c r="P12" s="16" t="n">
        <v>0.242192186928805</v>
      </c>
      <c r="Q12" s="35" t="n">
        <v>292.824</v>
      </c>
      <c r="R12" s="35" t="n">
        <v>0</v>
      </c>
      <c r="S12" s="35" t="n">
        <v>-292.824</v>
      </c>
      <c r="T12" s="35" t="n">
        <v>1954.525</v>
      </c>
      <c r="U12" s="35" t="n">
        <v>1609.583</v>
      </c>
      <c r="V12" s="15" t="inlineStr">
        <is>
          <t>MSFT_Standard.xlsx</t>
        </is>
      </c>
    </row>
    <row r="13">
      <c r="A13" s="15" t="inlineStr">
        <is>
          <t>FY24</t>
        </is>
      </c>
      <c r="B13" s="15" t="inlineStr">
        <is>
          <t>2024-06-01</t>
        </is>
      </c>
      <c r="C13" s="35" t="n">
        <v>2326.443</v>
      </c>
      <c r="D13" s="16" t="n">
        <v>-0.2605586327961484</v>
      </c>
      <c r="E13" s="35" t="n">
        <v>314.094</v>
      </c>
      <c r="F13" s="16" t="n">
        <v>0.1350103999969051</v>
      </c>
      <c r="G13" s="35" t="n">
        <v>394.335</v>
      </c>
      <c r="H13" s="16" t="n">
        <v>0.1695012514813387</v>
      </c>
      <c r="I13" s="35" t="n">
        <v>78.068</v>
      </c>
      <c r="J13" s="16" t="n">
        <v>0.0335568075383751</v>
      </c>
      <c r="K13" s="35" t="n">
        <v>147.116</v>
      </c>
      <c r="L13" s="16" t="n">
        <v>0.06323645152707373</v>
      </c>
      <c r="M13" s="35" t="n">
        <v>451.398</v>
      </c>
      <c r="N13" s="35" t="n">
        <v>384.954</v>
      </c>
      <c r="O13" s="35" t="n">
        <v>83.68899999999999</v>
      </c>
      <c r="P13" s="16" t="n">
        <v>0.2174000010390852</v>
      </c>
      <c r="Q13" s="35" t="n">
        <v>237.878</v>
      </c>
      <c r="R13" s="35" t="n">
        <v>0</v>
      </c>
      <c r="S13" s="35" t="n">
        <v>-237.878</v>
      </c>
      <c r="T13" s="35" t="n">
        <v>2184.761</v>
      </c>
      <c r="U13" s="35" t="n">
        <v>1797.043</v>
      </c>
      <c r="V13" s="15" t="inlineStr">
        <is>
          <t>MSFT_Standard.xlsx</t>
        </is>
      </c>
    </row>
    <row r="14">
      <c r="A14" s="15" t="inlineStr">
        <is>
          <t>FY25</t>
        </is>
      </c>
      <c r="B14" s="15" t="inlineStr">
        <is>
          <t>2025-05-31</t>
        </is>
      </c>
      <c r="C14" s="35" t="n">
        <v>4261.885</v>
      </c>
      <c r="D14" s="16" t="n">
        <v>0.8319318375734974</v>
      </c>
      <c r="E14" s="35" t="n">
        <v>1551.436</v>
      </c>
      <c r="F14" s="16" t="n">
        <v>0.36402577732623</v>
      </c>
      <c r="G14" s="35" t="n">
        <v>1645.457</v>
      </c>
      <c r="H14" s="16" t="n">
        <v>0.3860866729158577</v>
      </c>
      <c r="I14" s="35" t="n">
        <v>91.863</v>
      </c>
      <c r="J14" s="16" t="n">
        <v>0.02155454687303857</v>
      </c>
      <c r="K14" s="35" t="n">
        <v>161.255</v>
      </c>
      <c r="L14" s="16" t="n">
        <v>0.03783654415827738</v>
      </c>
      <c r="M14" s="35" t="n">
        <v>1224.734</v>
      </c>
      <c r="N14" s="35" t="n">
        <v>1617.807</v>
      </c>
      <c r="O14" s="35" t="n">
        <v>384.91</v>
      </c>
      <c r="P14" s="16" t="n">
        <v>0.2379208397540621</v>
      </c>
      <c r="Q14" s="35" t="n">
        <v>499.392</v>
      </c>
      <c r="R14" s="35" t="n">
        <v>0</v>
      </c>
      <c r="S14" s="35" t="n">
        <v>-499.392</v>
      </c>
      <c r="T14" s="35" t="n">
        <v>3084.619</v>
      </c>
      <c r="U14" s="35" t="n">
        <v>2566.015</v>
      </c>
      <c r="V14" s="15" t="inlineStr">
        <is>
          <t>MSFT_Standard.xlsx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0.4401304548341256</v>
      </c>
      <c r="E5" s="16" t="n">
        <v>0.2040942692198177</v>
      </c>
      <c r="F5" s="16" t="n">
        <v>0.1810700991691587</v>
      </c>
      <c r="G5" s="16" t="n">
        <v>0.005</v>
      </c>
      <c r="H5" s="36" t="n">
        <v>68.90000000000001</v>
      </c>
      <c r="I5" s="36" t="n">
        <v>5</v>
      </c>
      <c r="J5" s="36" t="n">
        <v>43</v>
      </c>
      <c r="K5" s="36" t="n">
        <v>158001.079</v>
      </c>
      <c r="L5" s="36" t="n">
        <v>125753.964</v>
      </c>
      <c r="M5" s="36" t="n">
        <v>1794.935</v>
      </c>
      <c r="N5" s="36" t="n">
        <v>65001.798</v>
      </c>
      <c r="O5" s="36" t="n">
        <v>67764.929</v>
      </c>
      <c r="P5" s="36" t="n">
        <v>1516.105</v>
      </c>
      <c r="Q5" s="36" t="n">
        <v>13038.504</v>
      </c>
      <c r="R5" s="36" t="n">
        <v>56242.531</v>
      </c>
      <c r="S5" s="36" t="n">
        <v>6378.656</v>
      </c>
      <c r="T5" s="36" t="n">
        <v>56168.444</v>
      </c>
      <c r="U5" s="36" t="n">
        <v>1.09326</v>
      </c>
      <c r="V5" s="36" t="n">
        <v>51377.023</v>
      </c>
      <c r="W5" s="16" t="n">
        <v>0.2809874455967756</v>
      </c>
      <c r="X5" s="36" t="n">
        <v>84016.10400000001</v>
      </c>
    </row>
    <row r="6">
      <c r="A6" s="15" t="n">
        <v>2</v>
      </c>
      <c r="B6" s="36" t="n">
        <v>404909.035</v>
      </c>
      <c r="C6" s="16" t="n">
        <v>0.1279213954529603</v>
      </c>
      <c r="D6" s="16" t="n">
        <v>0.4281232073433408</v>
      </c>
      <c r="E6" s="16" t="n">
        <v>0.2040942692198177</v>
      </c>
      <c r="F6" s="16" t="n">
        <v>0.1795085986182189</v>
      </c>
      <c r="G6" s="16" t="n">
        <v>0.00475</v>
      </c>
      <c r="H6" s="36" t="n">
        <v>67.04111111111112</v>
      </c>
      <c r="I6" s="36" t="n">
        <v>7.333333333333333</v>
      </c>
      <c r="J6" s="36" t="n">
        <v>42.61111111111111</v>
      </c>
      <c r="K6" s="36" t="n">
        <v>173350.955</v>
      </c>
      <c r="L6" s="36" t="n">
        <v>137971.018</v>
      </c>
      <c r="M6" s="36" t="n">
        <v>1923.318</v>
      </c>
      <c r="N6" s="36" t="n">
        <v>72684.65300000001</v>
      </c>
      <c r="O6" s="36" t="n">
        <v>74371.374</v>
      </c>
      <c r="P6" s="36" t="n">
        <v>2508.069</v>
      </c>
      <c r="Q6" s="36" t="n">
        <v>14573.403</v>
      </c>
      <c r="R6" s="36" t="n">
        <v>62306.04</v>
      </c>
      <c r="S6" s="36" t="n">
        <v>6063.509</v>
      </c>
      <c r="T6" s="36" t="n">
        <v>61146.173</v>
      </c>
      <c r="U6" s="36" t="n">
        <v>1.1952174276</v>
      </c>
      <c r="V6" s="36" t="n">
        <v>51159.038</v>
      </c>
      <c r="W6" s="16" t="n">
        <v>0.2668021834051162</v>
      </c>
      <c r="X6" s="36" t="n">
        <v>89743.61199999999</v>
      </c>
    </row>
    <row r="7">
      <c r="A7" s="15" t="n">
        <v>3</v>
      </c>
      <c r="B7" s="36" t="n">
        <v>456705.564</v>
      </c>
      <c r="C7" s="16" t="n">
        <v>0.1279213954529603</v>
      </c>
      <c r="D7" s="16" t="n">
        <v>0.4161159598525561</v>
      </c>
      <c r="E7" s="16" t="n">
        <v>0.2040942692198177</v>
      </c>
      <c r="F7" s="16" t="n">
        <v>0.1779470980672792</v>
      </c>
      <c r="G7" s="16" t="n">
        <v>0.004500000000000001</v>
      </c>
      <c r="H7" s="36" t="n">
        <v>65.18222222222222</v>
      </c>
      <c r="I7" s="36" t="n">
        <v>9.666666666666666</v>
      </c>
      <c r="J7" s="36" t="n">
        <v>42.22222222222222</v>
      </c>
      <c r="K7" s="36" t="n">
        <v>190042.474</v>
      </c>
      <c r="L7" s="36" t="n">
        <v>151255.894</v>
      </c>
      <c r="M7" s="36" t="n">
        <v>2055.175</v>
      </c>
      <c r="N7" s="36" t="n">
        <v>81269.42999999999</v>
      </c>
      <c r="O7" s="36" t="n">
        <v>81559.133</v>
      </c>
      <c r="P7" s="36" t="n">
        <v>3729.011</v>
      </c>
      <c r="Q7" s="36" t="n">
        <v>16287.636</v>
      </c>
      <c r="R7" s="36" t="n">
        <v>69000.50900000001</v>
      </c>
      <c r="S7" s="36" t="n">
        <v>6694.468</v>
      </c>
      <c r="T7" s="36" t="n">
        <v>65347.171</v>
      </c>
      <c r="U7" s="36" t="n">
        <v>1.306683404897976</v>
      </c>
      <c r="V7" s="36" t="n">
        <v>50009.95</v>
      </c>
      <c r="W7" s="16" t="n">
        <v>0.2546595457710995</v>
      </c>
      <c r="X7" s="36" t="n">
        <v>95863.803</v>
      </c>
    </row>
    <row r="8">
      <c r="A8" s="15" t="n">
        <v>4</v>
      </c>
      <c r="B8" s="36" t="n">
        <v>512624.159</v>
      </c>
      <c r="C8" s="16" t="n">
        <v>0.1224390499335477</v>
      </c>
      <c r="D8" s="16" t="n">
        <v>0.4041087123617713</v>
      </c>
      <c r="E8" s="16" t="n">
        <v>0.2040942692198177</v>
      </c>
      <c r="F8" s="16" t="n">
        <v>0.1763855975163394</v>
      </c>
      <c r="G8" s="16" t="n">
        <v>0.00425</v>
      </c>
      <c r="H8" s="36" t="n">
        <v>63.32333333333334</v>
      </c>
      <c r="I8" s="36" t="n">
        <v>12</v>
      </c>
      <c r="J8" s="36" t="n">
        <v>41.83333333333334</v>
      </c>
      <c r="K8" s="36" t="n">
        <v>207155.889</v>
      </c>
      <c r="L8" s="36" t="n">
        <v>164876.559</v>
      </c>
      <c r="M8" s="36" t="n">
        <v>2178.653</v>
      </c>
      <c r="N8" s="36" t="n">
        <v>90419.519</v>
      </c>
      <c r="O8" s="36" t="n">
        <v>88934.44</v>
      </c>
      <c r="P8" s="36" t="n">
        <v>5195.902</v>
      </c>
      <c r="Q8" s="36" t="n">
        <v>18113.493</v>
      </c>
      <c r="R8" s="36" t="n">
        <v>76016.849</v>
      </c>
      <c r="S8" s="36" t="n">
        <v>7016.341</v>
      </c>
      <c r="T8" s="36" t="n">
        <v>69619.352</v>
      </c>
      <c r="U8" s="36" t="n">
        <v>1.428544699238761</v>
      </c>
      <c r="V8" s="36" t="n">
        <v>48734.459</v>
      </c>
      <c r="W8" s="16" t="n">
        <v>0.2425147128872247</v>
      </c>
      <c r="X8" s="36" t="n">
        <v>101472.621</v>
      </c>
    </row>
    <row r="9">
      <c r="A9" s="15" t="n">
        <v>5</v>
      </c>
      <c r="B9" s="36" t="n">
        <v>572578.991</v>
      </c>
      <c r="C9" s="16" t="n">
        <v>0.1169567044141351</v>
      </c>
      <c r="D9" s="16" t="n">
        <v>0.3921014648709866</v>
      </c>
      <c r="E9" s="16" t="n">
        <v>0.2040942692198177</v>
      </c>
      <c r="F9" s="16" t="n">
        <v>0.1748240969653996</v>
      </c>
      <c r="G9" s="16" t="n">
        <v>0.004</v>
      </c>
      <c r="H9" s="36" t="n">
        <v>61.46444444444445</v>
      </c>
      <c r="I9" s="36" t="n">
        <v>14.33333333333333</v>
      </c>
      <c r="J9" s="36" t="n">
        <v>41.44444444444444</v>
      </c>
      <c r="K9" s="36" t="n">
        <v>224509.061</v>
      </c>
      <c r="L9" s="36" t="n">
        <v>178688.048</v>
      </c>
      <c r="M9" s="36" t="n">
        <v>2290.316</v>
      </c>
      <c r="N9" s="36" t="n">
        <v>100100.605</v>
      </c>
      <c r="O9" s="36" t="n">
        <v>96419.86199999999</v>
      </c>
      <c r="P9" s="36" t="n">
        <v>6932.075</v>
      </c>
      <c r="Q9" s="36" t="n">
        <v>20043.908</v>
      </c>
      <c r="R9" s="36" t="n">
        <v>83308.03</v>
      </c>
      <c r="S9" s="36" t="n">
        <v>7291.18</v>
      </c>
      <c r="T9" s="36" t="n">
        <v>73586.579</v>
      </c>
      <c r="U9" s="36" t="n">
        <v>1.561770777889767</v>
      </c>
      <c r="V9" s="36" t="n">
        <v>47117.4</v>
      </c>
      <c r="W9" s="16" t="n">
        <v>0.2305297386735278</v>
      </c>
      <c r="X9" s="36" t="n">
        <v>106400.423</v>
      </c>
    </row>
    <row r="10">
      <c r="A10" s="15" t="n">
        <v>6</v>
      </c>
      <c r="B10" s="36" t="n">
        <v>636406.867</v>
      </c>
      <c r="C10" s="16" t="n">
        <v>0.1114743588947225</v>
      </c>
      <c r="D10" s="16" t="n">
        <v>0.3800942173802018</v>
      </c>
      <c r="E10" s="16" t="n">
        <v>0.2040942692198177</v>
      </c>
      <c r="F10" s="16" t="n">
        <v>0.1732625964144598</v>
      </c>
      <c r="G10" s="16" t="n">
        <v>0.00375</v>
      </c>
      <c r="H10" s="36" t="n">
        <v>59.60555555555555</v>
      </c>
      <c r="I10" s="36" t="n">
        <v>16.66666666666667</v>
      </c>
      <c r="J10" s="36" t="n">
        <v>41.05555555555556</v>
      </c>
      <c r="K10" s="36" t="n">
        <v>241894.57</v>
      </c>
      <c r="L10" s="36" t="n">
        <v>192525.275</v>
      </c>
      <c r="M10" s="36" t="n">
        <v>2386.526</v>
      </c>
      <c r="N10" s="36" t="n">
        <v>110265.506</v>
      </c>
      <c r="O10" s="36" t="n">
        <v>103927.082</v>
      </c>
      <c r="P10" s="36" t="n">
        <v>8959.098</v>
      </c>
      <c r="Q10" s="36" t="n">
        <v>22069.244</v>
      </c>
      <c r="R10" s="36" t="n">
        <v>90816.936</v>
      </c>
      <c r="S10" s="36" t="n">
        <v>7508.906</v>
      </c>
      <c r="T10" s="36" t="n">
        <v>77137.38800000001</v>
      </c>
      <c r="U10" s="36" t="n">
        <v>1.707421520635767</v>
      </c>
      <c r="V10" s="36" t="n">
        <v>45177.706</v>
      </c>
      <c r="W10" s="16" t="n">
        <v>0.2187238502668683</v>
      </c>
      <c r="X10" s="36" t="n">
        <v>110435.886</v>
      </c>
    </row>
    <row r="11">
      <c r="A11" s="15" t="n">
        <v>7</v>
      </c>
      <c r="B11" s="36" t="n">
        <v>703860.912</v>
      </c>
      <c r="C11" s="16" t="n">
        <v>0.1059920133753099</v>
      </c>
      <c r="D11" s="16" t="n">
        <v>0.368086969889417</v>
      </c>
      <c r="E11" s="16" t="n">
        <v>0.2040942692198177</v>
      </c>
      <c r="F11" s="16" t="n">
        <v>0.1717010958635201</v>
      </c>
      <c r="G11" s="16" t="n">
        <v>0.0035</v>
      </c>
      <c r="H11" s="36" t="n">
        <v>57.74666666666667</v>
      </c>
      <c r="I11" s="36" t="n">
        <v>19</v>
      </c>
      <c r="J11" s="36" t="n">
        <v>40.66666666666666</v>
      </c>
      <c r="K11" s="36" t="n">
        <v>259082.03</v>
      </c>
      <c r="L11" s="36" t="n">
        <v>206204.873</v>
      </c>
      <c r="M11" s="36" t="n">
        <v>2463.513</v>
      </c>
      <c r="N11" s="36" t="n">
        <v>120853.69</v>
      </c>
      <c r="O11" s="36" t="n">
        <v>111357.867</v>
      </c>
      <c r="P11" s="36" t="n">
        <v>11295.907</v>
      </c>
      <c r="Q11" s="36" t="n">
        <v>24177.205</v>
      </c>
      <c r="R11" s="36" t="n">
        <v>98476.57000000001</v>
      </c>
      <c r="S11" s="36" t="n">
        <v>7659.634</v>
      </c>
      <c r="T11" s="36" t="n">
        <v>80155.06200000001</v>
      </c>
      <c r="U11" s="36" t="n">
        <v>1.866655651650258</v>
      </c>
      <c r="V11" s="36" t="n">
        <v>42940.465</v>
      </c>
      <c r="W11" s="16" t="n">
        <v>0.2071143844048894</v>
      </c>
      <c r="X11" s="36" t="n">
        <v>113354.41</v>
      </c>
    </row>
    <row r="12">
      <c r="A12" s="15" t="n">
        <v>8</v>
      </c>
      <c r="B12" s="36" t="n">
        <v>774605.7389999999</v>
      </c>
      <c r="C12" s="16" t="n">
        <v>0.1005096678558974</v>
      </c>
      <c r="D12" s="16" t="n">
        <v>0.3560797223986323</v>
      </c>
      <c r="E12" s="16" t="n">
        <v>0.2040942692198177</v>
      </c>
      <c r="F12" s="16" t="n">
        <v>0.1701395953125803</v>
      </c>
      <c r="G12" s="16" t="n">
        <v>0.00325</v>
      </c>
      <c r="H12" s="36" t="n">
        <v>55.88777777777778</v>
      </c>
      <c r="I12" s="36" t="n">
        <v>21.33333333333333</v>
      </c>
      <c r="J12" s="36" t="n">
        <v>40.27777777777778</v>
      </c>
      <c r="K12" s="36" t="n">
        <v>275821.396</v>
      </c>
      <c r="L12" s="36" t="n">
        <v>219527.83</v>
      </c>
      <c r="M12" s="36" t="n">
        <v>2517.469</v>
      </c>
      <c r="N12" s="36" t="n">
        <v>131791.107</v>
      </c>
      <c r="O12" s="36" t="n">
        <v>118605.461</v>
      </c>
      <c r="P12" s="36" t="n">
        <v>13957.9</v>
      </c>
      <c r="Q12" s="36" t="n">
        <v>26352.806</v>
      </c>
      <c r="R12" s="36" t="n">
        <v>106210.555</v>
      </c>
      <c r="S12" s="36" t="n">
        <v>7733.986</v>
      </c>
      <c r="T12" s="36" t="n">
        <v>82520.20600000001</v>
      </c>
      <c r="U12" s="36" t="n">
        <v>2.040739957723161</v>
      </c>
      <c r="V12" s="36" t="n">
        <v>40436.414</v>
      </c>
      <c r="W12" s="16" t="n">
        <v>0.1957171792470035</v>
      </c>
      <c r="X12" s="36" t="n">
        <v>114921.962</v>
      </c>
    </row>
    <row r="13">
      <c r="A13" s="15" t="n">
        <v>9</v>
      </c>
      <c r="B13" s="36" t="n">
        <v>848214.448</v>
      </c>
      <c r="C13" s="16" t="n">
        <v>0.09502732233648478</v>
      </c>
      <c r="D13" s="16" t="n">
        <v>0.3440724749078475</v>
      </c>
      <c r="E13" s="16" t="n">
        <v>0.2040942692198177</v>
      </c>
      <c r="F13" s="16" t="n">
        <v>0.1685780947616405</v>
      </c>
      <c r="G13" s="16" t="n">
        <v>0.003</v>
      </c>
      <c r="H13" s="36" t="n">
        <v>54.02888888888889</v>
      </c>
      <c r="I13" s="36" t="n">
        <v>23.66666666666666</v>
      </c>
      <c r="J13" s="36" t="n">
        <v>39.88888888888889</v>
      </c>
      <c r="K13" s="36" t="n">
        <v>291847.244</v>
      </c>
      <c r="L13" s="36" t="n">
        <v>232282.894</v>
      </c>
      <c r="M13" s="36" t="n">
        <v>2544.643</v>
      </c>
      <c r="N13" s="36" t="n">
        <v>142990.376</v>
      </c>
      <c r="O13" s="36" t="n">
        <v>125556.395</v>
      </c>
      <c r="P13" s="36" t="n">
        <v>16956</v>
      </c>
      <c r="Q13" s="36" t="n">
        <v>28578.423</v>
      </c>
      <c r="R13" s="36" t="n">
        <v>113933.972</v>
      </c>
      <c r="S13" s="36" t="n">
        <v>7723.417</v>
      </c>
      <c r="T13" s="36" t="n">
        <v>84113.745</v>
      </c>
      <c r="U13" s="36" t="n">
        <v>2.231059366180423</v>
      </c>
      <c r="V13" s="36" t="n">
        <v>37701.258</v>
      </c>
      <c r="W13" s="16" t="n">
        <v>0.1845468763174984</v>
      </c>
      <c r="X13" s="36" t="n">
        <v>114899.695</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2.439127962670409</v>
      </c>
      <c r="V14" s="36" t="n">
        <v>34774.837</v>
      </c>
      <c r="W14" s="16" t="n">
        <v>0.173617150447037</v>
      </c>
      <c r="X14" s="36" t="n">
        <v>113049.271</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174.29</v>
      </c>
      <c r="H6" s="16" t="n">
        <v>-0.5539999999999999</v>
      </c>
      <c r="I6" s="15" t="n"/>
    </row>
    <row r="7">
      <c r="A7" s="13" t="inlineStr">
        <is>
          <t>base</t>
        </is>
      </c>
      <c r="B7" s="16" t="n">
        <v>0.6</v>
      </c>
      <c r="C7" s="17" t="n">
        <v>1</v>
      </c>
      <c r="D7" s="16" t="n">
        <v>0</v>
      </c>
      <c r="E7" s="16" t="n">
        <v>0</v>
      </c>
      <c r="F7" s="17" t="n">
        <v>1</v>
      </c>
      <c r="G7" s="41" t="n">
        <v>283.16</v>
      </c>
      <c r="H7" s="16" t="n">
        <v>-0.275</v>
      </c>
      <c r="I7" s="15" t="n"/>
    </row>
    <row r="8">
      <c r="A8" s="13" t="inlineStr">
        <is>
          <t>bull</t>
        </is>
      </c>
      <c r="B8" s="16" t="n">
        <v>0.2</v>
      </c>
      <c r="C8" s="17" t="n">
        <v>1.2</v>
      </c>
      <c r="D8" s="16" t="n">
        <v>0.02</v>
      </c>
      <c r="E8" s="16" t="n">
        <v>-0.01</v>
      </c>
      <c r="F8" s="17" t="n">
        <v>1.1</v>
      </c>
      <c r="G8" s="41" t="n">
        <v>474.52</v>
      </c>
      <c r="H8" s="16" t="n">
        <v>0.214</v>
      </c>
      <c r="I8" s="15" t="n"/>
    </row>
    <row r="9">
      <c r="A9" s="13" t="inlineStr">
        <is>
          <t>Expected (prob-weighted)</t>
        </is>
      </c>
      <c r="B9" s="15" t="n"/>
      <c r="C9" s="15" t="n"/>
      <c r="D9" s="15" t="n"/>
      <c r="E9" s="15" t="n"/>
      <c r="F9" s="15" t="n"/>
      <c r="G9" s="40" t="n">
        <v>299.66</v>
      </c>
      <c r="H9" s="16" t="n">
        <v>-0.233</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0.93</v>
      </c>
      <c r="D13" s="16" t="n">
        <v>-0.0151</v>
      </c>
      <c r="E13" s="16" t="n">
        <v>0.006</v>
      </c>
      <c r="F13" s="17" t="n">
        <v>0.92</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1.25</v>
      </c>
      <c r="D15" s="16" t="n">
        <v>0.0169</v>
      </c>
      <c r="E15" s="16" t="n">
        <v>-0.008</v>
      </c>
      <c r="F15" s="17" t="n">
        <v>1.17</v>
      </c>
      <c r="G15" s="15" t="n"/>
      <c r="H15" s="15" t="n"/>
      <c r="I15" s="15" t="n"/>
    </row>
    <row r="16">
      <c r="A16" s="13" t="inlineStr">
        <is>
          <t>Context expected IV</t>
        </is>
      </c>
      <c r="B16" s="40" t="n">
        <v>311.52</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174.29</v>
      </c>
      <c r="C5" s="41" t="n">
        <v>283.16</v>
      </c>
      <c r="D5" s="41" t="n">
        <v>474.52</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233.18</v>
      </c>
      <c r="D7" s="41" t="inlineStr"/>
      <c r="E7" s="15" t="inlineStr">
        <is>
          <t>Invested capital + PV economic profit</t>
        </is>
      </c>
    </row>
    <row r="8">
      <c r="A8" s="13" t="inlineStr">
        <is>
          <t>FCFE IV</t>
        </is>
      </c>
      <c r="B8" s="41" t="inlineStr"/>
      <c r="C8" s="41" t="n">
        <v>238.59</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390.74</v>
      </c>
      <c r="C10" s="41" t="n">
        <v>561.3876299999999</v>
      </c>
      <c r="D10" s="41" t="inlineStr"/>
      <c r="E10" s="15" t="inlineStr">
        <is>
          <t>Current price / analyst target</t>
        </is>
      </c>
    </row>
    <row r="11"/>
    <row r="12">
      <c r="A12" s="5" t="inlineStr">
        <is>
          <t>Implied growth priced in</t>
        </is>
      </c>
      <c r="B12" s="7" t="n">
        <v>0.172</v>
      </c>
    </row>
    <row r="13">
      <c r="A13" s="5" t="inlineStr">
        <is>
          <t>DCF vs EP gap</t>
        </is>
      </c>
      <c r="B13" s="7" t="n">
        <v>-0.1682</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3</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2026-07-05T16:32:39Z</dcterms:created>
  <dcterms:modified xmlns:dcterms="http://purl.org/dc/terms/" xmlns:xsi="http://www.w3.org/2001/XMLSchema-instance" xsi:type="dcterms:W3CDTF">2026-07-05T16:32:39Z</dcterms:modified>
</cp:coreProperties>
</file>