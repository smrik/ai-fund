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0&quot;x&quot;"/>
    <numFmt numFmtId="166" formatCode="#,##0.0;[Red](#,##0.0);-"/>
  </numFmts>
  <fonts count="12">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
      <i val="1"/>
      <color rgb="00B26B0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0" fontId="11" fillId="0" borderId="0" applyAlignment="1" pivotButton="0" quotePrefix="0" xfId="0">
      <alignment vertical="top" wrapText="1"/>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390.49</v>
      </c>
    </row>
    <row r="7">
      <c r="A7" s="5" t="inlineStr">
        <is>
          <t>Backend Base IV</t>
        </is>
      </c>
      <c r="B7" s="6" t="n">
        <v>274.71</v>
      </c>
    </row>
    <row r="8">
      <c r="A8" s="5" t="inlineStr">
        <is>
          <t>Base upside</t>
        </is>
      </c>
      <c r="B8" s="7" t="n">
        <v>-0.296</v>
      </c>
    </row>
    <row r="9">
      <c r="A9" s="5" t="inlineStr">
        <is>
          <t>Expected IV (prob-weighted)</t>
        </is>
      </c>
      <c r="B9" s="6" t="n">
        <v>290.1</v>
      </c>
    </row>
    <row r="10">
      <c r="A10" s="5" t="inlineStr">
        <is>
          <t>Expected upside</t>
        </is>
      </c>
      <c r="B10" s="7" t="n">
        <v>-0.257</v>
      </c>
    </row>
    <row r="11">
      <c r="A11" s="5" t="inlineStr">
        <is>
          <t>Margin of safety</t>
        </is>
      </c>
      <c r="B11" s="7" t="n">
        <v>-0.421</v>
      </c>
    </row>
    <row r="12">
      <c r="A12" s="5" t="inlineStr">
        <is>
          <t>Analyst target / rec</t>
        </is>
      </c>
      <c r="B12" t="inlineStr">
        <is>
          <t>561.11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274.7136306197937</v>
      </c>
    </row>
    <row r="19">
      <c r="A19" s="5" t="inlineStr">
        <is>
          <t>Backend Base IV</t>
        </is>
      </c>
      <c r="B19" s="6" t="n">
        <v>274.71</v>
      </c>
    </row>
    <row r="20">
      <c r="A20" s="5" t="inlineStr">
        <is>
          <t>Gap</t>
        </is>
      </c>
      <c r="B20" s="6" t="n">
        <v>0.003630619793739243</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C:\Users\patri\AppData\Local\Temp\claude\C--Projects-03-Finance-ai-fund\f730ddc5-0ae4-45de-8ceb-51825d8685c2\scratchpad\deliverable\MSFT\20260711T082001Z-valuation.json</t>
        </is>
      </c>
    </row>
    <row r="33">
      <c r="A33" s="10" t="inlineStr">
        <is>
          <t>Generated</t>
        </is>
      </c>
      <c r="B33" s="10" t="inlineStr">
        <is>
          <t>2026-07-11T10:21:45</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20260711T082001Z; deterministic story/sector layer below.</t>
        </is>
      </c>
    </row>
    <row r="3" ht="56" customHeight="1">
      <c r="A3" s="11" t="inlineStr">
        <is>
          <t>Agent thesis from MSFT-workup-al2p7y8z.json.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276.43 versus current price 390.49.</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(Target),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ebit_margin_target</t>
        </is>
      </c>
      <c r="B7" s="15" t="n">
        <v>0.3320652274170628</v>
      </c>
      <c r="C7" s="15" t="n">
        <v>0.3245652274170628</v>
      </c>
      <c r="D7" s="19" t="inlineStr">
        <is>
          <t>review_required</t>
        </is>
      </c>
      <c r="E7" s="15" t="inlineStr"/>
      <c r="F7" s="14" t="inlineStr">
        <is>
          <t>PM Queue item 92 is previewed and discusses this driver: Microsoft warns that competitive dynamics in cloud, AI, and marketplaces may increase cost of revenue and lower operating margins.</t>
        </is>
      </c>
      <c r="G7" s="15" t="n"/>
      <c r="H7" s="15" t="n"/>
    </row>
    <row r="8" ht="40" customHeight="1">
      <c r="A8" s="18" t="inlineStr">
        <is>
          <t>exit_multiple</t>
        </is>
      </c>
      <c r="B8" s="15" t="n">
        <v>20.072682</v>
      </c>
      <c r="C8" s="15" t="n">
        <v>18.572682</v>
      </c>
      <c r="D8" s="19" t="inlineStr">
        <is>
          <t>review_required</t>
        </is>
      </c>
      <c r="E8" s="15" t="inlineStr"/>
      <c r="F8" s="14" t="inlineStr">
        <is>
          <t>PM Queue item 103 is previewed and discusses this driver: Comps evidence supports a lower exit multiple than the deterministic model uses, with MSFT's target tev_ebitda_fwd multiple of 14.48x being 4.27x below the peer median of 18.74x, a ~23% discount that persists across secondary metrics.</t>
        </is>
      </c>
      <c r="G8" s="15" t="n"/>
      <c r="H8" s="15" t="n"/>
    </row>
    <row r="9" ht="40" customHeight="1">
      <c r="A9" s="13" t="inlineStr">
        <is>
          <t>revenue_growth_near</t>
        </is>
      </c>
      <c r="B9" s="15" t="n">
        <v>0.1279213954529603</v>
      </c>
      <c r="C9" s="15" t="n">
        <v>0.1423213954529603</v>
      </c>
      <c r="D9" s="15" t="inlineStr">
        <is>
          <t>conflict</t>
        </is>
      </c>
      <c r="E9" s="15" t="inlineStr"/>
      <c r="F9" s="14" t="inlineStr">
        <is>
          <t>Multiple profiles propose different values for this driver. Review queue items 84, 82 together.</t>
        </is>
      </c>
      <c r="G9" s="15" t="n"/>
      <c r="H9" s="15" t="n"/>
    </row>
    <row r="10" ht="40" customHeight="1">
      <c r="A10" s="13" t="inlineStr">
        <is>
          <t>ebit_margin_start</t>
        </is>
      </c>
      <c r="B10" s="15" t="n">
        <v>0.4401304548341256</v>
      </c>
      <c r="C10" s="15" t="n">
        <v>0.4401304548341256</v>
      </c>
      <c r="D10" s="15" t="inlineStr">
        <is>
          <t>ok</t>
        </is>
      </c>
      <c r="E10" s="15" t="inlineStr"/>
      <c r="F10" s="14" t="inlineStr">
        <is>
          <t>Current deterministic model source: ciq.</t>
        </is>
      </c>
      <c r="G10" s="15" t="n"/>
      <c r="H10" s="15" t="n"/>
    </row>
    <row r="11" ht="40" customHeight="1">
      <c r="A11" s="13" t="inlineStr">
        <is>
          <t>wacc</t>
        </is>
      </c>
      <c r="B11" s="15" t="n">
        <v>0.09518</v>
      </c>
      <c r="C11" s="15" t="n">
        <v>0.09477999999999999</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390.49</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0.09518</v>
      </c>
      <c r="D19" s="30" t="n"/>
      <c r="E19" s="31">
        <f>IF(D19="",C19,D19)</f>
        <v/>
      </c>
      <c r="F19" s="15" t="inlineStr">
        <is>
          <t>%</t>
        </is>
      </c>
      <c r="G19" s="15" t="inlineStr"/>
      <c r="H19" s="15" t="inlineStr"/>
    </row>
    <row r="20">
      <c r="A20" s="15" t="inlineStr">
        <is>
          <t>WACC</t>
        </is>
      </c>
      <c r="B20" s="15" t="inlineStr">
        <is>
          <t>cost_of_equity</t>
        </is>
      </c>
      <c r="C20" s="29" t="n">
        <v>0.0963</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1.13</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274.71</v>
      </c>
      <c r="D36" s="25" t="n"/>
      <c r="E36" s="26">
        <f>IF(D36="",C36,D36)</f>
        <v/>
      </c>
      <c r="F36" s="15" t="inlineStr">
        <is>
          <t>$/sh</t>
        </is>
      </c>
      <c r="G36" s="15" t="inlineStr"/>
      <c r="H36" s="15" t="inlineStr"/>
    </row>
    <row r="37">
      <c r="A37" s="15" t="inlineStr">
        <is>
          <t>Backend</t>
        </is>
      </c>
      <c r="B37" s="15" t="inlineStr">
        <is>
          <t>backend_iv_gordon</t>
        </is>
      </c>
      <c r="C37" s="24" t="n">
        <v>219.79</v>
      </c>
      <c r="D37" s="25" t="n"/>
      <c r="E37" s="26">
        <f>IF(D37="",C37,D37)</f>
        <v/>
      </c>
      <c r="F37" s="15" t="inlineStr">
        <is>
          <t>$/sh</t>
        </is>
      </c>
      <c r="G37" s="15" t="inlineStr"/>
      <c r="H37" s="15" t="inlineStr"/>
    </row>
    <row r="38">
      <c r="A38" s="15" t="inlineStr">
        <is>
          <t>Backend</t>
        </is>
      </c>
      <c r="B38" s="15" t="inlineStr">
        <is>
          <t>backend_iv_exit</t>
        </is>
      </c>
      <c r="C38" s="24" t="n">
        <v>381.32</v>
      </c>
      <c r="D38" s="25" t="n"/>
      <c r="E38" s="26">
        <f>IF(D38="",C38,D38)</f>
        <v/>
      </c>
      <c r="F38" s="15" t="inlineStr">
        <is>
          <t>$/sh</t>
        </is>
      </c>
      <c r="G38" s="15" t="inlineStr"/>
      <c r="H38" s="15" t="inlineStr"/>
    </row>
    <row r="39">
      <c r="A39" s="15" t="inlineStr">
        <is>
          <t>Backend</t>
        </is>
      </c>
      <c r="B39" s="15" t="inlineStr">
        <is>
          <t>backend_tv_pct_ev</t>
        </is>
      </c>
      <c r="C39" s="29" t="n">
        <v>0.7929999999999999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9" customWidth="1" min="3" max="3"/>
    <col width="12" customWidth="1" min="4" max="4"/>
    <col width="8" customWidth="1" min="5" max="5"/>
    <col width="13" customWidth="1" min="6" max="6"/>
    <col width="8" customWidth="1" min="7" max="7"/>
    <col width="15" customWidth="1" min="8" max="8"/>
    <col width="8" customWidth="1" min="9" max="9"/>
    <col width="8" customWidth="1" min="10" max="10"/>
    <col width="8" customWidth="1" min="11" max="11"/>
    <col width="9" customWidth="1" min="12" max="12"/>
    <col width="8" customWidth="1" min="13" max="13"/>
    <col width="8" customWidth="1" min="14" max="14"/>
    <col width="8" customWidth="1" min="15" max="15"/>
    <col width="10" customWidth="1" min="16" max="16"/>
    <col width="8" customWidth="1" min="17" max="17"/>
    <col width="8" customWidth="1" min="18" max="18"/>
    <col width="1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ht="44" customHeight="1">
      <c r="A3" s="35" t="inlineStr">
        <is>
          <t>No historical actuals available for this ticker (no CIQ Standard workbook / SEC history in the valuation JSON). The DCF and reconciliation are unaffected — they run off the forecast — but trend review needs a CIQ/SEC history source.</t>
        </is>
      </c>
    </row>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sheetData>
  <mergeCells count="2">
    <mergeCell ref="A1:J1"/>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1.09518</v>
      </c>
      <c r="V5" s="36" t="n">
        <v>51286.952</v>
      </c>
      <c r="W5" s="16" t="n">
        <v>0.2809874455967756</v>
      </c>
      <c r="X5" s="36" t="n">
        <v>83156.822</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1.1994192324</v>
      </c>
      <c r="V6" s="36" t="n">
        <v>50979.817</v>
      </c>
      <c r="W6" s="16" t="n">
        <v>0.2668021834051162</v>
      </c>
      <c r="X6" s="36" t="n">
        <v>88750.726</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1.313579954939832</v>
      </c>
      <c r="V7" s="36" t="n">
        <v>49747.388</v>
      </c>
      <c r="W7" s="16" t="n">
        <v>0.2546595457710995</v>
      </c>
      <c r="X7" s="36" t="n">
        <v>94723.413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1.438606495051005</v>
      </c>
      <c r="V8" s="36" t="n">
        <v>48393.604</v>
      </c>
      <c r="W8" s="16" t="n">
        <v>0.2425147128872247</v>
      </c>
      <c r="X8" s="36" t="n">
        <v>100167.286</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1.57553306124996</v>
      </c>
      <c r="V9" s="36" t="n">
        <v>46705.83</v>
      </c>
      <c r="W9" s="16" t="n">
        <v>0.2305297386735278</v>
      </c>
      <c r="X9" s="36" t="n">
        <v>104912.194</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1.725492298019731</v>
      </c>
      <c r="V10" s="36" t="n">
        <v>44704.568</v>
      </c>
      <c r="W10" s="16" t="n">
        <v>0.2187238502668683</v>
      </c>
      <c r="X10" s="36" t="n">
        <v>108745.862</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1.88972465494525</v>
      </c>
      <c r="V11" s="36" t="n">
        <v>42416.265</v>
      </c>
      <c r="W11" s="16" t="n">
        <v>0.2071143844048894</v>
      </c>
      <c r="X11" s="36" t="n">
        <v>111442.841</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2.069588647602938</v>
      </c>
      <c r="V12" s="36" t="n">
        <v>39872.757</v>
      </c>
      <c r="W12" s="16" t="n">
        <v>0.1957171792470035</v>
      </c>
      <c r="X12" s="36" t="n">
        <v>112768.378</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2.266572095081786</v>
      </c>
      <c r="V13" s="36" t="n">
        <v>37110.554</v>
      </c>
      <c r="W13" s="16" t="n">
        <v>0.1845468763174984</v>
      </c>
      <c r="X13" s="36" t="n">
        <v>112483.056</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2.482304427091671</v>
      </c>
      <c r="V14" s="36" t="n">
        <v>34169.974</v>
      </c>
      <c r="W14" s="16" t="n">
        <v>0.173617150447037</v>
      </c>
      <c r="X14" s="36" t="n">
        <v>110348.147</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2"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169.77</v>
      </c>
      <c r="H6" s="16" t="n">
        <v>-0.5649999999999999</v>
      </c>
      <c r="I6" s="15" t="n"/>
    </row>
    <row r="7">
      <c r="A7" s="13" t="inlineStr">
        <is>
          <t>base</t>
        </is>
      </c>
      <c r="B7" s="16" t="n">
        <v>0.6</v>
      </c>
      <c r="C7" s="17" t="n">
        <v>1</v>
      </c>
      <c r="D7" s="16" t="n">
        <v>0</v>
      </c>
      <c r="E7" s="16" t="n">
        <v>0</v>
      </c>
      <c r="F7" s="17" t="n">
        <v>1</v>
      </c>
      <c r="G7" s="41" t="n">
        <v>274.71</v>
      </c>
      <c r="H7" s="16" t="n">
        <v>-0.296</v>
      </c>
      <c r="I7" s="15" t="n"/>
    </row>
    <row r="8">
      <c r="A8" s="13" t="inlineStr">
        <is>
          <t>bull</t>
        </is>
      </c>
      <c r="B8" s="16" t="n">
        <v>0.2</v>
      </c>
      <c r="C8" s="17" t="n">
        <v>1.2</v>
      </c>
      <c r="D8" s="16" t="n">
        <v>0.02</v>
      </c>
      <c r="E8" s="16" t="n">
        <v>-0.01</v>
      </c>
      <c r="F8" s="17" t="n">
        <v>1.1</v>
      </c>
      <c r="G8" s="41" t="n">
        <v>456.58</v>
      </c>
      <c r="H8" s="16" t="n">
        <v>0.169</v>
      </c>
      <c r="I8" s="15" t="n"/>
    </row>
    <row r="9">
      <c r="A9" s="13" t="inlineStr">
        <is>
          <t>Expected (prob-weighted)</t>
        </is>
      </c>
      <c r="B9" s="15" t="n"/>
      <c r="C9" s="15" t="n"/>
      <c r="D9" s="15" t="n"/>
      <c r="E9" s="15" t="n"/>
      <c r="F9" s="15" t="n"/>
      <c r="G9" s="40" t="n">
        <v>290.1</v>
      </c>
      <c r="H9" s="16" t="n">
        <v>-0.257</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301.61</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169.77</v>
      </c>
      <c r="C5" s="41" t="n">
        <v>274.71</v>
      </c>
      <c r="D5" s="41" t="n">
        <v>456.58</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223.53</v>
      </c>
      <c r="D7" s="41" t="inlineStr"/>
      <c r="E7" s="15" t="inlineStr">
        <is>
          <t>Invested capital + PV economic profit</t>
        </is>
      </c>
    </row>
    <row r="8">
      <c r="A8" s="13" t="inlineStr">
        <is>
          <t>FCFE IV</t>
        </is>
      </c>
      <c r="B8" s="41" t="inlineStr"/>
      <c r="C8" s="41" t="n">
        <v>229.3</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390.49</v>
      </c>
      <c r="C10" s="41" t="n">
        <v>561.1149</v>
      </c>
      <c r="D10" s="41" t="inlineStr"/>
      <c r="E10" s="15" t="inlineStr">
        <is>
          <t>Current price / analyst target</t>
        </is>
      </c>
    </row>
    <row r="11"/>
    <row r="12">
      <c r="A12" s="5" t="inlineStr">
        <is>
          <t>Implied growth priced in</t>
        </is>
      </c>
      <c r="B12" s="7" t="n">
        <v>0.177</v>
      </c>
    </row>
    <row r="13">
      <c r="A13" s="5" t="inlineStr">
        <is>
          <t>DCF vs EP gap</t>
        </is>
      </c>
      <c r="B13" s="7" t="n">
        <v>-0.1773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2026-07-11T08:21:45Z</dcterms:created>
  <dcterms:modified xmlns:dcterms="http://purl.org/dc/terms/" xmlns:xsi="http://www.w3.org/2001/XMLSchema-instance" xsi:type="dcterms:W3CDTF">2026-07-11T08:21:45Z</dcterms:modified>
</cp:coreProperties>
</file>