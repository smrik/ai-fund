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385.1</v>
      </c>
    </row>
    <row r="7">
      <c r="A7" s="5" t="inlineStr">
        <is>
          <t>Backend Base IV</t>
        </is>
      </c>
      <c r="B7" s="6" t="n">
        <v>225.33</v>
      </c>
    </row>
    <row r="8">
      <c r="A8" s="5" t="inlineStr">
        <is>
          <t>Base upside</t>
        </is>
      </c>
      <c r="B8" s="7" t="n">
        <v>-0.415</v>
      </c>
    </row>
    <row r="9">
      <c r="A9" s="5" t="inlineStr">
        <is>
          <t>Expected IV (prob-weighted)</t>
        </is>
      </c>
      <c r="B9" s="6" t="n">
        <v>236.78</v>
      </c>
    </row>
    <row r="10">
      <c r="A10" s="5" t="inlineStr">
        <is>
          <t>Expected upside</t>
        </is>
      </c>
      <c r="B10" s="7" t="n">
        <v>-0.385</v>
      </c>
    </row>
    <row r="11">
      <c r="A11" s="5" t="inlineStr">
        <is>
          <t>Margin of safety</t>
        </is>
      </c>
      <c r="B11" s="7" t="n">
        <v>-0.7090000000000001</v>
      </c>
    </row>
    <row r="12">
      <c r="A12" s="5" t="inlineStr">
        <is>
          <t>Analyst target / rec</t>
        </is>
      </c>
      <c r="B12" t="inlineStr">
        <is>
          <t>559.93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225.3323019655925</v>
      </c>
    </row>
    <row r="19">
      <c r="A19" s="5" t="inlineStr">
        <is>
          <t>Backend Base IV</t>
        </is>
      </c>
      <c r="B19" s="6" t="n">
        <v>225.33</v>
      </c>
    </row>
    <row r="20">
      <c r="A20" s="5" t="inlineStr">
        <is>
          <t>Gap</t>
        </is>
      </c>
      <c r="B20" s="6" t="n">
        <v>0.002301965592465649</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C:\Projects\03-Finance\ai-fund\output\guided_workups\MSFT\20260711T145754Z-valuation.json</t>
        </is>
      </c>
    </row>
    <row r="33">
      <c r="A33" s="10" t="inlineStr">
        <is>
          <t>Generated</t>
        </is>
      </c>
      <c r="B33" s="10" t="inlineStr">
        <is>
          <t>2026-07-11T17:40:51</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20260711T145754Z; deterministic story/sector layer below.</t>
        </is>
      </c>
    </row>
    <row r="3" ht="56" customHeight="1">
      <c r="A3" s="11" t="inlineStr">
        <is>
          <t>Agent thesis from MSFT-workup-r5l7qi58.json.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225.33 versus current price 385.10 (effective model: includes approved PM overrides, so it can differ from the raw pipeline snapshot).</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(Start), EBIT Margin (Target).</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7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0.08958191214146344</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ebit_margin_start</t>
        </is>
      </c>
      <c r="B7" s="15" t="n">
        <v>0.4401304548341256</v>
      </c>
      <c r="C7" s="15" t="n">
        <v>0.4502554548341255</v>
      </c>
      <c r="D7" s="19" t="inlineStr">
        <is>
          <t>review_required</t>
        </is>
      </c>
      <c r="E7" s="15" t="inlineStr"/>
      <c r="F7" s="14" t="inlineStr">
        <is>
          <t>PM Queue item 123 is previewed and discusses this driver: EBIT increased from $88.5B in 2023 to $128.5B in 2025, while EBIT margin rose from approximately 41.8% to 45.6%; the 3-year average EBIT margin was 44.0%.</t>
        </is>
      </c>
      <c r="G7" s="15" t="n"/>
      <c r="H7" s="15" t="n"/>
    </row>
    <row r="8" ht="40" customHeight="1">
      <c r="A8" s="18" t="inlineStr">
        <is>
          <t>ebit_margin_target</t>
        </is>
      </c>
      <c r="B8" s="15" t="n">
        <v>0.3320652274170628</v>
      </c>
      <c r="C8" s="15" t="n">
        <v>0.3245652274170628</v>
      </c>
      <c r="D8" s="19" t="inlineStr">
        <is>
          <t>review_required</t>
        </is>
      </c>
      <c r="E8" s="15" t="inlineStr"/>
      <c r="F8" s="14" t="inlineStr">
        <is>
          <t>PM Queue item 108 is previewed and discusses this driver: Microsoft states that AI is a highly competitive and rapidly evolving market, with new competitors entering, while significant development and operational costs are required to build and support AI models, services, platforms, and infrastructure.</t>
        </is>
      </c>
      <c r="G8" s="15" t="n"/>
      <c r="H8" s="15" t="n"/>
    </row>
    <row r="9" ht="40" customHeight="1">
      <c r="A9" s="18" t="inlineStr">
        <is>
          <t>exit_multiple</t>
        </is>
      </c>
      <c r="B9" s="15" t="n">
        <v>19.7361738</v>
      </c>
      <c r="C9" s="15" t="n">
        <v>18.5246238</v>
      </c>
      <c r="D9" s="19" t="inlineStr">
        <is>
          <t>review_required</t>
        </is>
      </c>
      <c r="E9" s="15" t="inlineStr"/>
      <c r="F9" s="14" t="inlineStr">
        <is>
          <t>PM Queue item 127 is previewed and discusses this driver: The model assumes a 19.736173800000003x EV/EBITDA exit multiple, 1.31x above the 18.4278x cleaned forward peer median and above MSFT’s own 15.765x current and 15.05x 5-year median EV/EBITDA.</t>
        </is>
      </c>
      <c r="G9" s="15" t="n"/>
      <c r="H9" s="15" t="n"/>
    </row>
    <row r="10" ht="40" customHeight="1">
      <c r="A10" s="13" t="inlineStr">
        <is>
          <t>revenue_growth_near</t>
        </is>
      </c>
      <c r="B10" s="15" t="n">
        <v>0.1279741602020907</v>
      </c>
      <c r="C10" s="15" t="n">
        <v>0.1549213954529603</v>
      </c>
      <c r="D10" s="15" t="inlineStr">
        <is>
          <t>conflict</t>
        </is>
      </c>
      <c r="E10" s="15" t="inlineStr"/>
      <c r="F10" s="14" t="inlineStr">
        <is>
          <t>Multiple profiles propose different values for this driver. Review queue items 107, 109 together.</t>
        </is>
      </c>
      <c r="G10" s="15" t="n"/>
      <c r="H10" s="15" t="n"/>
    </row>
    <row r="11" ht="40" customHeight="1">
      <c r="A11" s="13" t="inlineStr">
        <is>
          <t>wacc</t>
        </is>
      </c>
      <c r="B11" s="15" t="n">
        <v>0.10436</v>
      </c>
      <c r="C11" s="15" t="n">
        <v>0.10436</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preferred_equity default needs review</t>
        </is>
      </c>
      <c r="B19" s="15" t="inlineStr">
        <is>
          <t>low</t>
        </is>
      </c>
      <c r="C19" s="14" t="inlineStr">
        <is>
          <t>Default-resolution layer flagged this assumption.</t>
        </is>
      </c>
      <c r="D19" s="15" t="inlineStr"/>
      <c r="E19" s="15" t="n"/>
      <c r="F19" s="15" t="n"/>
      <c r="G19" s="15" t="n"/>
      <c r="H19" s="15" t="n"/>
    </row>
    <row r="20"/>
    <row r="21"/>
    <row r="22">
      <c r="A22" s="3" t="inlineStr">
        <is>
          <t>Default-resolution fields (deterministic)</t>
        </is>
      </c>
      <c r="B22" s="4" t="n"/>
      <c r="C22" s="4" t="n"/>
      <c r="D22" s="4" t="n"/>
      <c r="E22" s="4" t="n"/>
      <c r="F22" s="4" t="n"/>
      <c r="G22" s="4" t="n"/>
      <c r="H22" s="4" t="n"/>
    </row>
    <row r="23">
      <c r="A23" s="12" t="inlineStr">
        <is>
          <t>Field</t>
        </is>
      </c>
      <c r="B23" s="12" t="inlineStr">
        <is>
          <t>Value</t>
        </is>
      </c>
      <c r="C23" s="12" t="inlineStr">
        <is>
          <t>Source</t>
        </is>
      </c>
      <c r="D23" s="12" t="inlineStr">
        <is>
          <t>Source class</t>
        </is>
      </c>
      <c r="E23" s="12" t="inlineStr">
        <is>
          <t>Severity</t>
        </is>
      </c>
      <c r="F23" s="12" t="inlineStr">
        <is>
          <t>PM review?</t>
        </is>
      </c>
      <c r="G23" s="12" t="inlineStr">
        <is>
          <t>Fallback</t>
        </is>
      </c>
      <c r="H23" s="12" t="inlineStr">
        <is>
          <t>Why it matters</t>
        </is>
      </c>
    </row>
    <row r="24" ht="30" customHeight="1">
      <c r="A24" s="18" t="inlineStr">
        <is>
          <t>pension_deficit</t>
        </is>
      </c>
      <c r="B24" s="15" t="n">
        <v>0</v>
      </c>
      <c r="C24" s="15" t="inlineStr">
        <is>
          <t>default</t>
        </is>
      </c>
      <c r="D24" s="15" t="inlineStr">
        <is>
          <t>unproven_zero</t>
        </is>
      </c>
      <c r="E24" s="21" t="inlineStr">
        <is>
          <t>medium</t>
        </is>
      </c>
      <c r="F24" s="19" t="inlineStr">
        <is>
          <t>YES</t>
        </is>
      </c>
      <c r="G24" s="15" t="n">
        <v>0</v>
      </c>
      <c r="H24" s="14" t="inlineStr">
        <is>
          <t>Can be a non-equity claim in the equity bridge.</t>
        </is>
      </c>
    </row>
    <row r="25" ht="30" customHeight="1">
      <c r="A25" s="18" t="inlineStr">
        <is>
          <t>preferred_equity</t>
        </is>
      </c>
      <c r="B25" s="15" t="n">
        <v>0</v>
      </c>
      <c r="C25" s="15" t="inlineStr">
        <is>
          <t>default</t>
        </is>
      </c>
      <c r="D25" s="15" t="inlineStr">
        <is>
          <t>unproven_zero</t>
        </is>
      </c>
      <c r="E25" s="21" t="inlineStr">
        <is>
          <t>low</t>
        </is>
      </c>
      <c r="F25" s="19" t="inlineStr">
        <is>
          <t>YES</t>
        </is>
      </c>
      <c r="G25" s="15" t="n">
        <v>0</v>
      </c>
      <c r="H25" s="14" t="inlineStr">
        <is>
          <t>Can be a non-equity claim in the equity bridge.</t>
        </is>
      </c>
    </row>
    <row r="26" ht="30" customHeight="1">
      <c r="A26" s="22" t="inlineStr">
        <is>
          <t>exit_multiple</t>
        </is>
      </c>
      <c r="B26" s="15" t="n">
        <v>19.7361738</v>
      </c>
      <c r="C26" s="15" t="inlineStr">
        <is>
          <t>ciq_comps_tev_ebitda_fwd|story_sector</t>
        </is>
      </c>
      <c r="D26" s="15" t="inlineStr">
        <is>
          <t>ciq</t>
        </is>
      </c>
      <c r="E26" s="20" t="inlineStr">
        <is>
          <t>high</t>
        </is>
      </c>
      <c r="F26" s="23" t="inlineStr">
        <is>
          <t>no</t>
        </is>
      </c>
      <c r="G26" s="15" t="n">
        <v>16</v>
      </c>
      <c r="H26" s="14" t="inlineStr">
        <is>
          <t>Directly affects terminal value and equity value.</t>
        </is>
      </c>
    </row>
    <row r="27" ht="30" customHeight="1">
      <c r="A27" s="22" t="inlineStr">
        <is>
          <t>dso_start</t>
        </is>
      </c>
      <c r="B27" s="15" t="n">
        <v>68.90000000000001</v>
      </c>
      <c r="C27" s="15" t="inlineStr">
        <is>
          <t>ciq</t>
        </is>
      </c>
      <c r="D27" s="15" t="inlineStr">
        <is>
          <t>ciq</t>
        </is>
      </c>
      <c r="E27" s="20" t="inlineStr">
        <is>
          <t>medium</t>
        </is>
      </c>
      <c r="F27" s="23" t="inlineStr">
        <is>
          <t>no</t>
        </is>
      </c>
      <c r="G27" s="15" t="n">
        <v>45</v>
      </c>
      <c r="H27" s="14" t="inlineStr">
        <is>
          <t>Affects working-capital cash drag.</t>
        </is>
      </c>
    </row>
    <row r="28" ht="30" customHeight="1">
      <c r="A28" s="22" t="inlineStr">
        <is>
          <t>dio_start</t>
        </is>
      </c>
      <c r="B28" s="15" t="n">
        <v>5</v>
      </c>
      <c r="C28" s="15" t="inlineStr">
        <is>
          <t>ciq</t>
        </is>
      </c>
      <c r="D28" s="15" t="inlineStr">
        <is>
          <t>ciq</t>
        </is>
      </c>
      <c r="E28" s="20" t="inlineStr">
        <is>
          <t>medium</t>
        </is>
      </c>
      <c r="F28" s="23" t="inlineStr">
        <is>
          <t>no</t>
        </is>
      </c>
      <c r="G28" s="15" t="n">
        <v>35</v>
      </c>
      <c r="H28" s="14" t="inlineStr">
        <is>
          <t>Affects inventory investment and working-capital cash drag.</t>
        </is>
      </c>
    </row>
    <row r="29" ht="30" customHeight="1">
      <c r="A29" s="22" t="inlineStr">
        <is>
          <t>dpo_start</t>
        </is>
      </c>
      <c r="B29" s="15" t="n">
        <v>43</v>
      </c>
      <c r="C29" s="15" t="inlineStr">
        <is>
          <t>ciq</t>
        </is>
      </c>
      <c r="D29" s="15" t="inlineStr">
        <is>
          <t>ciq</t>
        </is>
      </c>
      <c r="E29" s="20" t="inlineStr">
        <is>
          <t>medium</t>
        </is>
      </c>
      <c r="F29" s="23" t="inlineStr">
        <is>
          <t>no</t>
        </is>
      </c>
      <c r="G29" s="15" t="n">
        <v>38</v>
      </c>
      <c r="H29" s="14" t="inlineStr">
        <is>
          <t>Affects supplier financing and working-capital cash drag.</t>
        </is>
      </c>
    </row>
    <row r="30" ht="30" customHeight="1">
      <c r="A30" s="13" t="inlineStr">
        <is>
          <t>minority_interest</t>
        </is>
      </c>
      <c r="B30" s="15" t="n">
        <v>43688000000</v>
      </c>
      <c r="C30" s="15" t="inlineStr">
        <is>
          <t>edgar_xbrl</t>
        </is>
      </c>
      <c r="D30" s="15" t="inlineStr">
        <is>
          <t>filing</t>
        </is>
      </c>
      <c r="E30" s="15" t="inlineStr">
        <is>
          <t>low</t>
        </is>
      </c>
      <c r="F30" s="15" t="inlineStr">
        <is>
          <t>no</t>
        </is>
      </c>
      <c r="G30" s="15" t="n">
        <v>0</v>
      </c>
      <c r="H30" s="14"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385.1</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43688</v>
      </c>
      <c r="D10" s="25" t="n"/>
      <c r="E10" s="26">
        <f>IF(D10="",C10,D10)</f>
        <v/>
      </c>
      <c r="F10" s="15" t="inlineStr">
        <is>
          <t>$mm</t>
        </is>
      </c>
      <c r="G10" s="15" t="inlineStr">
        <is>
          <t>edgar_xbrl</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52626</v>
      </c>
      <c r="D13" s="25" t="n"/>
      <c r="E13" s="26">
        <f>IF(D13="",C13,D13)</f>
        <v/>
      </c>
      <c r="F13" s="15" t="inlineStr">
        <is>
          <t>$mm</t>
        </is>
      </c>
      <c r="G13" s="15" t="inlineStr">
        <is>
          <t>edgar_xbrl</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0.10436</v>
      </c>
      <c r="D19" s="30" t="n"/>
      <c r="E19" s="31">
        <f>IF(D19="",C19,D19)</f>
        <v/>
      </c>
      <c r="F19" s="15" t="inlineStr">
        <is>
          <t>%</t>
        </is>
      </c>
      <c r="G19" s="15" t="inlineStr"/>
      <c r="H19" s="15" t="inlineStr"/>
    </row>
    <row r="20">
      <c r="A20" s="15" t="inlineStr">
        <is>
          <t>WACC</t>
        </is>
      </c>
      <c r="B20" s="15" t="inlineStr">
        <is>
          <t>cost_of_equity</t>
        </is>
      </c>
      <c r="C20" s="29" t="n">
        <v>0.10565</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1.32</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0.9838</v>
      </c>
      <c r="D26" s="30" t="n"/>
      <c r="E26" s="31">
        <f>IF(D26="",C26,D26)</f>
        <v/>
      </c>
      <c r="F26" s="15" t="inlineStr">
        <is>
          <t>% cap</t>
        </is>
      </c>
      <c r="G26" s="15" t="inlineStr"/>
      <c r="H26" s="15" t="inlineStr"/>
    </row>
    <row r="27">
      <c r="A27" s="15" t="inlineStr">
        <is>
          <t>WACC</t>
        </is>
      </c>
      <c r="B27" s="15" t="inlineStr">
        <is>
          <t>debt_weight</t>
        </is>
      </c>
      <c r="C27" s="29" t="n">
        <v>0.01619999999999999</v>
      </c>
      <c r="D27" s="30" t="n"/>
      <c r="E27" s="31">
        <f>IF(D27="",C27,D27)</f>
        <v/>
      </c>
      <c r="F27" s="15" t="inlineStr">
        <is>
          <t>% cap</t>
        </is>
      </c>
      <c r="G27" s="15" t="inlineStr">
        <is>
          <t>yfinance_capm</t>
        </is>
      </c>
      <c r="H27" s="15" t="inlineStr"/>
    </row>
    <row r="28">
      <c r="A28" s="15" t="inlineStr">
        <is>
          <t>Terminal</t>
        </is>
      </c>
      <c r="B28" s="15" t="inlineStr">
        <is>
          <t>exit_multiple</t>
        </is>
      </c>
      <c r="C28" s="32" t="n">
        <v>19.7361738</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225.33</v>
      </c>
      <c r="D36" s="25" t="n"/>
      <c r="E36" s="26">
        <f>IF(D36="",C36,D36)</f>
        <v/>
      </c>
      <c r="F36" s="15" t="inlineStr">
        <is>
          <t>$/sh</t>
        </is>
      </c>
      <c r="G36" s="15" t="inlineStr"/>
      <c r="H36" s="15" t="inlineStr"/>
    </row>
    <row r="37">
      <c r="A37" s="15" t="inlineStr">
        <is>
          <t>Backend</t>
        </is>
      </c>
      <c r="B37" s="15" t="inlineStr">
        <is>
          <t>backend_iv_gordon</t>
        </is>
      </c>
      <c r="C37" s="24" t="n">
        <v>169.35</v>
      </c>
      <c r="D37" s="25" t="n"/>
      <c r="E37" s="26">
        <f>IF(D37="",C37,D37)</f>
        <v/>
      </c>
      <c r="F37" s="15" t="inlineStr">
        <is>
          <t>$/sh</t>
        </is>
      </c>
      <c r="G37" s="15" t="inlineStr"/>
      <c r="H37" s="15" t="inlineStr"/>
    </row>
    <row r="38">
      <c r="A38" s="15" t="inlineStr">
        <is>
          <t>Backend</t>
        </is>
      </c>
      <c r="B38" s="15" t="inlineStr">
        <is>
          <t>backend_iv_exit</t>
        </is>
      </c>
      <c r="C38" s="24" t="n">
        <v>334.01</v>
      </c>
      <c r="D38" s="25" t="n"/>
      <c r="E38" s="26">
        <f>IF(D38="",C38,D38)</f>
        <v/>
      </c>
      <c r="F38" s="15" t="inlineStr">
        <is>
          <t>$/sh</t>
        </is>
      </c>
      <c r="G38" s="15" t="inlineStr"/>
      <c r="H38" s="15" t="inlineStr"/>
    </row>
    <row r="39">
      <c r="A39" s="15" t="inlineStr">
        <is>
          <t>Backend</t>
        </is>
      </c>
      <c r="B39" s="15" t="inlineStr">
        <is>
          <t>backend_tv_pct_ev</t>
        </is>
      </c>
      <c r="C39" s="29" t="n">
        <v>0.773</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3" customWidth="1" min="4" max="4"/>
    <col width="10" customWidth="1" min="5" max="5"/>
    <col width="21" customWidth="1" min="6" max="6"/>
    <col width="10" customWidth="1" min="7" max="7"/>
    <col width="21" customWidth="1" min="8" max="8"/>
    <col width="9" customWidth="1" min="9" max="9"/>
    <col width="22" customWidth="1" min="10" max="10"/>
    <col width="9" customWidth="1" min="11" max="11"/>
    <col width="21" customWidth="1" min="12" max="12"/>
    <col width="10" customWidth="1" min="13" max="13"/>
    <col width="10" customWidth="1" min="14" max="14"/>
    <col width="9" customWidth="1" min="15" max="15"/>
    <col width="21" customWidth="1" min="16" max="16"/>
    <col width="9" customWidth="1" min="17" max="17"/>
    <col width="10" customWidth="1" min="18" max="18"/>
    <col width="1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5" t="inlineStr">
        <is>
          <t>FY16</t>
        </is>
      </c>
      <c r="B5" s="15" t="inlineStr">
        <is>
          <t>2016-06-30</t>
        </is>
      </c>
      <c r="C5" s="35" t="n">
        <v>91154</v>
      </c>
      <c r="D5" s="16" t="n">
        <v>-0.02592434280829237</v>
      </c>
      <c r="E5" s="35" t="n">
        <v>27188</v>
      </c>
      <c r="F5" s="16" t="n">
        <v>0.298264475502995</v>
      </c>
      <c r="G5" s="35" t="n">
        <v>33066</v>
      </c>
      <c r="H5" s="16" t="n">
        <v>0.3627487548544222</v>
      </c>
      <c r="I5" s="35" t="n">
        <v>4900</v>
      </c>
      <c r="J5" s="16" t="n">
        <v>0.05375518353555522</v>
      </c>
      <c r="K5" s="35" t="n">
        <v>8343</v>
      </c>
      <c r="L5" s="16" t="n">
        <v>0.09152642780349737</v>
      </c>
      <c r="M5" s="35" t="n">
        <v>33325</v>
      </c>
      <c r="N5" s="35" t="n">
        <v>26112</v>
      </c>
      <c r="O5" s="35" t="n">
        <v>5100</v>
      </c>
      <c r="P5" s="16" t="n">
        <v>0.1953125</v>
      </c>
      <c r="Q5" s="35" t="n">
        <v>6510</v>
      </c>
      <c r="R5" s="35" t="n">
        <v>54541</v>
      </c>
      <c r="S5" s="35" t="n">
        <v>48031</v>
      </c>
      <c r="T5" s="35" t="n">
        <v>193468</v>
      </c>
      <c r="U5" s="35" t="n">
        <v>71997</v>
      </c>
      <c r="V5" s="15" t="inlineStr">
        <is>
          <t>MSFT_Standard.xlsx</t>
        </is>
      </c>
    </row>
    <row r="6">
      <c r="A6" s="15" t="inlineStr">
        <is>
          <t>FY17</t>
        </is>
      </c>
      <c r="B6" s="15" t="inlineStr">
        <is>
          <t>2017-06-30</t>
        </is>
      </c>
      <c r="C6" s="35" t="n">
        <v>96571</v>
      </c>
      <c r="D6" s="16" t="n">
        <v>0.05942690392083727</v>
      </c>
      <c r="E6" s="35" t="n">
        <v>29331</v>
      </c>
      <c r="F6" s="16" t="n">
        <v>0.3037247206718373</v>
      </c>
      <c r="G6" s="35" t="n">
        <v>37131</v>
      </c>
      <c r="H6" s="16" t="n">
        <v>0.3844943098859906</v>
      </c>
      <c r="I6" s="35" t="n">
        <v>6100</v>
      </c>
      <c r="J6" s="16" t="n">
        <v>0.063165960795684</v>
      </c>
      <c r="K6" s="35" t="n">
        <v>8129</v>
      </c>
      <c r="L6" s="16" t="n">
        <v>0.08417640906690414</v>
      </c>
      <c r="M6" s="35" t="n">
        <v>39507</v>
      </c>
      <c r="N6" s="35" t="n">
        <v>27818</v>
      </c>
      <c r="O6" s="35" t="n">
        <v>4412</v>
      </c>
      <c r="P6" s="16" t="n">
        <v>0.1586023438061687</v>
      </c>
      <c r="Q6" s="35" t="n">
        <v>7663</v>
      </c>
      <c r="R6" s="35" t="n">
        <v>95527</v>
      </c>
      <c r="S6" s="35" t="n">
        <v>87864</v>
      </c>
      <c r="T6" s="35" t="n">
        <v>250312</v>
      </c>
      <c r="U6" s="35" t="n">
        <v>87711</v>
      </c>
      <c r="V6" s="15" t="inlineStr">
        <is>
          <t>MSFT_Standard.xlsx</t>
        </is>
      </c>
    </row>
    <row r="7">
      <c r="A7" s="15" t="inlineStr">
        <is>
          <t>FY18</t>
        </is>
      </c>
      <c r="B7" s="15" t="inlineStr">
        <is>
          <t>2018-06-30</t>
        </is>
      </c>
      <c r="C7" s="35" t="n">
        <v>110360</v>
      </c>
      <c r="D7" s="16" t="n">
        <v>0.1427861366248666</v>
      </c>
      <c r="E7" s="35" t="n">
        <v>35058</v>
      </c>
      <c r="F7" s="16" t="n">
        <v>0.3176694454512505</v>
      </c>
      <c r="G7" s="35" t="n">
        <v>44958</v>
      </c>
      <c r="H7" s="16" t="n">
        <v>0.4073758608191373</v>
      </c>
      <c r="I7" s="35" t="n">
        <v>7700</v>
      </c>
      <c r="J7" s="16" t="n">
        <v>0.06977165639724538</v>
      </c>
      <c r="K7" s="35" t="n">
        <v>11632</v>
      </c>
      <c r="L7" s="16" t="n">
        <v>0.1054005074302283</v>
      </c>
      <c r="M7" s="35" t="n">
        <v>43884</v>
      </c>
      <c r="N7" s="35" t="n">
        <v>33995</v>
      </c>
      <c r="O7" s="35" t="n">
        <v>19903</v>
      </c>
      <c r="P7" s="16" t="n">
        <v>0.5854684512428299</v>
      </c>
      <c r="Q7" s="35" t="n">
        <v>11946</v>
      </c>
      <c r="R7" s="35" t="n">
        <v>87508</v>
      </c>
      <c r="S7" s="35" t="n">
        <v>75562</v>
      </c>
      <c r="T7" s="35" t="n">
        <v>258848</v>
      </c>
      <c r="U7" s="35" t="n">
        <v>82718</v>
      </c>
      <c r="V7" s="15" t="inlineStr">
        <is>
          <t>MSFT_Standard.xlsx</t>
        </is>
      </c>
    </row>
    <row r="8">
      <c r="A8" s="15" t="inlineStr">
        <is>
          <t>FY19</t>
        </is>
      </c>
      <c r="B8" s="15" t="inlineStr">
        <is>
          <t>2019-06-30</t>
        </is>
      </c>
      <c r="C8" s="35" t="n">
        <v>125843</v>
      </c>
      <c r="D8" s="16" t="n">
        <v>0.1402953968829286</v>
      </c>
      <c r="E8" s="35" t="n">
        <v>42959</v>
      </c>
      <c r="F8" s="16" t="n">
        <v>0.3413698020549415</v>
      </c>
      <c r="G8" s="35" t="n">
        <v>54559</v>
      </c>
      <c r="H8" s="16" t="n">
        <v>0.4335481512678496</v>
      </c>
      <c r="I8" s="35" t="n">
        <v>9700</v>
      </c>
      <c r="J8" s="16" t="n">
        <v>0.07708017132458699</v>
      </c>
      <c r="K8" s="35" t="n">
        <v>13925</v>
      </c>
      <c r="L8" s="16" t="n">
        <v>0.1106537511025643</v>
      </c>
      <c r="M8" s="35" t="n">
        <v>52185</v>
      </c>
      <c r="N8" s="35" t="n">
        <v>43040</v>
      </c>
      <c r="O8" s="35" t="n">
        <v>4448</v>
      </c>
      <c r="P8" s="16" t="n">
        <v>0.1033457249070632</v>
      </c>
      <c r="Q8" s="35" t="n">
        <v>11356</v>
      </c>
      <c r="R8" s="35" t="n">
        <v>86455</v>
      </c>
      <c r="S8" s="35" t="n">
        <v>75099</v>
      </c>
      <c r="T8" s="35" t="n">
        <v>286556</v>
      </c>
      <c r="U8" s="35" t="n">
        <v>102330</v>
      </c>
      <c r="V8" s="15" t="inlineStr">
        <is>
          <t>MSFT_Standard.xlsx</t>
        </is>
      </c>
    </row>
    <row r="9">
      <c r="A9" s="15" t="inlineStr">
        <is>
          <t>FY20</t>
        </is>
      </c>
      <c r="B9" s="15" t="inlineStr">
        <is>
          <t>2020-06-30</t>
        </is>
      </c>
      <c r="C9" s="35" t="n">
        <v>143015</v>
      </c>
      <c r="D9" s="16" t="n">
        <v>0.1364557424727637</v>
      </c>
      <c r="E9" s="35" t="n">
        <v>52959</v>
      </c>
      <c r="F9" s="16" t="n">
        <v>0.3703038142852149</v>
      </c>
      <c r="G9" s="35" t="n">
        <v>65259</v>
      </c>
      <c r="H9" s="16" t="n">
        <v>0.4563087787994266</v>
      </c>
      <c r="I9" s="35" t="n">
        <v>10700</v>
      </c>
      <c r="J9" s="16" t="n">
        <v>0.07481732685382653</v>
      </c>
      <c r="K9" s="35" t="n">
        <v>15441</v>
      </c>
      <c r="L9" s="16" t="n">
        <v>0.1079676956962556</v>
      </c>
      <c r="M9" s="35" t="n">
        <v>60675</v>
      </c>
      <c r="N9" s="35" t="n">
        <v>53004</v>
      </c>
      <c r="O9" s="35" t="n">
        <v>8755</v>
      </c>
      <c r="P9" s="16" t="n">
        <v>0.1651762131159912</v>
      </c>
      <c r="Q9" s="35" t="n">
        <v>13576</v>
      </c>
      <c r="R9" s="35" t="n">
        <v>82110</v>
      </c>
      <c r="S9" s="35" t="n">
        <v>68534</v>
      </c>
      <c r="T9" s="35" t="n">
        <v>301311</v>
      </c>
      <c r="U9" s="35" t="n">
        <v>118304</v>
      </c>
      <c r="V9" s="15" t="inlineStr">
        <is>
          <t>MSFT_Standard.xlsx</t>
        </is>
      </c>
    </row>
    <row r="10">
      <c r="A10" s="15" t="inlineStr">
        <is>
          <t>FY21</t>
        </is>
      </c>
      <c r="B10" s="15" t="inlineStr">
        <is>
          <t>2021-06-30</t>
        </is>
      </c>
      <c r="C10" s="35" t="n">
        <v>168088</v>
      </c>
      <c r="D10" s="16" t="n">
        <v>0.175317274411775</v>
      </c>
      <c r="E10" s="35" t="n">
        <v>69916</v>
      </c>
      <c r="F10" s="16" t="n">
        <v>0.415948788729713</v>
      </c>
      <c r="G10" s="35" t="n">
        <v>80816</v>
      </c>
      <c r="H10" s="16" t="n">
        <v>0.4807957736423778</v>
      </c>
      <c r="I10" s="35" t="n">
        <v>9300</v>
      </c>
      <c r="J10" s="16" t="n">
        <v>0.05532816143924611</v>
      </c>
      <c r="K10" s="35" t="n">
        <v>20622</v>
      </c>
      <c r="L10" s="16" t="n">
        <v>0.1226857360430251</v>
      </c>
      <c r="M10" s="35" t="n">
        <v>76740</v>
      </c>
      <c r="N10" s="35" t="n">
        <v>69870</v>
      </c>
      <c r="O10" s="35" t="n">
        <v>9831</v>
      </c>
      <c r="P10" s="16" t="n">
        <v>0.1407041648776299</v>
      </c>
      <c r="Q10" s="35" t="n">
        <v>14224</v>
      </c>
      <c r="R10" s="35" t="n">
        <v>82278</v>
      </c>
      <c r="S10" s="35" t="n">
        <v>68054</v>
      </c>
      <c r="T10" s="35" t="n">
        <v>333779</v>
      </c>
      <c r="U10" s="35" t="n">
        <v>141988</v>
      </c>
      <c r="V10" s="15" t="inlineStr">
        <is>
          <t>MSFT_Standard.xlsx</t>
        </is>
      </c>
    </row>
    <row r="11">
      <c r="A11" s="15" t="inlineStr">
        <is>
          <t>FY22</t>
        </is>
      </c>
      <c r="B11" s="15" t="inlineStr">
        <is>
          <t>2022-06-30</t>
        </is>
      </c>
      <c r="C11" s="35" t="n">
        <v>198270</v>
      </c>
      <c r="D11" s="16" t="n">
        <v>0.1795607062967017</v>
      </c>
      <c r="E11" s="35" t="n">
        <v>83383</v>
      </c>
      <c r="F11" s="16" t="n">
        <v>0.4205527815604983</v>
      </c>
      <c r="G11" s="35" t="n">
        <v>97983</v>
      </c>
      <c r="H11" s="16" t="n">
        <v>0.4941897412619156</v>
      </c>
      <c r="I11" s="35" t="n">
        <v>12600</v>
      </c>
      <c r="J11" s="16" t="n">
        <v>0.06354970494779846</v>
      </c>
      <c r="K11" s="35" t="n">
        <v>23886</v>
      </c>
      <c r="L11" s="16" t="n">
        <v>0.1204720835224694</v>
      </c>
      <c r="M11" s="35" t="n">
        <v>89035</v>
      </c>
      <c r="N11" s="35" t="n">
        <v>83242</v>
      </c>
      <c r="O11" s="35" t="n">
        <v>10978</v>
      </c>
      <c r="P11" s="16" t="n">
        <v>0.131880541073016</v>
      </c>
      <c r="Q11" s="35" t="n">
        <v>13931</v>
      </c>
      <c r="R11" s="35" t="n">
        <v>78400</v>
      </c>
      <c r="S11" s="35" t="n">
        <v>64469</v>
      </c>
      <c r="T11" s="35" t="n">
        <v>364840</v>
      </c>
      <c r="U11" s="35" t="n">
        <v>166542</v>
      </c>
      <c r="V11" s="15" t="inlineStr">
        <is>
          <t>MSFT_Standard.xlsx</t>
        </is>
      </c>
    </row>
    <row r="12">
      <c r="A12" s="15" t="inlineStr">
        <is>
          <t>FY23</t>
        </is>
      </c>
      <c r="B12" s="15" t="inlineStr">
        <is>
          <t>2023-06-30</t>
        </is>
      </c>
      <c r="C12" s="35" t="n">
        <v>211915</v>
      </c>
      <c r="D12" s="16" t="n">
        <v>0.06882029555656421</v>
      </c>
      <c r="E12" s="35" t="n">
        <v>88523</v>
      </c>
      <c r="F12" s="16" t="n">
        <v>0.417728806361041</v>
      </c>
      <c r="G12" s="35" t="n">
        <v>102023</v>
      </c>
      <c r="H12" s="16" t="n">
        <v>0.4814335936578345</v>
      </c>
      <c r="I12" s="35" t="n">
        <v>11000</v>
      </c>
      <c r="J12" s="16" t="n">
        <v>0.05190760446405399</v>
      </c>
      <c r="K12" s="35" t="n">
        <v>28107</v>
      </c>
      <c r="L12" s="16" t="n">
        <v>0.1326333671519241</v>
      </c>
      <c r="M12" s="35" t="n">
        <v>87582</v>
      </c>
      <c r="N12" s="35" t="n">
        <v>89694</v>
      </c>
      <c r="O12" s="35" t="n">
        <v>16950</v>
      </c>
      <c r="P12" s="16" t="n">
        <v>0.1889758512275068</v>
      </c>
      <c r="Q12" s="35" t="n">
        <v>34704</v>
      </c>
      <c r="R12" s="35" t="n">
        <v>79441</v>
      </c>
      <c r="S12" s="35" t="n">
        <v>44737</v>
      </c>
      <c r="T12" s="35" t="n">
        <v>411976</v>
      </c>
      <c r="U12" s="35" t="n">
        <v>206223</v>
      </c>
      <c r="V12" s="15" t="inlineStr">
        <is>
          <t>MSFT_Standard.xlsx</t>
        </is>
      </c>
    </row>
    <row r="13">
      <c r="A13" s="15" t="inlineStr">
        <is>
          <t>FY24</t>
        </is>
      </c>
      <c r="B13" s="15" t="inlineStr">
        <is>
          <t>2024-06-30</t>
        </is>
      </c>
      <c r="C13" s="35" t="n">
        <v>245122</v>
      </c>
      <c r="D13" s="16" t="n">
        <v>0.1566996201307127</v>
      </c>
      <c r="E13" s="35" t="n">
        <v>109433</v>
      </c>
      <c r="F13" s="16" t="n">
        <v>0.4464429957327372</v>
      </c>
      <c r="G13" s="35" t="n">
        <v>129433</v>
      </c>
      <c r="H13" s="16" t="n">
        <v>0.5280350192965135</v>
      </c>
      <c r="I13" s="35" t="n">
        <v>15200</v>
      </c>
      <c r="J13" s="16" t="n">
        <v>0.06200993790847007</v>
      </c>
      <c r="K13" s="35" t="n">
        <v>44477</v>
      </c>
      <c r="L13" s="16" t="n">
        <v>0.1814484216023041</v>
      </c>
      <c r="M13" s="35" t="n">
        <v>118548</v>
      </c>
      <c r="N13" s="35" t="n">
        <v>109401</v>
      </c>
      <c r="O13" s="35" t="n">
        <v>19651</v>
      </c>
      <c r="P13" s="16" t="n">
        <v>0.1796235866216945</v>
      </c>
      <c r="Q13" s="35" t="n">
        <v>18315</v>
      </c>
      <c r="R13" s="35" t="n">
        <v>97852</v>
      </c>
      <c r="S13" s="35" t="n">
        <v>79537</v>
      </c>
      <c r="T13" s="35" t="n">
        <v>512163</v>
      </c>
      <c r="U13" s="35" t="n">
        <v>268477</v>
      </c>
      <c r="V13" s="15" t="inlineStr">
        <is>
          <t>MSFT_Standard.xlsx</t>
        </is>
      </c>
    </row>
    <row r="14">
      <c r="A14" s="15" t="inlineStr">
        <is>
          <t>FY25</t>
        </is>
      </c>
      <c r="B14" s="15" t="inlineStr">
        <is>
          <t>2025-06-30</t>
        </is>
      </c>
      <c r="C14" s="35" t="n">
        <v>281724</v>
      </c>
      <c r="D14" s="16" t="n">
        <v>0.1493215623240671</v>
      </c>
      <c r="E14" s="35" t="n">
        <v>128528</v>
      </c>
      <c r="F14" s="16" t="n">
        <v>0.4562195624085985</v>
      </c>
      <c r="G14" s="35" t="n">
        <v>156528</v>
      </c>
      <c r="H14" s="16" t="n">
        <v>0.5556076159645611</v>
      </c>
      <c r="I14" s="35" t="n">
        <v>22000</v>
      </c>
      <c r="J14" s="16" t="n">
        <v>0.0780906135082563</v>
      </c>
      <c r="K14" s="35" t="n">
        <v>64551</v>
      </c>
      <c r="L14" s="16" t="n">
        <v>0.2291285087532479</v>
      </c>
      <c r="M14" s="35" t="n">
        <v>136162</v>
      </c>
      <c r="N14" s="35" t="n">
        <v>128967</v>
      </c>
      <c r="O14" s="35" t="n">
        <v>21795</v>
      </c>
      <c r="P14" s="16" t="n">
        <v>0.1689967200911861</v>
      </c>
      <c r="Q14" s="35" t="n">
        <v>30242</v>
      </c>
      <c r="R14" s="35" t="n">
        <v>112184</v>
      </c>
      <c r="S14" s="35" t="n">
        <v>81942</v>
      </c>
      <c r="T14" s="35" t="n">
        <v>619003</v>
      </c>
      <c r="U14" s="35" t="n">
        <v>343479</v>
      </c>
      <c r="V14" s="15" t="inlineStr">
        <is>
          <t>MSFT_Standard.xlsx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359003.72</v>
      </c>
      <c r="C5" s="16" t="n">
        <v>0.1279741602020907</v>
      </c>
      <c r="D5" s="16" t="n">
        <v>0.4401304548341256</v>
      </c>
      <c r="E5" s="16" t="n">
        <v>0.2040942692198177</v>
      </c>
      <c r="F5" s="16" t="n">
        <v>0.1810700991691587</v>
      </c>
      <c r="G5" s="16" t="n">
        <v>0.005</v>
      </c>
      <c r="H5" s="36" t="n">
        <v>68.90000000000001</v>
      </c>
      <c r="I5" s="36" t="n">
        <v>5</v>
      </c>
      <c r="J5" s="36" t="n">
        <v>43</v>
      </c>
      <c r="K5" s="36" t="n">
        <v>158008.471</v>
      </c>
      <c r="L5" s="36" t="n">
        <v>125759.847</v>
      </c>
      <c r="M5" s="36" t="n">
        <v>1795.019</v>
      </c>
      <c r="N5" s="36" t="n">
        <v>65004.839</v>
      </c>
      <c r="O5" s="36" t="n">
        <v>67768.099</v>
      </c>
      <c r="P5" s="36" t="n">
        <v>1516.176</v>
      </c>
      <c r="Q5" s="36" t="n">
        <v>13039.113</v>
      </c>
      <c r="R5" s="36" t="n">
        <v>56245.162</v>
      </c>
      <c r="S5" s="36" t="n">
        <v>6381.287</v>
      </c>
      <c r="T5" s="36" t="n">
        <v>56168.739</v>
      </c>
      <c r="U5" s="36" t="n">
        <v>1.10436</v>
      </c>
      <c r="V5" s="36" t="n">
        <v>50860.896</v>
      </c>
      <c r="W5" s="16" t="n">
        <v>0.2810005903355274</v>
      </c>
      <c r="X5" s="36" t="n">
        <v>79054.25999999999</v>
      </c>
    </row>
    <row r="6">
      <c r="A6" s="15" t="n">
        <v>2</v>
      </c>
      <c r="B6" s="36" t="n">
        <v>404946.919</v>
      </c>
      <c r="C6" s="16" t="n">
        <v>0.1279741602020907</v>
      </c>
      <c r="D6" s="16" t="n">
        <v>0.4281232073433408</v>
      </c>
      <c r="E6" s="16" t="n">
        <v>0.2040942692198177</v>
      </c>
      <c r="F6" s="16" t="n">
        <v>0.179508598618219</v>
      </c>
      <c r="G6" s="16" t="n">
        <v>0.00475</v>
      </c>
      <c r="H6" s="36" t="n">
        <v>67.04111111111112</v>
      </c>
      <c r="I6" s="36" t="n">
        <v>7.333333333333333</v>
      </c>
      <c r="J6" s="36" t="n">
        <v>42.61111111111111</v>
      </c>
      <c r="K6" s="36" t="n">
        <v>173367.174</v>
      </c>
      <c r="L6" s="36" t="n">
        <v>137983.927</v>
      </c>
      <c r="M6" s="36" t="n">
        <v>1923.498</v>
      </c>
      <c r="N6" s="36" t="n">
        <v>72691.454</v>
      </c>
      <c r="O6" s="36" t="n">
        <v>74378.333</v>
      </c>
      <c r="P6" s="36" t="n">
        <v>2508.304</v>
      </c>
      <c r="Q6" s="36" t="n">
        <v>14574.767</v>
      </c>
      <c r="R6" s="36" t="n">
        <v>62311.87</v>
      </c>
      <c r="S6" s="36" t="n">
        <v>6066.708</v>
      </c>
      <c r="T6" s="36" t="n">
        <v>61149.263</v>
      </c>
      <c r="U6" s="36" t="n">
        <v>1.2196110096</v>
      </c>
      <c r="V6" s="36" t="n">
        <v>50138.333</v>
      </c>
      <c r="W6" s="16" t="n">
        <v>0.2668242630716132</v>
      </c>
      <c r="X6" s="36" t="n">
        <v>84015.81200000001</v>
      </c>
    </row>
    <row r="7">
      <c r="A7" s="15" t="n">
        <v>3</v>
      </c>
      <c r="B7" s="36" t="n">
        <v>456769.661</v>
      </c>
      <c r="C7" s="16" t="n">
        <v>0.1279741602020907</v>
      </c>
      <c r="D7" s="16" t="n">
        <v>0.4161159598525561</v>
      </c>
      <c r="E7" s="16" t="n">
        <v>0.2040942692198177</v>
      </c>
      <c r="F7" s="16" t="n">
        <v>0.1779470980672792</v>
      </c>
      <c r="G7" s="16" t="n">
        <v>0.004500000000000001</v>
      </c>
      <c r="H7" s="36" t="n">
        <v>65.18222222222222</v>
      </c>
      <c r="I7" s="36" t="n">
        <v>9.666666666666666</v>
      </c>
      <c r="J7" s="36" t="n">
        <v>42.22222222222222</v>
      </c>
      <c r="K7" s="36" t="n">
        <v>190069.146</v>
      </c>
      <c r="L7" s="36" t="n">
        <v>151277.123</v>
      </c>
      <c r="M7" s="36" t="n">
        <v>2055.463</v>
      </c>
      <c r="N7" s="36" t="n">
        <v>81280.836</v>
      </c>
      <c r="O7" s="36" t="n">
        <v>81570.58</v>
      </c>
      <c r="P7" s="36" t="n">
        <v>3729.535</v>
      </c>
      <c r="Q7" s="36" t="n">
        <v>16289.922</v>
      </c>
      <c r="R7" s="36" t="n">
        <v>69010.193</v>
      </c>
      <c r="S7" s="36" t="n">
        <v>6698.323</v>
      </c>
      <c r="T7" s="36" t="n">
        <v>65353.428</v>
      </c>
      <c r="U7" s="36" t="n">
        <v>1.346889614561856</v>
      </c>
      <c r="V7" s="36" t="n">
        <v>48521.74</v>
      </c>
      <c r="W7" s="16" t="n">
        <v>0.2546886801737725</v>
      </c>
      <c r="X7" s="36" t="n">
        <v>89290.542</v>
      </c>
    </row>
    <row r="8">
      <c r="A8" s="15" t="n">
        <v>4</v>
      </c>
      <c r="B8" s="36" t="n">
        <v>512719.173</v>
      </c>
      <c r="C8" s="16" t="n">
        <v>0.1224895533362868</v>
      </c>
      <c r="D8" s="16" t="n">
        <v>0.4041087123617713</v>
      </c>
      <c r="E8" s="16" t="n">
        <v>0.2040942692198177</v>
      </c>
      <c r="F8" s="16" t="n">
        <v>0.1763855975163394</v>
      </c>
      <c r="G8" s="16" t="n">
        <v>0.00425</v>
      </c>
      <c r="H8" s="36" t="n">
        <v>63.32333333333334</v>
      </c>
      <c r="I8" s="36" t="n">
        <v>12</v>
      </c>
      <c r="J8" s="36" t="n">
        <v>41.83333333333334</v>
      </c>
      <c r="K8" s="36" t="n">
        <v>207194.285</v>
      </c>
      <c r="L8" s="36" t="n">
        <v>164907.119</v>
      </c>
      <c r="M8" s="36" t="n">
        <v>2179.056</v>
      </c>
      <c r="N8" s="36" t="n">
        <v>90436.27800000001</v>
      </c>
      <c r="O8" s="36" t="n">
        <v>88950.924</v>
      </c>
      <c r="P8" s="36" t="n">
        <v>5196.865</v>
      </c>
      <c r="Q8" s="36" t="n">
        <v>18116.85</v>
      </c>
      <c r="R8" s="36" t="n">
        <v>76030.939</v>
      </c>
      <c r="S8" s="36" t="n">
        <v>7020.746</v>
      </c>
      <c r="T8" s="36" t="n">
        <v>69629.151</v>
      </c>
      <c r="U8" s="36" t="n">
        <v>1.487451014737531</v>
      </c>
      <c r="V8" s="36" t="n">
        <v>46811.055</v>
      </c>
      <c r="W8" s="16" t="n">
        <v>0.242548824564415</v>
      </c>
      <c r="X8" s="36" t="n">
        <v>93953.541</v>
      </c>
    </row>
    <row r="9">
      <c r="A9" s="15" t="n">
        <v>5</v>
      </c>
      <c r="B9" s="36" t="n">
        <v>572709.853</v>
      </c>
      <c r="C9" s="16" t="n">
        <v>0.1170049464704829</v>
      </c>
      <c r="D9" s="16" t="n">
        <v>0.3921014648709866</v>
      </c>
      <c r="E9" s="16" t="n">
        <v>0.2040942692198177</v>
      </c>
      <c r="F9" s="16" t="n">
        <v>0.1748240969653996</v>
      </c>
      <c r="G9" s="16" t="n">
        <v>0.004</v>
      </c>
      <c r="H9" s="36" t="n">
        <v>61.46444444444445</v>
      </c>
      <c r="I9" s="36" t="n">
        <v>14.33333333333333</v>
      </c>
      <c r="J9" s="36" t="n">
        <v>41.44444444444444</v>
      </c>
      <c r="K9" s="36" t="n">
        <v>224560.372</v>
      </c>
      <c r="L9" s="36" t="n">
        <v>178728.887</v>
      </c>
      <c r="M9" s="36" t="n">
        <v>2290.839</v>
      </c>
      <c r="N9" s="36" t="n">
        <v>100123.483</v>
      </c>
      <c r="O9" s="36" t="n">
        <v>96441.898</v>
      </c>
      <c r="P9" s="36" t="n">
        <v>6933.66</v>
      </c>
      <c r="Q9" s="36" t="n">
        <v>20048.489</v>
      </c>
      <c r="R9" s="36" t="n">
        <v>83327.069</v>
      </c>
      <c r="S9" s="36" t="n">
        <v>7296.131</v>
      </c>
      <c r="T9" s="36" t="n">
        <v>73600.113</v>
      </c>
      <c r="U9" s="36" t="n">
        <v>1.64268140263554</v>
      </c>
      <c r="V9" s="36" t="n">
        <v>44804.862</v>
      </c>
      <c r="W9" s="16" t="n">
        <v>0.230567213513838</v>
      </c>
      <c r="X9" s="36" t="n">
        <v>97832.101</v>
      </c>
    </row>
    <row r="10">
      <c r="A10" s="15" t="n">
        <v>6</v>
      </c>
      <c r="B10" s="36" t="n">
        <v>636578.65</v>
      </c>
      <c r="C10" s="16" t="n">
        <v>0.111520339604679</v>
      </c>
      <c r="D10" s="16" t="n">
        <v>0.3800942173802018</v>
      </c>
      <c r="E10" s="16" t="n">
        <v>0.2040942692198177</v>
      </c>
      <c r="F10" s="16" t="n">
        <v>0.1732625964144599</v>
      </c>
      <c r="G10" s="16" t="n">
        <v>0.00375</v>
      </c>
      <c r="H10" s="36" t="n">
        <v>59.60555555555555</v>
      </c>
      <c r="I10" s="36" t="n">
        <v>16.66666666666667</v>
      </c>
      <c r="J10" s="36" t="n">
        <v>41.05555555555556</v>
      </c>
      <c r="K10" s="36" t="n">
        <v>241959.864</v>
      </c>
      <c r="L10" s="36" t="n">
        <v>192577.242</v>
      </c>
      <c r="M10" s="36" t="n">
        <v>2387.17</v>
      </c>
      <c r="N10" s="36" t="n">
        <v>110295.27</v>
      </c>
      <c r="O10" s="36" t="n">
        <v>103955.134</v>
      </c>
      <c r="P10" s="36" t="n">
        <v>8961.516</v>
      </c>
      <c r="Q10" s="36" t="n">
        <v>22075.201</v>
      </c>
      <c r="R10" s="36" t="n">
        <v>90841.45</v>
      </c>
      <c r="S10" s="36" t="n">
        <v>7514.38</v>
      </c>
      <c r="T10" s="36" t="n">
        <v>77154.762</v>
      </c>
      <c r="U10" s="36" t="n">
        <v>1.814111633814585</v>
      </c>
      <c r="V10" s="36" t="n">
        <v>42530.328</v>
      </c>
      <c r="W10" s="16" t="n">
        <v>0.2187633935046318</v>
      </c>
      <c r="X10" s="36" t="n">
        <v>100709.217</v>
      </c>
    </row>
    <row r="11">
      <c r="A11" s="15" t="n">
        <v>7</v>
      </c>
      <c r="B11" s="36" t="n">
        <v>704078.733</v>
      </c>
      <c r="C11" s="16" t="n">
        <v>0.1060357327388751</v>
      </c>
      <c r="D11" s="16" t="n">
        <v>0.368086969889417</v>
      </c>
      <c r="E11" s="16" t="n">
        <v>0.2040942692198177</v>
      </c>
      <c r="F11" s="16" t="n">
        <v>0.1717010958635201</v>
      </c>
      <c r="G11" s="16" t="n">
        <v>0.0035</v>
      </c>
      <c r="H11" s="36" t="n">
        <v>57.74666666666667</v>
      </c>
      <c r="I11" s="36" t="n">
        <v>19</v>
      </c>
      <c r="J11" s="36" t="n">
        <v>40.66666666666666</v>
      </c>
      <c r="K11" s="36" t="n">
        <v>259162.208</v>
      </c>
      <c r="L11" s="36" t="n">
        <v>206268.686</v>
      </c>
      <c r="M11" s="36" t="n">
        <v>2464.276</v>
      </c>
      <c r="N11" s="36" t="n">
        <v>120891.09</v>
      </c>
      <c r="O11" s="36" t="n">
        <v>111392.329</v>
      </c>
      <c r="P11" s="36" t="n">
        <v>11299.403</v>
      </c>
      <c r="Q11" s="36" t="n">
        <v>24184.687</v>
      </c>
      <c r="R11" s="36" t="n">
        <v>98507.045</v>
      </c>
      <c r="S11" s="36" t="n">
        <v>7665.595</v>
      </c>
      <c r="T11" s="36" t="n">
        <v>80176.276</v>
      </c>
      <c r="U11" s="36" t="n">
        <v>2.003432323919475</v>
      </c>
      <c r="V11" s="36" t="n">
        <v>40019.458</v>
      </c>
      <c r="W11" s="16" t="n">
        <v>0.2071549596615422</v>
      </c>
      <c r="X11" s="36" t="n">
        <v>102355.171</v>
      </c>
    </row>
    <row r="12">
      <c r="A12" s="15" t="n">
        <v>8</v>
      </c>
      <c r="B12" s="36" t="n">
        <v>774874.643</v>
      </c>
      <c r="C12" s="16" t="n">
        <v>0.1005511258730712</v>
      </c>
      <c r="D12" s="16" t="n">
        <v>0.3560797223986323</v>
      </c>
      <c r="E12" s="16" t="n">
        <v>0.2040942692198177</v>
      </c>
      <c r="F12" s="16" t="n">
        <v>0.1701395953125803</v>
      </c>
      <c r="G12" s="16" t="n">
        <v>0.00325</v>
      </c>
      <c r="H12" s="36" t="n">
        <v>55.88777777777778</v>
      </c>
      <c r="I12" s="36" t="n">
        <v>21.33333333333333</v>
      </c>
      <c r="J12" s="36" t="n">
        <v>40.27777777777778</v>
      </c>
      <c r="K12" s="36" t="n">
        <v>275917.148</v>
      </c>
      <c r="L12" s="36" t="n">
        <v>219604.039</v>
      </c>
      <c r="M12" s="36" t="n">
        <v>2518.343</v>
      </c>
      <c r="N12" s="36" t="n">
        <v>131836.858</v>
      </c>
      <c r="O12" s="36" t="n">
        <v>118646.635</v>
      </c>
      <c r="P12" s="36" t="n">
        <v>13962.746</v>
      </c>
      <c r="Q12" s="36" t="n">
        <v>26361.955</v>
      </c>
      <c r="R12" s="36" t="n">
        <v>106247.426</v>
      </c>
      <c r="S12" s="36" t="n">
        <v>7740.381</v>
      </c>
      <c r="T12" s="36" t="n">
        <v>82545.14200000001</v>
      </c>
      <c r="U12" s="36" t="n">
        <v>2.212510521243712</v>
      </c>
      <c r="V12" s="36" t="n">
        <v>37308.361</v>
      </c>
      <c r="W12" s="16" t="n">
        <v>0.1957579597544964</v>
      </c>
      <c r="X12" s="36" t="n">
        <v>102531.52</v>
      </c>
    </row>
    <row r="13">
      <c r="A13" s="15" t="n">
        <v>9</v>
      </c>
      <c r="B13" s="36" t="n">
        <v>848539.278</v>
      </c>
      <c r="C13" s="16" t="n">
        <v>0.09506651900726733</v>
      </c>
      <c r="D13" s="16" t="n">
        <v>0.3440724749078475</v>
      </c>
      <c r="E13" s="16" t="n">
        <v>0.2040942692198177</v>
      </c>
      <c r="F13" s="16" t="n">
        <v>0.1685780947616405</v>
      </c>
      <c r="G13" s="16" t="n">
        <v>0.003</v>
      </c>
      <c r="H13" s="36" t="n">
        <v>54.02888888888889</v>
      </c>
      <c r="I13" s="36" t="n">
        <v>23.66666666666666</v>
      </c>
      <c r="J13" s="36" t="n">
        <v>39.88888888888889</v>
      </c>
      <c r="K13" s="36" t="n">
        <v>291959.009</v>
      </c>
      <c r="L13" s="36" t="n">
        <v>232371.849</v>
      </c>
      <c r="M13" s="36" t="n">
        <v>2545.618</v>
      </c>
      <c r="N13" s="36" t="n">
        <v>143045.135</v>
      </c>
      <c r="O13" s="36" t="n">
        <v>125604.478</v>
      </c>
      <c r="P13" s="36" t="n">
        <v>16962.494</v>
      </c>
      <c r="Q13" s="36" t="n">
        <v>28589.368</v>
      </c>
      <c r="R13" s="36" t="n">
        <v>113977.604</v>
      </c>
      <c r="S13" s="36" t="n">
        <v>7730.178</v>
      </c>
      <c r="T13" s="36" t="n">
        <v>84142.15399999999</v>
      </c>
      <c r="U13" s="36" t="n">
        <v>2.443408119240706</v>
      </c>
      <c r="V13" s="36" t="n">
        <v>34436.39</v>
      </c>
      <c r="W13" s="16" t="n">
        <v>0.1845872058673674</v>
      </c>
      <c r="X13" s="36" t="n">
        <v>100995.863</v>
      </c>
    </row>
    <row r="14">
      <c r="A14" s="15" t="n">
        <v>10</v>
      </c>
      <c r="B14" s="36" t="n">
        <v>924553.049</v>
      </c>
      <c r="C14" s="16" t="n">
        <v>0.08958191214146344</v>
      </c>
      <c r="D14" s="16" t="n">
        <v>0.3320652274170628</v>
      </c>
      <c r="E14" s="16" t="n">
        <v>0.2040942692198177</v>
      </c>
      <c r="F14" s="16" t="n">
        <v>0.1670165942107008</v>
      </c>
      <c r="G14" s="16" t="n">
        <v>0.00275</v>
      </c>
      <c r="H14" s="36" t="n">
        <v>52.17</v>
      </c>
      <c r="I14" s="36" t="n">
        <v>26</v>
      </c>
      <c r="J14" s="36" t="n">
        <v>39.5</v>
      </c>
      <c r="K14" s="36" t="n">
        <v>307011.918</v>
      </c>
      <c r="L14" s="36" t="n">
        <v>244352.545</v>
      </c>
      <c r="M14" s="36" t="n">
        <v>2542.521</v>
      </c>
      <c r="N14" s="36" t="n">
        <v>154415.701</v>
      </c>
      <c r="O14" s="36" t="n">
        <v>132147.76</v>
      </c>
      <c r="P14" s="36" t="n">
        <v>20304.198</v>
      </c>
      <c r="Q14" s="36" t="n">
        <v>30846.763</v>
      </c>
      <c r="R14" s="36" t="n">
        <v>121605.196</v>
      </c>
      <c r="S14" s="36" t="n">
        <v>7627.592</v>
      </c>
      <c r="T14" s="36" t="n">
        <v>84851.773</v>
      </c>
      <c r="U14" s="36" t="n">
        <v>2.698402190564666</v>
      </c>
      <c r="V14" s="36" t="n">
        <v>31445.191</v>
      </c>
      <c r="W14" s="16" t="n">
        <v>0.1736565120957294</v>
      </c>
      <c r="X14" s="36" t="n">
        <v>97507.30899999999</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3"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136.6</v>
      </c>
      <c r="H6" s="16" t="n">
        <v>-0.645</v>
      </c>
      <c r="I6" s="15" t="n"/>
    </row>
    <row r="7">
      <c r="A7" s="13" t="inlineStr">
        <is>
          <t>base</t>
        </is>
      </c>
      <c r="B7" s="16" t="n">
        <v>0.6</v>
      </c>
      <c r="C7" s="17" t="n">
        <v>1</v>
      </c>
      <c r="D7" s="16" t="n">
        <v>0</v>
      </c>
      <c r="E7" s="16" t="n">
        <v>0</v>
      </c>
      <c r="F7" s="17" t="n">
        <v>1</v>
      </c>
      <c r="G7" s="41" t="n">
        <v>225.33</v>
      </c>
      <c r="H7" s="16" t="n">
        <v>-0.415</v>
      </c>
      <c r="I7" s="15" t="n"/>
    </row>
    <row r="8">
      <c r="A8" s="13" t="inlineStr">
        <is>
          <t>bull</t>
        </is>
      </c>
      <c r="B8" s="16" t="n">
        <v>0.2</v>
      </c>
      <c r="C8" s="17" t="n">
        <v>1.2</v>
      </c>
      <c r="D8" s="16" t="n">
        <v>0.02</v>
      </c>
      <c r="E8" s="16" t="n">
        <v>-0.01</v>
      </c>
      <c r="F8" s="17" t="n">
        <v>1.1</v>
      </c>
      <c r="G8" s="41" t="n">
        <v>371.31</v>
      </c>
      <c r="H8" s="16" t="n">
        <v>-0.036</v>
      </c>
      <c r="I8" s="15" t="n"/>
    </row>
    <row r="9">
      <c r="A9" s="13" t="inlineStr">
        <is>
          <t>Expected (prob-weighted)</t>
        </is>
      </c>
      <c r="B9" s="15" t="n"/>
      <c r="C9" s="15" t="n"/>
      <c r="D9" s="15" t="n"/>
      <c r="E9" s="15" t="n"/>
      <c r="F9" s="15" t="n"/>
      <c r="G9" s="40" t="n">
        <v>236.78</v>
      </c>
      <c r="H9" s="16" t="n">
        <v>-0.385</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246.75</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136.6</v>
      </c>
      <c r="C5" s="41" t="n">
        <v>225.33</v>
      </c>
      <c r="D5" s="41" t="n">
        <v>371.31</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172.34</v>
      </c>
      <c r="D7" s="41" t="inlineStr"/>
      <c r="E7" s="15" t="inlineStr">
        <is>
          <t>Invested capital + PV economic profit</t>
        </is>
      </c>
    </row>
    <row r="8">
      <c r="A8" s="13" t="inlineStr">
        <is>
          <t>FCFE IV</t>
        </is>
      </c>
      <c r="B8" s="41" t="inlineStr"/>
      <c r="C8" s="41" t="n">
        <v>179.42</v>
      </c>
      <c r="D8" s="41" t="inlineStr"/>
      <c r="E8" s="15" t="inlineStr">
        <is>
          <t>Direct-to-equity cross-check</t>
        </is>
      </c>
    </row>
    <row r="9">
      <c r="A9" s="13" t="inlineStr">
        <is>
          <t>Comps</t>
        </is>
      </c>
      <c r="B9" s="41" t="n">
        <v>518.384</v>
      </c>
      <c r="C9" s="41" t="n">
        <v>496.7348</v>
      </c>
      <c r="D9" s="41" t="n">
        <v>475.0856</v>
      </c>
      <c r="E9" s="15" t="inlineStr">
        <is>
          <t>EV/EBITDA / blended / P/E</t>
        </is>
      </c>
    </row>
    <row r="10">
      <c r="A10" s="13" t="inlineStr">
        <is>
          <t>Market / street</t>
        </is>
      </c>
      <c r="B10" s="41" t="n">
        <v>385.1</v>
      </c>
      <c r="C10" s="41" t="n">
        <v>559.9331</v>
      </c>
      <c r="D10" s="41" t="inlineStr"/>
      <c r="E10" s="15" t="inlineStr">
        <is>
          <t>Current price / analyst target</t>
        </is>
      </c>
    </row>
    <row r="11"/>
    <row r="12">
      <c r="A12" s="5" t="inlineStr">
        <is>
          <t>Implied growth priced in</t>
        </is>
      </c>
      <c r="B12" s="7" t="n">
        <v>0.2</v>
      </c>
    </row>
    <row r="13">
      <c r="A13" s="5" t="inlineStr">
        <is>
          <t>DCF vs EP gap</t>
        </is>
      </c>
      <c r="B13" s="7" t="n">
        <v>-0.2102</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2</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2026-07-11T15:40:51Z</dcterms:created>
  <dcterms:modified xmlns:dcterms="http://purl.org/dc/terms/" xmlns:xsi="http://www.w3.org/2001/XMLSchema-instance" xsi:type="dcterms:W3CDTF">2026-07-11T15:40:51Z</dcterms:modified>
</cp:coreProperties>
</file>