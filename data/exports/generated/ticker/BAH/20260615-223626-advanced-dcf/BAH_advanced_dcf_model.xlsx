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5" borderId="1" applyAlignment="1" pivotButton="0" quotePrefix="0" xfId="0">
      <alignment vertical="center"/>
    </xf>
    <xf numFmtId="0" fontId="6" fillId="5"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2026-06-15T22:36:26</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2026-06-14T19:41:35.359252+00:00; deterministic story/sector layer below.</t>
        </is>
      </c>
    </row>
    <row r="3" ht="56" customHeight="1">
      <c r="A3" s="12" t="inlineStr">
        <is>
          <t>Agent thesis from BAH-20260614T194123Z.json.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3" t="inlineStr">
        <is>
          <t>Thesis</t>
        </is>
      </c>
      <c r="B5" s="13" t="inlineStr">
        <is>
          <t>Claim</t>
        </is>
      </c>
      <c r="C5" s="13" t="inlineStr">
        <is>
          <t>Model implication</t>
        </is>
      </c>
      <c r="D5" s="13" t="inlineStr">
        <is>
          <t>Confidence</t>
        </is>
      </c>
      <c r="E5" s="13" t="inlineStr">
        <is>
          <t>What would change my mind</t>
        </is>
      </c>
    </row>
    <row r="6" ht="44" customHeight="1">
      <c r="A6" s="14" t="inlineStr">
        <is>
          <t>Valuation Setup</t>
        </is>
      </c>
      <c r="B6" s="15" t="inlineStr">
        <is>
          <t>Base DCF IV is 97.75 versus current price 77.41.</t>
        </is>
      </c>
      <c r="C6" s="15" t="inlineStr">
        <is>
          <t>Review revenue growth, margin, WACC, terminal growth, and exit multiple before trusting the spread.</t>
        </is>
      </c>
      <c r="D6" s="16" t="inlineStr">
        <is>
          <t>medium</t>
        </is>
      </c>
      <c r="E6" s="15" t="inlineStr">
        <is>
          <t>A stale CIQ refresh, unresolved default driver, or rejected PM Queue item would invalidate the spread.</t>
        </is>
      </c>
    </row>
    <row r="7" ht="44" customHeight="1">
      <c r="A7" s="14" t="inlineStr">
        <is>
          <t>Model Driver Review</t>
        </is>
      </c>
      <c r="B7" s="15" t="inlineStr">
        <is>
          <t>The main senior-review work is concentrated in Revenue Growth (Near), Revenue Growth (Mid), Exit Multiple.</t>
        </is>
      </c>
      <c r="C7" s="15" t="inlineStr">
        <is>
          <t>Resolve these drivers before converting the prep pack into approved model changes.</t>
        </is>
      </c>
      <c r="D7" s="16" t="inlineStr">
        <is>
          <t>medium</t>
        </is>
      </c>
      <c r="E7" s="15" t="inlineStr">
        <is>
          <t>Accepted PM Queue previews or refreshed CIQ facts that eliminate the warning set.</t>
        </is>
      </c>
    </row>
    <row r="8" ht="44" customHeight="1">
      <c r="A8" s="14" t="inlineStr">
        <is>
          <t>Comps Support</t>
        </is>
      </c>
      <c r="B8" s="15" t="inlineStr">
        <is>
          <t>Comps support uses 8 peers and primary metric tev_ebitda_fwd.</t>
        </is>
      </c>
      <c r="C8" s="15" t="inlineStr">
        <is>
          <t>Use the comps card to challenge the exit multiple and triangulate DCF value.</t>
        </is>
      </c>
      <c r="D8" s="16" t="inlineStr">
        <is>
          <t>medium</t>
        </is>
      </c>
      <c r="E8" s="15" t="inlineStr">
        <is>
          <t>Different peer set, outlier handling, or CIQ comps refresh.</t>
        </is>
      </c>
    </row>
    <row r="9"/>
    <row r="10">
      <c r="A10" s="3" t="inlineStr">
        <is>
          <t>Story Profile (deterministic sector prior)</t>
        </is>
      </c>
      <c r="B10" s="4" t="n"/>
      <c r="C10" s="4" t="n"/>
      <c r="D10" s="4" t="n"/>
    </row>
    <row r="11">
      <c r="A11" s="13" t="inlineStr">
        <is>
          <t>Attribute</t>
        </is>
      </c>
      <c r="B11" s="13" t="inlineStr">
        <is>
          <t>Assessment</t>
        </is>
      </c>
      <c r="C11" s="13" t="inlineStr">
        <is>
          <t>Scale</t>
        </is>
      </c>
      <c r="D11" s="13" t="inlineStr">
        <is>
          <t>Read</t>
        </is>
      </c>
    </row>
    <row r="12">
      <c r="A12" s="14" t="inlineStr">
        <is>
          <t>Moat strength</t>
        </is>
      </c>
      <c r="B12" s="16" t="n">
        <v>3</v>
      </c>
      <c r="C12" s="16" t="inlineStr">
        <is>
          <t>0-5</t>
        </is>
      </c>
      <c r="D12" s="16" t="inlineStr">
        <is>
          <t>Durability of competitive advantage</t>
        </is>
      </c>
    </row>
    <row r="13">
      <c r="A13" s="14" t="inlineStr">
        <is>
          <t>Pricing power</t>
        </is>
      </c>
      <c r="B13" s="16" t="n">
        <v>3</v>
      </c>
      <c r="C13" s="16" t="inlineStr">
        <is>
          <t>0-5</t>
        </is>
      </c>
      <c r="D13" s="16" t="inlineStr">
        <is>
          <t>Ability to pass through cost / take price</t>
        </is>
      </c>
    </row>
    <row r="14">
      <c r="A14" s="14" t="inlineStr">
        <is>
          <t>Cyclicality</t>
        </is>
      </c>
      <c r="B14" s="16" t="inlineStr">
        <is>
          <t>high</t>
        </is>
      </c>
      <c r="C14" s="16" t="inlineStr">
        <is>
          <t>low/med/high</t>
        </is>
      </c>
      <c r="D14" s="16" t="inlineStr">
        <is>
          <t>Sensitivity of demand to the cycle</t>
        </is>
      </c>
    </row>
    <row r="15">
      <c r="A15" s="14" t="inlineStr">
        <is>
          <t>Capital intensity</t>
        </is>
      </c>
      <c r="B15" s="16" t="inlineStr">
        <is>
          <t>high</t>
        </is>
      </c>
      <c r="C15" s="16" t="inlineStr">
        <is>
          <t>low/med/high</t>
        </is>
      </c>
      <c r="D15" s="16" t="inlineStr">
        <is>
          <t>Reinvestment needed to grow</t>
        </is>
      </c>
    </row>
    <row r="16">
      <c r="A16" s="14" t="inlineStr">
        <is>
          <t>Governance risk</t>
        </is>
      </c>
      <c r="B16" s="16" t="inlineStr">
        <is>
          <t>medium</t>
        </is>
      </c>
      <c r="C16" s="16" t="inlineStr">
        <is>
          <t>low/med/high</t>
        </is>
      </c>
      <c r="D16" s="16" t="inlineStr">
        <is>
          <t>Capital-allocation / disclosure risk</t>
        </is>
      </c>
    </row>
    <row r="17">
      <c r="A17" s="14" t="inlineStr">
        <is>
          <t>Advantage period</t>
        </is>
      </c>
      <c r="B17" s="16" t="n">
        <v>6</v>
      </c>
      <c r="C17" s="16" t="inlineStr">
        <is>
          <t>years</t>
        </is>
      </c>
      <c r="D17" s="16" t="inlineStr">
        <is>
          <t>Years of excess returns assumed</t>
        </is>
      </c>
    </row>
    <row r="18"/>
    <row r="19">
      <c r="A19" s="3" t="inlineStr">
        <is>
          <t>Story -&gt; Model Adjustments (what the thesis changed)</t>
        </is>
      </c>
      <c r="B19" s="4" t="n"/>
      <c r="C19" s="4" t="n"/>
      <c r="D19" s="4" t="n"/>
    </row>
    <row r="20">
      <c r="A20" s="13" t="inlineStr">
        <is>
          <t>Adjustment</t>
        </is>
      </c>
      <c r="B20" s="13" t="inlineStr">
        <is>
          <t>Value</t>
        </is>
      </c>
      <c r="C20" s="13" t="inlineStr">
        <is>
          <t>Effect on the model</t>
        </is>
      </c>
    </row>
    <row r="21">
      <c r="A21" s="14" t="inlineStr">
        <is>
          <t>Growth add</t>
        </is>
      </c>
      <c r="B21" s="17" t="n">
        <v>0</v>
      </c>
      <c r="C21" s="16" t="inlineStr">
        <is>
          <t>Added to near/mid revenue growth</t>
        </is>
      </c>
      <c r="D21" s="16" t="n"/>
    </row>
    <row r="22">
      <c r="A22" s="14" t="inlineStr">
        <is>
          <t>Margin add</t>
        </is>
      </c>
      <c r="B22" s="17" t="n">
        <v>0</v>
      </c>
      <c r="C22" s="16" t="inlineStr">
        <is>
          <t>Added to EBIT margin path</t>
        </is>
      </c>
      <c r="D22" s="16" t="n"/>
    </row>
    <row r="23">
      <c r="A23" s="14" t="inlineStr">
        <is>
          <t>Cyclicality growth multiplier</t>
        </is>
      </c>
      <c r="B23" s="18" t="n">
        <v>0.9</v>
      </c>
      <c r="C23" s="16" t="inlineStr">
        <is>
          <t>Scales growth for cycle exposure</t>
        </is>
      </c>
      <c r="D23" s="16" t="n"/>
    </row>
    <row r="24">
      <c r="A24" s="14" t="inlineStr">
        <is>
          <t>Cyclicality WACC add</t>
        </is>
      </c>
      <c r="B24" s="17" t="n">
        <v>0.01</v>
      </c>
      <c r="C24" s="16" t="inlineStr">
        <is>
          <t>Raises discount rate for cyclical names</t>
        </is>
      </c>
      <c r="D24" s="16" t="n"/>
    </row>
    <row r="25">
      <c r="A25" s="14" t="inlineStr">
        <is>
          <t>Governance WACC add</t>
        </is>
      </c>
      <c r="B25" s="17" t="n">
        <v>0</v>
      </c>
      <c r="C25" s="16" t="inlineStr">
        <is>
          <t>Raises discount rate for governance risk</t>
        </is>
      </c>
      <c r="D25" s="16" t="n"/>
    </row>
    <row r="26">
      <c r="A26" s="14" t="inlineStr">
        <is>
          <t>Capex target add</t>
        </is>
      </c>
      <c r="B26" s="17" t="n">
        <v>0.01</v>
      </c>
      <c r="C26" s="16" t="inlineStr">
        <is>
          <t>Raises terminal reinvestment intensity</t>
        </is>
      </c>
      <c r="D26" s="16" t="n"/>
    </row>
    <row r="27">
      <c r="A27" s="14" t="inlineStr">
        <is>
          <t>D&amp;A target add</t>
        </is>
      </c>
      <c r="B27" s="17" t="n">
        <v>0.005</v>
      </c>
      <c r="C27" s="16" t="inlineStr">
        <is>
          <t>Adjusts terminal D&amp;A intensity</t>
        </is>
      </c>
      <c r="D27" s="16" t="n"/>
    </row>
    <row r="28">
      <c r="A28" s="14" t="inlineStr">
        <is>
          <t>Exit multiple cyclicality mult.</t>
        </is>
      </c>
      <c r="B28" s="18" t="n">
        <v>0.9</v>
      </c>
      <c r="C28" s="16" t="inlineStr">
        <is>
          <t>Haircut/premium on exit multiple</t>
        </is>
      </c>
      <c r="D28" s="16" t="n"/>
    </row>
    <row r="29">
      <c r="A29" s="14" t="inlineStr">
        <is>
          <t>Exit multiple governance mult.</t>
        </is>
      </c>
      <c r="B29" s="18" t="n">
        <v>1</v>
      </c>
      <c r="C29" s="16" t="inlineStr">
        <is>
          <t>Haircut/premium on exit multiple</t>
        </is>
      </c>
      <c r="D29" s="16" t="n"/>
    </row>
    <row r="30">
      <c r="A30" s="14" t="inlineStr">
        <is>
          <t>Terminal blend — Gordon weight</t>
        </is>
      </c>
      <c r="B30" s="17" t="n">
        <v>0.58</v>
      </c>
      <c r="C30" s="16" t="inlineStr">
        <is>
          <t>Weight on Gordon TV (cyclicality-driven)</t>
        </is>
      </c>
      <c r="D30" s="16" t="n"/>
    </row>
    <row r="31">
      <c r="A31" s="14" t="inlineStr">
        <is>
          <t>Terminal blend — Exit weight</t>
        </is>
      </c>
      <c r="B31" s="17" t="n">
        <v>0.42</v>
      </c>
      <c r="C31" s="16" t="inlineStr">
        <is>
          <t>Weight on exit-multiple TV</t>
        </is>
      </c>
      <c r="D31" s="16" t="n"/>
    </row>
    <row r="32"/>
    <row r="33" ht="44" customHeight="1">
      <c r="A33" s="12"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3" t="inlineStr">
        <is>
          <t>Assumption</t>
        </is>
      </c>
      <c r="B5" s="13" t="inlineStr">
        <is>
          <t>Current</t>
        </is>
      </c>
      <c r="C5" s="13" t="inlineStr">
        <is>
          <t>Proposed</t>
        </is>
      </c>
      <c r="D5" s="13" t="inlineStr">
        <is>
          <t>Status</t>
        </is>
      </c>
      <c r="E5" s="13" t="inlineStr">
        <is>
          <t>Impact</t>
        </is>
      </c>
      <c r="F5" s="13" t="inlineStr">
        <is>
          <t>Rationale</t>
        </is>
      </c>
      <c r="G5" s="13" t="inlineStr"/>
      <c r="H5" s="13" t="inlineStr"/>
    </row>
    <row r="6" ht="40" customHeight="1">
      <c r="A6" s="19" t="inlineStr">
        <is>
          <t>revenue_growth_near</t>
        </is>
      </c>
      <c r="B6" s="16" t="n">
        <v>0.002472516715699436</v>
      </c>
      <c r="C6" s="16" t="n">
        <v>0.002472516715699436</v>
      </c>
      <c r="D6" s="20" t="inlineStr">
        <is>
          <t>review_required</t>
        </is>
      </c>
      <c r="E6" s="16" t="inlineStr"/>
      <c r="F6" s="15" t="inlineStr">
        <is>
          <t>PM Queue item 81 is deferred and discusses this driver: Booz Allen Hamilton identifies a broad and significant demand for innovation and advanced technology solutions, particularly in cyber, AI, and digital modernization, as its primary business driver.</t>
        </is>
      </c>
      <c r="G6" s="16" t="n"/>
      <c r="H6" s="16" t="n"/>
    </row>
    <row r="7" ht="40" customHeight="1">
      <c r="A7" s="19" t="inlineStr">
        <is>
          <t>revenue_growth_mid</t>
        </is>
      </c>
      <c r="B7" s="16" t="n">
        <v>0.00135988419363469</v>
      </c>
      <c r="C7" s="16" t="n">
        <v>0.00135988419363469</v>
      </c>
      <c r="D7" s="20" t="inlineStr">
        <is>
          <t>review_required</t>
        </is>
      </c>
      <c r="E7" s="16" t="inlineStr"/>
      <c r="F7" s="15" t="inlineStr">
        <is>
          <t>PM Queue item 81 is deferred and discusses this driver: Booz Allen Hamilton identifies a broad and significant demand for innovation and advanced technology solutions, particularly in cyber, AI, and digital modernization, as its primary business driver.</t>
        </is>
      </c>
      <c r="G7" s="16" t="n"/>
      <c r="H7" s="16" t="n"/>
    </row>
    <row r="8" ht="40" customHeight="1">
      <c r="A8" s="19" t="inlineStr">
        <is>
          <t>exit_multiple</t>
        </is>
      </c>
      <c r="B8" s="16" t="n">
        <v>8.517239999999999</v>
      </c>
      <c r="C8" s="16" t="n">
        <v>9.602262</v>
      </c>
      <c r="D8" s="20" t="inlineStr">
        <is>
          <t>review_required</t>
        </is>
      </c>
      <c r="E8" s="16" t="inlineStr"/>
      <c r="F8" s="15" t="inlineStr">
        <is>
          <t>PM Queue item 88 is previewed and discusses this driver: The deterministic comps packet has enough peer data for PM review of the exit multiple, but the comps model diagnostics still need inspection.</t>
        </is>
      </c>
      <c r="G8" s="16" t="n"/>
      <c r="H8" s="16" t="n"/>
    </row>
    <row r="9" ht="40" customHeight="1">
      <c r="A9" s="14" t="inlineStr">
        <is>
          <t>ebit_margin_start</t>
        </is>
      </c>
      <c r="B9" s="16" t="n">
        <v>0.09836368436321925</v>
      </c>
      <c r="C9" s="16" t="n">
        <v>0.09836368436321925</v>
      </c>
      <c r="D9" s="16" t="inlineStr">
        <is>
          <t>ok</t>
        </is>
      </c>
      <c r="E9" s="16" t="inlineStr"/>
      <c r="F9" s="15" t="inlineStr">
        <is>
          <t>Current deterministic model source: ciq.</t>
        </is>
      </c>
      <c r="G9" s="16" t="n"/>
      <c r="H9" s="16" t="n"/>
    </row>
    <row r="10" ht="40" customHeight="1">
      <c r="A10" s="14" t="inlineStr">
        <is>
          <t>ebit_margin_target</t>
        </is>
      </c>
      <c r="B10" s="16" t="n">
        <v>0.1141818421816096</v>
      </c>
      <c r="C10" s="16" t="n">
        <v>0.1141818421816096</v>
      </c>
      <c r="D10" s="16" t="inlineStr">
        <is>
          <t>ok</t>
        </is>
      </c>
      <c r="E10" s="16" t="inlineStr"/>
      <c r="F10" s="15" t="inlineStr">
        <is>
          <t>Current deterministic model source: default.</t>
        </is>
      </c>
      <c r="G10" s="16" t="n"/>
      <c r="H10" s="16" t="n"/>
    </row>
    <row r="11" ht="40" customHeight="1">
      <c r="A11" s="14" t="inlineStr">
        <is>
          <t>wacc</t>
        </is>
      </c>
      <c r="B11" s="16" t="n">
        <v>0.06801</v>
      </c>
      <c r="C11" s="16" t="n">
        <v>0.06801</v>
      </c>
      <c r="D11" s="16" t="inlineStr">
        <is>
          <t>ok</t>
        </is>
      </c>
      <c r="E11" s="16" t="inlineStr"/>
      <c r="F11" s="15" t="inlineStr">
        <is>
          <t>Current deterministic model source: yfinance_capm|story_sector.</t>
        </is>
      </c>
      <c r="G11" s="16" t="n"/>
      <c r="H11" s="16" t="n"/>
    </row>
    <row r="12" ht="40" customHeight="1">
      <c r="A12" s="14" t="inlineStr">
        <is>
          <t>revenue_growth_terminal</t>
        </is>
      </c>
      <c r="B12" s="16" t="inlineStr"/>
      <c r="C12" s="16" t="n">
        <v>0.025</v>
      </c>
      <c r="D12" s="16" t="inlineStr">
        <is>
          <t>ok</t>
        </is>
      </c>
      <c r="E12" s="16" t="inlineStr"/>
      <c r="F12" s="15" t="inlineStr">
        <is>
          <t>Current deterministic model source: default.</t>
        </is>
      </c>
      <c r="G12" s="16" t="n"/>
      <c r="H12" s="16" t="n"/>
    </row>
    <row r="13"/>
    <row r="14"/>
    <row r="15">
      <c r="A15" s="3" t="inlineStr">
        <is>
          <t>Missing-data flags</t>
        </is>
      </c>
      <c r="B15" s="4" t="n"/>
      <c r="C15" s="4" t="n"/>
      <c r="D15" s="4" t="n"/>
      <c r="E15" s="4" t="n"/>
      <c r="F15" s="4" t="n"/>
      <c r="G15" s="4" t="n"/>
      <c r="H15" s="4" t="n"/>
    </row>
    <row r="16">
      <c r="A16" s="13" t="inlineStr">
        <is>
          <t>Flag</t>
        </is>
      </c>
      <c r="B16" s="13" t="inlineStr">
        <is>
          <t>Severity</t>
        </is>
      </c>
      <c r="C16" s="13" t="inlineStr">
        <is>
          <t>Reason</t>
        </is>
      </c>
      <c r="D16" s="13" t="inlineStr">
        <is>
          <t>Suggested check</t>
        </is>
      </c>
      <c r="E16" s="13" t="inlineStr"/>
      <c r="F16" s="13" t="inlineStr"/>
      <c r="G16" s="13" t="inlineStr"/>
      <c r="H16" s="13" t="inlineStr"/>
    </row>
    <row r="17" ht="30" customHeight="1">
      <c r="A17" s="14" t="inlineStr">
        <is>
          <t>Segment evidence missing</t>
        </is>
      </c>
      <c r="B17" s="21" t="inlineStr">
        <is>
          <t>medium</t>
        </is>
      </c>
      <c r="C17" s="15" t="inlineStr">
        <is>
          <t>No deterministic segment rows were found in the current CIQ/SEC payload.</t>
        </is>
      </c>
      <c r="D17" s="16" t="inlineStr">
        <is>
          <t>Refresh CIQ segment tabs or add SEC segment snippets before relying on mix-shift margin claims.</t>
        </is>
      </c>
      <c r="E17" s="16" t="n"/>
      <c r="F17" s="16" t="n"/>
      <c r="G17" s="16" t="n"/>
      <c r="H17" s="16" t="n"/>
    </row>
    <row r="18" ht="30" customHeight="1">
      <c r="A18" s="14" t="inlineStr">
        <is>
          <t>pension_deficit default needs review</t>
        </is>
      </c>
      <c r="B18" s="21" t="inlineStr">
        <is>
          <t>medium</t>
        </is>
      </c>
      <c r="C18" s="15" t="inlineStr">
        <is>
          <t>Default-resolution layer flagged this assumption.</t>
        </is>
      </c>
      <c r="D18" s="16" t="inlineStr"/>
      <c r="E18" s="16" t="n"/>
      <c r="F18" s="16" t="n"/>
      <c r="G18" s="16" t="n"/>
      <c r="H18" s="16" t="n"/>
    </row>
    <row r="19" ht="30" customHeight="1">
      <c r="A19" s="14" t="inlineStr">
        <is>
          <t>preferred_equity default needs review</t>
        </is>
      </c>
      <c r="B19" s="16" t="inlineStr">
        <is>
          <t>low</t>
        </is>
      </c>
      <c r="C19" s="15" t="inlineStr">
        <is>
          <t>Default-resolution layer flagged this assumption.</t>
        </is>
      </c>
      <c r="D19" s="16" t="inlineStr"/>
      <c r="E19" s="16" t="n"/>
      <c r="F19" s="16" t="n"/>
      <c r="G19" s="16" t="n"/>
      <c r="H19" s="16" t="n"/>
    </row>
    <row r="20"/>
    <row r="21"/>
    <row r="22">
      <c r="A22" s="3" t="inlineStr">
        <is>
          <t>Default-resolution fields (deterministic)</t>
        </is>
      </c>
      <c r="B22" s="4" t="n"/>
      <c r="C22" s="4" t="n"/>
      <c r="D22" s="4" t="n"/>
      <c r="E22" s="4" t="n"/>
      <c r="F22" s="4" t="n"/>
      <c r="G22" s="4" t="n"/>
      <c r="H22" s="4" t="n"/>
    </row>
    <row r="23">
      <c r="A23" s="13" t="inlineStr">
        <is>
          <t>Field</t>
        </is>
      </c>
      <c r="B23" s="13" t="inlineStr">
        <is>
          <t>Value</t>
        </is>
      </c>
      <c r="C23" s="13" t="inlineStr">
        <is>
          <t>Source</t>
        </is>
      </c>
      <c r="D23" s="13" t="inlineStr">
        <is>
          <t>Source class</t>
        </is>
      </c>
      <c r="E23" s="13" t="inlineStr">
        <is>
          <t>Severity</t>
        </is>
      </c>
      <c r="F23" s="13" t="inlineStr">
        <is>
          <t>PM review?</t>
        </is>
      </c>
      <c r="G23" s="13" t="inlineStr">
        <is>
          <t>Fallback</t>
        </is>
      </c>
      <c r="H23" s="13" t="inlineStr">
        <is>
          <t>Why it matters</t>
        </is>
      </c>
    </row>
    <row r="24" ht="30" customHeight="1">
      <c r="A24" s="19" t="inlineStr">
        <is>
          <t>pension_deficit</t>
        </is>
      </c>
      <c r="B24" s="16" t="n">
        <v>0</v>
      </c>
      <c r="C24" s="16" t="inlineStr">
        <is>
          <t>default</t>
        </is>
      </c>
      <c r="D24" s="16" t="inlineStr">
        <is>
          <t>unproven_zero</t>
        </is>
      </c>
      <c r="E24" s="22" t="inlineStr">
        <is>
          <t>medium</t>
        </is>
      </c>
      <c r="F24" s="20" t="inlineStr">
        <is>
          <t>YES</t>
        </is>
      </c>
      <c r="G24" s="16" t="n">
        <v>0</v>
      </c>
      <c r="H24" s="15" t="inlineStr">
        <is>
          <t>Can be a non-equity claim in the equity bridge.</t>
        </is>
      </c>
    </row>
    <row r="25" ht="30" customHeight="1">
      <c r="A25" s="19" t="inlineStr">
        <is>
          <t>preferred_equity</t>
        </is>
      </c>
      <c r="B25" s="16" t="n">
        <v>0</v>
      </c>
      <c r="C25" s="16" t="inlineStr">
        <is>
          <t>default</t>
        </is>
      </c>
      <c r="D25" s="16" t="inlineStr">
        <is>
          <t>unproven_zero</t>
        </is>
      </c>
      <c r="E25" s="22" t="inlineStr">
        <is>
          <t>low</t>
        </is>
      </c>
      <c r="F25" s="20" t="inlineStr">
        <is>
          <t>YES</t>
        </is>
      </c>
      <c r="G25" s="16" t="n">
        <v>0</v>
      </c>
      <c r="H25" s="15" t="inlineStr">
        <is>
          <t>Can be a non-equity claim in the equity bridge.</t>
        </is>
      </c>
    </row>
    <row r="26" ht="30" customHeight="1">
      <c r="A26" s="23" t="inlineStr">
        <is>
          <t>exit_multiple</t>
        </is>
      </c>
      <c r="B26" s="16" t="n">
        <v>8.517239999999999</v>
      </c>
      <c r="C26" s="16" t="inlineStr">
        <is>
          <t>ciq_comps_tev_ebitda_fwd_fallback|story_sector</t>
        </is>
      </c>
      <c r="D26" s="16" t="inlineStr">
        <is>
          <t>ciq</t>
        </is>
      </c>
      <c r="E26" s="21" t="inlineStr">
        <is>
          <t>high</t>
        </is>
      </c>
      <c r="F26" s="24" t="inlineStr">
        <is>
          <t>no</t>
        </is>
      </c>
      <c r="G26" s="16" t="n">
        <v>11</v>
      </c>
      <c r="H26" s="15" t="inlineStr">
        <is>
          <t>Directly affects terminal value and equity value.</t>
        </is>
      </c>
    </row>
    <row r="27" ht="30" customHeight="1">
      <c r="A27" s="23" t="inlineStr">
        <is>
          <t>dso_start</t>
        </is>
      </c>
      <c r="B27" s="16" t="n">
        <v>67.09999999999999</v>
      </c>
      <c r="C27" s="16" t="inlineStr">
        <is>
          <t>ciq</t>
        </is>
      </c>
      <c r="D27" s="16" t="inlineStr">
        <is>
          <t>ciq</t>
        </is>
      </c>
      <c r="E27" s="21" t="inlineStr">
        <is>
          <t>medium</t>
        </is>
      </c>
      <c r="F27" s="24" t="inlineStr">
        <is>
          <t>no</t>
        </is>
      </c>
      <c r="G27" s="16" t="n">
        <v>55</v>
      </c>
      <c r="H27" s="15" t="inlineStr">
        <is>
          <t>Affects working-capital cash drag.</t>
        </is>
      </c>
    </row>
    <row r="28" ht="30" customHeight="1">
      <c r="A28" s="23" t="inlineStr">
        <is>
          <t>dio_start</t>
        </is>
      </c>
      <c r="B28" s="16" t="n">
        <v>5</v>
      </c>
      <c r="C28" s="16" t="inlineStr">
        <is>
          <t>ciq</t>
        </is>
      </c>
      <c r="D28" s="16" t="inlineStr">
        <is>
          <t>ciq</t>
        </is>
      </c>
      <c r="E28" s="21" t="inlineStr">
        <is>
          <t>medium</t>
        </is>
      </c>
      <c r="F28" s="24" t="inlineStr">
        <is>
          <t>no</t>
        </is>
      </c>
      <c r="G28" s="16" t="n">
        <v>60</v>
      </c>
      <c r="H28" s="15" t="inlineStr">
        <is>
          <t>Affects inventory investment and working-capital cash drag.</t>
        </is>
      </c>
    </row>
    <row r="29" ht="30" customHeight="1">
      <c r="A29" s="23" t="inlineStr">
        <is>
          <t>dpo_start</t>
        </is>
      </c>
      <c r="B29" s="16" t="n">
        <v>19.3</v>
      </c>
      <c r="C29" s="16" t="inlineStr">
        <is>
          <t>ciq</t>
        </is>
      </c>
      <c r="D29" s="16" t="inlineStr">
        <is>
          <t>ciq</t>
        </is>
      </c>
      <c r="E29" s="21" t="inlineStr">
        <is>
          <t>medium</t>
        </is>
      </c>
      <c r="F29" s="24" t="inlineStr">
        <is>
          <t>no</t>
        </is>
      </c>
      <c r="G29" s="16" t="n">
        <v>50</v>
      </c>
      <c r="H29" s="15" t="inlineStr">
        <is>
          <t>Affects supplier financing and working-capital cash drag.</t>
        </is>
      </c>
    </row>
    <row r="30" ht="30" customHeight="1">
      <c r="A30" s="14" t="inlineStr">
        <is>
          <t>minority_interest</t>
        </is>
      </c>
      <c r="B30" s="16" t="n">
        <v>0</v>
      </c>
      <c r="C30" s="16" t="inlineStr">
        <is>
          <t>yfinance</t>
        </is>
      </c>
      <c r="D30" s="16" t="inlineStr">
        <is>
          <t>public_market</t>
        </is>
      </c>
      <c r="E30" s="16" t="inlineStr">
        <is>
          <t>low</t>
        </is>
      </c>
      <c r="F30" s="16" t="inlineStr">
        <is>
          <t>no</t>
        </is>
      </c>
      <c r="G30" s="16" t="n">
        <v>0</v>
      </c>
      <c r="H30" s="15"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6" t="inlineStr">
        <is>
          <t>Company</t>
        </is>
      </c>
      <c r="B5" s="16" t="inlineStr">
        <is>
          <t>current_price</t>
        </is>
      </c>
      <c r="C5" s="25" t="n">
        <v>77.41</v>
      </c>
      <c r="D5" s="26" t="n"/>
      <c r="E5" s="27">
        <f>IF(D5="",C5,D5)</f>
        <v/>
      </c>
      <c r="F5" s="16" t="inlineStr">
        <is>
          <t>$/sh</t>
        </is>
      </c>
      <c r="G5" s="16" t="inlineStr"/>
      <c r="H5" s="16" t="inlineStr"/>
    </row>
    <row r="6">
      <c r="A6" s="16" t="inlineStr">
        <is>
          <t>Company</t>
        </is>
      </c>
      <c r="B6" s="16" t="inlineStr">
        <is>
          <t>shares_outstanding_mm</t>
        </is>
      </c>
      <c r="C6" s="28" t="n">
        <v>122.375</v>
      </c>
      <c r="D6" s="29" t="n"/>
      <c r="E6" s="14">
        <f>IF(D6="",C6,D6)</f>
        <v/>
      </c>
      <c r="F6" s="16" t="inlineStr">
        <is>
          <t>mm</t>
        </is>
      </c>
      <c r="G6" s="16" t="inlineStr">
        <is>
          <t>ciq</t>
        </is>
      </c>
      <c r="H6" s="16" t="inlineStr"/>
    </row>
    <row r="7">
      <c r="A7" s="16" t="inlineStr">
        <is>
          <t>Company</t>
        </is>
      </c>
      <c r="B7" s="16" t="inlineStr">
        <is>
          <t>annual_dilution_pct</t>
        </is>
      </c>
      <c r="C7" s="30" t="n">
        <v>0</v>
      </c>
      <c r="D7" s="31" t="n"/>
      <c r="E7" s="32">
        <f>IF(D7="",C7,D7)</f>
        <v/>
      </c>
      <c r="F7" s="16" t="inlineStr">
        <is>
          <t>%</t>
        </is>
      </c>
      <c r="G7" s="16" t="inlineStr"/>
      <c r="H7" s="16" t="inlineStr"/>
    </row>
    <row r="8">
      <c r="A8" s="16" t="inlineStr">
        <is>
          <t>Company</t>
        </is>
      </c>
      <c r="B8" s="16" t="inlineStr">
        <is>
          <t>net_debt_mm</t>
        </is>
      </c>
      <c r="C8" s="25" t="n">
        <v>3394</v>
      </c>
      <c r="D8" s="26" t="n"/>
      <c r="E8" s="27">
        <f>IF(D8="",C8,D8)</f>
        <v/>
      </c>
      <c r="F8" s="16" t="inlineStr">
        <is>
          <t>$mm</t>
        </is>
      </c>
      <c r="G8" s="16" t="inlineStr">
        <is>
          <t>ciq</t>
        </is>
      </c>
      <c r="H8" s="16" t="inlineStr"/>
    </row>
    <row r="9">
      <c r="A9" s="16" t="inlineStr">
        <is>
          <t>Company</t>
        </is>
      </c>
      <c r="B9" s="16" t="inlineStr">
        <is>
          <t>non_operating_assets_mm</t>
        </is>
      </c>
      <c r="C9" s="25" t="n">
        <v>503.66</v>
      </c>
      <c r="D9" s="26" t="n"/>
      <c r="E9" s="27">
        <f>IF(D9="",C9,D9)</f>
        <v/>
      </c>
      <c r="F9" s="16" t="inlineStr">
        <is>
          <t>$mm</t>
        </is>
      </c>
      <c r="G9" s="16" t="inlineStr">
        <is>
          <t>ciq_cash_excess</t>
        </is>
      </c>
      <c r="H9" s="16" t="inlineStr"/>
    </row>
    <row r="10">
      <c r="A10" s="16" t="inlineStr">
        <is>
          <t>Company</t>
        </is>
      </c>
      <c r="B10" s="16" t="inlineStr">
        <is>
          <t>minority_interest_mm</t>
        </is>
      </c>
      <c r="C10" s="25" t="n">
        <v>0</v>
      </c>
      <c r="D10" s="26" t="n"/>
      <c r="E10" s="27">
        <f>IF(D10="",C10,D10)</f>
        <v/>
      </c>
      <c r="F10" s="16" t="inlineStr">
        <is>
          <t>$mm</t>
        </is>
      </c>
      <c r="G10" s="16" t="inlineStr">
        <is>
          <t>yfinance</t>
        </is>
      </c>
      <c r="H10" s="16" t="inlineStr"/>
    </row>
    <row r="11">
      <c r="A11" s="16" t="inlineStr">
        <is>
          <t>Company</t>
        </is>
      </c>
      <c r="B11" s="16" t="inlineStr">
        <is>
          <t>preferred_equity_mm</t>
        </is>
      </c>
      <c r="C11" s="25" t="n">
        <v>0</v>
      </c>
      <c r="D11" s="26" t="n"/>
      <c r="E11" s="27">
        <f>IF(D11="",C11,D11)</f>
        <v/>
      </c>
      <c r="F11" s="16" t="inlineStr">
        <is>
          <t>$mm</t>
        </is>
      </c>
      <c r="G11" s="16" t="inlineStr">
        <is>
          <t>default</t>
        </is>
      </c>
      <c r="H11" s="16" t="inlineStr"/>
    </row>
    <row r="12">
      <c r="A12" s="16" t="inlineStr">
        <is>
          <t>Company</t>
        </is>
      </c>
      <c r="B12" s="16" t="inlineStr">
        <is>
          <t>pension_deficit_mm</t>
        </is>
      </c>
      <c r="C12" s="25" t="n">
        <v>0</v>
      </c>
      <c r="D12" s="26" t="n"/>
      <c r="E12" s="27">
        <f>IF(D12="",C12,D12)</f>
        <v/>
      </c>
      <c r="F12" s="16" t="inlineStr">
        <is>
          <t>$mm</t>
        </is>
      </c>
      <c r="G12" s="16" t="inlineStr">
        <is>
          <t>default</t>
        </is>
      </c>
      <c r="H12" s="16" t="inlineStr"/>
    </row>
    <row r="13">
      <c r="A13" s="16" t="inlineStr">
        <is>
          <t>Company</t>
        </is>
      </c>
      <c r="B13" s="16" t="inlineStr">
        <is>
          <t>lease_liabilities_mm</t>
        </is>
      </c>
      <c r="C13" s="25" t="n">
        <v>0</v>
      </c>
      <c r="D13" s="26" t="n"/>
      <c r="E13" s="27">
        <f>IF(D13="",C13,D13)</f>
        <v/>
      </c>
      <c r="F13" s="16" t="inlineStr">
        <is>
          <t>$mm</t>
        </is>
      </c>
      <c r="G13" s="16" t="inlineStr">
        <is>
          <t>default</t>
        </is>
      </c>
      <c r="H13" s="16" t="inlineStr"/>
    </row>
    <row r="14">
      <c r="A14" s="16" t="inlineStr">
        <is>
          <t>Company</t>
        </is>
      </c>
      <c r="B14" s="16" t="inlineStr">
        <is>
          <t>options_value_mm</t>
        </is>
      </c>
      <c r="C14" s="25" t="n">
        <v>207</v>
      </c>
      <c r="D14" s="26" t="n"/>
      <c r="E14" s="27">
        <f>IF(D14="",C14,D14)</f>
        <v/>
      </c>
      <c r="F14" s="16" t="inlineStr">
        <is>
          <t>$mm</t>
        </is>
      </c>
      <c r="G14" s="16" t="inlineStr">
        <is>
          <t>sbc_proxy</t>
        </is>
      </c>
      <c r="H14" s="16" t="inlineStr"/>
    </row>
    <row r="15">
      <c r="A15" s="16" t="inlineStr">
        <is>
          <t>Company</t>
        </is>
      </c>
      <c r="B15" s="16" t="inlineStr">
        <is>
          <t>convertibles_value_mm</t>
        </is>
      </c>
      <c r="C15" s="25" t="n">
        <v>0</v>
      </c>
      <c r="D15" s="26" t="n"/>
      <c r="E15" s="27">
        <f>IF(D15="",C15,D15)</f>
        <v/>
      </c>
      <c r="F15" s="16" t="inlineStr">
        <is>
          <t>$mm</t>
        </is>
      </c>
      <c r="G15" s="16" t="inlineStr">
        <is>
          <t>default</t>
        </is>
      </c>
      <c r="H15" s="16" t="inlineStr"/>
    </row>
    <row r="16">
      <c r="A16" s="16" t="inlineStr">
        <is>
          <t>Operating</t>
        </is>
      </c>
      <c r="B16" s="16" t="inlineStr">
        <is>
          <t>revenue_mm</t>
        </is>
      </c>
      <c r="C16" s="25" t="n">
        <v>11217</v>
      </c>
      <c r="D16" s="26" t="n"/>
      <c r="E16" s="27">
        <f>IF(D16="",C16,D16)</f>
        <v/>
      </c>
      <c r="F16" s="16" t="inlineStr">
        <is>
          <t>$mm</t>
        </is>
      </c>
      <c r="G16" s="16" t="inlineStr">
        <is>
          <t>ciq</t>
        </is>
      </c>
      <c r="H16" s="16" t="inlineStr"/>
    </row>
    <row r="17">
      <c r="A17" s="16" t="inlineStr">
        <is>
          <t>Operating</t>
        </is>
      </c>
      <c r="B17" s="16" t="inlineStr">
        <is>
          <t>cogs_pct_of_revenue</t>
        </is>
      </c>
      <c r="C17" s="30" t="n">
        <v>0.4623</v>
      </c>
      <c r="D17" s="31" t="n"/>
      <c r="E17" s="32">
        <f>IF(D17="",C17,D17)</f>
        <v/>
      </c>
      <c r="F17" s="16" t="inlineStr">
        <is>
          <t>% rev</t>
        </is>
      </c>
      <c r="G17" s="16" t="inlineStr"/>
      <c r="H17" s="16" t="inlineStr"/>
    </row>
    <row r="18">
      <c r="A18" s="16" t="inlineStr">
        <is>
          <t>Operating</t>
        </is>
      </c>
      <c r="B18" s="16" t="inlineStr">
        <is>
          <t>growth_terminal_pct</t>
        </is>
      </c>
      <c r="C18" s="30" t="n">
        <v>0.025</v>
      </c>
      <c r="D18" s="31" t="n"/>
      <c r="E18" s="32">
        <f>IF(D18="",C18,D18)</f>
        <v/>
      </c>
      <c r="F18" s="16" t="inlineStr">
        <is>
          <t>%</t>
        </is>
      </c>
      <c r="G18" s="16" t="inlineStr"/>
      <c r="H18" s="16" t="inlineStr"/>
    </row>
    <row r="19">
      <c r="A19" s="16" t="inlineStr">
        <is>
          <t>WACC</t>
        </is>
      </c>
      <c r="B19" s="16" t="inlineStr">
        <is>
          <t>wacc</t>
        </is>
      </c>
      <c r="C19" s="30" t="n">
        <v>0.06801</v>
      </c>
      <c r="D19" s="31" t="n"/>
      <c r="E19" s="32">
        <f>IF(D19="",C19,D19)</f>
        <v/>
      </c>
      <c r="F19" s="16" t="inlineStr">
        <is>
          <t>%</t>
        </is>
      </c>
      <c r="G19" s="16" t="inlineStr"/>
      <c r="H19" s="16" t="inlineStr"/>
    </row>
    <row r="20">
      <c r="A20" s="16" t="inlineStr">
        <is>
          <t>WACC</t>
        </is>
      </c>
      <c r="B20" s="16" t="inlineStr">
        <is>
          <t>cost_of_equity</t>
        </is>
      </c>
      <c r="C20" s="30" t="n">
        <v>0.07463</v>
      </c>
      <c r="D20" s="31" t="n"/>
      <c r="E20" s="32">
        <f>IF(D20="",C20,D20)</f>
        <v/>
      </c>
      <c r="F20" s="16" t="inlineStr">
        <is>
          <t>%</t>
        </is>
      </c>
      <c r="G20" s="16" t="inlineStr">
        <is>
          <t>yfinance_capm|story_sector</t>
        </is>
      </c>
      <c r="H20" s="16" t="inlineStr"/>
    </row>
    <row r="21">
      <c r="A21" s="16" t="inlineStr">
        <is>
          <t>WACC</t>
        </is>
      </c>
      <c r="B21" s="16" t="inlineStr">
        <is>
          <t>cost_of_debt</t>
        </is>
      </c>
      <c r="C21" s="30" t="inlineStr"/>
      <c r="D21" s="31" t="n"/>
      <c r="E21" s="32">
        <f>IF(D21="",C21,D21)</f>
        <v/>
      </c>
      <c r="F21" s="16" t="inlineStr">
        <is>
          <t>%</t>
        </is>
      </c>
      <c r="G21" s="16" t="inlineStr"/>
      <c r="H21" s="16" t="inlineStr"/>
    </row>
    <row r="22">
      <c r="A22" s="16" t="inlineStr">
        <is>
          <t>WACC</t>
        </is>
      </c>
      <c r="B22" s="16" t="inlineStr">
        <is>
          <t>risk_free_rate</t>
        </is>
      </c>
      <c r="C22" s="30" t="inlineStr"/>
      <c r="D22" s="31" t="n"/>
      <c r="E22" s="32">
        <f>IF(D22="",C22,D22)</f>
        <v/>
      </c>
      <c r="F22" s="16" t="inlineStr">
        <is>
          <t>%</t>
        </is>
      </c>
      <c r="G22" s="16" t="inlineStr"/>
      <c r="H22" s="16" t="inlineStr"/>
    </row>
    <row r="23">
      <c r="A23" s="16" t="inlineStr">
        <is>
          <t>WACC</t>
        </is>
      </c>
      <c r="B23" s="16" t="inlineStr">
        <is>
          <t>equity_risk_premium</t>
        </is>
      </c>
      <c r="C23" s="30" t="inlineStr"/>
      <c r="D23" s="31" t="n"/>
      <c r="E23" s="32">
        <f>IF(D23="",C23,D23)</f>
        <v/>
      </c>
      <c r="F23" s="16" t="inlineStr">
        <is>
          <t>%</t>
        </is>
      </c>
      <c r="G23" s="16" t="inlineStr"/>
      <c r="H23" s="16" t="inlineStr"/>
    </row>
    <row r="24">
      <c r="A24" s="16" t="inlineStr">
        <is>
          <t>WACC</t>
        </is>
      </c>
      <c r="B24" s="16" t="inlineStr">
        <is>
          <t>beta_relevered</t>
        </is>
      </c>
      <c r="C24" s="33" t="n">
        <v>0.27</v>
      </c>
      <c r="D24" s="34" t="n"/>
      <c r="E24" s="35">
        <f>IF(D24="",C24,D24)</f>
        <v/>
      </c>
      <c r="F24" s="16" t="inlineStr">
        <is>
          <t>x</t>
        </is>
      </c>
      <c r="G24" s="16" t="inlineStr"/>
      <c r="H24" s="16" t="inlineStr"/>
    </row>
    <row r="25">
      <c r="A25" s="16" t="inlineStr">
        <is>
          <t>WACC</t>
        </is>
      </c>
      <c r="B25" s="16" t="inlineStr">
        <is>
          <t>size_premium</t>
        </is>
      </c>
      <c r="C25" s="30" t="n">
        <v>0.006</v>
      </c>
      <c r="D25" s="31" t="n"/>
      <c r="E25" s="32">
        <f>IF(D25="",C25,D25)</f>
        <v/>
      </c>
      <c r="F25" s="16" t="inlineStr">
        <is>
          <t>%</t>
        </is>
      </c>
      <c r="G25" s="16" t="inlineStr"/>
      <c r="H25" s="16" t="inlineStr"/>
    </row>
    <row r="26">
      <c r="A26" s="16" t="inlineStr">
        <is>
          <t>WACC</t>
        </is>
      </c>
      <c r="B26" s="16" t="inlineStr">
        <is>
          <t>equity_weight</t>
        </is>
      </c>
      <c r="C26" s="30" t="n">
        <v>0.7323</v>
      </c>
      <c r="D26" s="31" t="n"/>
      <c r="E26" s="32">
        <f>IF(D26="",C26,D26)</f>
        <v/>
      </c>
      <c r="F26" s="16" t="inlineStr">
        <is>
          <t>% cap</t>
        </is>
      </c>
      <c r="G26" s="16" t="inlineStr"/>
      <c r="H26" s="16" t="inlineStr"/>
    </row>
    <row r="27">
      <c r="A27" s="16" t="inlineStr">
        <is>
          <t>WACC</t>
        </is>
      </c>
      <c r="B27" s="16" t="inlineStr">
        <is>
          <t>debt_weight</t>
        </is>
      </c>
      <c r="C27" s="30" t="n">
        <v>0.2677</v>
      </c>
      <c r="D27" s="31" t="n"/>
      <c r="E27" s="32">
        <f>IF(D27="",C27,D27)</f>
        <v/>
      </c>
      <c r="F27" s="16" t="inlineStr">
        <is>
          <t>% cap</t>
        </is>
      </c>
      <c r="G27" s="16" t="inlineStr">
        <is>
          <t>yfinance_capm</t>
        </is>
      </c>
      <c r="H27" s="16" t="inlineStr"/>
    </row>
    <row r="28">
      <c r="A28" s="16" t="inlineStr">
        <is>
          <t>Terminal</t>
        </is>
      </c>
      <c r="B28" s="16" t="inlineStr">
        <is>
          <t>exit_multiple</t>
        </is>
      </c>
      <c r="C28" s="33" t="n">
        <v>8.517239999999999</v>
      </c>
      <c r="D28" s="34" t="n"/>
      <c r="E28" s="35">
        <f>IF(D28="",C28,D28)</f>
        <v/>
      </c>
      <c r="F28" s="16" t="inlineStr">
        <is>
          <t>x</t>
        </is>
      </c>
      <c r="G28" s="16" t="inlineStr">
        <is>
          <t>ciq_comps_tev_ebitda_fwd_fallback|story_sector</t>
        </is>
      </c>
      <c r="H28" s="16" t="inlineStr"/>
    </row>
    <row r="29">
      <c r="A29" s="16" t="inlineStr">
        <is>
          <t>Terminal</t>
        </is>
      </c>
      <c r="B29" s="16" t="inlineStr">
        <is>
          <t>exit_metric</t>
        </is>
      </c>
      <c r="C29" s="28" t="inlineStr">
        <is>
          <t>ev_ebit</t>
        </is>
      </c>
      <c r="D29" s="29" t="n"/>
      <c r="E29" s="14">
        <f>IF(D29="",C29,D29)</f>
        <v/>
      </c>
      <c r="F29" s="16" t="inlineStr">
        <is>
          <t>text</t>
        </is>
      </c>
      <c r="G29" s="16" t="inlineStr"/>
      <c r="H29" s="16" t="inlineStr"/>
    </row>
    <row r="30">
      <c r="A30" s="16" t="inlineStr">
        <is>
          <t>Terminal</t>
        </is>
      </c>
      <c r="B30" s="16" t="inlineStr">
        <is>
          <t>ronic_terminal</t>
        </is>
      </c>
      <c r="C30" s="30" t="n">
        <v>0.11</v>
      </c>
      <c r="D30" s="31" t="n"/>
      <c r="E30" s="32">
        <f>IF(D30="",C30,D30)</f>
        <v/>
      </c>
      <c r="F30" s="16" t="inlineStr">
        <is>
          <t>%</t>
        </is>
      </c>
      <c r="G30" s="16" t="inlineStr">
        <is>
          <t>default</t>
        </is>
      </c>
      <c r="H30" s="16" t="inlineStr"/>
    </row>
    <row r="31">
      <c r="A31" s="16" t="inlineStr">
        <is>
          <t>Terminal</t>
        </is>
      </c>
      <c r="B31" s="16" t="inlineStr">
        <is>
          <t>terminal_blend_gordon_weight</t>
        </is>
      </c>
      <c r="C31" s="30" t="n">
        <v>0.58</v>
      </c>
      <c r="D31" s="31" t="n"/>
      <c r="E31" s="32">
        <f>IF(D31="",C31,D31)</f>
        <v/>
      </c>
      <c r="F31" s="16" t="inlineStr">
        <is>
          <t>%</t>
        </is>
      </c>
      <c r="G31" s="16" t="inlineStr"/>
      <c r="H31" s="16" t="inlineStr"/>
    </row>
    <row r="32">
      <c r="A32" s="16" t="inlineStr">
        <is>
          <t>Terminal</t>
        </is>
      </c>
      <c r="B32" s="16" t="inlineStr">
        <is>
          <t>terminal_blend_exit_weight</t>
        </is>
      </c>
      <c r="C32" s="30" t="n">
        <v>0.42</v>
      </c>
      <c r="D32" s="31" t="n"/>
      <c r="E32" s="32">
        <f>IF(D32="",C32,D32)</f>
        <v/>
      </c>
      <c r="F32" s="16" t="inlineStr">
        <is>
          <t>%</t>
        </is>
      </c>
      <c r="G32" s="16" t="inlineStr"/>
      <c r="H32" s="16" t="inlineStr"/>
    </row>
    <row r="33">
      <c r="A33" s="16" t="inlineStr">
        <is>
          <t>Scenario</t>
        </is>
      </c>
      <c r="B33" s="16" t="inlineStr">
        <is>
          <t>scenario_prob_bear</t>
        </is>
      </c>
      <c r="C33" s="30" t="n">
        <v>0.2</v>
      </c>
      <c r="D33" s="31" t="n"/>
      <c r="E33" s="32">
        <f>IF(D33="",C33,D33)</f>
        <v/>
      </c>
      <c r="F33" s="16" t="inlineStr">
        <is>
          <t>%</t>
        </is>
      </c>
      <c r="G33" s="16" t="inlineStr"/>
      <c r="H33" s="16" t="inlineStr"/>
    </row>
    <row r="34">
      <c r="A34" s="16" t="inlineStr">
        <is>
          <t>Scenario</t>
        </is>
      </c>
      <c r="B34" s="16" t="inlineStr">
        <is>
          <t>scenario_prob_base</t>
        </is>
      </c>
      <c r="C34" s="30" t="n">
        <v>0.6</v>
      </c>
      <c r="D34" s="31" t="n"/>
      <c r="E34" s="32">
        <f>IF(D34="",C34,D34)</f>
        <v/>
      </c>
      <c r="F34" s="16" t="inlineStr">
        <is>
          <t>%</t>
        </is>
      </c>
      <c r="G34" s="16" t="inlineStr"/>
      <c r="H34" s="16" t="inlineStr"/>
    </row>
    <row r="35">
      <c r="A35" s="16" t="inlineStr">
        <is>
          <t>Scenario</t>
        </is>
      </c>
      <c r="B35" s="16" t="inlineStr">
        <is>
          <t>scenario_prob_bull</t>
        </is>
      </c>
      <c r="C35" s="30" t="n">
        <v>0.2</v>
      </c>
      <c r="D35" s="31" t="n"/>
      <c r="E35" s="32">
        <f>IF(D35="",C35,D35)</f>
        <v/>
      </c>
      <c r="F35" s="16" t="inlineStr">
        <is>
          <t>%</t>
        </is>
      </c>
      <c r="G35" s="16" t="inlineStr"/>
      <c r="H35" s="16" t="inlineStr"/>
    </row>
    <row r="36">
      <c r="A36" s="16" t="inlineStr">
        <is>
          <t>Backend</t>
        </is>
      </c>
      <c r="B36" s="16" t="inlineStr">
        <is>
          <t>backend_iv_base</t>
        </is>
      </c>
      <c r="C36" s="25" t="n">
        <v>97.75</v>
      </c>
      <c r="D36" s="26" t="n"/>
      <c r="E36" s="27">
        <f>IF(D36="",C36,D36)</f>
        <v/>
      </c>
      <c r="F36" s="16" t="inlineStr">
        <is>
          <t>$/sh</t>
        </is>
      </c>
      <c r="G36" s="16" t="inlineStr"/>
      <c r="H36" s="16" t="inlineStr"/>
    </row>
    <row r="37">
      <c r="A37" s="16" t="inlineStr">
        <is>
          <t>Backend</t>
        </is>
      </c>
      <c r="B37" s="16" t="inlineStr">
        <is>
          <t>backend_iv_gordon</t>
        </is>
      </c>
      <c r="C37" s="25" t="n">
        <v>111.95</v>
      </c>
      <c r="D37" s="26" t="n"/>
      <c r="E37" s="27">
        <f>IF(D37="",C37,D37)</f>
        <v/>
      </c>
      <c r="F37" s="16" t="inlineStr">
        <is>
          <t>$/sh</t>
        </is>
      </c>
      <c r="G37" s="16" t="inlineStr"/>
      <c r="H37" s="16" t="inlineStr"/>
    </row>
    <row r="38">
      <c r="A38" s="16" t="inlineStr">
        <is>
          <t>Backend</t>
        </is>
      </c>
      <c r="B38" s="16" t="inlineStr">
        <is>
          <t>backend_iv_exit</t>
        </is>
      </c>
      <c r="C38" s="25" t="n">
        <v>78.15000000000001</v>
      </c>
      <c r="D38" s="26" t="n"/>
      <c r="E38" s="27">
        <f>IF(D38="",C38,D38)</f>
        <v/>
      </c>
      <c r="F38" s="16" t="inlineStr">
        <is>
          <t>$/sh</t>
        </is>
      </c>
      <c r="G38" s="16" t="inlineStr"/>
      <c r="H38" s="16" t="inlineStr"/>
    </row>
    <row r="39">
      <c r="A39" s="16" t="inlineStr">
        <is>
          <t>Backend</t>
        </is>
      </c>
      <c r="B39" s="16" t="inlineStr">
        <is>
          <t>backend_tv_pct_ev</t>
        </is>
      </c>
      <c r="C39" s="30" t="n">
        <v>0.542</v>
      </c>
      <c r="D39" s="31" t="n"/>
      <c r="E39" s="32">
        <f>IF(D39="",C39,D39)</f>
        <v/>
      </c>
      <c r="F39" s="16" t="inlineStr">
        <is>
          <t>%</t>
        </is>
      </c>
      <c r="G39" s="16" t="inlineStr"/>
      <c r="H39" s="16"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6" t="inlineStr">
        <is>
          <t>FY17</t>
        </is>
      </c>
      <c r="B5" s="16" t="inlineStr">
        <is>
          <t>2017-03-31</t>
        </is>
      </c>
      <c r="C5" s="36" t="n">
        <v>5809.491</v>
      </c>
      <c r="D5" s="17" t="n">
        <v>0.07468970934218411</v>
      </c>
      <c r="E5" s="36" t="n">
        <v>501.98</v>
      </c>
      <c r="F5" s="17" t="n">
        <v>0.0864068814290271</v>
      </c>
      <c r="G5" s="36" t="n">
        <v>561.524</v>
      </c>
      <c r="H5" s="17" t="n">
        <v>0.09665631636231126</v>
      </c>
      <c r="I5" s="36" t="n">
        <v>41.644</v>
      </c>
      <c r="J5" s="17" t="n">
        <v>0.007168269991295278</v>
      </c>
      <c r="K5" s="36" t="n">
        <v>53.919</v>
      </c>
      <c r="L5" s="17" t="n">
        <v>0.009281191760173137</v>
      </c>
      <c r="M5" s="36" t="n">
        <v>382.277</v>
      </c>
      <c r="N5" s="36" t="n">
        <v>429.457</v>
      </c>
      <c r="O5" s="36" t="n">
        <v>164.832</v>
      </c>
      <c r="P5" s="17" t="n">
        <v>0.383814910456693</v>
      </c>
      <c r="Q5" s="36" t="n">
        <v>217.417</v>
      </c>
      <c r="R5" s="36" t="n">
        <v>1743.324</v>
      </c>
      <c r="S5" s="36" t="n">
        <v>1525.907</v>
      </c>
      <c r="T5" s="36" t="n">
        <v>3373.105</v>
      </c>
      <c r="U5" s="36" t="n">
        <v>573.591</v>
      </c>
      <c r="V5" s="16" t="inlineStr">
        <is>
          <t>BAH_Standard.xlsx</t>
        </is>
      </c>
    </row>
    <row r="6">
      <c r="A6" s="16" t="inlineStr">
        <is>
          <t>FY18</t>
        </is>
      </c>
      <c r="B6" s="16" t="inlineStr">
        <is>
          <t>2018-03-31</t>
        </is>
      </c>
      <c r="C6" s="36" t="n">
        <v>6167.6</v>
      </c>
      <c r="D6" s="17" t="n">
        <v>0.06164206124082128</v>
      </c>
      <c r="E6" s="36" t="n">
        <v>512.444</v>
      </c>
      <c r="F6" s="17" t="n">
        <v>0.08308645178027109</v>
      </c>
      <c r="G6" s="36" t="n">
        <v>577.2</v>
      </c>
      <c r="H6" s="17" t="n">
        <v>0.09358583565730592</v>
      </c>
      <c r="I6" s="36" t="n">
        <v>44.056</v>
      </c>
      <c r="J6" s="17" t="n">
        <v>0.007143135093066994</v>
      </c>
      <c r="K6" s="36" t="n">
        <v>78.437</v>
      </c>
      <c r="L6" s="17" t="n">
        <v>0.01271758868927946</v>
      </c>
      <c r="M6" s="36" t="n">
        <v>369.143</v>
      </c>
      <c r="N6" s="36" t="n">
        <v>430.036</v>
      </c>
      <c r="O6" s="36" t="n">
        <v>128.344</v>
      </c>
      <c r="P6" s="17" t="n">
        <v>0.298449432140565</v>
      </c>
      <c r="Q6" s="36" t="n">
        <v>286.958</v>
      </c>
      <c r="R6" s="36" t="n">
        <v>1898.579</v>
      </c>
      <c r="S6" s="36" t="n">
        <v>1611.621</v>
      </c>
      <c r="T6" s="36" t="n">
        <v>3606.619</v>
      </c>
      <c r="U6" s="36" t="n">
        <v>562.491</v>
      </c>
      <c r="V6" s="16" t="inlineStr">
        <is>
          <t>BAH_Standard.xlsx</t>
        </is>
      </c>
    </row>
    <row r="7">
      <c r="A7" s="16" t="inlineStr">
        <is>
          <t>FY19</t>
        </is>
      </c>
      <c r="B7" s="16" t="inlineStr">
        <is>
          <t>2019-03-31</t>
        </is>
      </c>
      <c r="C7" s="36" t="n">
        <v>6704.037</v>
      </c>
      <c r="D7" s="17" t="n">
        <v>0.08697661975484783</v>
      </c>
      <c r="E7" s="36" t="n">
        <v>595.1559999999999</v>
      </c>
      <c r="F7" s="17" t="n">
        <v>0.08877576302159429</v>
      </c>
      <c r="G7" s="36" t="n">
        <v>663.731</v>
      </c>
      <c r="H7" s="17" t="n">
        <v>0.09900467434771019</v>
      </c>
      <c r="I7" s="36" t="n">
        <v>47.675</v>
      </c>
      <c r="J7" s="17" t="n">
        <v>0.007111386765914328</v>
      </c>
      <c r="K7" s="36" t="n">
        <v>94.681</v>
      </c>
      <c r="L7" s="17" t="n">
        <v>0.0141229829131313</v>
      </c>
      <c r="M7" s="36" t="n">
        <v>499.61</v>
      </c>
      <c r="N7" s="36" t="n">
        <v>515.403</v>
      </c>
      <c r="O7" s="36" t="n">
        <v>96.874</v>
      </c>
      <c r="P7" s="17" t="n">
        <v>0.1879577728495954</v>
      </c>
      <c r="Q7" s="36" t="n">
        <v>283.99</v>
      </c>
      <c r="R7" s="36" t="n">
        <v>1845.037</v>
      </c>
      <c r="S7" s="36" t="n">
        <v>1561.047</v>
      </c>
      <c r="T7" s="36" t="n">
        <v>3831.841</v>
      </c>
      <c r="U7" s="36" t="n">
        <v>675.366</v>
      </c>
      <c r="V7" s="16" t="inlineStr">
        <is>
          <t>BAH_Standard.xlsx</t>
        </is>
      </c>
    </row>
    <row r="8">
      <c r="A8" s="16" t="inlineStr">
        <is>
          <t>FY20</t>
        </is>
      </c>
      <c r="B8" s="16" t="inlineStr">
        <is>
          <t>2020-03-31</t>
        </is>
      </c>
      <c r="C8" s="36" t="n">
        <v>7463.841</v>
      </c>
      <c r="D8" s="17" t="n">
        <v>0.1133352933463823</v>
      </c>
      <c r="E8" s="36" t="n">
        <v>664.343</v>
      </c>
      <c r="F8" s="17" t="n">
        <v>0.08900819296659722</v>
      </c>
      <c r="G8" s="36" t="n">
        <v>745.424</v>
      </c>
      <c r="H8" s="17" t="n">
        <v>0.09987136649883083</v>
      </c>
      <c r="I8" s="36" t="n">
        <v>58.781</v>
      </c>
      <c r="J8" s="17" t="n">
        <v>0.00787543571734714</v>
      </c>
      <c r="K8" s="36" t="n">
        <v>128.079</v>
      </c>
      <c r="L8" s="17" t="n">
        <v>0.01715993146156249</v>
      </c>
      <c r="M8" s="36" t="n">
        <v>551.428</v>
      </c>
      <c r="N8" s="36" t="n">
        <v>580.885</v>
      </c>
      <c r="O8" s="36" t="n">
        <v>96.831</v>
      </c>
      <c r="P8" s="17" t="n">
        <v>0.1666956454375651</v>
      </c>
      <c r="Q8" s="36" t="n">
        <v>741.901</v>
      </c>
      <c r="R8" s="36" t="n">
        <v>2561.781</v>
      </c>
      <c r="S8" s="36" t="n">
        <v>1819.88</v>
      </c>
      <c r="T8" s="36" t="n">
        <v>4793.966</v>
      </c>
      <c r="U8" s="36" t="n">
        <v>856.356</v>
      </c>
      <c r="V8" s="16" t="inlineStr">
        <is>
          <t>BAH_Standard.xlsx</t>
        </is>
      </c>
    </row>
    <row r="9">
      <c r="A9" s="16" t="inlineStr">
        <is>
          <t>FY21</t>
        </is>
      </c>
      <c r="B9" s="16" t="inlineStr">
        <is>
          <t>2021-03-31</t>
        </is>
      </c>
      <c r="C9" s="36" t="n">
        <v>7858.938</v>
      </c>
      <c r="D9" s="17" t="n">
        <v>0.05293480930260963</v>
      </c>
      <c r="E9" s="36" t="n">
        <v>750.134</v>
      </c>
      <c r="F9" s="17" t="n">
        <v>0.09544979232562975</v>
      </c>
      <c r="G9" s="36" t="n">
        <v>834.449</v>
      </c>
      <c r="H9" s="17" t="n">
        <v>0.1061783411448213</v>
      </c>
      <c r="I9" s="36" t="n">
        <v>65.015</v>
      </c>
      <c r="J9" s="17" t="n">
        <v>0.008272746266734767</v>
      </c>
      <c r="K9" s="36" t="n">
        <v>87.20999999999999</v>
      </c>
      <c r="L9" s="17" t="n">
        <v>0.01109691920206012</v>
      </c>
      <c r="M9" s="36" t="n">
        <v>718.684</v>
      </c>
      <c r="N9" s="36" t="n">
        <v>662.439</v>
      </c>
      <c r="O9" s="36" t="n">
        <v>53.481</v>
      </c>
      <c r="P9" s="17" t="n">
        <v>0.08073347130830161</v>
      </c>
      <c r="Q9" s="36" t="n">
        <v>990.955</v>
      </c>
      <c r="R9" s="36" t="n">
        <v>2712.858</v>
      </c>
      <c r="S9" s="36" t="n">
        <v>1721.903</v>
      </c>
      <c r="T9" s="36" t="n">
        <v>5499.601</v>
      </c>
      <c r="U9" s="36" t="n">
        <v>1071.176</v>
      </c>
      <c r="V9" s="16" t="inlineStr">
        <is>
          <t>BAH_Standard.xlsx</t>
        </is>
      </c>
    </row>
    <row r="10">
      <c r="A10" s="16" t="inlineStr">
        <is>
          <t>FY22</t>
        </is>
      </c>
      <c r="B10" s="16" t="inlineStr">
        <is>
          <t>2022-03-31</t>
        </is>
      </c>
      <c r="C10" s="36" t="n">
        <v>8363.700000000001</v>
      </c>
      <c r="D10" s="17" t="n">
        <v>0.06422776207166936</v>
      </c>
      <c r="E10" s="36" t="n">
        <v>681.1180000000001</v>
      </c>
      <c r="F10" s="17" t="n">
        <v>0.08143740210672309</v>
      </c>
      <c r="G10" s="36" t="n">
        <v>826.865</v>
      </c>
      <c r="H10" s="17" t="n">
        <v>0.09886354125566435</v>
      </c>
      <c r="I10" s="36" t="n">
        <v>69.547</v>
      </c>
      <c r="J10" s="17" t="n">
        <v>0.008315338905030068</v>
      </c>
      <c r="K10" s="36" t="n">
        <v>79.964</v>
      </c>
      <c r="L10" s="17" t="n">
        <v>0.009560840297954254</v>
      </c>
      <c r="M10" s="36" t="n">
        <v>736.526</v>
      </c>
      <c r="N10" s="36" t="n">
        <v>604.043</v>
      </c>
      <c r="O10" s="36" t="n">
        <v>137.466</v>
      </c>
      <c r="P10" s="17" t="n">
        <v>0.2275765135925754</v>
      </c>
      <c r="Q10" s="36" t="n">
        <v>695.91</v>
      </c>
      <c r="R10" s="36" t="n">
        <v>3103.839</v>
      </c>
      <c r="S10" s="36" t="n">
        <v>2407.929</v>
      </c>
      <c r="T10" s="36" t="n">
        <v>6025.575</v>
      </c>
      <c r="U10" s="36" t="n">
        <v>1046.721</v>
      </c>
      <c r="V10" s="16" t="inlineStr">
        <is>
          <t>BAH_Standard.xlsx</t>
        </is>
      </c>
    </row>
    <row r="11">
      <c r="A11" s="16" t="inlineStr">
        <is>
          <t>FY23</t>
        </is>
      </c>
      <c r="B11" s="16" t="inlineStr">
        <is>
          <t>2023-03-31</t>
        </is>
      </c>
      <c r="C11" s="36" t="n">
        <v>9259</v>
      </c>
      <c r="D11" s="17" t="n">
        <v>0.1070459246505733</v>
      </c>
      <c r="E11" s="36" t="n">
        <v>811</v>
      </c>
      <c r="F11" s="17" t="n">
        <v>0.08759045253267092</v>
      </c>
      <c r="G11" s="36" t="n">
        <v>976</v>
      </c>
      <c r="H11" s="17" t="n">
        <v>0.1054109515066422</v>
      </c>
      <c r="I11" s="36" t="n">
        <v>71</v>
      </c>
      <c r="J11" s="17" t="n">
        <v>0.00766821471001188</v>
      </c>
      <c r="K11" s="36" t="n">
        <v>76</v>
      </c>
      <c r="L11" s="17" t="n">
        <v>0.008208229830435253</v>
      </c>
      <c r="M11" s="36" t="n">
        <v>603</v>
      </c>
      <c r="N11" s="36" t="n">
        <v>687</v>
      </c>
      <c r="O11" s="36" t="n">
        <v>97</v>
      </c>
      <c r="P11" s="17" t="n">
        <v>0.141193595342067</v>
      </c>
      <c r="Q11" s="36" t="n">
        <v>404.862</v>
      </c>
      <c r="R11" s="36" t="n">
        <v>3062.896</v>
      </c>
      <c r="S11" s="36" t="n">
        <v>2658.034</v>
      </c>
      <c r="T11" s="36" t="n">
        <v>6550.652</v>
      </c>
      <c r="U11" s="36" t="n">
        <v>992.002</v>
      </c>
      <c r="V11" s="16" t="inlineStr">
        <is>
          <t>BAH_Standard.xlsx</t>
        </is>
      </c>
    </row>
    <row r="12">
      <c r="A12" s="16" t="inlineStr">
        <is>
          <t>FY24</t>
        </is>
      </c>
      <c r="B12" s="16" t="inlineStr">
        <is>
          <t>2024-03-31</t>
        </is>
      </c>
      <c r="C12" s="36" t="n">
        <v>10662</v>
      </c>
      <c r="D12" s="17" t="n">
        <v>0.1515282427907982</v>
      </c>
      <c r="E12" s="36" t="n">
        <v>1025</v>
      </c>
      <c r="F12" s="17" t="n">
        <v>0.09613580941661977</v>
      </c>
      <c r="G12" s="36" t="n">
        <v>1189</v>
      </c>
      <c r="H12" s="17" t="n">
        <v>0.1115175389232789</v>
      </c>
      <c r="I12" s="36" t="n">
        <v>71</v>
      </c>
      <c r="J12" s="17" t="n">
        <v>0.006659163383980492</v>
      </c>
      <c r="K12" s="36" t="n">
        <v>67</v>
      </c>
      <c r="L12" s="17" t="n">
        <v>0.006283999249671731</v>
      </c>
      <c r="M12" s="36" t="n">
        <v>259</v>
      </c>
      <c r="N12" s="36" t="n">
        <v>881</v>
      </c>
      <c r="O12" s="36" t="n">
        <v>248</v>
      </c>
      <c r="P12" s="17" t="n">
        <v>0.2814982973893303</v>
      </c>
      <c r="Q12" s="36" t="n">
        <v>554</v>
      </c>
      <c r="R12" s="36" t="n">
        <v>3637</v>
      </c>
      <c r="S12" s="36" t="n">
        <v>3083</v>
      </c>
      <c r="T12" s="36" t="n">
        <v>6564</v>
      </c>
      <c r="U12" s="36" t="n">
        <v>1047</v>
      </c>
      <c r="V12" s="16" t="inlineStr">
        <is>
          <t>BAH_Standard.xlsx</t>
        </is>
      </c>
    </row>
    <row r="13">
      <c r="A13" s="16" t="inlineStr">
        <is>
          <t>FY25</t>
        </is>
      </c>
      <c r="B13" s="16" t="inlineStr">
        <is>
          <t>2025-03-31</t>
        </is>
      </c>
      <c r="C13" s="36" t="n">
        <v>11980</v>
      </c>
      <c r="D13" s="17" t="n">
        <v>0.1236165822547364</v>
      </c>
      <c r="E13" s="36" t="n">
        <v>1214</v>
      </c>
      <c r="F13" s="17" t="n">
        <v>0.1013355592654424</v>
      </c>
      <c r="G13" s="36" t="n">
        <v>1379</v>
      </c>
      <c r="H13" s="17" t="n">
        <v>0.1151085141903172</v>
      </c>
      <c r="I13" s="36" t="n">
        <v>70</v>
      </c>
      <c r="J13" s="17" t="n">
        <v>0.005843071786310518</v>
      </c>
      <c r="K13" s="36" t="n">
        <v>98</v>
      </c>
      <c r="L13" s="17" t="n">
        <v>0.008180300500834724</v>
      </c>
      <c r="M13" s="36" t="n">
        <v>1009</v>
      </c>
      <c r="N13" s="36" t="n">
        <v>1104</v>
      </c>
      <c r="O13" s="36" t="n">
        <v>284</v>
      </c>
      <c r="P13" s="17" t="n">
        <v>0.2572463768115942</v>
      </c>
      <c r="Q13" s="36" t="n">
        <v>885</v>
      </c>
      <c r="R13" s="36" t="n">
        <v>4219</v>
      </c>
      <c r="S13" s="36" t="n">
        <v>3334</v>
      </c>
      <c r="T13" s="36" t="n">
        <v>7312</v>
      </c>
      <c r="U13" s="36" t="n">
        <v>1003</v>
      </c>
      <c r="V13" s="16" t="inlineStr">
        <is>
          <t>BAH_Standard.xlsx</t>
        </is>
      </c>
    </row>
    <row r="14">
      <c r="A14" s="16" t="inlineStr">
        <is>
          <t>FY26</t>
        </is>
      </c>
      <c r="B14" s="16" t="inlineStr">
        <is>
          <t>2026-03-31</t>
        </is>
      </c>
      <c r="C14" s="36" t="n">
        <v>11217</v>
      </c>
      <c r="D14" s="17" t="n">
        <v>-0.06368948247078465</v>
      </c>
      <c r="E14" s="36" t="n">
        <v>1095</v>
      </c>
      <c r="F14" s="17" t="n">
        <v>0.09761968440759561</v>
      </c>
      <c r="G14" s="36" t="n">
        <v>1258</v>
      </c>
      <c r="H14" s="17" t="n">
        <v>0.1121511990728359</v>
      </c>
      <c r="I14" s="36" t="n">
        <v>68</v>
      </c>
      <c r="J14" s="17" t="n">
        <v>0.006062226976910047</v>
      </c>
      <c r="K14" s="36" t="n">
        <v>90</v>
      </c>
      <c r="L14" s="17" t="n">
        <v>0.008023535704733886</v>
      </c>
      <c r="M14" s="36" t="n">
        <v>1041</v>
      </c>
      <c r="N14" s="36" t="n">
        <v>917</v>
      </c>
      <c r="O14" s="36" t="n">
        <v>11</v>
      </c>
      <c r="P14" s="17" t="n">
        <v>0.01199563794983642</v>
      </c>
      <c r="Q14" s="36" t="n">
        <v>728</v>
      </c>
      <c r="R14" s="36" t="n">
        <v>4122</v>
      </c>
      <c r="S14" s="36" t="n">
        <v>3394</v>
      </c>
      <c r="T14" s="36" t="n">
        <v>7118</v>
      </c>
      <c r="U14" s="36" t="n">
        <v>1105</v>
      </c>
      <c r="V14" s="16"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1"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6" t="n">
        <v>1</v>
      </c>
      <c r="B5" s="37" t="n">
        <v>11244.734</v>
      </c>
      <c r="C5" s="17" t="n">
        <v>0.002472516715699436</v>
      </c>
      <c r="D5" s="17" t="n">
        <v>0.09836368436321925</v>
      </c>
      <c r="E5" s="17" t="n">
        <v>0.2056484360576105</v>
      </c>
      <c r="F5" s="17" t="n">
        <v>0.01</v>
      </c>
      <c r="G5" s="17" t="n">
        <v>0.0145620663655914</v>
      </c>
      <c r="H5" s="37" t="n">
        <v>67.09999999999999</v>
      </c>
      <c r="I5" s="37" t="n">
        <v>5</v>
      </c>
      <c r="J5" s="37" t="n">
        <v>19.3</v>
      </c>
      <c r="K5" s="37" t="n">
        <v>1106.073</v>
      </c>
      <c r="L5" s="37" t="n">
        <v>878.611</v>
      </c>
      <c r="M5" s="37" t="n">
        <v>163.747</v>
      </c>
      <c r="N5" s="37" t="n">
        <v>112.447</v>
      </c>
      <c r="O5" s="37" t="n">
        <v>2067.183</v>
      </c>
      <c r="P5" s="37" t="n">
        <v>71.212</v>
      </c>
      <c r="Q5" s="37" t="n">
        <v>274.876</v>
      </c>
      <c r="R5" s="37" t="n">
        <v>1863.518</v>
      </c>
      <c r="S5" s="37" t="n">
        <v>4.596</v>
      </c>
      <c r="T5" s="37" t="n">
        <v>925.314</v>
      </c>
      <c r="U5" s="37" t="n">
        <v>1.06801</v>
      </c>
      <c r="V5" s="37" t="n">
        <v>866.391</v>
      </c>
      <c r="W5" s="17" t="n">
        <v>0.1858707858434463</v>
      </c>
      <c r="X5" s="37" t="n">
        <v>557.128</v>
      </c>
    </row>
    <row r="6">
      <c r="A6" s="16" t="n">
        <v>2</v>
      </c>
      <c r="B6" s="37" t="n">
        <v>11272.537</v>
      </c>
      <c r="C6" s="17" t="n">
        <v>0.002472516715699436</v>
      </c>
      <c r="D6" s="17" t="n">
        <v>0.1001212574541515</v>
      </c>
      <c r="E6" s="17" t="n">
        <v>0.2056484360576105</v>
      </c>
      <c r="F6" s="17" t="n">
        <v>0.01105555555555556</v>
      </c>
      <c r="G6" s="17" t="n">
        <v>0.01503672155244923</v>
      </c>
      <c r="H6" s="37" t="n">
        <v>66.15888888888888</v>
      </c>
      <c r="I6" s="37" t="n">
        <v>9.277777777777779</v>
      </c>
      <c r="J6" s="37" t="n">
        <v>21.68777777777778</v>
      </c>
      <c r="K6" s="37" t="n">
        <v>1128.621</v>
      </c>
      <c r="L6" s="37" t="n">
        <v>896.522</v>
      </c>
      <c r="M6" s="37" t="n">
        <v>169.502</v>
      </c>
      <c r="N6" s="37" t="n">
        <v>124.624</v>
      </c>
      <c r="O6" s="37" t="n">
        <v>2043.229</v>
      </c>
      <c r="P6" s="37" t="n">
        <v>132.464</v>
      </c>
      <c r="Q6" s="37" t="n">
        <v>309.648</v>
      </c>
      <c r="R6" s="37" t="n">
        <v>1866.045</v>
      </c>
      <c r="S6" s="37" t="n">
        <v>2.527</v>
      </c>
      <c r="T6" s="37" t="n">
        <v>938.872</v>
      </c>
      <c r="U6" s="37" t="n">
        <v>1.1406453601</v>
      </c>
      <c r="V6" s="37" t="n">
        <v>823.106</v>
      </c>
      <c r="W6" s="17" t="n">
        <v>0.1915522722119336</v>
      </c>
      <c r="X6" s="37" t="n">
        <v>578.215</v>
      </c>
    </row>
    <row r="7">
      <c r="A7" s="16" t="n">
        <v>3</v>
      </c>
      <c r="B7" s="37" t="n">
        <v>11300.409</v>
      </c>
      <c r="C7" s="17" t="n">
        <v>0.002472516715699436</v>
      </c>
      <c r="D7" s="17" t="n">
        <v>0.1018788305450838</v>
      </c>
      <c r="E7" s="17" t="n">
        <v>0.2056484360576105</v>
      </c>
      <c r="F7" s="17" t="n">
        <v>0.01211111111111111</v>
      </c>
      <c r="G7" s="17" t="n">
        <v>0.01551137673930706</v>
      </c>
      <c r="H7" s="37" t="n">
        <v>65.21777777777777</v>
      </c>
      <c r="I7" s="37" t="n">
        <v>13.55555555555556</v>
      </c>
      <c r="J7" s="37" t="n">
        <v>24.07555555555556</v>
      </c>
      <c r="K7" s="37" t="n">
        <v>1151.272</v>
      </c>
      <c r="L7" s="37" t="n">
        <v>914.515</v>
      </c>
      <c r="M7" s="37" t="n">
        <v>175.285</v>
      </c>
      <c r="N7" s="37" t="n">
        <v>136.861</v>
      </c>
      <c r="O7" s="37" t="n">
        <v>2019.144</v>
      </c>
      <c r="P7" s="37" t="n">
        <v>194.018</v>
      </c>
      <c r="Q7" s="37" t="n">
        <v>344.589</v>
      </c>
      <c r="R7" s="37" t="n">
        <v>1868.573</v>
      </c>
      <c r="S7" s="37" t="n">
        <v>2.528</v>
      </c>
      <c r="T7" s="37" t="n">
        <v>950.4109999999999</v>
      </c>
      <c r="U7" s="37" t="n">
        <v>1.218220651040401</v>
      </c>
      <c r="V7" s="37" t="n">
        <v>780.163</v>
      </c>
      <c r="W7" s="17" t="n">
        <v>0.1971810328973424</v>
      </c>
      <c r="X7" s="37" t="n">
        <v>599.088</v>
      </c>
    </row>
    <row r="8">
      <c r="A8" s="16" t="n">
        <v>4</v>
      </c>
      <c r="B8" s="37" t="n">
        <v>11326.553</v>
      </c>
      <c r="C8" s="17" t="n">
        <v>0.002313569212547329</v>
      </c>
      <c r="D8" s="17" t="n">
        <v>0.103636403636016</v>
      </c>
      <c r="E8" s="17" t="n">
        <v>0.2056484360576105</v>
      </c>
      <c r="F8" s="17" t="n">
        <v>0.01316666666666667</v>
      </c>
      <c r="G8" s="17" t="n">
        <v>0.01598603192616488</v>
      </c>
      <c r="H8" s="37" t="n">
        <v>64.27666666666666</v>
      </c>
      <c r="I8" s="37" t="n">
        <v>17.83333333333333</v>
      </c>
      <c r="J8" s="37" t="n">
        <v>26.46333333333333</v>
      </c>
      <c r="K8" s="37" t="n">
        <v>1173.843</v>
      </c>
      <c r="L8" s="37" t="n">
        <v>932.444</v>
      </c>
      <c r="M8" s="37" t="n">
        <v>181.067</v>
      </c>
      <c r="N8" s="37" t="n">
        <v>149.133</v>
      </c>
      <c r="O8" s="37" t="n">
        <v>1994.611</v>
      </c>
      <c r="P8" s="37" t="n">
        <v>255.836</v>
      </c>
      <c r="Q8" s="37" t="n">
        <v>379.641</v>
      </c>
      <c r="R8" s="37" t="n">
        <v>1870.806</v>
      </c>
      <c r="S8" s="37" t="n">
        <v>2.233</v>
      </c>
      <c r="T8" s="37" t="n">
        <v>962.145</v>
      </c>
      <c r="U8" s="37" t="n">
        <v>1.301071837517658</v>
      </c>
      <c r="V8" s="37" t="n">
        <v>739.502</v>
      </c>
      <c r="W8" s="17" t="n">
        <v>0.2026149559321354</v>
      </c>
      <c r="X8" s="37" t="n">
        <v>619.4589999999999</v>
      </c>
    </row>
    <row r="9">
      <c r="A9" s="16" t="n">
        <v>5</v>
      </c>
      <c r="B9" s="37" t="n">
        <v>11350.957</v>
      </c>
      <c r="C9" s="17" t="n">
        <v>0.002154621709395222</v>
      </c>
      <c r="D9" s="17" t="n">
        <v>0.1053939767269483</v>
      </c>
      <c r="E9" s="17" t="n">
        <v>0.2056484360576105</v>
      </c>
      <c r="F9" s="17" t="n">
        <v>0.01422222222222222</v>
      </c>
      <c r="G9" s="17" t="n">
        <v>0.01646068711302271</v>
      </c>
      <c r="H9" s="37" t="n">
        <v>63.33555555555555</v>
      </c>
      <c r="I9" s="37" t="n">
        <v>22.11111111111111</v>
      </c>
      <c r="J9" s="37" t="n">
        <v>28.85111111111111</v>
      </c>
      <c r="K9" s="37" t="n">
        <v>1196.323</v>
      </c>
      <c r="L9" s="37" t="n">
        <v>950.301</v>
      </c>
      <c r="M9" s="37" t="n">
        <v>186.845</v>
      </c>
      <c r="N9" s="37" t="n">
        <v>161.436</v>
      </c>
      <c r="O9" s="37" t="n">
        <v>1969.642</v>
      </c>
      <c r="P9" s="37" t="n">
        <v>317.888</v>
      </c>
      <c r="Q9" s="37" t="n">
        <v>414.788</v>
      </c>
      <c r="R9" s="37" t="n">
        <v>1872.742</v>
      </c>
      <c r="S9" s="37" t="n">
        <v>1.936</v>
      </c>
      <c r="T9" s="37" t="n">
        <v>973.773</v>
      </c>
      <c r="U9" s="37" t="n">
        <v>1.389557733187234</v>
      </c>
      <c r="V9" s="37" t="n">
        <v>700.779</v>
      </c>
      <c r="W9" s="17" t="n">
        <v>0.207836421028135</v>
      </c>
      <c r="X9" s="37" t="n">
        <v>639.335</v>
      </c>
    </row>
    <row r="10">
      <c r="A10" s="16" t="n">
        <v>6</v>
      </c>
      <c r="B10" s="37" t="n">
        <v>11373.61</v>
      </c>
      <c r="C10" s="17" t="n">
        <v>0.001995674206243116</v>
      </c>
      <c r="D10" s="17" t="n">
        <v>0.1071515498178806</v>
      </c>
      <c r="E10" s="17" t="n">
        <v>0.2056484360576105</v>
      </c>
      <c r="F10" s="17" t="n">
        <v>0.01527777777777778</v>
      </c>
      <c r="G10" s="17" t="n">
        <v>0.01693534229988053</v>
      </c>
      <c r="H10" s="37" t="n">
        <v>62.39444444444444</v>
      </c>
      <c r="I10" s="37" t="n">
        <v>26.38888888888889</v>
      </c>
      <c r="J10" s="37" t="n">
        <v>31.23888888888889</v>
      </c>
      <c r="K10" s="37" t="n">
        <v>1218.7</v>
      </c>
      <c r="L10" s="37" t="n">
        <v>968.076</v>
      </c>
      <c r="M10" s="37" t="n">
        <v>192.616</v>
      </c>
      <c r="N10" s="37" t="n">
        <v>173.763</v>
      </c>
      <c r="O10" s="37" t="n">
        <v>1944.247</v>
      </c>
      <c r="P10" s="37" t="n">
        <v>380.146</v>
      </c>
      <c r="Q10" s="37" t="n">
        <v>450.013</v>
      </c>
      <c r="R10" s="37" t="n">
        <v>1874.38</v>
      </c>
      <c r="S10" s="37" t="n">
        <v>1.638</v>
      </c>
      <c r="T10" s="37" t="n">
        <v>985.29</v>
      </c>
      <c r="U10" s="37" t="n">
        <v>1.484061554621298</v>
      </c>
      <c r="V10" s="37" t="n">
        <v>663.915</v>
      </c>
      <c r="W10" s="17" t="n">
        <v>0.2128165596677414</v>
      </c>
      <c r="X10" s="37" t="n">
        <v>658.707</v>
      </c>
    </row>
    <row r="11">
      <c r="A11" s="16" t="n">
        <v>7</v>
      </c>
      <c r="B11" s="37" t="n">
        <v>11394.5</v>
      </c>
      <c r="C11" s="17" t="n">
        <v>0.001836726703091009</v>
      </c>
      <c r="D11" s="17" t="n">
        <v>0.1089091229088128</v>
      </c>
      <c r="E11" s="17" t="n">
        <v>0.2056484360576105</v>
      </c>
      <c r="F11" s="17" t="n">
        <v>0.01633333333333333</v>
      </c>
      <c r="G11" s="17" t="n">
        <v>0.01740999748673836</v>
      </c>
      <c r="H11" s="37" t="n">
        <v>61.45333333333333</v>
      </c>
      <c r="I11" s="37" t="n">
        <v>30.66666666666666</v>
      </c>
      <c r="J11" s="37" t="n">
        <v>33.62666666666667</v>
      </c>
      <c r="K11" s="37" t="n">
        <v>1240.965</v>
      </c>
      <c r="L11" s="37" t="n">
        <v>985.763</v>
      </c>
      <c r="M11" s="37" t="n">
        <v>198.378</v>
      </c>
      <c r="N11" s="37" t="n">
        <v>186.11</v>
      </c>
      <c r="O11" s="37" t="n">
        <v>1918.438</v>
      </c>
      <c r="P11" s="37" t="n">
        <v>442.581</v>
      </c>
      <c r="Q11" s="37" t="n">
        <v>485.3</v>
      </c>
      <c r="R11" s="37" t="n">
        <v>1875.72</v>
      </c>
      <c r="S11" s="37" t="n">
        <v>1.34</v>
      </c>
      <c r="T11" s="37" t="n">
        <v>996.691</v>
      </c>
      <c r="U11" s="37" t="n">
        <v>1.584992580951092</v>
      </c>
      <c r="V11" s="37" t="n">
        <v>628.83</v>
      </c>
      <c r="W11" s="17" t="n">
        <v>0.2175278058326499</v>
      </c>
      <c r="X11" s="37" t="n">
        <v>677.564</v>
      </c>
    </row>
    <row r="12">
      <c r="A12" s="16" t="n">
        <v>8</v>
      </c>
      <c r="B12" s="37" t="n">
        <v>11413.618</v>
      </c>
      <c r="C12" s="17" t="n">
        <v>0.001677779199938903</v>
      </c>
      <c r="D12" s="17" t="n">
        <v>0.1106666959997451</v>
      </c>
      <c r="E12" s="17" t="n">
        <v>0.2056484360576105</v>
      </c>
      <c r="F12" s="17" t="n">
        <v>0.01738888888888889</v>
      </c>
      <c r="G12" s="17" t="n">
        <v>0.01788465267359618</v>
      </c>
      <c r="H12" s="37" t="n">
        <v>60.51222222222222</v>
      </c>
      <c r="I12" s="37" t="n">
        <v>34.94444444444444</v>
      </c>
      <c r="J12" s="37" t="n">
        <v>36.01444444444444</v>
      </c>
      <c r="K12" s="37" t="n">
        <v>1263.107</v>
      </c>
      <c r="L12" s="37" t="n">
        <v>1003.351</v>
      </c>
      <c r="M12" s="37" t="n">
        <v>204.129</v>
      </c>
      <c r="N12" s="37" t="n">
        <v>198.47</v>
      </c>
      <c r="O12" s="37" t="n">
        <v>1892.228</v>
      </c>
      <c r="P12" s="37" t="n">
        <v>505.164</v>
      </c>
      <c r="Q12" s="37" t="n">
        <v>520.6319999999999</v>
      </c>
      <c r="R12" s="37" t="n">
        <v>1876.76</v>
      </c>
      <c r="S12" s="37" t="n">
        <v>1.041</v>
      </c>
      <c r="T12" s="37" t="n">
        <v>1007.969</v>
      </c>
      <c r="U12" s="37" t="n">
        <v>1.692787926381575</v>
      </c>
      <c r="V12" s="37" t="n">
        <v>595.449</v>
      </c>
      <c r="W12" s="17" t="n">
        <v>0.2219443460603078</v>
      </c>
      <c r="X12" s="37" t="n">
        <v>695.896</v>
      </c>
    </row>
    <row r="13">
      <c r="A13" s="16" t="n">
        <v>9</v>
      </c>
      <c r="B13" s="37" t="n">
        <v>11430.953</v>
      </c>
      <c r="C13" s="17" t="n">
        <v>0.001518831696786796</v>
      </c>
      <c r="D13" s="17" t="n">
        <v>0.1124242690906774</v>
      </c>
      <c r="E13" s="17" t="n">
        <v>0.2056484360576105</v>
      </c>
      <c r="F13" s="17" t="n">
        <v>0.01844444444444444</v>
      </c>
      <c r="G13" s="17" t="n">
        <v>0.01835930786045401</v>
      </c>
      <c r="H13" s="37" t="n">
        <v>59.57111111111111</v>
      </c>
      <c r="I13" s="37" t="n">
        <v>39.22222222222222</v>
      </c>
      <c r="J13" s="37" t="n">
        <v>38.40222222222222</v>
      </c>
      <c r="K13" s="37" t="n">
        <v>1285.117</v>
      </c>
      <c r="L13" s="37" t="n">
        <v>1020.834</v>
      </c>
      <c r="M13" s="37" t="n">
        <v>209.864</v>
      </c>
      <c r="N13" s="37" t="n">
        <v>210.838</v>
      </c>
      <c r="O13" s="37" t="n">
        <v>1865.629</v>
      </c>
      <c r="P13" s="37" t="n">
        <v>567.866</v>
      </c>
      <c r="Q13" s="37" t="n">
        <v>555.994</v>
      </c>
      <c r="R13" s="37" t="n">
        <v>1877.501</v>
      </c>
      <c r="S13" s="37" t="n">
        <v>0.741</v>
      </c>
      <c r="T13" s="37" t="n">
        <v>1019.12</v>
      </c>
      <c r="U13" s="37" t="n">
        <v>1.807914433254786</v>
      </c>
      <c r="V13" s="37" t="n">
        <v>563.699</v>
      </c>
      <c r="W13" s="17" t="n">
        <v>0.2260425461132114</v>
      </c>
      <c r="X13" s="37" t="n">
        <v>713.693</v>
      </c>
    </row>
    <row r="14">
      <c r="A14" s="16" t="n">
        <v>10</v>
      </c>
      <c r="B14" s="37" t="n">
        <v>11446.498</v>
      </c>
      <c r="C14" s="17" t="n">
        <v>0.00135988419363469</v>
      </c>
      <c r="D14" s="17" t="n">
        <v>0.1141818421816096</v>
      </c>
      <c r="E14" s="17" t="n">
        <v>0.2056484360576105</v>
      </c>
      <c r="F14" s="17" t="n">
        <v>0.0195</v>
      </c>
      <c r="G14" s="17" t="n">
        <v>0.01883396304731183</v>
      </c>
      <c r="H14" s="37" t="n">
        <v>58.63</v>
      </c>
      <c r="I14" s="37" t="n">
        <v>43.5</v>
      </c>
      <c r="J14" s="37" t="n">
        <v>40.79</v>
      </c>
      <c r="K14" s="37" t="n">
        <v>1306.982</v>
      </c>
      <c r="L14" s="37" t="n">
        <v>1038.203</v>
      </c>
      <c r="M14" s="37" t="n">
        <v>215.583</v>
      </c>
      <c r="N14" s="37" t="n">
        <v>223.207</v>
      </c>
      <c r="O14" s="37" t="n">
        <v>1838.653</v>
      </c>
      <c r="P14" s="37" t="n">
        <v>630.657</v>
      </c>
      <c r="Q14" s="37" t="n">
        <v>591.367</v>
      </c>
      <c r="R14" s="37" t="n">
        <v>1877.942</v>
      </c>
      <c r="S14" s="37" t="n">
        <v>0.441</v>
      </c>
      <c r="T14" s="37" t="n">
        <v>1030.139</v>
      </c>
      <c r="U14" s="37" t="n">
        <v>1.930870693860444</v>
      </c>
      <c r="V14" s="37" t="n">
        <v>533.51</v>
      </c>
      <c r="W14" s="17" t="n">
        <v>0.2298013401563148</v>
      </c>
      <c r="X14" s="37"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3" t="inlineStr">
        <is>
          <t>Line</t>
        </is>
      </c>
      <c r="B4" s="13" t="inlineStr">
        <is>
          <t>Value</t>
        </is>
      </c>
      <c r="C4" s="13" t="inlineStr">
        <is>
          <t>Notes</t>
        </is>
      </c>
    </row>
    <row r="5">
      <c r="A5" s="16" t="inlineStr">
        <is>
          <t>Backend WACC (used in DCF)</t>
        </is>
      </c>
      <c r="B5" s="17">
        <f>'Assumptions'!$E$19</f>
        <v/>
      </c>
      <c r="C5" s="16" t="inlineStr">
        <is>
          <t>Default discount rate from backend</t>
        </is>
      </c>
    </row>
    <row r="6">
      <c r="A6" s="16" t="inlineStr">
        <is>
          <t>Cost of equity</t>
        </is>
      </c>
      <c r="B6" s="17">
        <f>'Assumptions'!$E$20</f>
        <v/>
      </c>
      <c r="C6" s="16" t="inlineStr">
        <is>
          <t>CAPM cost of equity</t>
        </is>
      </c>
    </row>
    <row r="7">
      <c r="A7" s="16" t="inlineStr">
        <is>
          <t>Risk-free rate</t>
        </is>
      </c>
      <c r="B7" s="17">
        <f>'Assumptions'!$E$22</f>
        <v/>
      </c>
      <c r="C7" s="16" t="inlineStr">
        <is>
          <t>Blank if unavailable</t>
        </is>
      </c>
    </row>
    <row r="8">
      <c r="A8" s="16" t="inlineStr">
        <is>
          <t>Equity risk premium</t>
        </is>
      </c>
      <c r="B8" s="17">
        <f>'Assumptions'!$E$23</f>
        <v/>
      </c>
      <c r="C8" s="16" t="inlineStr">
        <is>
          <t>Blank if unavailable</t>
        </is>
      </c>
    </row>
    <row r="9">
      <c r="A9" s="16" t="inlineStr">
        <is>
          <t>Relevered beta</t>
        </is>
      </c>
      <c r="B9" s="18">
        <f>'Assumptions'!$E$24</f>
        <v/>
      </c>
      <c r="C9" s="16" t="inlineStr">
        <is>
          <t>Peer/structure beta</t>
        </is>
      </c>
    </row>
    <row r="10">
      <c r="A10" s="16" t="inlineStr">
        <is>
          <t>Size premium</t>
        </is>
      </c>
      <c r="B10" s="17">
        <f>'Assumptions'!$E$25</f>
        <v/>
      </c>
      <c r="C10" s="16" t="inlineStr">
        <is>
          <t>Duff &amp; Phelps</t>
        </is>
      </c>
    </row>
    <row r="11">
      <c r="A11" s="16" t="inlineStr">
        <is>
          <t>Cost of debt</t>
        </is>
      </c>
      <c r="B11" s="17">
        <f>'Assumptions'!$E$21</f>
        <v/>
      </c>
      <c r="C11" s="16" t="inlineStr">
        <is>
          <t>Blank if unavailable</t>
        </is>
      </c>
    </row>
    <row r="12">
      <c r="A12" s="16" t="inlineStr">
        <is>
          <t>Equity weight</t>
        </is>
      </c>
      <c r="B12" s="17">
        <f>'Assumptions'!$E$26</f>
        <v/>
      </c>
      <c r="C12" s="16" t="inlineStr">
        <is>
          <t>Market-value weight</t>
        </is>
      </c>
    </row>
    <row r="13">
      <c r="A13" s="16" t="inlineStr">
        <is>
          <t>Debt weight</t>
        </is>
      </c>
      <c r="B13" s="17">
        <f>'Assumptions'!$E$27</f>
        <v/>
      </c>
      <c r="C13" s="16" t="inlineStr">
        <is>
          <t>Market-value weight</t>
        </is>
      </c>
    </row>
    <row r="14">
      <c r="A14" s="16" t="inlineStr">
        <is>
          <t>Rebuilt cost of equity (check)</t>
        </is>
      </c>
      <c r="B14" s="17">
        <f>IF(OR(ISBLANK('Assumptions'!$E$22),ISBLANK('Assumptions'!$E$23)),'Assumptions'!$E$20,'Assumptions'!$E$22+'Assumptions'!$E$24*'Assumptions'!$E$23+'Assumptions'!$E$25)</f>
        <v/>
      </c>
      <c r="C14" s="16"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6" t="n"/>
      <c r="B5" s="16"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6" t="inlineStr">
        <is>
          <t>Revenue</t>
        </is>
      </c>
      <c r="B6" s="16"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6" t="inlineStr">
        <is>
          <t>Revenue growth</t>
        </is>
      </c>
      <c r="B7" s="16" t="n"/>
      <c r="C7" s="17">
        <f>'Input_Forecast'!$C$5</f>
        <v/>
      </c>
      <c r="D7" s="17">
        <f>'Input_Forecast'!$C$6</f>
        <v/>
      </c>
      <c r="E7" s="17">
        <f>'Input_Forecast'!$C$7</f>
        <v/>
      </c>
      <c r="F7" s="17">
        <f>'Input_Forecast'!$C$8</f>
        <v/>
      </c>
      <c r="G7" s="17">
        <f>'Input_Forecast'!$C$9</f>
        <v/>
      </c>
      <c r="H7" s="17">
        <f>'Input_Forecast'!$C$10</f>
        <v/>
      </c>
      <c r="I7" s="17">
        <f>'Input_Forecast'!$C$11</f>
        <v/>
      </c>
      <c r="J7" s="17">
        <f>'Input_Forecast'!$C$12</f>
        <v/>
      </c>
      <c r="K7" s="17">
        <f>'Input_Forecast'!$C$13</f>
        <v/>
      </c>
      <c r="L7" s="17">
        <f>'Input_Forecast'!$C$14</f>
        <v/>
      </c>
    </row>
    <row r="8">
      <c r="A8" s="16" t="inlineStr">
        <is>
          <t>EBIT margin</t>
        </is>
      </c>
      <c r="B8" s="16" t="n"/>
      <c r="C8" s="17">
        <f>'Input_Forecast'!$D$5</f>
        <v/>
      </c>
      <c r="D8" s="17">
        <f>'Input_Forecast'!$D$6</f>
        <v/>
      </c>
      <c r="E8" s="17">
        <f>'Input_Forecast'!$D$7</f>
        <v/>
      </c>
      <c r="F8" s="17">
        <f>'Input_Forecast'!$D$8</f>
        <v/>
      </c>
      <c r="G8" s="17">
        <f>'Input_Forecast'!$D$9</f>
        <v/>
      </c>
      <c r="H8" s="17">
        <f>'Input_Forecast'!$D$10</f>
        <v/>
      </c>
      <c r="I8" s="17">
        <f>'Input_Forecast'!$D$11</f>
        <v/>
      </c>
      <c r="J8" s="17">
        <f>'Input_Forecast'!$D$12</f>
        <v/>
      </c>
      <c r="K8" s="17">
        <f>'Input_Forecast'!$D$13</f>
        <v/>
      </c>
      <c r="L8" s="17">
        <f>'Input_Forecast'!$D$14</f>
        <v/>
      </c>
    </row>
    <row r="9">
      <c r="A9" s="16" t="inlineStr">
        <is>
          <t>EBIT</t>
        </is>
      </c>
      <c r="B9" s="16" t="n"/>
      <c r="C9" s="37">
        <f>C6*C8</f>
        <v/>
      </c>
      <c r="D9" s="37">
        <f>D6*D8</f>
        <v/>
      </c>
      <c r="E9" s="37">
        <f>E6*E8</f>
        <v/>
      </c>
      <c r="F9" s="37">
        <f>F6*F8</f>
        <v/>
      </c>
      <c r="G9" s="37">
        <f>G6*G8</f>
        <v/>
      </c>
      <c r="H9" s="37">
        <f>H6*H8</f>
        <v/>
      </c>
      <c r="I9" s="37">
        <f>I6*I8</f>
        <v/>
      </c>
      <c r="J9" s="37">
        <f>J6*J8</f>
        <v/>
      </c>
      <c r="K9" s="37">
        <f>K6*K8</f>
        <v/>
      </c>
      <c r="L9" s="37">
        <f>L6*L8</f>
        <v/>
      </c>
    </row>
    <row r="10">
      <c r="A10" s="16" t="inlineStr">
        <is>
          <t>Tax rate</t>
        </is>
      </c>
      <c r="B10" s="16" t="n"/>
      <c r="C10" s="17">
        <f>'Input_Forecast'!$E$5</f>
        <v/>
      </c>
      <c r="D10" s="17">
        <f>'Input_Forecast'!$E$6</f>
        <v/>
      </c>
      <c r="E10" s="17">
        <f>'Input_Forecast'!$E$7</f>
        <v/>
      </c>
      <c r="F10" s="17">
        <f>'Input_Forecast'!$E$8</f>
        <v/>
      </c>
      <c r="G10" s="17">
        <f>'Input_Forecast'!$E$9</f>
        <v/>
      </c>
      <c r="H10" s="17">
        <f>'Input_Forecast'!$E$10</f>
        <v/>
      </c>
      <c r="I10" s="17">
        <f>'Input_Forecast'!$E$11</f>
        <v/>
      </c>
      <c r="J10" s="17">
        <f>'Input_Forecast'!$E$12</f>
        <v/>
      </c>
      <c r="K10" s="17">
        <f>'Input_Forecast'!$E$13</f>
        <v/>
      </c>
      <c r="L10" s="17">
        <f>'Input_Forecast'!$E$14</f>
        <v/>
      </c>
    </row>
    <row r="11">
      <c r="A11" s="16" t="inlineStr">
        <is>
          <t>NOPAT</t>
        </is>
      </c>
      <c r="B11" s="16" t="n"/>
      <c r="C11" s="37">
        <f>C9*(1-C10)</f>
        <v/>
      </c>
      <c r="D11" s="37">
        <f>D9*(1-D10)</f>
        <v/>
      </c>
      <c r="E11" s="37">
        <f>E9*(1-E10)</f>
        <v/>
      </c>
      <c r="F11" s="37">
        <f>F9*(1-F10)</f>
        <v/>
      </c>
      <c r="G11" s="37">
        <f>G9*(1-G10)</f>
        <v/>
      </c>
      <c r="H11" s="37">
        <f>H9*(1-H10)</f>
        <v/>
      </c>
      <c r="I11" s="37">
        <f>I9*(1-I10)</f>
        <v/>
      </c>
      <c r="J11" s="37">
        <f>J9*(1-J10)</f>
        <v/>
      </c>
      <c r="K11" s="37">
        <f>K9*(1-K10)</f>
        <v/>
      </c>
      <c r="L11" s="37">
        <f>L9*(1-L10)</f>
        <v/>
      </c>
    </row>
    <row r="12">
      <c r="A12" s="16" t="inlineStr">
        <is>
          <t>D&amp;A</t>
        </is>
      </c>
      <c r="B12" s="16"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6" t="inlineStr">
        <is>
          <t>Capex</t>
        </is>
      </c>
      <c r="B13" s="16"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6" t="inlineStr">
        <is>
          <t>Net working capital</t>
        </is>
      </c>
      <c r="B14" s="16"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6" t="inlineStr">
        <is>
          <t>Delta NWC</t>
        </is>
      </c>
      <c r="B15" s="16" t="n"/>
      <c r="C15" s="37">
        <f>'Input_Forecast'!$S$5</f>
        <v/>
      </c>
      <c r="D15" s="37">
        <f>D14-C14</f>
        <v/>
      </c>
      <c r="E15" s="37">
        <f>E14-D14</f>
        <v/>
      </c>
      <c r="F15" s="37">
        <f>F14-E14</f>
        <v/>
      </c>
      <c r="G15" s="37">
        <f>G14-F14</f>
        <v/>
      </c>
      <c r="H15" s="37">
        <f>H14-G14</f>
        <v/>
      </c>
      <c r="I15" s="37">
        <f>I14-H14</f>
        <v/>
      </c>
      <c r="J15" s="37">
        <f>J14-I14</f>
        <v/>
      </c>
      <c r="K15" s="37">
        <f>K14-J14</f>
        <v/>
      </c>
      <c r="L15" s="37">
        <f>L14-K14</f>
        <v/>
      </c>
    </row>
    <row r="16">
      <c r="A16" s="14" t="inlineStr">
        <is>
          <t>FCFF (NOPAT+D&amp;A-Capex-dNWC)</t>
        </is>
      </c>
      <c r="B16" s="16"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6" t="inlineStr">
        <is>
          <t>FCFF — backend (foot check)</t>
        </is>
      </c>
      <c r="B17" s="16"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6" t="inlineStr">
        <is>
          <t>Discount factor</t>
        </is>
      </c>
      <c r="B18" s="16" t="n"/>
      <c r="C18" s="18">
        <f>POWER(1+'Assumptions'!$E$19,1)</f>
        <v/>
      </c>
      <c r="D18" s="18">
        <f>POWER(1+'Assumptions'!$E$19,2)</f>
        <v/>
      </c>
      <c r="E18" s="18">
        <f>POWER(1+'Assumptions'!$E$19,3)</f>
        <v/>
      </c>
      <c r="F18" s="18">
        <f>POWER(1+'Assumptions'!$E$19,4)</f>
        <v/>
      </c>
      <c r="G18" s="18">
        <f>POWER(1+'Assumptions'!$E$19,5)</f>
        <v/>
      </c>
      <c r="H18" s="18">
        <f>POWER(1+'Assumptions'!$E$19,6)</f>
        <v/>
      </c>
      <c r="I18" s="18">
        <f>POWER(1+'Assumptions'!$E$19,7)</f>
        <v/>
      </c>
      <c r="J18" s="18">
        <f>POWER(1+'Assumptions'!$E$19,8)</f>
        <v/>
      </c>
      <c r="K18" s="18">
        <f>POWER(1+'Assumptions'!$E$19,9)</f>
        <v/>
      </c>
      <c r="L18" s="18">
        <f>POWER(1+'Assumptions'!$E$19,10)</f>
        <v/>
      </c>
    </row>
    <row r="19">
      <c r="A19" s="14" t="inlineStr">
        <is>
          <t>PV of FCFF</t>
        </is>
      </c>
      <c r="B19" s="16" t="n"/>
      <c r="C19" s="37">
        <f>C16/C18</f>
        <v/>
      </c>
      <c r="D19" s="37">
        <f>D16/D18</f>
        <v/>
      </c>
      <c r="E19" s="37">
        <f>E16/E18</f>
        <v/>
      </c>
      <c r="F19" s="37">
        <f>F16/F18</f>
        <v/>
      </c>
      <c r="G19" s="37">
        <f>G16/G18</f>
        <v/>
      </c>
      <c r="H19" s="37">
        <f>H16/H18</f>
        <v/>
      </c>
      <c r="I19" s="37">
        <f>I16/I18</f>
        <v/>
      </c>
      <c r="J19" s="37">
        <f>J16/J18</f>
        <v/>
      </c>
      <c r="K19" s="37">
        <f>K16/K18</f>
        <v/>
      </c>
      <c r="L19" s="37">
        <f>L16/L18</f>
        <v/>
      </c>
    </row>
    <row r="20">
      <c r="A20" s="16" t="inlineStr">
        <is>
          <t>EBITDA</t>
        </is>
      </c>
      <c r="B20" s="16" t="n"/>
      <c r="C20" s="37">
        <f>C9+C12</f>
        <v/>
      </c>
      <c r="D20" s="37">
        <f>D9+D12</f>
        <v/>
      </c>
      <c r="E20" s="37">
        <f>E9+E12</f>
        <v/>
      </c>
      <c r="F20" s="37">
        <f>F9+F12</f>
        <v/>
      </c>
      <c r="G20" s="37">
        <f>G9+G12</f>
        <v/>
      </c>
      <c r="H20" s="37">
        <f>H9+H12</f>
        <v/>
      </c>
      <c r="I20" s="37">
        <f>I9+I12</f>
        <v/>
      </c>
      <c r="J20" s="37">
        <f>J9+J12</f>
        <v/>
      </c>
      <c r="K20" s="37">
        <f>K9+K12</f>
        <v/>
      </c>
      <c r="L20" s="37">
        <f>L9+L12</f>
        <v/>
      </c>
    </row>
    <row r="21">
      <c r="A21" s="16" t="n"/>
      <c r="B21" s="16" t="n"/>
      <c r="C21" s="16" t="n"/>
      <c r="D21" s="16" t="n"/>
      <c r="E21" s="16" t="n"/>
      <c r="F21" s="16" t="n"/>
      <c r="G21" s="16" t="n"/>
      <c r="H21" s="16" t="n"/>
      <c r="I21" s="16" t="n"/>
      <c r="J21" s="16" t="n"/>
      <c r="K21" s="16" t="n"/>
      <c r="L21" s="16" t="n"/>
    </row>
    <row r="22">
      <c r="A22" s="38" t="inlineStr">
        <is>
          <t>Terminal value &amp; equity bridge</t>
        </is>
      </c>
      <c r="B22" s="39" t="n"/>
      <c r="C22" s="39" t="n"/>
      <c r="D22" s="39" t="n"/>
      <c r="E22" s="16" t="n"/>
      <c r="F22" s="16" t="n"/>
      <c r="G22" s="16" t="n"/>
      <c r="H22" s="16" t="n"/>
      <c r="I22" s="16" t="n"/>
      <c r="J22" s="16" t="n"/>
      <c r="K22" s="16" t="n"/>
      <c r="L22" s="16" t="n"/>
    </row>
    <row r="23">
      <c r="A23" s="16" t="inlineStr">
        <is>
          <t>Terminal revenue (Y+1)</t>
        </is>
      </c>
      <c r="B23" s="37">
        <f>L6*(1+'Assumptions'!$E$18)</f>
        <v/>
      </c>
      <c r="C23" s="16" t="n"/>
      <c r="D23" s="16" t="n"/>
      <c r="E23" s="16" t="n"/>
      <c r="F23" s="16" t="n"/>
      <c r="G23" s="16" t="n"/>
      <c r="H23" s="16" t="n"/>
      <c r="I23" s="16" t="n"/>
      <c r="J23" s="16" t="n"/>
      <c r="K23" s="16" t="n"/>
      <c r="L23" s="16" t="n"/>
    </row>
    <row r="24">
      <c r="A24" s="16" t="inlineStr">
        <is>
          <t>Terminal EBIT</t>
        </is>
      </c>
      <c r="B24" s="37">
        <f>B23*L8</f>
        <v/>
      </c>
      <c r="C24" s="16" t="n"/>
      <c r="D24" s="16" t="n"/>
      <c r="E24" s="16" t="n"/>
      <c r="F24" s="16" t="n"/>
      <c r="G24" s="16" t="n"/>
      <c r="H24" s="16" t="n"/>
      <c r="I24" s="16" t="n"/>
      <c r="J24" s="16" t="n"/>
      <c r="K24" s="16" t="n"/>
      <c r="L24" s="16" t="n"/>
    </row>
    <row r="25">
      <c r="A25" s="16" t="inlineStr">
        <is>
          <t>Terminal NOPAT</t>
        </is>
      </c>
      <c r="B25" s="37">
        <f>B24*(1-L10)</f>
        <v/>
      </c>
      <c r="C25" s="16" t="n"/>
      <c r="D25" s="16" t="n"/>
      <c r="E25" s="16" t="n"/>
      <c r="F25" s="16" t="n"/>
      <c r="G25" s="16" t="n"/>
      <c r="H25" s="16" t="n"/>
      <c r="I25" s="16" t="n"/>
      <c r="J25" s="16" t="n"/>
      <c r="K25" s="16" t="n"/>
      <c r="L25" s="16" t="n"/>
    </row>
    <row r="26">
      <c r="A26" s="16" t="inlineStr">
        <is>
          <t>Terminal reinvestment rate (g/RONIC)</t>
        </is>
      </c>
      <c r="B26" s="17">
        <f>'Assumptions'!$E$18/'Assumptions'!$E$30</f>
        <v/>
      </c>
      <c r="C26" s="16" t="n"/>
      <c r="D26" s="16" t="n"/>
      <c r="E26" s="16" t="n"/>
      <c r="F26" s="16" t="n"/>
      <c r="G26" s="16" t="n"/>
      <c r="H26" s="16" t="n"/>
      <c r="I26" s="16" t="n"/>
      <c r="J26" s="16" t="n"/>
      <c r="K26" s="16" t="n"/>
      <c r="L26" s="16" t="n"/>
    </row>
    <row r="27">
      <c r="A27" s="16" t="inlineStr">
        <is>
          <t>Terminal FCFF (value-driver)</t>
        </is>
      </c>
      <c r="B27" s="37">
        <f>B25*(1-B26)</f>
        <v/>
      </c>
      <c r="C27" s="16" t="n"/>
      <c r="D27" s="16" t="n"/>
      <c r="E27" s="16" t="n"/>
      <c r="F27" s="16" t="n"/>
      <c r="G27" s="16" t="n"/>
      <c r="H27" s="16" t="n"/>
      <c r="I27" s="16" t="n"/>
      <c r="J27" s="16" t="n"/>
      <c r="K27" s="16" t="n"/>
      <c r="L27" s="16" t="n"/>
    </row>
    <row r="28">
      <c r="A28" s="16" t="inlineStr">
        <is>
          <t>Gordon terminal value</t>
        </is>
      </c>
      <c r="B28" s="37">
        <f>IF('Assumptions'!$E$19&lt;='Assumptions'!$E$18,NA(),B27/('Assumptions'!$E$19-'Assumptions'!$E$18))</f>
        <v/>
      </c>
      <c r="C28" s="16" t="n"/>
      <c r="D28" s="16" t="n"/>
      <c r="E28" s="16" t="n"/>
      <c r="F28" s="16" t="n"/>
      <c r="G28" s="16" t="n"/>
      <c r="H28" s="16" t="n"/>
      <c r="I28" s="16" t="n"/>
      <c r="J28" s="16" t="n"/>
      <c r="K28" s="16" t="n"/>
      <c r="L28" s="16" t="n"/>
    </row>
    <row r="29">
      <c r="A29" s="16" t="inlineStr">
        <is>
          <t>Exit terminal value</t>
        </is>
      </c>
      <c r="B29" s="37">
        <f>IF('Assumptions'!$E$29="ev_ebit",L9,L20)*'Assumptions'!$E$28</f>
        <v/>
      </c>
      <c r="C29" s="16" t="n"/>
      <c r="D29" s="16" t="n"/>
      <c r="E29" s="16" t="n"/>
      <c r="F29" s="16" t="n"/>
      <c r="G29" s="16" t="n"/>
      <c r="H29" s="16" t="n"/>
      <c r="I29" s="16" t="n"/>
      <c r="J29" s="16" t="n"/>
      <c r="K29" s="16" t="n"/>
      <c r="L29" s="16" t="n"/>
    </row>
    <row r="30">
      <c r="A30" s="16" t="inlineStr">
        <is>
          <t>PV of Gordon TV</t>
        </is>
      </c>
      <c r="B30" s="37">
        <f>B28/POWER(1+'Assumptions'!$E$19,10)</f>
        <v/>
      </c>
      <c r="C30" s="16" t="n"/>
      <c r="D30" s="16" t="n"/>
      <c r="E30" s="16" t="n"/>
      <c r="F30" s="16" t="n"/>
      <c r="G30" s="16" t="n"/>
      <c r="H30" s="16" t="n"/>
      <c r="I30" s="16" t="n"/>
      <c r="J30" s="16" t="n"/>
      <c r="K30" s="16" t="n"/>
      <c r="L30" s="16" t="n"/>
    </row>
    <row r="31">
      <c r="A31" s="16" t="inlineStr">
        <is>
          <t>PV of exit TV</t>
        </is>
      </c>
      <c r="B31" s="37">
        <f>B29/POWER(1+'Assumptions'!$E$19,10)</f>
        <v/>
      </c>
      <c r="C31" s="16" t="n"/>
      <c r="D31" s="16" t="n"/>
      <c r="E31" s="16" t="n"/>
      <c r="F31" s="16" t="n"/>
      <c r="G31" s="16" t="n"/>
      <c r="H31" s="16" t="n"/>
      <c r="I31" s="16" t="n"/>
      <c r="J31" s="16" t="n"/>
      <c r="K31" s="16" t="n"/>
      <c r="L31" s="16" t="n"/>
    </row>
    <row r="32">
      <c r="A32" s="16" t="inlineStr">
        <is>
          <t>PV of blended TV</t>
        </is>
      </c>
      <c r="B32" s="37">
        <f>'Assumptions'!$E$31*B30+'Assumptions'!$E$32*B31</f>
        <v/>
      </c>
      <c r="C32" s="16" t="n"/>
      <c r="D32" s="16" t="n"/>
      <c r="E32" s="16" t="n"/>
      <c r="F32" s="16" t="n"/>
      <c r="G32" s="16" t="n"/>
      <c r="H32" s="16" t="n"/>
      <c r="I32" s="16" t="n"/>
      <c r="J32" s="16" t="n"/>
      <c r="K32" s="16" t="n"/>
      <c r="L32" s="16" t="n"/>
    </row>
    <row r="33">
      <c r="A33" s="16" t="inlineStr">
        <is>
          <t>PV of explicit FCFF</t>
        </is>
      </c>
      <c r="B33" s="37">
        <f>SUM(C19:L19)</f>
        <v/>
      </c>
      <c r="C33" s="16" t="n"/>
      <c r="D33" s="16" t="n"/>
      <c r="E33" s="16" t="n"/>
      <c r="F33" s="16" t="n"/>
      <c r="G33" s="16" t="n"/>
      <c r="H33" s="16" t="n"/>
      <c r="I33" s="16" t="n"/>
      <c r="J33" s="16" t="n"/>
      <c r="K33" s="16" t="n"/>
      <c r="L33" s="16" t="n"/>
    </row>
    <row r="34">
      <c r="A34" s="14" t="inlineStr">
        <is>
          <t>Enterprise value — operations</t>
        </is>
      </c>
      <c r="B34" s="27">
        <f>B33+B32</f>
        <v/>
      </c>
      <c r="C34" s="16" t="n"/>
      <c r="D34" s="16" t="n"/>
      <c r="E34" s="16" t="n"/>
      <c r="F34" s="16" t="n"/>
      <c r="G34" s="16" t="n"/>
      <c r="H34" s="16" t="n"/>
      <c r="I34" s="16" t="n"/>
      <c r="J34" s="16" t="n"/>
      <c r="K34" s="16" t="n"/>
      <c r="L34" s="16" t="n"/>
    </row>
    <row r="35">
      <c r="A35" s="16" t="inlineStr">
        <is>
          <t>Terminal value % of EV</t>
        </is>
      </c>
      <c r="B35" s="17">
        <f>B32/B34</f>
        <v/>
      </c>
      <c r="C35" s="16" t="n"/>
      <c r="D35" s="16" t="n"/>
      <c r="E35" s="16" t="n"/>
      <c r="F35" s="16" t="n"/>
      <c r="G35" s="16" t="n"/>
      <c r="H35" s="16" t="n"/>
      <c r="I35" s="16" t="n"/>
      <c r="J35" s="16" t="n"/>
      <c r="K35" s="16" t="n"/>
      <c r="L35" s="16" t="n"/>
    </row>
    <row r="36">
      <c r="A36" s="16" t="inlineStr">
        <is>
          <t>Non-operating assets</t>
        </is>
      </c>
      <c r="B36" s="37">
        <f>'Assumptions'!$E$9</f>
        <v/>
      </c>
      <c r="C36" s="16" t="n"/>
      <c r="D36" s="16" t="n"/>
      <c r="E36" s="16" t="n"/>
      <c r="F36" s="16" t="n"/>
      <c r="G36" s="16" t="n"/>
      <c r="H36" s="16" t="n"/>
      <c r="I36" s="16" t="n"/>
      <c r="J36" s="16" t="n"/>
      <c r="K36" s="16" t="n"/>
      <c r="L36" s="16" t="n"/>
    </row>
    <row r="37">
      <c r="A37" s="16" t="inlineStr">
        <is>
          <t>Non-equity claims</t>
        </is>
      </c>
      <c r="B37" s="37">
        <f>'Assumptions'!$E$8+'Assumptions'!$E$10+'Assumptions'!$E$11+'Assumptions'!$E$12+'Assumptions'!$E$13+'Assumptions'!$E$14+'Assumptions'!$E$15</f>
        <v/>
      </c>
      <c r="C37" s="16" t="n"/>
      <c r="D37" s="16" t="n"/>
      <c r="E37" s="16" t="n"/>
      <c r="F37" s="16" t="n"/>
      <c r="G37" s="16" t="n"/>
      <c r="H37" s="16" t="n"/>
      <c r="I37" s="16" t="n"/>
      <c r="J37" s="16" t="n"/>
      <c r="K37" s="16" t="n"/>
      <c r="L37" s="16" t="n"/>
    </row>
    <row r="38">
      <c r="A38" s="14" t="inlineStr">
        <is>
          <t>Equity value</t>
        </is>
      </c>
      <c r="B38" s="27">
        <f>B34+B36-B37</f>
        <v/>
      </c>
      <c r="C38" s="16" t="n"/>
      <c r="D38" s="16" t="n"/>
      <c r="E38" s="16" t="n"/>
      <c r="F38" s="16" t="n"/>
      <c r="G38" s="16" t="n"/>
      <c r="H38" s="16" t="n"/>
      <c r="I38" s="16" t="n"/>
      <c r="J38" s="16" t="n"/>
      <c r="K38" s="16" t="n"/>
      <c r="L38" s="16" t="n"/>
    </row>
    <row r="39">
      <c r="A39" s="16" t="inlineStr">
        <is>
          <t>Diluted terminal shares</t>
        </is>
      </c>
      <c r="B39" s="37">
        <f>'Assumptions'!$E$6*POWER(1+'Assumptions'!$E$7,10)</f>
        <v/>
      </c>
      <c r="C39" s="16" t="n"/>
      <c r="D39" s="16" t="n"/>
      <c r="E39" s="16" t="n"/>
      <c r="F39" s="16" t="n"/>
      <c r="G39" s="16" t="n"/>
      <c r="H39" s="16" t="n"/>
      <c r="I39" s="16" t="n"/>
      <c r="J39" s="16" t="n"/>
      <c r="K39" s="16" t="n"/>
      <c r="L39" s="16" t="n"/>
    </row>
    <row r="40">
      <c r="A40" s="14" t="inlineStr">
        <is>
          <t>Intrinsic value / share</t>
        </is>
      </c>
      <c r="B40" s="41">
        <f>B38/B39</f>
        <v/>
      </c>
      <c r="C40" s="16" t="n"/>
      <c r="D40" s="16" t="n"/>
      <c r="E40" s="16" t="n"/>
      <c r="F40" s="16" t="n"/>
      <c r="G40" s="16" t="n"/>
      <c r="H40" s="16" t="n"/>
      <c r="I40" s="16" t="n"/>
      <c r="J40" s="16" t="n"/>
      <c r="K40" s="16" t="n"/>
      <c r="L40" s="16" t="n"/>
    </row>
    <row r="41">
      <c r="A41" s="16" t="inlineStr">
        <is>
          <t>IV / share — Gordon only</t>
        </is>
      </c>
      <c r="B41" s="42">
        <f>(B33+B30+B36-B37)/B39</f>
        <v/>
      </c>
      <c r="C41" s="16" t="n"/>
      <c r="D41" s="16" t="n"/>
      <c r="E41" s="16" t="n"/>
      <c r="F41" s="16" t="n"/>
      <c r="G41" s="16" t="n"/>
      <c r="H41" s="16" t="n"/>
      <c r="I41" s="16" t="n"/>
      <c r="J41" s="16" t="n"/>
      <c r="K41" s="16" t="n"/>
      <c r="L41" s="16" t="n"/>
    </row>
    <row r="42">
      <c r="A42" s="16" t="inlineStr">
        <is>
          <t>IV / share — exit only</t>
        </is>
      </c>
      <c r="B42" s="42">
        <f>(B33+B31+B36-B37)/B39</f>
        <v/>
      </c>
      <c r="C42" s="16" t="n"/>
      <c r="D42" s="16" t="n"/>
      <c r="E42" s="16" t="n"/>
      <c r="F42" s="16" t="n"/>
      <c r="G42" s="16" t="n"/>
      <c r="H42" s="16" t="n"/>
      <c r="I42" s="16" t="n"/>
      <c r="J42" s="16" t="n"/>
      <c r="K42" s="16" t="n"/>
      <c r="L42" s="16" t="n"/>
    </row>
    <row r="43">
      <c r="A43" s="14" t="inlineStr">
        <is>
          <t>Upside / downside vs price</t>
        </is>
      </c>
      <c r="B43" s="32">
        <f>B40/'Assumptions'!$E$5-1</f>
        <v/>
      </c>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4" t="inlineStr">
        <is>
          <t>Reconciliation gap vs backend Base IV</t>
        </is>
      </c>
      <c r="B45" s="42">
        <f>B40-'Assumptions'!$E$36</f>
        <v/>
      </c>
      <c r="C45" s="16">
        <f>IF(ABS(B45)&lt;=0.1,"RECONCILED","CHECK")</f>
        <v/>
      </c>
      <c r="D45" s="16" t="n"/>
      <c r="E45" s="16" t="n"/>
      <c r="F45" s="16" t="n"/>
      <c r="G45" s="16" t="n"/>
      <c r="H45" s="16" t="n"/>
      <c r="I45" s="16" t="n"/>
      <c r="J45" s="16" t="n"/>
      <c r="K45" s="16" t="n"/>
      <c r="L45" s="16"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7" t="n">
        <v>0.2</v>
      </c>
      <c r="C6" s="18" t="n">
        <v>0.8</v>
      </c>
      <c r="D6" s="17" t="n">
        <v>-0.02</v>
      </c>
      <c r="E6" s="17" t="n">
        <v>0.01</v>
      </c>
      <c r="F6" s="18" t="n">
        <v>0.9</v>
      </c>
      <c r="G6" s="42" t="n">
        <v>59.2</v>
      </c>
      <c r="H6" s="17" t="n">
        <v>-0.235</v>
      </c>
      <c r="I6" s="16" t="n"/>
    </row>
    <row r="7">
      <c r="A7" s="14" t="inlineStr">
        <is>
          <t>base</t>
        </is>
      </c>
      <c r="B7" s="17" t="n">
        <v>0.6</v>
      </c>
      <c r="C7" s="18" t="n">
        <v>1</v>
      </c>
      <c r="D7" s="17" t="n">
        <v>0</v>
      </c>
      <c r="E7" s="17" t="n">
        <v>0</v>
      </c>
      <c r="F7" s="18" t="n">
        <v>1</v>
      </c>
      <c r="G7" s="42" t="n">
        <v>97.75</v>
      </c>
      <c r="H7" s="17" t="n">
        <v>0.263</v>
      </c>
      <c r="I7" s="16" t="n"/>
    </row>
    <row r="8">
      <c r="A8" s="14" t="inlineStr">
        <is>
          <t>bull</t>
        </is>
      </c>
      <c r="B8" s="17" t="n">
        <v>0.2</v>
      </c>
      <c r="C8" s="18" t="n">
        <v>1.2</v>
      </c>
      <c r="D8" s="17" t="n">
        <v>0.02</v>
      </c>
      <c r="E8" s="17" t="n">
        <v>-0.01</v>
      </c>
      <c r="F8" s="18" t="n">
        <v>1.1</v>
      </c>
      <c r="G8" s="42" t="n">
        <v>161.42</v>
      </c>
      <c r="H8" s="17" t="n">
        <v>1.085</v>
      </c>
      <c r="I8" s="16" t="n"/>
    </row>
    <row r="9">
      <c r="A9" s="14" t="inlineStr">
        <is>
          <t>Expected (prob-weighted)</t>
        </is>
      </c>
      <c r="B9" s="16" t="n"/>
      <c r="C9" s="16" t="n"/>
      <c r="D9" s="16" t="n"/>
      <c r="E9" s="16" t="n"/>
      <c r="F9" s="16" t="n"/>
      <c r="G9" s="41" t="n">
        <v>102.78</v>
      </c>
      <c r="H9" s="17" t="n">
        <v>0.328</v>
      </c>
      <c r="I9" s="16"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6" t="n"/>
      <c r="H12" s="16" t="n"/>
      <c r="I12" s="16" t="n"/>
    </row>
    <row r="13">
      <c r="A13" s="14" t="inlineStr">
        <is>
          <t>bear</t>
        </is>
      </c>
      <c r="B13" s="17" t="n">
        <v>0.2</v>
      </c>
      <c r="C13" s="18" t="n">
        <v>0.73</v>
      </c>
      <c r="D13" s="17" t="n">
        <v>-0.027</v>
      </c>
      <c r="E13" s="17" t="n">
        <v>0.0165</v>
      </c>
      <c r="F13" s="18" t="n">
        <v>0.865</v>
      </c>
      <c r="G13" s="16" t="n"/>
      <c r="H13" s="16" t="n"/>
      <c r="I13" s="16" t="n"/>
    </row>
    <row r="14">
      <c r="A14" s="14" t="inlineStr">
        <is>
          <t>base</t>
        </is>
      </c>
      <c r="B14" s="17" t="n">
        <v>0.6</v>
      </c>
      <c r="C14" s="18" t="n">
        <v>1</v>
      </c>
      <c r="D14" s="17" t="n">
        <v>0</v>
      </c>
      <c r="E14" s="17" t="n">
        <v>0</v>
      </c>
      <c r="F14" s="18" t="n">
        <v>1</v>
      </c>
      <c r="G14" s="16" t="n"/>
      <c r="H14" s="16" t="n"/>
      <c r="I14" s="16" t="n"/>
    </row>
    <row r="15">
      <c r="A15" s="14" t="inlineStr">
        <is>
          <t>bull</t>
        </is>
      </c>
      <c r="B15" s="17" t="n">
        <v>0.2</v>
      </c>
      <c r="C15" s="18" t="n">
        <v>1.27</v>
      </c>
      <c r="D15" s="17" t="n">
        <v>0.027</v>
      </c>
      <c r="E15" s="17" t="n">
        <v>-0.0135</v>
      </c>
      <c r="F15" s="18" t="n">
        <v>1.135</v>
      </c>
      <c r="G15" s="16" t="n"/>
      <c r="H15" s="16" t="n"/>
      <c r="I15" s="16" t="n"/>
    </row>
    <row r="16">
      <c r="A16" s="14" t="inlineStr">
        <is>
          <t>Context expected IV</t>
        </is>
      </c>
      <c r="B16" s="41" t="n">
        <v>107.44</v>
      </c>
      <c r="C16" s="16" t="n"/>
      <c r="D16" s="16" t="n"/>
      <c r="E16" s="16" t="n"/>
      <c r="F16" s="16" t="n"/>
      <c r="G16" s="16" t="n"/>
      <c r="H16" s="16" t="n"/>
      <c r="I16" s="16"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2" t="n">
        <v>59.2</v>
      </c>
      <c r="C5" s="42" t="n">
        <v>97.75</v>
      </c>
      <c r="D5" s="42" t="n">
        <v>161.42</v>
      </c>
      <c r="E5" s="16" t="inlineStr">
        <is>
          <t>Bear / Base / Bull</t>
        </is>
      </c>
    </row>
    <row r="6">
      <c r="A6" s="14" t="inlineStr">
        <is>
          <t>DCF — terminal method (this wb)</t>
        </is>
      </c>
      <c r="B6" s="42">
        <f>'DCF_Base'!$B$42</f>
        <v/>
      </c>
      <c r="C6" s="42">
        <f>'DCF_Base'!$B$40</f>
        <v/>
      </c>
      <c r="D6" s="42">
        <f>'DCF_Base'!$B$41</f>
        <v/>
      </c>
      <c r="E6" s="16" t="inlineStr">
        <is>
          <t>Exit / Blended / Gordon (rebuilt)</t>
        </is>
      </c>
    </row>
    <row r="7">
      <c r="A7" s="14" t="inlineStr">
        <is>
          <t>Economic profit (EP) IV</t>
        </is>
      </c>
      <c r="B7" s="42" t="inlineStr"/>
      <c r="C7" s="42" t="n">
        <v>124.61</v>
      </c>
      <c r="D7" s="42" t="inlineStr"/>
      <c r="E7" s="16" t="inlineStr">
        <is>
          <t>Invested capital + PV economic profit</t>
        </is>
      </c>
    </row>
    <row r="8">
      <c r="A8" s="14" t="inlineStr">
        <is>
          <t>FCFE IV</t>
        </is>
      </c>
      <c r="B8" s="42" t="inlineStr"/>
      <c r="C8" s="42" t="n">
        <v>127.8</v>
      </c>
      <c r="D8" s="42" t="inlineStr"/>
      <c r="E8" s="16" t="inlineStr">
        <is>
          <t>Direct-to-equity cross-check</t>
        </is>
      </c>
    </row>
    <row r="9">
      <c r="A9" s="14" t="inlineStr">
        <is>
          <t>Comps</t>
        </is>
      </c>
      <c r="B9" s="42" t="n">
        <v>66.4944</v>
      </c>
      <c r="C9" s="42" t="n">
        <v>92.7482</v>
      </c>
      <c r="D9" s="42" t="n">
        <v>119.002</v>
      </c>
      <c r="E9" s="16" t="inlineStr">
        <is>
          <t>EV/EBITDA / blended / P/E</t>
        </is>
      </c>
    </row>
    <row r="10">
      <c r="A10" s="14" t="inlineStr">
        <is>
          <t>Market / street</t>
        </is>
      </c>
      <c r="B10" s="42" t="n">
        <v>77.41</v>
      </c>
      <c r="C10" s="42" t="n">
        <v>93.76922999999999</v>
      </c>
      <c r="D10" s="42" t="inlineStr"/>
      <c r="E10" s="16"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6" t="inlineStr">
        <is>
          <t>g \ WACC</t>
        </is>
      </c>
      <c r="B5" s="17">
        <f>'Assumptions'!$E$19+-0.01</f>
        <v/>
      </c>
      <c r="C5" s="17">
        <f>'Assumptions'!$E$19+-0.005</f>
        <v/>
      </c>
      <c r="D5" s="17">
        <f>'Assumptions'!$E$19+0.0</f>
        <v/>
      </c>
      <c r="E5" s="17">
        <f>'Assumptions'!$E$19+0.005</f>
        <v/>
      </c>
      <c r="F5" s="17">
        <f>'Assumptions'!$E$19+0.01</f>
        <v/>
      </c>
      <c r="G5" s="16" t="n"/>
      <c r="H5" s="16" t="n"/>
    </row>
    <row r="6">
      <c r="A6" s="17">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6" t="n"/>
      <c r="H6" s="16" t="n"/>
    </row>
    <row r="7">
      <c r="A7" s="17">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6" t="n"/>
      <c r="H7" s="16" t="n"/>
    </row>
    <row r="8">
      <c r="A8" s="17">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6" t="n"/>
      <c r="H8" s="16" t="n"/>
    </row>
    <row r="9">
      <c r="A9" s="17">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6" t="n"/>
      <c r="H9" s="16" t="n"/>
    </row>
    <row r="10">
      <c r="A10" s="17">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38" t="inlineStr">
        <is>
          <t>IV/share: WACC (cols) vs exit multiple (rows) — exit path</t>
        </is>
      </c>
      <c r="B13" s="39" t="n"/>
      <c r="C13" s="39" t="n"/>
      <c r="D13" s="39" t="n"/>
      <c r="E13" s="39" t="n"/>
      <c r="F13" s="39" t="n"/>
      <c r="G13" s="39" t="n"/>
      <c r="H13" s="39" t="n"/>
    </row>
    <row r="14">
      <c r="A14" s="16" t="inlineStr">
        <is>
          <t>Exit \ WACC</t>
        </is>
      </c>
      <c r="B14" s="17">
        <f>'Assumptions'!$E$19+-0.01</f>
        <v/>
      </c>
      <c r="C14" s="17">
        <f>'Assumptions'!$E$19+-0.005</f>
        <v/>
      </c>
      <c r="D14" s="17">
        <f>'Assumptions'!$E$19+0.0</f>
        <v/>
      </c>
      <c r="E14" s="17">
        <f>'Assumptions'!$E$19+0.005</f>
        <v/>
      </c>
      <c r="F14" s="17">
        <f>'Assumptions'!$E$19+0.01</f>
        <v/>
      </c>
      <c r="G14" s="16" t="n"/>
      <c r="H14" s="16" t="n"/>
    </row>
    <row r="15">
      <c r="A15" s="18">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6" t="n"/>
      <c r="H15" s="16" t="n"/>
    </row>
    <row r="16">
      <c r="A16" s="18">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6" t="n"/>
      <c r="H16" s="16" t="n"/>
    </row>
    <row r="17">
      <c r="A17" s="18">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6" t="n"/>
      <c r="H17" s="16" t="n"/>
    </row>
    <row r="18">
      <c r="A18" s="18">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6" t="n"/>
      <c r="H18" s="16" t="n"/>
    </row>
    <row r="19">
      <c r="A19" s="18">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6" t="n"/>
      <c r="H19" s="16" t="n"/>
    </row>
    <row r="20">
      <c r="A20" s="16" t="n"/>
      <c r="B20" s="16" t="n"/>
      <c r="C20" s="16" t="n"/>
      <c r="D20" s="16" t="n"/>
      <c r="E20" s="16" t="n"/>
      <c r="F20" s="16" t="n"/>
      <c r="G20" s="16" t="n"/>
      <c r="H20" s="16" t="n"/>
    </row>
    <row r="21">
      <c r="A21" s="14" t="inlineStr">
        <is>
          <t>Backend Base IV</t>
        </is>
      </c>
      <c r="B21" s="42">
        <f>'Assumptions'!$E$36</f>
        <v/>
      </c>
      <c r="C21" s="16" t="n"/>
      <c r="D21" s="16" t="n"/>
      <c r="E21" s="16" t="n"/>
      <c r="F21" s="16" t="n"/>
      <c r="G21" s="16" t="n"/>
      <c r="H21" s="16"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6" t="inlineStr">
        <is>
          <t>Reconciles to backend Base IV</t>
        </is>
      </c>
      <c r="B5" s="42">
        <f>'DCF_Base'!$B$40-'Assumptions'!$E$36</f>
        <v/>
      </c>
      <c r="C5" s="16">
        <f>IF(ABS(B5)&lt;=0.1,"OK","FAIL")</f>
        <v/>
      </c>
      <c r="D5" s="16" t="inlineStr">
        <is>
          <t>Rebuilt Base IV must equal backend iv_base</t>
        </is>
      </c>
    </row>
    <row r="6">
      <c r="A6" s="16" t="inlineStr">
        <is>
          <t>WACC greater than terminal growth</t>
        </is>
      </c>
      <c r="B6" s="17">
        <f>'Assumptions'!$E$19-'Assumptions'!$E$18</f>
        <v/>
      </c>
      <c r="C6" s="16">
        <f>IF(B6&gt;0,"OK","FAIL")</f>
        <v/>
      </c>
      <c r="D6" s="16" t="inlineStr">
        <is>
          <t>Gordon invalid if WACC &lt;= g</t>
        </is>
      </c>
    </row>
    <row r="7">
      <c r="A7" s="16" t="inlineStr">
        <is>
          <t>RONIC greater than terminal growth</t>
        </is>
      </c>
      <c r="B7" s="17">
        <f>'Assumptions'!$E$30-'Assumptions'!$E$18</f>
        <v/>
      </c>
      <c r="C7" s="16">
        <f>IF(B7&gt;0,"OK","FAIL")</f>
        <v/>
      </c>
      <c r="D7" s="16" t="inlineStr">
        <is>
          <t>Value-driver TV requires RONIC &gt; g</t>
        </is>
      </c>
    </row>
    <row r="8">
      <c r="A8" s="16" t="inlineStr">
        <is>
          <t>Terminal value share of EV</t>
        </is>
      </c>
      <c r="B8" s="17">
        <f>'DCF_Base'!$B$35</f>
        <v/>
      </c>
      <c r="C8" s="16">
        <f>IF(AND(B8&gt;=0.4,B8&lt;=0.85),"OK","REVIEW")</f>
        <v/>
      </c>
      <c r="D8" s="16" t="inlineStr">
        <is>
          <t>Outside 40-85% deserves a look</t>
        </is>
      </c>
    </row>
    <row r="9">
      <c r="A9" s="16" t="inlineStr">
        <is>
          <t>Scenario probabilities sum to 100%</t>
        </is>
      </c>
      <c r="B9" s="17">
        <f>'Assumptions'!$E$33+'Assumptions'!$E$34+'Assumptions'!$E$35</f>
        <v/>
      </c>
      <c r="C9" s="16">
        <f>IF(ABS(B9-1)&lt;0.001,"OK","FAIL")</f>
        <v/>
      </c>
      <c r="D9" s="16" t="inlineStr">
        <is>
          <t>Edit probabilities in Assumptions</t>
        </is>
      </c>
    </row>
    <row r="10">
      <c r="A10" s="16" t="inlineStr">
        <is>
          <t>Exit metric present</t>
        </is>
      </c>
      <c r="B10" s="16">
        <f>'Assumptions'!$E$29</f>
        <v/>
      </c>
      <c r="C10" s="16">
        <f>IF(B10&lt;&gt;"","OK","FAIL")</f>
        <v/>
      </c>
      <c r="D10" s="16" t="inlineStr">
        <is>
          <t>Needed for exit terminal value</t>
        </is>
      </c>
    </row>
    <row r="11">
      <c r="A11" s="16" t="inlineStr">
        <is>
          <t>Model applicability</t>
        </is>
      </c>
      <c r="B11" s="16" t="inlineStr">
        <is>
          <t>dcf_applicable</t>
        </is>
      </c>
      <c r="C11" s="16">
        <f>IF(B11="dcf_applicable","OK","REVIEW")</f>
        <v/>
      </c>
      <c r="D11" s="16" t="inlineStr">
        <is>
          <t>Backend DCF applicability gate</t>
        </is>
      </c>
    </row>
    <row r="12">
      <c r="A12" s="16" t="inlineStr">
        <is>
          <t>Model trust state</t>
        </is>
      </c>
      <c r="B12" s="16" t="inlineStr">
        <is>
          <t>watch</t>
        </is>
      </c>
      <c r="C12" s="16">
        <f>IF(B12="ok","OK","REVIEW")</f>
        <v/>
      </c>
      <c r="D12" s="16" t="inlineStr">
        <is>
          <t>Register flags: {'none': 24, 'watch': 9, 'review_required': 0, 'critical': 0}</t>
        </is>
      </c>
    </row>
    <row r="13">
      <c r="A13" s="16" t="inlineStr">
        <is>
          <t>PM review items outstanding</t>
        </is>
      </c>
      <c r="B13" s="16" t="n">
        <v>2</v>
      </c>
      <c r="C13" s="16">
        <f>IF(B13=0,"OK","REVIEW")</f>
        <v/>
      </c>
      <c r="D13" s="16" t="inlineStr">
        <is>
          <t>See PM_Review_Queue tab</t>
        </is>
      </c>
    </row>
    <row r="14">
      <c r="A14" s="16" t="inlineStr">
        <is>
          <t>No hidden writeback</t>
        </is>
      </c>
      <c r="B14" s="16" t="inlineStr">
        <is>
          <t>Review artifact only</t>
        </is>
      </c>
      <c r="C14" s="16">
        <f>"OK"</f>
        <v/>
      </c>
      <c r="D14" s="16"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2026-06-15T20:36:26Z</dcterms:created>
  <dcterms:modified xmlns:dcterms="http://purl.org/dc/terms/" xmlns:xsi="http://www.w3.org/2001/XMLSchema-instance" xsi:type="dcterms:W3CDTF">2026-06-15T20:36:26Z</dcterms:modified>
</cp:coreProperties>
</file>