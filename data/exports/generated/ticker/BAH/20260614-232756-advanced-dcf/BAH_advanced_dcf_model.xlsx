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_Map" sheetId="2" state="visible" r:id="rId2"/>
    <sheet xmlns:r="http://schemas.openxmlformats.org/officeDocument/2006/relationships" name="Input_JS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Historical_Financials" sheetId="5" state="visible" r:id="rId5"/>
    <sheet xmlns:r="http://schemas.openxmlformats.org/officeDocument/2006/relationships" name="Input_Forecast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_Base" sheetId="8" state="visible" r:id="rId8"/>
    <sheet xmlns:r="http://schemas.openxmlformats.org/officeDocument/2006/relationships" name="DCF_Bear" sheetId="9" state="visible" r:id="rId9"/>
    <sheet xmlns:r="http://schemas.openxmlformats.org/officeDocument/2006/relationships" name="DCF_Bull" sheetId="10" state="visible" r:id="rId10"/>
    <sheet xmlns:r="http://schemas.openxmlformats.org/officeDocument/2006/relationships" name="Equity_Bridge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Comps" sheetId="13" state="visible" r:id="rId13"/>
    <sheet xmlns:r="http://schemas.openxmlformats.org/officeDocument/2006/relationships" name="Football_Field" sheetId="14" state="visible" r:id="rId14"/>
    <sheet xmlns:r="http://schemas.openxmlformats.org/officeDocument/2006/relationships" name="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[Red](#,##0.0);-"/>
    <numFmt numFmtId="165" formatCode="0.0%"/>
    <numFmt numFmtId="166" formatCode="#,##0;[Red](#,##0);-"/>
    <numFmt numFmtId="167" formatCode="#,##0.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  <font>
      <b val="1"/>
      <color rgb="00FFFFFF"/>
    </font>
    <font>
      <color rgb="00008000"/>
    </font>
    <font>
      <color rgb="000070C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164" fontId="6" fillId="5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165" fontId="6" fillId="5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6" fontId="5" fillId="4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Input_metadata" displayName="Input_metadata" ref="A5:B11" headerRowCount="1">
  <autoFilter ref="A5:B11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_assumptions" displayName="Input_assumptions" ref="A15:B47" headerRowCount="1">
  <autoFilter ref="A15:B47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put_wacc" displayName="Input_wacc" ref="A51:B63" headerRowCount="1">
  <autoFilter ref="A51:B63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put_valuation" displayName="Input_valuation" ref="A67:B90" headerRowCount="1">
  <autoFilter ref="A67:B9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_terminal" displayName="Input_terminal" ref="A94:B108" headerRowCount="1">
  <autoFilter ref="A94:B108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nput_market" displayName="Input_market" ref="A112:B121" headerRowCount="1">
  <autoFilter ref="A112:B121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nput_scenarios" displayName="Input_scenarios" ref="A125:D129" headerRowCount="1">
  <autoFilter ref="A125:D129"/>
  <tableColumns count="4">
    <tableColumn id="1" name="scenario"/>
    <tableColumn id="2" name="probability"/>
    <tableColumn id="3" name="iv"/>
    <tableColumn id="4" name="upside_pc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put_health_flags" displayName="Input_health_flags" ref="A133:B143" headerRowCount="1">
  <autoFilter ref="A133:B143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ssumption_Control" displayName="Assumption_Control" ref="A4:G59" headerRowCount="1">
  <autoFilter ref="A4:G59"/>
  <tableColumns count="7">
    <tableColumn id="1" name="Category"/>
    <tableColumn id="2" name="Key"/>
    <tableColumn id="3" name="Source Value"/>
    <tableColumn id="4" name="PM Override"/>
    <tableColumn id="5" name="Effective Value"/>
    <tableColumn id="6" name="Unit"/>
    <tableColumn id="7" name="Source / Meani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Historical_Financials_Table" displayName="Historical_Financials_Table" ref="A4:V14" headerRowCount="1">
  <autoFilter ref="A4:V14"/>
  <tableColumns count="22">
    <tableColumn id="1" name="Fiscal Year"/>
    <tableColumn id="2" name="Period"/>
    <tableColumn id="3" name="Revenue"/>
    <tableColumn id="4" name="Revenue Growth"/>
    <tableColumn id="5" name="EBIT"/>
    <tableColumn id="6" name="EBIT Margin"/>
    <tableColumn id="7" name="EBITDA"/>
    <tableColumn id="8" name="EBITDA Margin"/>
    <tableColumn id="9" name="D&amp;A"/>
    <tableColumn id="10" name="D&amp;A % Revenue"/>
    <tableColumn id="11" name="Capex"/>
    <tableColumn id="12" name="Capex % Revenue"/>
    <tableColumn id="13" name="CFO"/>
    <tableColumn id="14" name="Pretax Income"/>
    <tableColumn id="15" name="Tax Expense"/>
    <tableColumn id="16" name="Tax Rate"/>
    <tableColumn id="17" name="Cash"/>
    <tableColumn id="18" name="Debt"/>
    <tableColumn id="19" name="Net Debt"/>
    <tableColumn id="20" name="Total Assets"/>
    <tableColumn id="21" name="Total Equity"/>
    <tableColumn id="22" name="Sour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Input_Forecast_Table" displayName="Input_Forecast_Table" ref="A4:X14" headerRowCount="1">
  <autoFilter ref="A4:X14"/>
  <tableColumns count="24">
    <tableColumn id="1" name="Year"/>
    <tableColumn id="2" name="Revenue"/>
    <tableColumn id="3" name="Growth"/>
    <tableColumn id="4" name="EBIT Margin"/>
    <tableColumn id="5" name="Tax Rate"/>
    <tableColumn id="6" name="Capex % Revenue"/>
    <tableColumn id="7" name="D&amp;A % Revenue"/>
    <tableColumn id="8" name="DSO"/>
    <tableColumn id="9" name="DIO"/>
    <tableColumn id="10" name="DPO"/>
    <tableColumn id="11" name="EBIT"/>
    <tableColumn id="12" name="NOPAT"/>
    <tableColumn id="13" name="D&amp;A"/>
    <tableColumn id="14" name="Capex"/>
    <tableColumn id="15" name="AR"/>
    <tableColumn id="16" name="Inventory"/>
    <tableColumn id="17" name="AP"/>
    <tableColumn id="18" name="NWC"/>
    <tableColumn id="19" name="Delta NWC"/>
    <tableColumn id="20" name="FCFF"/>
    <tableColumn id="21" name="Discount Factor"/>
    <tableColumn id="22" name="PV FCFF"/>
    <tableColumn id="23" name="ROIC"/>
    <tableColumn id="24" name="Economic Profi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Comps_Peers_Table" displayName="Comps_Peers_Table" ref="A5:O13" headerRowCount="1">
  <autoFilter ref="A5:O13"/>
  <tableColumns count="15">
    <tableColumn id="1" name="ticker"/>
    <tableColumn id="2" name="run_id"/>
    <tableColumn id="3" name="source_file"/>
    <tableColumn id="4" name="as_of_date"/>
    <tableColumn id="5" name="market_cap_mm"/>
    <tableColumn id="6" name="tev_mm"/>
    <tableColumn id="7" name="revenue_ltm_mm"/>
    <tableColumn id="8" name="ebitda_ltm_mm"/>
    <tableColumn id="9" name="ebit_ltm_mm"/>
    <tableColumn id="10" name="eps_ltm"/>
    <tableColumn id="11" name="tev_ebitda_ltm"/>
    <tableColumn id="12" name="tev_ebitda_fwd"/>
    <tableColumn id="13" name="tev_ebit_ltm"/>
    <tableColumn id="14" name="tev_ebit_fwd"/>
    <tableColumn id="15" name="pe_lt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_rels/sheet4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BAH Advanced DCF Model</t>
        </is>
      </c>
    </row>
    <row r="2" ht="18" customHeight="1">
      <c r="A2" s="2" t="inlineStr">
        <is>
          <t>Formula-driven Excel review artifact sourced from valuation JSON</t>
        </is>
      </c>
    </row>
    <row r="3" ht="18" customHeight="1"/>
    <row r="4" ht="18" customHeight="1">
      <c r="A4" s="3" t="inlineStr">
        <is>
          <t>Company</t>
        </is>
      </c>
      <c r="B4" t="inlineStr">
        <is>
          <t>Booz Allen Hamilton Holding Corporation</t>
        </is>
      </c>
    </row>
    <row r="5" ht="18" customHeight="1">
      <c r="A5" s="3" t="inlineStr">
        <is>
          <t>Ticker</t>
        </is>
      </c>
      <c r="B5" t="inlineStr">
        <is>
          <t>BAH</t>
        </is>
      </c>
    </row>
    <row r="6" ht="18" customHeight="1">
      <c r="A6" s="3" t="inlineStr">
        <is>
          <t>Sector</t>
        </is>
      </c>
      <c r="B6" t="inlineStr">
        <is>
          <t>Industrials</t>
        </is>
      </c>
    </row>
    <row r="7" ht="18" customHeight="1">
      <c r="A7" s="3" t="inlineStr">
        <is>
          <t>Industry</t>
        </is>
      </c>
      <c r="B7" t="inlineStr">
        <is>
          <t>Consulting Services</t>
        </is>
      </c>
    </row>
    <row r="8" ht="18" customHeight="1">
      <c r="A8" s="3" t="inlineStr">
        <is>
          <t>Generated</t>
        </is>
      </c>
      <c r="B8" t="inlineStr">
        <is>
          <t>2026-06-14T23:27:56</t>
        </is>
      </c>
    </row>
    <row r="9" ht="18" customHeight="1">
      <c r="A9" s="3" t="inlineStr">
        <is>
          <t>Source JSON</t>
        </is>
      </c>
      <c r="B9" t="inlineStr">
        <is>
          <t>C:\Projects\03-Finance\ai-fund\data\valuations\json\BAH_latest.json</t>
        </is>
      </c>
    </row>
    <row r="10" ht="18" customHeight="1">
      <c r="A10" s="3" t="inlineStr">
        <is>
          <t>Purpose</t>
        </is>
      </c>
      <c r="B10" t="inlineStr">
        <is>
          <t>PM review workbook: assumptions, operating forecast, scenario DCF, sensitivities, checks</t>
        </is>
      </c>
    </row>
    <row r="11" ht="18" customHeight="1">
      <c r="A11" s="3" t="inlineStr">
        <is>
          <t>Important</t>
        </is>
      </c>
      <c r="B11" t="inlineStr">
        <is>
          <t>This workbook is a review artifact and does not write back into the deterministic pipeline.</t>
        </is>
      </c>
    </row>
    <row r="12" ht="18" customHeight="1"/>
    <row r="13" ht="18" customHeight="1"/>
    <row r="14" ht="18" customHeight="1">
      <c r="A14" s="4" t="inlineStr">
        <is>
          <t>Workbook Flow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Input_JSON</t>
        </is>
      </c>
      <c r="B15" t="inlineStr">
        <is>
          <t>Flattened source values from backend JSON</t>
        </is>
      </c>
    </row>
    <row r="16" ht="18" customHeight="1">
      <c r="A16" s="3" t="inlineStr">
        <is>
          <t>Historical_Financials</t>
        </is>
      </c>
      <c r="B16" t="inlineStr">
        <is>
          <t>CIQ annual actuals used for trend review</t>
        </is>
      </c>
    </row>
    <row r="17" ht="18" customHeight="1">
      <c r="A17" s="3" t="inlineStr">
        <is>
          <t>Assumptions</t>
        </is>
      </c>
      <c r="B17" t="inlineStr">
        <is>
          <t>PM-editable override layer; formulas use Effective Value</t>
        </is>
      </c>
    </row>
    <row r="18" ht="18" customHeight="1">
      <c r="A18" s="3" t="inlineStr">
        <is>
          <t>DCF_Base/Bear/Bull</t>
        </is>
      </c>
      <c r="B18" t="inlineStr">
        <is>
          <t>Operating model and valuation by scenario</t>
        </is>
      </c>
    </row>
    <row r="19" ht="18" customHeight="1">
      <c r="A19" s="3" t="inlineStr">
        <is>
          <t>Sensitivity</t>
        </is>
      </c>
      <c r="B19" t="inlineStr">
        <is>
          <t>WACC/growth and WACC/exit-multiple explicit tables</t>
        </is>
      </c>
    </row>
    <row r="20" ht="18" customHeight="1">
      <c r="A20" s="3" t="inlineStr">
        <is>
          <t>Checks</t>
        </is>
      </c>
      <c r="B20" t="inlineStr">
        <is>
          <t>Completeness, plausibility, and model hygiene flags</t>
        </is>
      </c>
    </row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0" customWidth="1" min="2" max="2"/>
    <col width="4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Model Map</t>
        </is>
      </c>
    </row>
    <row r="2" ht="18" customHeight="1"/>
    <row r="3" ht="18" customHeight="1"/>
    <row r="4" ht="18" customHeight="1">
      <c r="A4" s="6" t="inlineStr">
        <is>
          <t>Sheet</t>
        </is>
      </c>
      <c r="B4" s="6" t="inlineStr">
        <is>
          <t>Role</t>
        </is>
      </c>
      <c r="C4" s="6" t="inlineStr">
        <is>
          <t>User Action</t>
        </is>
      </c>
    </row>
    <row r="5" ht="18" customHeight="1">
      <c r="A5" s="7" t="inlineStr">
        <is>
          <t>Cover</t>
        </is>
      </c>
      <c r="B5" s="7" t="inlineStr">
        <is>
          <t>Workbook orientation</t>
        </is>
      </c>
      <c r="C5" s="7" t="inlineStr">
        <is>
          <t>Read only</t>
        </is>
      </c>
    </row>
    <row r="6" ht="18" customHeight="1">
      <c r="A6" s="7" t="inlineStr">
        <is>
          <t>Input_JSON</t>
        </is>
      </c>
      <c r="B6" s="7" t="inlineStr">
        <is>
          <t>Raw flat source values imported from backend JSON</t>
        </is>
      </c>
      <c r="C6" s="7" t="inlineStr">
        <is>
          <t>Read only</t>
        </is>
      </c>
    </row>
    <row r="7" ht="18" customHeight="1">
      <c r="A7" s="7" t="inlineStr">
        <is>
          <t>Historical_Financials</t>
        </is>
      </c>
      <c r="B7" s="7" t="inlineStr">
        <is>
          <t>Historical annual actuals and margin checks</t>
        </is>
      </c>
      <c r="C7" s="7" t="inlineStr">
        <is>
          <t>Read only</t>
        </is>
      </c>
    </row>
    <row r="8" ht="18" customHeight="1">
      <c r="A8" s="7" t="inlineStr">
        <is>
          <t>Assumptions</t>
        </is>
      </c>
      <c r="B8" s="7" t="inlineStr">
        <is>
          <t>Source values, PM overrides, and effective assumptions</t>
        </is>
      </c>
      <c r="C8" s="7" t="inlineStr">
        <is>
          <t>Edit PM Override only</t>
        </is>
      </c>
    </row>
    <row r="9" ht="18" customHeight="1">
      <c r="A9" s="7" t="inlineStr">
        <is>
          <t>WACC</t>
        </is>
      </c>
      <c r="B9" s="7" t="inlineStr">
        <is>
          <t>Cost of capital build and scenario WACC bridge</t>
        </is>
      </c>
      <c r="C9" s="7" t="inlineStr">
        <is>
          <t>Review; edit overrides in Assumptions</t>
        </is>
      </c>
    </row>
    <row r="10" ht="18" customHeight="1">
      <c r="A10" s="7" t="inlineStr">
        <is>
          <t>DCF_Base</t>
        </is>
      </c>
      <c r="B10" s="7" t="inlineStr">
        <is>
          <t>Base case operating forecast and DCF</t>
        </is>
      </c>
      <c r="C10" s="7" t="inlineStr">
        <is>
          <t>Review formulas and outputs</t>
        </is>
      </c>
    </row>
    <row r="11" ht="18" customHeight="1">
      <c r="A11" s="7" t="inlineStr">
        <is>
          <t>DCF_Bear</t>
        </is>
      </c>
      <c r="B11" s="7" t="inlineStr">
        <is>
          <t>Downside scenario using visible multipliers</t>
        </is>
      </c>
      <c r="C11" s="7" t="inlineStr">
        <is>
          <t>Review formulas and outputs</t>
        </is>
      </c>
    </row>
    <row r="12" ht="18" customHeight="1">
      <c r="A12" s="7" t="inlineStr">
        <is>
          <t>DCF_Bull</t>
        </is>
      </c>
      <c r="B12" s="7" t="inlineStr">
        <is>
          <t>Upside scenario using visible multipliers</t>
        </is>
      </c>
      <c r="C12" s="7" t="inlineStr">
        <is>
          <t>Review formulas and outputs</t>
        </is>
      </c>
    </row>
    <row r="13" ht="18" customHeight="1">
      <c r="A13" s="7" t="inlineStr">
        <is>
          <t>Equity_Bridge</t>
        </is>
      </c>
      <c r="B13" s="7" t="inlineStr">
        <is>
          <t>EV to equity value reconciliation</t>
        </is>
      </c>
      <c r="C13" s="7" t="inlineStr">
        <is>
          <t>Review</t>
        </is>
      </c>
    </row>
    <row r="14" ht="18" customHeight="1">
      <c r="A14" s="7" t="inlineStr">
        <is>
          <t>Sensitivity</t>
        </is>
      </c>
      <c r="B14" s="7" t="inlineStr">
        <is>
          <t>Explicit sensitivity tables</t>
        </is>
      </c>
      <c r="C14" s="7" t="inlineStr">
        <is>
          <t>Review</t>
        </is>
      </c>
    </row>
    <row r="15" ht="18" customHeight="1">
      <c r="A15" s="7" t="inlineStr">
        <is>
          <t>Comps</t>
        </is>
      </c>
      <c r="B15" s="7" t="inlineStr">
        <is>
          <t>Peer and comps valuation source data</t>
        </is>
      </c>
      <c r="C15" s="7" t="inlineStr">
        <is>
          <t>Review</t>
        </is>
      </c>
    </row>
    <row r="16" ht="18" customHeight="1">
      <c r="A16" s="7" t="inlineStr">
        <is>
          <t>Football_Field</t>
        </is>
      </c>
      <c r="B16" s="7" t="inlineStr">
        <is>
          <t>Valuation range summary</t>
        </is>
      </c>
      <c r="C16" s="7" t="inlineStr">
        <is>
          <t>Review</t>
        </is>
      </c>
    </row>
    <row r="17" ht="18" customHeight="1">
      <c r="A17" s="7" t="inlineStr">
        <is>
          <t>Checks</t>
        </is>
      </c>
      <c r="B17" s="7" t="inlineStr">
        <is>
          <t>Model sanity checks</t>
        </is>
      </c>
      <c r="C17" s="7" t="inlineStr">
        <is>
          <t>Resolve Fail/Review flags</t>
        </is>
      </c>
    </row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Input JSON</t>
        </is>
      </c>
    </row>
    <row r="2" ht="18" customHeight="1">
      <c r="A2" s="2" t="inlineStr">
        <is>
          <t>Flattened source tables from the valuation JSON</t>
        </is>
      </c>
    </row>
    <row r="3" ht="18" customHeight="1"/>
    <row r="4" ht="18" customHeight="1">
      <c r="A4" s="4" t="inlineStr">
        <is>
          <t>metadata</t>
        </is>
      </c>
      <c r="B4" s="5" t="n"/>
      <c r="C4" s="5" t="n"/>
      <c r="D4" s="5" t="n"/>
      <c r="E4" s="5" t="n"/>
      <c r="F4" s="5" t="n"/>
    </row>
    <row r="5" ht="18" customHeight="1">
      <c r="A5" s="6" t="inlineStr">
        <is>
          <t>key</t>
        </is>
      </c>
      <c r="B5" s="6" t="inlineStr">
        <is>
          <t>value</t>
        </is>
      </c>
    </row>
    <row r="6" ht="18" customHeight="1">
      <c r="A6" s="8" t="inlineStr">
        <is>
          <t>schema_version</t>
        </is>
      </c>
      <c r="B6" s="8" t="inlineStr">
        <is>
          <t>1.0</t>
        </is>
      </c>
    </row>
    <row r="7" ht="18" customHeight="1">
      <c r="A7" s="8" t="inlineStr">
        <is>
          <t>generated_at</t>
        </is>
      </c>
      <c r="B7" s="8" t="inlineStr">
        <is>
          <t>2026-06-14T20:34:19</t>
        </is>
      </c>
    </row>
    <row r="8" ht="18" customHeight="1">
      <c r="A8" s="8" t="inlineStr">
        <is>
          <t>ticker</t>
        </is>
      </c>
      <c r="B8" s="8" t="inlineStr">
        <is>
          <t>BAH</t>
        </is>
      </c>
    </row>
    <row r="9" ht="18" customHeight="1">
      <c r="A9" s="8" t="inlineStr">
        <is>
          <t>company_name</t>
        </is>
      </c>
      <c r="B9" s="8" t="inlineStr">
        <is>
          <t>Booz Allen Hamilton Holding Corporation</t>
        </is>
      </c>
    </row>
    <row r="10" ht="18" customHeight="1">
      <c r="A10" s="8" t="inlineStr">
        <is>
          <t>sector</t>
        </is>
      </c>
      <c r="B10" s="8" t="inlineStr">
        <is>
          <t>Industrials</t>
        </is>
      </c>
    </row>
    <row r="11" ht="18" customHeight="1">
      <c r="A11" s="8" t="inlineStr">
        <is>
          <t>industry</t>
        </is>
      </c>
      <c r="B11" s="8" t="inlineStr">
        <is>
          <t>Consulting Services</t>
        </is>
      </c>
    </row>
    <row r="12" ht="18" customHeight="1"/>
    <row r="13" ht="18" customHeight="1"/>
    <row r="14" ht="18" customHeight="1">
      <c r="A14" s="4" t="inlineStr">
        <is>
          <t>assumptions</t>
        </is>
      </c>
      <c r="B14" s="5" t="n"/>
      <c r="C14" s="5" t="n"/>
      <c r="D14" s="5" t="n"/>
      <c r="E14" s="5" t="n"/>
      <c r="F14" s="5" t="n"/>
    </row>
    <row r="15" ht="18" customHeight="1">
      <c r="A15" s="6" t="inlineStr">
        <is>
          <t>key</t>
        </is>
      </c>
      <c r="B15" s="6" t="inlineStr">
        <is>
          <t>value</t>
        </is>
      </c>
    </row>
    <row r="16" ht="18" customHeight="1">
      <c r="A16" s="8" t="inlineStr">
        <is>
          <t>revenue_mm</t>
        </is>
      </c>
      <c r="B16" s="8" t="n">
        <v>11217</v>
      </c>
    </row>
    <row r="17" ht="18" customHeight="1">
      <c r="A17" s="8" t="inlineStr">
        <is>
          <t>growth_near_pct</t>
        </is>
      </c>
      <c r="B17" s="8" t="n">
        <v>0.002472516715699436</v>
      </c>
    </row>
    <row r="18" ht="18" customHeight="1">
      <c r="A18" s="8" t="inlineStr">
        <is>
          <t>growth_mid_pct</t>
        </is>
      </c>
      <c r="B18" s="8" t="n">
        <v>0.00135988419363469</v>
      </c>
    </row>
    <row r="19" ht="18" customHeight="1">
      <c r="A19" s="8" t="inlineStr">
        <is>
          <t>growth_terminal_pct</t>
        </is>
      </c>
      <c r="B19" s="8" t="n">
        <v>0.025</v>
      </c>
    </row>
    <row r="20" ht="18" customHeight="1">
      <c r="A20" s="8" t="inlineStr">
        <is>
          <t>ebit_margin_start_pct</t>
        </is>
      </c>
      <c r="B20" s="8" t="n">
        <v>0.09836368436321925</v>
      </c>
    </row>
    <row r="21" ht="18" customHeight="1">
      <c r="A21" s="8" t="inlineStr">
        <is>
          <t>ebit_margin_target_pct</t>
        </is>
      </c>
      <c r="B21" s="8" t="n">
        <v>0.1141818421816096</v>
      </c>
    </row>
    <row r="22" ht="18" customHeight="1">
      <c r="A22" s="8" t="inlineStr">
        <is>
          <t>capex_pct</t>
        </is>
      </c>
      <c r="B22" s="8" t="n">
        <v>0.01</v>
      </c>
    </row>
    <row r="23" ht="18" customHeight="1">
      <c r="A23" s="8" t="inlineStr">
        <is>
          <t>da_pct</t>
        </is>
      </c>
      <c r="B23" s="8" t="n">
        <v>0.0145620663655914</v>
      </c>
    </row>
    <row r="24" ht="18" customHeight="1">
      <c r="A24" s="8" t="inlineStr">
        <is>
          <t>tax_rate_start_pct</t>
        </is>
      </c>
      <c r="B24" s="8" t="n">
        <v>0.2056484360576105</v>
      </c>
    </row>
    <row r="25" ht="18" customHeight="1">
      <c r="A25" s="8" t="inlineStr">
        <is>
          <t>tax_rate_target_pct</t>
        </is>
      </c>
      <c r="B25" s="8" t="n">
        <v>0.2056484360576105</v>
      </c>
    </row>
    <row r="26" ht="18" customHeight="1">
      <c r="A26" s="8" t="inlineStr">
        <is>
          <t>dso_start</t>
        </is>
      </c>
      <c r="B26" s="8" t="n">
        <v>67.09999999999999</v>
      </c>
    </row>
    <row r="27" ht="18" customHeight="1">
      <c r="A27" s="8" t="inlineStr">
        <is>
          <t>dso_target</t>
        </is>
      </c>
      <c r="B27" s="8" t="n">
        <v>58.63</v>
      </c>
    </row>
    <row r="28" ht="18" customHeight="1">
      <c r="A28" s="8" t="inlineStr">
        <is>
          <t>dio_start</t>
        </is>
      </c>
      <c r="B28" s="8" t="n">
        <v>5</v>
      </c>
    </row>
    <row r="29" ht="18" customHeight="1">
      <c r="A29" s="8" t="inlineStr">
        <is>
          <t>dio_target</t>
        </is>
      </c>
      <c r="B29" s="8" t="n">
        <v>43.5</v>
      </c>
    </row>
    <row r="30" ht="18" customHeight="1">
      <c r="A30" s="8" t="inlineStr">
        <is>
          <t>dpo_start</t>
        </is>
      </c>
      <c r="B30" s="8" t="n">
        <v>19.3</v>
      </c>
    </row>
    <row r="31" ht="18" customHeight="1">
      <c r="A31" s="8" t="inlineStr">
        <is>
          <t>dpo_target</t>
        </is>
      </c>
      <c r="B31" s="8" t="n">
        <v>40.79</v>
      </c>
    </row>
    <row r="32" ht="18" customHeight="1">
      <c r="A32" s="8" t="inlineStr">
        <is>
          <t>exit_multiple</t>
        </is>
      </c>
      <c r="B32" s="8" t="n">
        <v>8.517239999999999</v>
      </c>
    </row>
    <row r="33" ht="18" customHeight="1">
      <c r="A33" s="8" t="inlineStr">
        <is>
          <t>exit_metric</t>
        </is>
      </c>
      <c r="B33" s="8" t="inlineStr">
        <is>
          <t>ev_ebit</t>
        </is>
      </c>
    </row>
    <row r="34" ht="18" customHeight="1">
      <c r="A34" s="8" t="inlineStr">
        <is>
          <t>net_debt_mm</t>
        </is>
      </c>
      <c r="B34" s="8" t="n">
        <v>3394</v>
      </c>
    </row>
    <row r="35" ht="18" customHeight="1">
      <c r="A35" s="8" t="inlineStr">
        <is>
          <t>shares_outstanding_mm</t>
        </is>
      </c>
      <c r="B35" s="8" t="n">
        <v>122.375</v>
      </c>
    </row>
    <row r="36" ht="18" customHeight="1">
      <c r="A36" s="8" t="inlineStr">
        <is>
          <t>ronic_terminal_pct</t>
        </is>
      </c>
      <c r="B36" s="8" t="n">
        <v>0.11</v>
      </c>
    </row>
    <row r="37" ht="18" customHeight="1">
      <c r="A37" s="8" t="inlineStr">
        <is>
          <t>invested_capital_mm</t>
        </is>
      </c>
      <c r="B37" s="8" t="n">
        <v>4727</v>
      </c>
    </row>
    <row r="38" ht="18" customHeight="1">
      <c r="A38" s="8" t="inlineStr">
        <is>
          <t>non_operating_assets_mm</t>
        </is>
      </c>
      <c r="B38" s="8" t="n">
        <v>503.66</v>
      </c>
    </row>
    <row r="39" ht="18" customHeight="1">
      <c r="A39" s="8" t="inlineStr">
        <is>
          <t>minority_interest_mm</t>
        </is>
      </c>
      <c r="B39" s="8" t="n">
        <v>0</v>
      </c>
    </row>
    <row r="40" ht="18" customHeight="1">
      <c r="A40" s="8" t="inlineStr">
        <is>
          <t>preferred_equity_mm</t>
        </is>
      </c>
      <c r="B40" s="8" t="n">
        <v>0</v>
      </c>
    </row>
    <row r="41" ht="18" customHeight="1">
      <c r="A41" s="8" t="inlineStr">
        <is>
          <t>pension_deficit_mm</t>
        </is>
      </c>
      <c r="B41" s="8" t="n">
        <v>0</v>
      </c>
    </row>
    <row r="42" ht="18" customHeight="1">
      <c r="A42" s="8" t="inlineStr">
        <is>
          <t>lease_liabilities_mm</t>
        </is>
      </c>
      <c r="B42" s="8" t="n">
        <v>0</v>
      </c>
    </row>
    <row r="43" ht="18" customHeight="1">
      <c r="A43" s="8" t="inlineStr">
        <is>
          <t>options_value_mm</t>
        </is>
      </c>
      <c r="B43" s="8" t="n">
        <v>207</v>
      </c>
    </row>
    <row r="44" ht="18" customHeight="1">
      <c r="A44" s="8" t="inlineStr">
        <is>
          <t>convertibles_value_mm</t>
        </is>
      </c>
      <c r="B44" s="8" t="n">
        <v>0</v>
      </c>
    </row>
    <row r="45" ht="18" customHeight="1">
      <c r="A45" s="8" t="inlineStr">
        <is>
          <t>scenario_prob_bear</t>
        </is>
      </c>
      <c r="B45" s="8" t="n">
        <v>0.2</v>
      </c>
    </row>
    <row r="46" ht="18" customHeight="1">
      <c r="A46" s="8" t="inlineStr">
        <is>
          <t>scenario_prob_base</t>
        </is>
      </c>
      <c r="B46" s="8" t="n">
        <v>0.6</v>
      </c>
    </row>
    <row r="47" ht="18" customHeight="1">
      <c r="A47" s="8" t="inlineStr">
        <is>
          <t>scenario_prob_bull</t>
        </is>
      </c>
      <c r="B47" s="8" t="n">
        <v>0.2</v>
      </c>
    </row>
    <row r="48" ht="18" customHeight="1"/>
    <row r="49" ht="18" customHeight="1"/>
    <row r="50" ht="18" customHeight="1">
      <c r="A50" s="4" t="inlineStr">
        <is>
          <t>wacc</t>
        </is>
      </c>
      <c r="B50" s="5" t="n"/>
      <c r="C50" s="5" t="n"/>
      <c r="D50" s="5" t="n"/>
      <c r="E50" s="5" t="n"/>
      <c r="F50" s="5" t="n"/>
    </row>
    <row r="51" ht="18" customHeight="1">
      <c r="A51" s="6" t="inlineStr">
        <is>
          <t>key</t>
        </is>
      </c>
      <c r="B51" s="6" t="inlineStr">
        <is>
          <t>value</t>
        </is>
      </c>
    </row>
    <row r="52" ht="18" customHeight="1">
      <c r="A52" s="8" t="inlineStr">
        <is>
          <t>wacc</t>
        </is>
      </c>
      <c r="B52" s="8" t="n">
        <v>0.06801</v>
      </c>
    </row>
    <row r="53" ht="18" customHeight="1">
      <c r="A53" s="8" t="inlineStr">
        <is>
          <t>cost_of_equity</t>
        </is>
      </c>
      <c r="B53" s="8" t="n">
        <v>0.07463</v>
      </c>
    </row>
    <row r="54" ht="18" customHeight="1">
      <c r="A54" s="8" t="inlineStr">
        <is>
          <t>cost_of_debt</t>
        </is>
      </c>
      <c r="B54" s="8" t="inlineStr"/>
    </row>
    <row r="55" ht="18" customHeight="1">
      <c r="A55" s="8" t="inlineStr">
        <is>
          <t>risk_free_rate</t>
        </is>
      </c>
      <c r="B55" s="8" t="inlineStr"/>
    </row>
    <row r="56" ht="18" customHeight="1">
      <c r="A56" s="8" t="inlineStr">
        <is>
          <t>equity_risk_premium</t>
        </is>
      </c>
      <c r="B56" s="8" t="inlineStr"/>
    </row>
    <row r="57" ht="18" customHeight="1">
      <c r="A57" s="8" t="inlineStr">
        <is>
          <t>beta_raw</t>
        </is>
      </c>
      <c r="B57" s="8" t="n">
        <v>0.322</v>
      </c>
    </row>
    <row r="58" ht="18" customHeight="1">
      <c r="A58" s="8" t="inlineStr">
        <is>
          <t>beta_unlevered</t>
        </is>
      </c>
      <c r="B58" s="8" t="n">
        <v>0.21</v>
      </c>
    </row>
    <row r="59" ht="18" customHeight="1">
      <c r="A59" s="8" t="inlineStr">
        <is>
          <t>beta_relevered</t>
        </is>
      </c>
      <c r="B59" s="8" t="n">
        <v>0.27</v>
      </c>
    </row>
    <row r="60">
      <c r="A60" s="8" t="inlineStr">
        <is>
          <t>size_premium</t>
        </is>
      </c>
      <c r="B60" s="8" t="n">
        <v>0.6</v>
      </c>
    </row>
    <row r="61">
      <c r="A61" s="8" t="inlineStr">
        <is>
          <t>equity_weight</t>
        </is>
      </c>
      <c r="B61" s="8" t="n">
        <v>0.7323</v>
      </c>
    </row>
    <row r="62">
      <c r="A62" s="8" t="inlineStr">
        <is>
          <t>debt_weight</t>
        </is>
      </c>
      <c r="B62" s="8" t="n">
        <v>0.2677</v>
      </c>
    </row>
    <row r="63">
      <c r="A63" s="8" t="inlineStr">
        <is>
          <t>peers_used</t>
        </is>
      </c>
      <c r="B63" s="8" t="inlineStr">
        <is>
          <t>["SAIC"]</t>
        </is>
      </c>
    </row>
    <row r="64"/>
    <row r="65"/>
    <row r="66">
      <c r="A66" s="4" t="inlineStr">
        <is>
          <t>valuation</t>
        </is>
      </c>
      <c r="B66" s="5" t="n"/>
      <c r="C66" s="5" t="n"/>
      <c r="D66" s="5" t="n"/>
      <c r="E66" s="5" t="n"/>
      <c r="F66" s="5" t="n"/>
    </row>
    <row r="67">
      <c r="A67" s="6" t="inlineStr">
        <is>
          <t>key</t>
        </is>
      </c>
      <c r="B67" s="6" t="inlineStr">
        <is>
          <t>value</t>
        </is>
      </c>
    </row>
    <row r="68">
      <c r="A68" s="8" t="inlineStr">
        <is>
          <t>iv_bear</t>
        </is>
      </c>
      <c r="B68" s="8" t="n">
        <v>59.2</v>
      </c>
    </row>
    <row r="69">
      <c r="A69" s="8" t="inlineStr">
        <is>
          <t>iv_base</t>
        </is>
      </c>
      <c r="B69" s="8" t="n">
        <v>97.75</v>
      </c>
    </row>
    <row r="70">
      <c r="A70" s="8" t="inlineStr">
        <is>
          <t>iv_bull</t>
        </is>
      </c>
      <c r="B70" s="8" t="n">
        <v>161.42</v>
      </c>
    </row>
    <row r="71">
      <c r="A71" s="8" t="inlineStr">
        <is>
          <t>expected_iv</t>
        </is>
      </c>
      <c r="B71" s="8" t="n">
        <v>102.78</v>
      </c>
    </row>
    <row r="72">
      <c r="A72" s="8" t="inlineStr">
        <is>
          <t>context_expected_iv</t>
        </is>
      </c>
      <c r="B72" s="8" t="n">
        <v>107.44</v>
      </c>
    </row>
    <row r="73">
      <c r="A73" s="8" t="inlineStr">
        <is>
          <t>upside_bear_pct</t>
        </is>
      </c>
      <c r="B73" s="8" t="n">
        <v>-23.5</v>
      </c>
    </row>
    <row r="74">
      <c r="A74" s="8" t="inlineStr">
        <is>
          <t>upside_base_pct</t>
        </is>
      </c>
      <c r="B74" s="8" t="n">
        <v>26.3</v>
      </c>
    </row>
    <row r="75">
      <c r="A75" s="8" t="inlineStr">
        <is>
          <t>upside_bull_pct</t>
        </is>
      </c>
      <c r="B75" s="8" t="n">
        <v>108.5</v>
      </c>
    </row>
    <row r="76">
      <c r="A76" s="8" t="inlineStr">
        <is>
          <t>expected_upside_pct</t>
        </is>
      </c>
      <c r="B76" s="8" t="n">
        <v>32.8</v>
      </c>
    </row>
    <row r="77">
      <c r="A77" s="8" t="inlineStr">
        <is>
          <t>context_expected_upside_pct</t>
        </is>
      </c>
      <c r="B77" s="8" t="n">
        <v>38.8</v>
      </c>
    </row>
    <row r="78">
      <c r="A78" s="8" t="inlineStr">
        <is>
          <t>margin_of_safety</t>
        </is>
      </c>
      <c r="B78" s="8" t="n">
        <v>20.8</v>
      </c>
    </row>
    <row r="79">
      <c r="A79" s="8" t="inlineStr">
        <is>
          <t>iv_gordon</t>
        </is>
      </c>
      <c r="B79" s="8" t="n">
        <v>111.95</v>
      </c>
    </row>
    <row r="80">
      <c r="A80" s="8" t="inlineStr">
        <is>
          <t>iv_exit</t>
        </is>
      </c>
      <c r="B80" s="8" t="n">
        <v>78.15000000000001</v>
      </c>
    </row>
    <row r="81">
      <c r="A81" s="8" t="inlineStr">
        <is>
          <t>iv_blended</t>
        </is>
      </c>
      <c r="B81" s="8" t="n">
        <v>97.75</v>
      </c>
    </row>
    <row r="82">
      <c r="A82" s="8" t="inlineStr">
        <is>
          <t>ep_iv_base</t>
        </is>
      </c>
      <c r="B82" s="8" t="n">
        <v>124.61</v>
      </c>
    </row>
    <row r="83">
      <c r="A83" s="8" t="inlineStr">
        <is>
          <t>fcfe_iv_base</t>
        </is>
      </c>
      <c r="B83" s="8" t="n">
        <v>127.8</v>
      </c>
    </row>
    <row r="84">
      <c r="A84" s="8" t="inlineStr">
        <is>
          <t>dcf_ep_gap_pct</t>
        </is>
      </c>
      <c r="B84" s="8" t="n">
        <v>21.83</v>
      </c>
    </row>
    <row r="85">
      <c r="A85" s="8" t="inlineStr">
        <is>
          <t>comps_iv_ev_ebitda</t>
        </is>
      </c>
      <c r="B85" s="8" t="n">
        <v>66.4944</v>
      </c>
    </row>
    <row r="86">
      <c r="A86" s="8" t="inlineStr">
        <is>
          <t>comps_iv_ev_ebit</t>
        </is>
      </c>
      <c r="B86" s="8" t="inlineStr"/>
    </row>
    <row r="87">
      <c r="A87" s="8" t="inlineStr">
        <is>
          <t>comps_iv_pe</t>
        </is>
      </c>
      <c r="B87" s="8" t="n">
        <v>119.002</v>
      </c>
    </row>
    <row r="88">
      <c r="A88" s="8" t="inlineStr">
        <is>
          <t>comps_iv_base</t>
        </is>
      </c>
      <c r="B88" s="8" t="n">
        <v>92.7482</v>
      </c>
    </row>
    <row r="89">
      <c r="A89" s="8" t="inlineStr">
        <is>
          <t>implied_growth_pct</t>
        </is>
      </c>
      <c r="B89" s="8" t="n">
        <v>-2.9</v>
      </c>
    </row>
    <row r="90">
      <c r="A90" s="8" t="inlineStr">
        <is>
          <t>model_applicability_status</t>
        </is>
      </c>
      <c r="B90" s="8" t="inlineStr">
        <is>
          <t>dcf_applicable</t>
        </is>
      </c>
    </row>
    <row r="91"/>
    <row r="92"/>
    <row r="93">
      <c r="A93" s="4" t="inlineStr">
        <is>
          <t>terminal</t>
        </is>
      </c>
      <c r="B93" s="5" t="n"/>
      <c r="C93" s="5" t="n"/>
      <c r="D93" s="5" t="n"/>
      <c r="E93" s="5" t="n"/>
      <c r="F93" s="5" t="n"/>
    </row>
    <row r="94">
      <c r="A94" s="6" t="inlineStr">
        <is>
          <t>key</t>
        </is>
      </c>
      <c r="B94" s="6" t="inlineStr">
        <is>
          <t>value</t>
        </is>
      </c>
    </row>
    <row r="95">
      <c r="A95" s="8" t="inlineStr">
        <is>
          <t>tv_gordon_mm</t>
        </is>
      </c>
      <c r="B95" s="8" t="n">
        <v>19119</v>
      </c>
    </row>
    <row r="96">
      <c r="A96" s="8" t="inlineStr">
        <is>
          <t>tv_exit_mm</t>
        </is>
      </c>
      <c r="B96" s="8" t="n">
        <v>11132</v>
      </c>
    </row>
    <row r="97">
      <c r="A97" s="8" t="inlineStr">
        <is>
          <t>tv_blended_mm</t>
        </is>
      </c>
      <c r="B97" s="8" t="n">
        <v>15764</v>
      </c>
    </row>
    <row r="98">
      <c r="A98" s="8" t="inlineStr">
        <is>
          <t>pv_tv_gordon_mm</t>
        </is>
      </c>
      <c r="B98" s="8" t="n">
        <v>9902</v>
      </c>
    </row>
    <row r="99">
      <c r="A99" s="8" t="inlineStr">
        <is>
          <t>pv_tv_exit_mm</t>
        </is>
      </c>
      <c r="B99" s="8" t="n">
        <v>5765</v>
      </c>
    </row>
    <row r="100">
      <c r="A100" s="8" t="inlineStr">
        <is>
          <t>pv_tv_blended_mm</t>
        </is>
      </c>
      <c r="B100" s="8" t="n">
        <v>8164</v>
      </c>
    </row>
    <row r="101">
      <c r="A101" s="8" t="inlineStr">
        <is>
          <t>tv_pct_of_ev</t>
        </is>
      </c>
      <c r="B101" s="8" t="n">
        <v>54.2</v>
      </c>
    </row>
    <row r="102">
      <c r="A102" s="8" t="inlineStr">
        <is>
          <t>terminal_growth_pct</t>
        </is>
      </c>
      <c r="B102" s="8" t="n">
        <v>2.5</v>
      </c>
    </row>
    <row r="103">
      <c r="A103" s="8" t="inlineStr">
        <is>
          <t>terminal_ronic_pct</t>
        </is>
      </c>
      <c r="B103" s="8" t="n">
        <v>11</v>
      </c>
    </row>
    <row r="104">
      <c r="A104" s="8" t="inlineStr">
        <is>
          <t>gordon_formula_mode</t>
        </is>
      </c>
      <c r="B104" s="8" t="inlineStr">
        <is>
          <t>value_driver</t>
        </is>
      </c>
    </row>
    <row r="105">
      <c r="A105" s="8" t="inlineStr">
        <is>
          <t>ev_operations_mm</t>
        </is>
      </c>
      <c r="B105" s="8" t="n">
        <v>15060</v>
      </c>
    </row>
    <row r="106">
      <c r="A106" s="8" t="inlineStr">
        <is>
          <t>ev_total_mm</t>
        </is>
      </c>
      <c r="B106" s="8" t="n">
        <v>15563</v>
      </c>
    </row>
    <row r="107">
      <c r="A107" s="8" t="inlineStr">
        <is>
          <t>non_operating_assets_mm</t>
        </is>
      </c>
      <c r="B107" s="8" t="n">
        <v>504</v>
      </c>
    </row>
    <row r="108">
      <c r="A108" s="8" t="inlineStr">
        <is>
          <t>non_equity_claims_mm</t>
        </is>
      </c>
      <c r="B108" s="8" t="n">
        <v>3601</v>
      </c>
    </row>
    <row r="109"/>
    <row r="110"/>
    <row r="111">
      <c r="A111" s="4" t="inlineStr">
        <is>
          <t>market</t>
        </is>
      </c>
      <c r="B111" s="5" t="n"/>
      <c r="C111" s="5" t="n"/>
      <c r="D111" s="5" t="n"/>
      <c r="E111" s="5" t="n"/>
      <c r="F111" s="5" t="n"/>
    </row>
    <row r="112">
      <c r="A112" s="6" t="inlineStr">
        <is>
          <t>key</t>
        </is>
      </c>
      <c r="B112" s="6" t="inlineStr">
        <is>
          <t>value</t>
        </is>
      </c>
    </row>
    <row r="113">
      <c r="A113" s="8" t="inlineStr">
        <is>
          <t>price</t>
        </is>
      </c>
      <c r="B113" s="8" t="n">
        <v>77.41</v>
      </c>
    </row>
    <row r="114">
      <c r="A114" s="8" t="inlineStr">
        <is>
          <t>market_cap_mm</t>
        </is>
      </c>
      <c r="B114" s="8" t="n">
        <v>9284</v>
      </c>
    </row>
    <row r="115">
      <c r="A115" s="8" t="inlineStr">
        <is>
          <t>ev_mm</t>
        </is>
      </c>
      <c r="B115" s="8" t="n">
        <v>12664</v>
      </c>
    </row>
    <row r="116">
      <c r="A116" s="8" t="inlineStr">
        <is>
          <t>pe_trailing</t>
        </is>
      </c>
      <c r="B116" s="8" t="n">
        <v>11.218841</v>
      </c>
    </row>
    <row r="117">
      <c r="A117" s="8" t="inlineStr">
        <is>
          <t>pe_forward</t>
        </is>
      </c>
      <c r="B117" s="8" t="n">
        <v>11.284323</v>
      </c>
    </row>
    <row r="118">
      <c r="A118" s="8" t="inlineStr">
        <is>
          <t>ev_ebitda</t>
        </is>
      </c>
      <c r="B118" s="8" t="n">
        <v>10.066</v>
      </c>
    </row>
    <row r="119">
      <c r="A119" s="8" t="inlineStr">
        <is>
          <t>analyst_target</t>
        </is>
      </c>
      <c r="B119" s="8" t="n">
        <v>93.76922999999999</v>
      </c>
    </row>
    <row r="120">
      <c r="A120" s="8" t="inlineStr">
        <is>
          <t>analyst_recommendation</t>
        </is>
      </c>
      <c r="B120" s="8" t="inlineStr">
        <is>
          <t>hold</t>
        </is>
      </c>
    </row>
    <row r="121">
      <c r="A121" s="8" t="inlineStr">
        <is>
          <t>num_analysts</t>
        </is>
      </c>
      <c r="B121" s="8" t="n">
        <v>13</v>
      </c>
    </row>
    <row r="122"/>
    <row r="123"/>
    <row r="124">
      <c r="A124" s="4" t="inlineStr">
        <is>
          <t>scenarios</t>
        </is>
      </c>
      <c r="B124" s="5" t="n"/>
      <c r="C124" s="5" t="n"/>
      <c r="D124" s="5" t="n"/>
      <c r="E124" s="5" t="n"/>
      <c r="F124" s="5" t="n"/>
    </row>
    <row r="125">
      <c r="A125" s="6" t="inlineStr">
        <is>
          <t>scenario</t>
        </is>
      </c>
      <c r="B125" s="6" t="inlineStr">
        <is>
          <t>probability</t>
        </is>
      </c>
      <c r="C125" s="6" t="inlineStr">
        <is>
          <t>iv</t>
        </is>
      </c>
      <c r="D125" s="6" t="inlineStr">
        <is>
          <t>upside_pct</t>
        </is>
      </c>
    </row>
    <row r="126">
      <c r="A126" s="8" t="inlineStr">
        <is>
          <t>bear</t>
        </is>
      </c>
      <c r="B126" s="8" t="n">
        <v>0.2</v>
      </c>
      <c r="C126" s="8" t="n">
        <v>59.2</v>
      </c>
      <c r="D126" s="8" t="n">
        <v>-23.5</v>
      </c>
    </row>
    <row r="127">
      <c r="A127" s="8" t="inlineStr">
        <is>
          <t>base</t>
        </is>
      </c>
      <c r="B127" s="8" t="n">
        <v>0.6</v>
      </c>
      <c r="C127" s="8" t="n">
        <v>97.75</v>
      </c>
      <c r="D127" s="8" t="n">
        <v>26.3</v>
      </c>
    </row>
    <row r="128">
      <c r="A128" s="8" t="inlineStr">
        <is>
          <t>bull</t>
        </is>
      </c>
      <c r="B128" s="8" t="n">
        <v>0.2</v>
      </c>
      <c r="C128" s="8" t="n">
        <v>161.42</v>
      </c>
      <c r="D128" s="8" t="n">
        <v>108.5</v>
      </c>
    </row>
    <row r="129">
      <c r="A129" s="8" t="inlineStr">
        <is>
          <t>expected</t>
        </is>
      </c>
      <c r="B129" s="8" t="inlineStr"/>
      <c r="C129" s="8" t="n">
        <v>102.78</v>
      </c>
      <c r="D129" s="8" t="n">
        <v>32.8</v>
      </c>
    </row>
    <row r="130"/>
    <row r="131"/>
    <row r="132">
      <c r="A132" s="4" t="inlineStr">
        <is>
          <t>health_flags</t>
        </is>
      </c>
      <c r="B132" s="5" t="n"/>
      <c r="C132" s="5" t="n"/>
      <c r="D132" s="5" t="n"/>
      <c r="E132" s="5" t="n"/>
      <c r="F132" s="5" t="n"/>
    </row>
    <row r="133">
      <c r="A133" s="6" t="inlineStr">
        <is>
          <t>key</t>
        </is>
      </c>
      <c r="B133" s="6" t="inlineStr">
        <is>
          <t>value</t>
        </is>
      </c>
    </row>
    <row r="134">
      <c r="A134" s="8" t="inlineStr">
        <is>
          <t>tv_high_flag</t>
        </is>
      </c>
      <c r="B134" s="8" t="b">
        <v>0</v>
      </c>
    </row>
    <row r="135">
      <c r="A135" s="8" t="inlineStr">
        <is>
          <t>tv_extreme_flag</t>
        </is>
      </c>
      <c r="B135" s="8" t="b">
        <v>0</v>
      </c>
    </row>
    <row r="136">
      <c r="A136" s="8" t="inlineStr">
        <is>
          <t>tv_method_fallback_flag</t>
        </is>
      </c>
      <c r="B136" s="8" t="b">
        <v>0</v>
      </c>
    </row>
    <row r="137">
      <c r="A137" s="8" t="inlineStr">
        <is>
          <t>roic_consistency_flag</t>
        </is>
      </c>
      <c r="B137" s="8" t="b">
        <v>1</v>
      </c>
    </row>
    <row r="138">
      <c r="A138" s="8" t="inlineStr">
        <is>
          <t>nwc_driver_quality_flag</t>
        </is>
      </c>
      <c r="B138" s="8" t="b">
        <v>1</v>
      </c>
    </row>
    <row r="139">
      <c r="A139" s="8" t="inlineStr">
        <is>
          <t>terminal_growth_guardrail_flag</t>
        </is>
      </c>
      <c r="B139" s="8" t="b">
        <v>0</v>
      </c>
    </row>
    <row r="140">
      <c r="A140" s="8" t="inlineStr">
        <is>
          <t>terminal_ronic_guardrail_flag</t>
        </is>
      </c>
      <c r="B140" s="8" t="b">
        <v>0</v>
      </c>
    </row>
    <row r="141">
      <c r="A141" s="8" t="inlineStr">
        <is>
          <t>terminal_denominator_guardrail_flag</t>
        </is>
      </c>
      <c r="B141" s="8" t="b">
        <v>0</v>
      </c>
    </row>
    <row r="142">
      <c r="A142" s="8" t="inlineStr">
        <is>
          <t>fcff_interest_contamination_flag</t>
        </is>
      </c>
      <c r="B142" s="8" t="b">
        <v>0</v>
      </c>
    </row>
    <row r="143">
      <c r="A143" s="8" t="inlineStr">
        <is>
          <t>ep_reconcile_flag</t>
        </is>
      </c>
      <c r="B143" s="8" t="b">
        <v>0</v>
      </c>
    </row>
  </sheetData>
  <mergeCells count="1">
    <mergeCell ref="A1:H1"/>
  </mergeCell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4" customWidth="1" min="6" max="6"/>
    <col width="70" customWidth="1" min="7" max="7"/>
    <col width="8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Only edit the PM Override column; scenario semantics remain visible inputs.</t>
        </is>
      </c>
    </row>
    <row r="3" ht="18" customHeight="1"/>
    <row r="4" ht="18" customHeight="1">
      <c r="A4" s="6" t="inlineStr">
        <is>
          <t>Category</t>
        </is>
      </c>
      <c r="B4" s="6" t="inlineStr">
        <is>
          <t>Key</t>
        </is>
      </c>
      <c r="C4" s="6" t="inlineStr">
        <is>
          <t>Source Value</t>
        </is>
      </c>
      <c r="D4" s="6" t="inlineStr">
        <is>
          <t>PM Override</t>
        </is>
      </c>
      <c r="E4" s="6" t="inlineStr">
        <is>
          <t>Effective Value</t>
        </is>
      </c>
      <c r="F4" s="6" t="inlineStr">
        <is>
          <t>Unit</t>
        </is>
      </c>
      <c r="G4" s="6" t="inlineStr">
        <is>
          <t>Source / Meaning</t>
        </is>
      </c>
    </row>
    <row r="5" ht="18" customHeight="1">
      <c r="A5" s="7" t="inlineStr">
        <is>
          <t>Company</t>
        </is>
      </c>
      <c r="B5" s="7" t="inlineStr">
        <is>
          <t>current_price</t>
        </is>
      </c>
      <c r="C5" s="9" t="n">
        <v>77.41</v>
      </c>
      <c r="D5" s="10" t="inlineStr"/>
      <c r="E5" s="11">
        <f>IF(ISBLANK(D5),C5,D5)</f>
        <v/>
      </c>
      <c r="F5" s="7" t="inlineStr">
        <is>
          <t>$ / share</t>
        </is>
      </c>
      <c r="G5" s="7" t="inlineStr">
        <is>
          <t>Market price from valuation JSON</t>
        </is>
      </c>
    </row>
    <row r="6" ht="18" customHeight="1">
      <c r="A6" s="7" t="inlineStr">
        <is>
          <t>Company</t>
        </is>
      </c>
      <c r="B6" s="7" t="inlineStr">
        <is>
          <t>shares_outstanding_mm</t>
        </is>
      </c>
      <c r="C6" s="9" t="n">
        <v>122.375</v>
      </c>
      <c r="D6" s="10" t="inlineStr"/>
      <c r="E6" s="11">
        <f>IF(ISBLANK(D6),C6,D6)</f>
        <v/>
      </c>
      <c r="F6" s="7" t="inlineStr">
        <is>
          <t>mm shares</t>
        </is>
      </c>
      <c r="G6" s="7" t="inlineStr">
        <is>
          <t>Diluted share count</t>
        </is>
      </c>
    </row>
    <row r="7" ht="18" customHeight="1">
      <c r="A7" s="7" t="inlineStr">
        <is>
          <t>Company</t>
        </is>
      </c>
      <c r="B7" s="7" t="inlineStr">
        <is>
          <t>net_debt_mm</t>
        </is>
      </c>
      <c r="C7" s="9" t="n">
        <v>3394</v>
      </c>
      <c r="D7" s="10" t="inlineStr"/>
      <c r="E7" s="11">
        <f>IF(ISBLANK(D7),C7,D7)</f>
        <v/>
      </c>
      <c r="F7" s="7" t="inlineStr">
        <is>
          <t>$mm</t>
        </is>
      </c>
      <c r="G7" s="7" t="inlineStr">
        <is>
          <t>Debt less cash / equivalents</t>
        </is>
      </c>
    </row>
    <row r="8" ht="18" customHeight="1">
      <c r="A8" s="7" t="inlineStr">
        <is>
          <t>Company</t>
        </is>
      </c>
      <c r="B8" s="7" t="inlineStr">
        <is>
          <t>non_operating_assets_mm</t>
        </is>
      </c>
      <c r="C8" s="9" t="n">
        <v>503.66</v>
      </c>
      <c r="D8" s="10" t="inlineStr"/>
      <c r="E8" s="11">
        <f>IF(ISBLANK(D8),C8,D8)</f>
        <v/>
      </c>
      <c r="F8" s="7" t="inlineStr">
        <is>
          <t>$mm</t>
        </is>
      </c>
      <c r="G8" s="7" t="inlineStr">
        <is>
          <t>Assets added after enterprise value</t>
        </is>
      </c>
    </row>
    <row r="9" ht="18" customHeight="1">
      <c r="A9" s="7" t="inlineStr">
        <is>
          <t>Company</t>
        </is>
      </c>
      <c r="B9" s="7" t="inlineStr">
        <is>
          <t>minority_interest_mm</t>
        </is>
      </c>
      <c r="C9" s="9" t="n">
        <v>0</v>
      </c>
      <c r="D9" s="10" t="inlineStr"/>
      <c r="E9" s="11">
        <f>IF(ISBLANK(D9),C9,D9)</f>
        <v/>
      </c>
      <c r="F9" s="7" t="inlineStr">
        <is>
          <t>$mm</t>
        </is>
      </c>
      <c r="G9" s="7" t="inlineStr">
        <is>
          <t>Non-equity claim</t>
        </is>
      </c>
    </row>
    <row r="10" ht="18" customHeight="1">
      <c r="A10" s="7" t="inlineStr">
        <is>
          <t>Company</t>
        </is>
      </c>
      <c r="B10" s="7" t="inlineStr">
        <is>
          <t>preferred_equity_mm</t>
        </is>
      </c>
      <c r="C10" s="9" t="n">
        <v>0</v>
      </c>
      <c r="D10" s="10" t="inlineStr"/>
      <c r="E10" s="11">
        <f>IF(ISBLANK(D10),C10,D10)</f>
        <v/>
      </c>
      <c r="F10" s="7" t="inlineStr">
        <is>
          <t>$mm</t>
        </is>
      </c>
      <c r="G10" s="7" t="inlineStr">
        <is>
          <t>Non-equity claim</t>
        </is>
      </c>
    </row>
    <row r="11" ht="18" customHeight="1">
      <c r="A11" s="7" t="inlineStr">
        <is>
          <t>Company</t>
        </is>
      </c>
      <c r="B11" s="7" t="inlineStr">
        <is>
          <t>pension_deficit_mm</t>
        </is>
      </c>
      <c r="C11" s="9" t="n">
        <v>0</v>
      </c>
      <c r="D11" s="10" t="inlineStr"/>
      <c r="E11" s="11">
        <f>IF(ISBLANK(D11),C11,D11)</f>
        <v/>
      </c>
      <c r="F11" s="7" t="inlineStr">
        <is>
          <t>$mm</t>
        </is>
      </c>
      <c r="G11" s="7" t="inlineStr">
        <is>
          <t>Non-equity claim</t>
        </is>
      </c>
    </row>
    <row r="12" ht="18" customHeight="1">
      <c r="A12" s="7" t="inlineStr">
        <is>
          <t>Company</t>
        </is>
      </c>
      <c r="B12" s="7" t="inlineStr">
        <is>
          <t>lease_liabilities_mm</t>
        </is>
      </c>
      <c r="C12" s="9" t="n">
        <v>0</v>
      </c>
      <c r="D12" s="10" t="inlineStr"/>
      <c r="E12" s="11">
        <f>IF(ISBLANK(D12),C12,D12)</f>
        <v/>
      </c>
      <c r="F12" s="7" t="inlineStr">
        <is>
          <t>$mm</t>
        </is>
      </c>
      <c r="G12" s="7" t="inlineStr">
        <is>
          <t>Non-equity claim</t>
        </is>
      </c>
    </row>
    <row r="13" ht="18" customHeight="1">
      <c r="A13" s="7" t="inlineStr">
        <is>
          <t>Company</t>
        </is>
      </c>
      <c r="B13" s="7" t="inlineStr">
        <is>
          <t>options_value_mm</t>
        </is>
      </c>
      <c r="C13" s="9" t="n">
        <v>207</v>
      </c>
      <c r="D13" s="10" t="inlineStr"/>
      <c r="E13" s="11">
        <f>IF(ISBLANK(D13),C13,D13)</f>
        <v/>
      </c>
      <c r="F13" s="7" t="inlineStr">
        <is>
          <t>$mm</t>
        </is>
      </c>
      <c r="G13" s="7" t="inlineStr">
        <is>
          <t>Non-equity claim</t>
        </is>
      </c>
    </row>
    <row r="14" ht="18" customHeight="1">
      <c r="A14" s="7" t="inlineStr">
        <is>
          <t>Company</t>
        </is>
      </c>
      <c r="B14" s="7" t="inlineStr">
        <is>
          <t>convertibles_value_mm</t>
        </is>
      </c>
      <c r="C14" s="9" t="n">
        <v>0</v>
      </c>
      <c r="D14" s="10" t="inlineStr"/>
      <c r="E14" s="11">
        <f>IF(ISBLANK(D14),C14,D14)</f>
        <v/>
      </c>
      <c r="F14" s="7" t="inlineStr">
        <is>
          <t>$mm</t>
        </is>
      </c>
      <c r="G14" s="7" t="inlineStr">
        <is>
          <t>Non-equity claim</t>
        </is>
      </c>
    </row>
    <row r="15" ht="18" customHeight="1">
      <c r="A15" s="7" t="inlineStr">
        <is>
          <t>Operating</t>
        </is>
      </c>
      <c r="B15" s="7" t="inlineStr">
        <is>
          <t>revenue_mm</t>
        </is>
      </c>
      <c r="C15" s="9" t="n">
        <v>11217</v>
      </c>
      <c r="D15" s="10" t="inlineStr"/>
      <c r="E15" s="11">
        <f>IF(ISBLANK(D15),C15,D15)</f>
        <v/>
      </c>
      <c r="F15" s="7" t="inlineStr">
        <is>
          <t>$mm</t>
        </is>
      </c>
      <c r="G15" s="7" t="inlineStr">
        <is>
          <t>Starting revenue</t>
        </is>
      </c>
    </row>
    <row r="16" ht="18" customHeight="1">
      <c r="A16" s="7" t="inlineStr">
        <is>
          <t>Operating</t>
        </is>
      </c>
      <c r="B16" s="7" t="inlineStr">
        <is>
          <t>growth_near_pct</t>
        </is>
      </c>
      <c r="C16" s="12" t="n">
        <v>0.002472516715699436</v>
      </c>
      <c r="D16" s="13" t="inlineStr"/>
      <c r="E16" s="14">
        <f>IF(ISBLANK(D16),C16,D16)</f>
        <v/>
      </c>
      <c r="F16" s="7" t="inlineStr">
        <is>
          <t>%</t>
        </is>
      </c>
      <c r="G16" s="7" t="inlineStr">
        <is>
          <t>Near-term revenue growth</t>
        </is>
      </c>
    </row>
    <row r="17" ht="18" customHeight="1">
      <c r="A17" s="7" t="inlineStr">
        <is>
          <t>Operating</t>
        </is>
      </c>
      <c r="B17" s="7" t="inlineStr">
        <is>
          <t>growth_mid_pct</t>
        </is>
      </c>
      <c r="C17" s="12" t="n">
        <v>0.00135988419363469</v>
      </c>
      <c r="D17" s="13" t="inlineStr"/>
      <c r="E17" s="14">
        <f>IF(ISBLANK(D17),C17,D17)</f>
        <v/>
      </c>
      <c r="F17" s="7" t="inlineStr">
        <is>
          <t>%</t>
        </is>
      </c>
      <c r="G17" s="7" t="inlineStr">
        <is>
          <t>Mid-term revenue growth</t>
        </is>
      </c>
    </row>
    <row r="18" ht="18" customHeight="1">
      <c r="A18" s="7" t="inlineStr">
        <is>
          <t>Operating</t>
        </is>
      </c>
      <c r="B18" s="7" t="inlineStr">
        <is>
          <t>growth_terminal_pct</t>
        </is>
      </c>
      <c r="C18" s="12" t="n">
        <v>0.025</v>
      </c>
      <c r="D18" s="13" t="inlineStr"/>
      <c r="E18" s="14">
        <f>IF(ISBLANK(D18),C18,D18)</f>
        <v/>
      </c>
      <c r="F18" s="7" t="inlineStr">
        <is>
          <t>%</t>
        </is>
      </c>
      <c r="G18" s="7" t="inlineStr">
        <is>
          <t>Terminal revenue / cash-flow growth</t>
        </is>
      </c>
    </row>
    <row r="19" ht="18" customHeight="1">
      <c r="A19" s="7" t="inlineStr">
        <is>
          <t>Operating</t>
        </is>
      </c>
      <c r="B19" s="7" t="inlineStr">
        <is>
          <t>ebit_margin_start_pct</t>
        </is>
      </c>
      <c r="C19" s="12" t="n">
        <v>0.09836368436321925</v>
      </c>
      <c r="D19" s="13" t="inlineStr"/>
      <c r="E19" s="14">
        <f>IF(ISBLANK(D19),C19,D19)</f>
        <v/>
      </c>
      <c r="F19" s="7" t="inlineStr">
        <is>
          <t>%</t>
        </is>
      </c>
      <c r="G19" s="7" t="inlineStr">
        <is>
          <t>Starting EBIT margin</t>
        </is>
      </c>
    </row>
    <row r="20" ht="18" customHeight="1">
      <c r="A20" s="7" t="inlineStr">
        <is>
          <t>Operating</t>
        </is>
      </c>
      <c r="B20" s="7" t="inlineStr">
        <is>
          <t>ebit_margin_target_pct</t>
        </is>
      </c>
      <c r="C20" s="12" t="n">
        <v>0.1141818421816096</v>
      </c>
      <c r="D20" s="13" t="inlineStr"/>
      <c r="E20" s="14">
        <f>IF(ISBLANK(D20),C20,D20)</f>
        <v/>
      </c>
      <c r="F20" s="7" t="inlineStr">
        <is>
          <t>%</t>
        </is>
      </c>
      <c r="G20" s="7" t="inlineStr">
        <is>
          <t>Target EBIT margin</t>
        </is>
      </c>
    </row>
    <row r="21" ht="18" customHeight="1">
      <c r="A21" s="7" t="inlineStr">
        <is>
          <t>Operating</t>
        </is>
      </c>
      <c r="B21" s="7" t="inlineStr">
        <is>
          <t>tax_rate_start_pct</t>
        </is>
      </c>
      <c r="C21" s="12" t="n">
        <v>0.2056484360576105</v>
      </c>
      <c r="D21" s="13" t="inlineStr"/>
      <c r="E21" s="14">
        <f>IF(ISBLANK(D21),C21,D21)</f>
        <v/>
      </c>
      <c r="F21" s="7" t="inlineStr">
        <is>
          <t>%</t>
        </is>
      </c>
      <c r="G21" s="7" t="inlineStr">
        <is>
          <t>Starting cash tax rate</t>
        </is>
      </c>
    </row>
    <row r="22" ht="18" customHeight="1">
      <c r="A22" s="7" t="inlineStr">
        <is>
          <t>Operating</t>
        </is>
      </c>
      <c r="B22" s="7" t="inlineStr">
        <is>
          <t>tax_rate_target_pct</t>
        </is>
      </c>
      <c r="C22" s="12" t="n">
        <v>0.2056484360576105</v>
      </c>
      <c r="D22" s="13" t="inlineStr"/>
      <c r="E22" s="14">
        <f>IF(ISBLANK(D22),C22,D22)</f>
        <v/>
      </c>
      <c r="F22" s="7" t="inlineStr">
        <is>
          <t>%</t>
        </is>
      </c>
      <c r="G22" s="7" t="inlineStr">
        <is>
          <t>Target cash tax rate</t>
        </is>
      </c>
    </row>
    <row r="23" ht="18" customHeight="1">
      <c r="A23" s="7" t="inlineStr">
        <is>
          <t>Operating</t>
        </is>
      </c>
      <c r="B23" s="7" t="inlineStr">
        <is>
          <t>da_pct</t>
        </is>
      </c>
      <c r="C23" s="12" t="n">
        <v>0.0145620663655914</v>
      </c>
      <c r="D23" s="13" t="inlineStr"/>
      <c r="E23" s="14">
        <f>IF(ISBLANK(D23),C23,D23)</f>
        <v/>
      </c>
      <c r="F23" s="7" t="inlineStr">
        <is>
          <t>% revenue</t>
        </is>
      </c>
      <c r="G23" s="7" t="inlineStr">
        <is>
          <t>D&amp;A as percent of revenue</t>
        </is>
      </c>
    </row>
    <row r="24" ht="18" customHeight="1">
      <c r="A24" s="7" t="inlineStr">
        <is>
          <t>Operating</t>
        </is>
      </c>
      <c r="B24" s="7" t="inlineStr">
        <is>
          <t>capex_pct</t>
        </is>
      </c>
      <c r="C24" s="12" t="n">
        <v>0.01</v>
      </c>
      <c r="D24" s="13" t="inlineStr"/>
      <c r="E24" s="14">
        <f>IF(ISBLANK(D24),C24,D24)</f>
        <v/>
      </c>
      <c r="F24" s="7" t="inlineStr">
        <is>
          <t>% revenue</t>
        </is>
      </c>
      <c r="G24" s="7" t="inlineStr">
        <is>
          <t>Capital expenditure as percent of revenue</t>
        </is>
      </c>
    </row>
    <row r="25" ht="18" customHeight="1">
      <c r="A25" s="7" t="inlineStr">
        <is>
          <t>Working Capital</t>
        </is>
      </c>
      <c r="B25" s="7" t="inlineStr">
        <is>
          <t>dso_start</t>
        </is>
      </c>
      <c r="C25" s="9" t="n">
        <v>67.09999999999999</v>
      </c>
      <c r="D25" s="10" t="inlineStr"/>
      <c r="E25" s="11">
        <f>IF(ISBLANK(D25),C25,D25)</f>
        <v/>
      </c>
      <c r="F25" s="7" t="inlineStr">
        <is>
          <t>days</t>
        </is>
      </c>
      <c r="G25" s="7" t="inlineStr">
        <is>
          <t>Starting DSO</t>
        </is>
      </c>
    </row>
    <row r="26" ht="18" customHeight="1">
      <c r="A26" s="7" t="inlineStr">
        <is>
          <t>Working Capital</t>
        </is>
      </c>
      <c r="B26" s="7" t="inlineStr">
        <is>
          <t>dso_target</t>
        </is>
      </c>
      <c r="C26" s="9" t="n">
        <v>58.63</v>
      </c>
      <c r="D26" s="10" t="inlineStr"/>
      <c r="E26" s="11">
        <f>IF(ISBLANK(D26),C26,D26)</f>
        <v/>
      </c>
      <c r="F26" s="7" t="inlineStr">
        <is>
          <t>days</t>
        </is>
      </c>
      <c r="G26" s="7" t="inlineStr">
        <is>
          <t>Target DSO</t>
        </is>
      </c>
    </row>
    <row r="27" ht="18" customHeight="1">
      <c r="A27" s="7" t="inlineStr">
        <is>
          <t>Working Capital</t>
        </is>
      </c>
      <c r="B27" s="7" t="inlineStr">
        <is>
          <t>dio_start</t>
        </is>
      </c>
      <c r="C27" s="9" t="n">
        <v>5</v>
      </c>
      <c r="D27" s="10" t="inlineStr"/>
      <c r="E27" s="11">
        <f>IF(ISBLANK(D27),C27,D27)</f>
        <v/>
      </c>
      <c r="F27" s="7" t="inlineStr">
        <is>
          <t>days</t>
        </is>
      </c>
      <c r="G27" s="7" t="inlineStr">
        <is>
          <t>Starting inventory days</t>
        </is>
      </c>
    </row>
    <row r="28" ht="18" customHeight="1">
      <c r="A28" s="7" t="inlineStr">
        <is>
          <t>Working Capital</t>
        </is>
      </c>
      <c r="B28" s="7" t="inlineStr">
        <is>
          <t>dio_target</t>
        </is>
      </c>
      <c r="C28" s="9" t="n">
        <v>43.5</v>
      </c>
      <c r="D28" s="10" t="inlineStr"/>
      <c r="E28" s="11">
        <f>IF(ISBLANK(D28),C28,D28)</f>
        <v/>
      </c>
      <c r="F28" s="7" t="inlineStr">
        <is>
          <t>days</t>
        </is>
      </c>
      <c r="G28" s="7" t="inlineStr">
        <is>
          <t>Target inventory days</t>
        </is>
      </c>
    </row>
    <row r="29" ht="18" customHeight="1">
      <c r="A29" s="7" t="inlineStr">
        <is>
          <t>Working Capital</t>
        </is>
      </c>
      <c r="B29" s="7" t="inlineStr">
        <is>
          <t>dpo_start</t>
        </is>
      </c>
      <c r="C29" s="9" t="n">
        <v>19.3</v>
      </c>
      <c r="D29" s="10" t="inlineStr"/>
      <c r="E29" s="11">
        <f>IF(ISBLANK(D29),C29,D29)</f>
        <v/>
      </c>
      <c r="F29" s="7" t="inlineStr">
        <is>
          <t>days</t>
        </is>
      </c>
      <c r="G29" s="7" t="inlineStr">
        <is>
          <t>Starting DPO</t>
        </is>
      </c>
    </row>
    <row r="30" ht="18" customHeight="1">
      <c r="A30" s="7" t="inlineStr">
        <is>
          <t>Working Capital</t>
        </is>
      </c>
      <c r="B30" s="7" t="inlineStr">
        <is>
          <t>dpo_target</t>
        </is>
      </c>
      <c r="C30" s="9" t="n">
        <v>40.79</v>
      </c>
      <c r="D30" s="10" t="inlineStr"/>
      <c r="E30" s="11">
        <f>IF(ISBLANK(D30),C30,D30)</f>
        <v/>
      </c>
      <c r="F30" s="7" t="inlineStr">
        <is>
          <t>days</t>
        </is>
      </c>
      <c r="G30" s="7" t="inlineStr">
        <is>
          <t>Target DPO</t>
        </is>
      </c>
    </row>
    <row r="31" ht="18" customHeight="1">
      <c r="A31" s="7" t="inlineStr">
        <is>
          <t>WACC</t>
        </is>
      </c>
      <c r="B31" s="7" t="inlineStr">
        <is>
          <t>wacc</t>
        </is>
      </c>
      <c r="C31" s="12" t="n">
        <v>0.06801</v>
      </c>
      <c r="D31" s="13" t="inlineStr"/>
      <c r="E31" s="14">
        <f>IF(ISBLANK(D31),C31,D31)</f>
        <v/>
      </c>
      <c r="F31" s="7" t="inlineStr">
        <is>
          <t>%</t>
        </is>
      </c>
      <c r="G31" s="7" t="inlineStr">
        <is>
          <t>Backend WACC used as default scenario WACC</t>
        </is>
      </c>
    </row>
    <row r="32" ht="18" customHeight="1">
      <c r="A32" s="7" t="inlineStr">
        <is>
          <t>WACC</t>
        </is>
      </c>
      <c r="B32" s="7" t="inlineStr">
        <is>
          <t>cost_of_equity</t>
        </is>
      </c>
      <c r="C32" s="12" t="n">
        <v>0.07463</v>
      </c>
      <c r="D32" s="13" t="inlineStr"/>
      <c r="E32" s="14">
        <f>IF(ISBLANK(D32),C32,D32)</f>
        <v/>
      </c>
      <c r="F32" s="7" t="inlineStr">
        <is>
          <t>%</t>
        </is>
      </c>
      <c r="G32" s="7" t="inlineStr">
        <is>
          <t>Cost of equity</t>
        </is>
      </c>
    </row>
    <row r="33" ht="18" customHeight="1">
      <c r="A33" s="7" t="inlineStr">
        <is>
          <t>WACC</t>
        </is>
      </c>
      <c r="B33" s="7" t="inlineStr">
        <is>
          <t>cost_of_debt</t>
        </is>
      </c>
      <c r="C33" s="12" t="inlineStr"/>
      <c r="D33" s="13" t="inlineStr"/>
      <c r="E33" s="14">
        <f>IF(ISBLANK(D33),C33,D33)</f>
        <v/>
      </c>
      <c r="F33" s="7" t="inlineStr">
        <is>
          <t>%</t>
        </is>
      </c>
      <c r="G33" s="7" t="inlineStr">
        <is>
          <t>Cost of debt; blank if unavailable</t>
        </is>
      </c>
    </row>
    <row r="34" ht="18" customHeight="1">
      <c r="A34" s="7" t="inlineStr">
        <is>
          <t>WACC</t>
        </is>
      </c>
      <c r="B34" s="7" t="inlineStr">
        <is>
          <t>risk_free_rate</t>
        </is>
      </c>
      <c r="C34" s="12" t="inlineStr"/>
      <c r="D34" s="13" t="inlineStr"/>
      <c r="E34" s="14">
        <f>IF(ISBLANK(D34),C34,D34)</f>
        <v/>
      </c>
      <c r="F34" s="7" t="inlineStr">
        <is>
          <t>%</t>
        </is>
      </c>
      <c r="G34" s="7" t="inlineStr">
        <is>
          <t>Risk-free rate; blank if unavailable</t>
        </is>
      </c>
    </row>
    <row r="35" ht="18" customHeight="1">
      <c r="A35" s="7" t="inlineStr">
        <is>
          <t>WACC</t>
        </is>
      </c>
      <c r="B35" s="7" t="inlineStr">
        <is>
          <t>equity_risk_premium</t>
        </is>
      </c>
      <c r="C35" s="12" t="inlineStr"/>
      <c r="D35" s="13" t="inlineStr"/>
      <c r="E35" s="14">
        <f>IF(ISBLANK(D35),C35,D35)</f>
        <v/>
      </c>
      <c r="F35" s="7" t="inlineStr">
        <is>
          <t>%</t>
        </is>
      </c>
      <c r="G35" s="7" t="inlineStr">
        <is>
          <t>ERP; blank if unavailable</t>
        </is>
      </c>
    </row>
    <row r="36" ht="18" customHeight="1">
      <c r="A36" s="7" t="inlineStr">
        <is>
          <t>WACC</t>
        </is>
      </c>
      <c r="B36" s="7" t="inlineStr">
        <is>
          <t>beta_relevered</t>
        </is>
      </c>
      <c r="C36" s="9" t="n">
        <v>0.27</v>
      </c>
      <c r="D36" s="10" t="inlineStr"/>
      <c r="E36" s="11">
        <f>IF(ISBLANK(D36),C36,D36)</f>
        <v/>
      </c>
      <c r="F36" s="7" t="inlineStr">
        <is>
          <t>x</t>
        </is>
      </c>
      <c r="G36" s="7" t="inlineStr">
        <is>
          <t>Relevered beta</t>
        </is>
      </c>
    </row>
    <row r="37" ht="18" customHeight="1">
      <c r="A37" s="7" t="inlineStr">
        <is>
          <t>WACC</t>
        </is>
      </c>
      <c r="B37" s="7" t="inlineStr">
        <is>
          <t>size_premium</t>
        </is>
      </c>
      <c r="C37" s="12" t="n">
        <v>0.6</v>
      </c>
      <c r="D37" s="13" t="inlineStr"/>
      <c r="E37" s="14">
        <f>IF(ISBLANK(D37),C37,D37)</f>
        <v/>
      </c>
      <c r="F37" s="7" t="inlineStr">
        <is>
          <t>%</t>
        </is>
      </c>
      <c r="G37" s="7" t="inlineStr">
        <is>
          <t>Size premium</t>
        </is>
      </c>
    </row>
    <row r="38" ht="18" customHeight="1">
      <c r="A38" s="7" t="inlineStr">
        <is>
          <t>WACC</t>
        </is>
      </c>
      <c r="B38" s="7" t="inlineStr">
        <is>
          <t>equity_weight</t>
        </is>
      </c>
      <c r="C38" s="12" t="n">
        <v>0.7323</v>
      </c>
      <c r="D38" s="13" t="inlineStr"/>
      <c r="E38" s="14">
        <f>IF(ISBLANK(D38),C38,D38)</f>
        <v/>
      </c>
      <c r="F38" s="7" t="inlineStr">
        <is>
          <t>% capital</t>
        </is>
      </c>
      <c r="G38" s="7" t="inlineStr">
        <is>
          <t>Market value capital weight</t>
        </is>
      </c>
    </row>
    <row r="39" ht="18" customHeight="1">
      <c r="A39" s="7" t="inlineStr">
        <is>
          <t>WACC</t>
        </is>
      </c>
      <c r="B39" s="7" t="inlineStr">
        <is>
          <t>debt_weight</t>
        </is>
      </c>
      <c r="C39" s="12" t="n">
        <v>0.2677</v>
      </c>
      <c r="D39" s="13" t="inlineStr"/>
      <c r="E39" s="14">
        <f>IF(ISBLANK(D39),C39,D39)</f>
        <v/>
      </c>
      <c r="F39" s="7" t="inlineStr">
        <is>
          <t>% capital</t>
        </is>
      </c>
      <c r="G39" s="7" t="inlineStr">
        <is>
          <t>Market value capital weight</t>
        </is>
      </c>
    </row>
    <row r="40" ht="18" customHeight="1">
      <c r="A40" s="7" t="inlineStr">
        <is>
          <t>Terminal</t>
        </is>
      </c>
      <c r="B40" s="7" t="inlineStr">
        <is>
          <t>exit_multiple</t>
        </is>
      </c>
      <c r="C40" s="9" t="n">
        <v>8.517239999999999</v>
      </c>
      <c r="D40" s="10" t="inlineStr"/>
      <c r="E40" s="11">
        <f>IF(ISBLANK(D40),C40,D40)</f>
        <v/>
      </c>
      <c r="F40" s="7" t="inlineStr">
        <is>
          <t>x</t>
        </is>
      </c>
      <c r="G40" s="7" t="inlineStr">
        <is>
          <t>Exit multiple</t>
        </is>
      </c>
    </row>
    <row r="41" ht="18" customHeight="1">
      <c r="A41" s="7" t="inlineStr">
        <is>
          <t>Terminal</t>
        </is>
      </c>
      <c r="B41" s="7" t="inlineStr">
        <is>
          <t>exit_metric</t>
        </is>
      </c>
      <c r="C41" s="8" t="inlineStr">
        <is>
          <t>ev_ebit</t>
        </is>
      </c>
      <c r="D41" s="15" t="inlineStr"/>
      <c r="E41" s="16">
        <f>IF(ISBLANK(D41),C41,D41)</f>
        <v/>
      </c>
      <c r="F41" s="7" t="inlineStr">
        <is>
          <t>text</t>
        </is>
      </c>
      <c r="G41" s="7" t="inlineStr">
        <is>
          <t>Exit metric, usually ev_ebit or ev_ebitda</t>
        </is>
      </c>
    </row>
    <row r="42" ht="18" customHeight="1">
      <c r="A42" s="7" t="inlineStr">
        <is>
          <t>Terminal</t>
        </is>
      </c>
      <c r="B42" s="7" t="inlineStr">
        <is>
          <t>terminal_blend_gordon_weight</t>
        </is>
      </c>
      <c r="C42" s="12" t="n">
        <v>0.5</v>
      </c>
      <c r="D42" s="13" t="inlineStr"/>
      <c r="E42" s="14">
        <f>IF(ISBLANK(D42),C42,D42)</f>
        <v/>
      </c>
      <c r="F42" s="7" t="inlineStr">
        <is>
          <t>%</t>
        </is>
      </c>
      <c r="G42" s="7" t="inlineStr">
        <is>
          <t>Weight on Gordon TV; remaining weight goes to exit TV</t>
        </is>
      </c>
    </row>
    <row r="43" ht="18" customHeight="1">
      <c r="A43" s="7" t="inlineStr">
        <is>
          <t>Scenario</t>
        </is>
      </c>
      <c r="B43" s="7" t="inlineStr">
        <is>
          <t>bear_growth_multiplier</t>
        </is>
      </c>
      <c r="C43" s="9" t="n">
        <v>0.7</v>
      </c>
      <c r="D43" s="10" t="inlineStr"/>
      <c r="E43" s="11">
        <f>IF(ISBLANK(D43),C43,D43)</f>
        <v/>
      </c>
      <c r="F43" s="7" t="inlineStr">
        <is>
          <t>x</t>
        </is>
      </c>
      <c r="G43" s="7" t="inlineStr">
        <is>
          <t>PM-owned bear growth multiplier</t>
        </is>
      </c>
    </row>
    <row r="44" ht="18" customHeight="1">
      <c r="A44" s="7" t="inlineStr">
        <is>
          <t>Scenario</t>
        </is>
      </c>
      <c r="B44" s="7" t="inlineStr">
        <is>
          <t>bear_margin_multiplier</t>
        </is>
      </c>
      <c r="C44" s="9" t="n">
        <v>0.85</v>
      </c>
      <c r="D44" s="10" t="inlineStr"/>
      <c r="E44" s="11">
        <f>IF(ISBLANK(D44),C44,D44)</f>
        <v/>
      </c>
      <c r="F44" s="7" t="inlineStr">
        <is>
          <t>x</t>
        </is>
      </c>
      <c r="G44" s="7" t="inlineStr">
        <is>
          <t>PM-owned bear margin multiplier</t>
        </is>
      </c>
    </row>
    <row r="45" ht="18" customHeight="1">
      <c r="A45" s="7" t="inlineStr">
        <is>
          <t>Scenario</t>
        </is>
      </c>
      <c r="B45" s="7" t="inlineStr">
        <is>
          <t>bear_capex_multiplier</t>
        </is>
      </c>
      <c r="C45" s="9" t="n">
        <v>1.15</v>
      </c>
      <c r="D45" s="10" t="inlineStr"/>
      <c r="E45" s="11">
        <f>IF(ISBLANK(D45),C45,D45)</f>
        <v/>
      </c>
      <c r="F45" s="7" t="inlineStr">
        <is>
          <t>x</t>
        </is>
      </c>
      <c r="G45" s="7" t="inlineStr">
        <is>
          <t>PM-owned bear capex intensity multiplier</t>
        </is>
      </c>
    </row>
    <row r="46" ht="18" customHeight="1">
      <c r="A46" s="7" t="inlineStr">
        <is>
          <t>Scenario</t>
        </is>
      </c>
      <c r="B46" s="7" t="inlineStr">
        <is>
          <t>bear_wacc_spread</t>
        </is>
      </c>
      <c r="C46" s="12" t="n">
        <v>0.015</v>
      </c>
      <c r="D46" s="13" t="inlineStr"/>
      <c r="E46" s="14">
        <f>IF(ISBLANK(D46),C46,D46)</f>
        <v/>
      </c>
      <c r="F46" s="7" t="inlineStr">
        <is>
          <t>%</t>
        </is>
      </c>
      <c r="G46" s="7" t="inlineStr">
        <is>
          <t>Bear spread added to base WACC</t>
        </is>
      </c>
    </row>
    <row r="47" ht="18" customHeight="1">
      <c r="A47" s="7" t="inlineStr">
        <is>
          <t>Scenario</t>
        </is>
      </c>
      <c r="B47" s="7" t="inlineStr">
        <is>
          <t>bear_exit_multiple_multiplier</t>
        </is>
      </c>
      <c r="C47" s="9" t="n">
        <v>0.8</v>
      </c>
      <c r="D47" s="10" t="inlineStr"/>
      <c r="E47" s="11">
        <f>IF(ISBLANK(D47),C47,D47)</f>
        <v/>
      </c>
      <c r="F47" s="7" t="inlineStr">
        <is>
          <t>x</t>
        </is>
      </c>
      <c r="G47" s="7" t="inlineStr">
        <is>
          <t>PM-owned bear exit multiple multiplier</t>
        </is>
      </c>
    </row>
    <row r="48" ht="18" customHeight="1">
      <c r="A48" s="7" t="inlineStr">
        <is>
          <t>Scenario</t>
        </is>
      </c>
      <c r="B48" s="7" t="inlineStr">
        <is>
          <t>bull_growth_multiplier</t>
        </is>
      </c>
      <c r="C48" s="9" t="n">
        <v>1.3</v>
      </c>
      <c r="D48" s="10" t="inlineStr"/>
      <c r="E48" s="11">
        <f>IF(ISBLANK(D48),C48,D48)</f>
        <v/>
      </c>
      <c r="F48" s="7" t="inlineStr">
        <is>
          <t>x</t>
        </is>
      </c>
      <c r="G48" s="7" t="inlineStr">
        <is>
          <t>PM-owned bull growth multiplier</t>
        </is>
      </c>
    </row>
    <row r="49" ht="18" customHeight="1">
      <c r="A49" s="7" t="inlineStr">
        <is>
          <t>Scenario</t>
        </is>
      </c>
      <c r="B49" s="7" t="inlineStr">
        <is>
          <t>bull_margin_multiplier</t>
        </is>
      </c>
      <c r="C49" s="9" t="n">
        <v>1.1</v>
      </c>
      <c r="D49" s="10" t="inlineStr"/>
      <c r="E49" s="11">
        <f>IF(ISBLANK(D49),C49,D49)</f>
        <v/>
      </c>
      <c r="F49" s="7" t="inlineStr">
        <is>
          <t>x</t>
        </is>
      </c>
      <c r="G49" s="7" t="inlineStr">
        <is>
          <t>PM-owned bull margin multiplier</t>
        </is>
      </c>
    </row>
    <row r="50" ht="18" customHeight="1">
      <c r="A50" s="7" t="inlineStr">
        <is>
          <t>Scenario</t>
        </is>
      </c>
      <c r="B50" s="7" t="inlineStr">
        <is>
          <t>bull_capex_multiplier</t>
        </is>
      </c>
      <c r="C50" s="9" t="n">
        <v>0.9</v>
      </c>
      <c r="D50" s="10" t="inlineStr"/>
      <c r="E50" s="11">
        <f>IF(ISBLANK(D50),C50,D50)</f>
        <v/>
      </c>
      <c r="F50" s="7" t="inlineStr">
        <is>
          <t>x</t>
        </is>
      </c>
      <c r="G50" s="7" t="inlineStr">
        <is>
          <t>PM-owned bull capex intensity multiplier</t>
        </is>
      </c>
    </row>
    <row r="51" ht="18" customHeight="1">
      <c r="A51" s="7" t="inlineStr">
        <is>
          <t>Scenario</t>
        </is>
      </c>
      <c r="B51" s="7" t="inlineStr">
        <is>
          <t>bull_wacc_spread</t>
        </is>
      </c>
      <c r="C51" s="12" t="n">
        <v>-0.01</v>
      </c>
      <c r="D51" s="13" t="inlineStr"/>
      <c r="E51" s="14">
        <f>IF(ISBLANK(D51),C51,D51)</f>
        <v/>
      </c>
      <c r="F51" s="7" t="inlineStr">
        <is>
          <t>%</t>
        </is>
      </c>
      <c r="G51" s="7" t="inlineStr">
        <is>
          <t>Bull spread added to base WACC</t>
        </is>
      </c>
    </row>
    <row r="52" ht="18" customHeight="1">
      <c r="A52" s="7" t="inlineStr">
        <is>
          <t>Scenario</t>
        </is>
      </c>
      <c r="B52" s="7" t="inlineStr">
        <is>
          <t>bull_exit_multiple_multiplier</t>
        </is>
      </c>
      <c r="C52" s="9" t="n">
        <v>1.2</v>
      </c>
      <c r="D52" s="10" t="inlineStr"/>
      <c r="E52" s="11">
        <f>IF(ISBLANK(D52),C52,D52)</f>
        <v/>
      </c>
      <c r="F52" s="7" t="inlineStr">
        <is>
          <t>x</t>
        </is>
      </c>
      <c r="G52" s="7" t="inlineStr">
        <is>
          <t>PM-owned bull exit multiple multiplier</t>
        </is>
      </c>
    </row>
    <row r="53" ht="18" customHeight="1">
      <c r="A53" s="7" t="inlineStr">
        <is>
          <t>Scenario</t>
        </is>
      </c>
      <c r="B53" s="7" t="inlineStr">
        <is>
          <t>scenario_prob_bear</t>
        </is>
      </c>
      <c r="C53" s="12" t="n">
        <v>0.2</v>
      </c>
      <c r="D53" s="13" t="inlineStr"/>
      <c r="E53" s="14">
        <f>IF(ISBLANK(D53),C53,D53)</f>
        <v/>
      </c>
      <c r="F53" s="7" t="inlineStr">
        <is>
          <t>%</t>
        </is>
      </c>
      <c r="G53" s="7" t="inlineStr">
        <is>
          <t>Bear case probability</t>
        </is>
      </c>
    </row>
    <row r="54" ht="18" customHeight="1">
      <c r="A54" s="7" t="inlineStr">
        <is>
          <t>Scenario</t>
        </is>
      </c>
      <c r="B54" s="7" t="inlineStr">
        <is>
          <t>scenario_prob_base</t>
        </is>
      </c>
      <c r="C54" s="12" t="n">
        <v>0.6</v>
      </c>
      <c r="D54" s="13" t="inlineStr"/>
      <c r="E54" s="14">
        <f>IF(ISBLANK(D54),C54,D54)</f>
        <v/>
      </c>
      <c r="F54" s="7" t="inlineStr">
        <is>
          <t>%</t>
        </is>
      </c>
      <c r="G54" s="7" t="inlineStr">
        <is>
          <t>Base case probability</t>
        </is>
      </c>
    </row>
    <row r="55" ht="18" customHeight="1">
      <c r="A55" s="7" t="inlineStr">
        <is>
          <t>Scenario</t>
        </is>
      </c>
      <c r="B55" s="7" t="inlineStr">
        <is>
          <t>scenario_prob_bull</t>
        </is>
      </c>
      <c r="C55" s="12" t="n">
        <v>0.2</v>
      </c>
      <c r="D55" s="13" t="inlineStr"/>
      <c r="E55" s="14">
        <f>IF(ISBLANK(D55),C55,D55)</f>
        <v/>
      </c>
      <c r="F55" s="7" t="inlineStr">
        <is>
          <t>%</t>
        </is>
      </c>
      <c r="G55" s="7" t="inlineStr">
        <is>
          <t>Bull case probability</t>
        </is>
      </c>
    </row>
    <row r="56" ht="18" customHeight="1">
      <c r="A56" s="7" t="inlineStr">
        <is>
          <t>Model</t>
        </is>
      </c>
      <c r="B56" s="7" t="inlineStr">
        <is>
          <t>mid_year_convention</t>
        </is>
      </c>
      <c r="C56" s="8" t="b">
        <v>1</v>
      </c>
      <c r="D56" s="15" t="inlineStr"/>
      <c r="E56" s="16">
        <f>IF(ISBLANK(D56),C56,D56)</f>
        <v/>
      </c>
      <c r="F56" s="7" t="inlineStr">
        <is>
          <t>TRUE/FALSE</t>
        </is>
      </c>
      <c r="G56" s="7" t="inlineStr">
        <is>
          <t>Use mid-year discounting when TRUE</t>
        </is>
      </c>
    </row>
    <row r="57" ht="18" customHeight="1">
      <c r="A57" s="7" t="inlineStr">
        <is>
          <t>Backend Outputs</t>
        </is>
      </c>
      <c r="B57" s="7" t="inlineStr">
        <is>
          <t>backend_iv_base</t>
        </is>
      </c>
      <c r="C57" s="9" t="n">
        <v>97.75</v>
      </c>
      <c r="D57" s="10" t="inlineStr"/>
      <c r="E57" s="11">
        <f>IF(ISBLANK(D57),C57,D57)</f>
        <v/>
      </c>
      <c r="F57" s="7" t="inlineStr">
        <is>
          <t>$ / share</t>
        </is>
      </c>
      <c r="G57" s="7" t="inlineStr">
        <is>
          <t>Backend deterministic base IV for comparison</t>
        </is>
      </c>
    </row>
    <row r="58" ht="18" customHeight="1">
      <c r="A58" s="7" t="inlineStr">
        <is>
          <t>Backend Outputs</t>
        </is>
      </c>
      <c r="B58" s="7" t="inlineStr">
        <is>
          <t>backend_expected_iv</t>
        </is>
      </c>
      <c r="C58" s="9" t="n">
        <v>102.78</v>
      </c>
      <c r="D58" s="10" t="inlineStr"/>
      <c r="E58" s="11">
        <f>IF(ISBLANK(D58),C58,D58)</f>
        <v/>
      </c>
      <c r="F58" s="7" t="inlineStr">
        <is>
          <t>$ / share</t>
        </is>
      </c>
      <c r="G58" s="7" t="inlineStr">
        <is>
          <t>Backend deterministic expected IV for comparison</t>
        </is>
      </c>
    </row>
    <row r="59" ht="18" customHeight="1">
      <c r="A59" s="7" t="inlineStr">
        <is>
          <t>Backend Outputs</t>
        </is>
      </c>
      <c r="B59" s="7" t="inlineStr">
        <is>
          <t>backend_tv_pct_ev</t>
        </is>
      </c>
      <c r="C59" s="12" t="n">
        <v>54.2</v>
      </c>
      <c r="D59" s="13" t="inlineStr"/>
      <c r="E59" s="14">
        <f>IF(ISBLANK(D59),C59,D59)</f>
        <v/>
      </c>
      <c r="F59" s="7" t="inlineStr">
        <is>
          <t>%</t>
        </is>
      </c>
      <c r="G59" s="7" t="inlineStr">
        <is>
          <t>Backend terminal-value percent of EV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2" customWidth="1" min="4" max="4"/>
    <col width="9" customWidth="1" min="5" max="5"/>
    <col width="21" customWidth="1" min="6" max="6"/>
    <col width="9" customWidth="1" min="7" max="7"/>
    <col width="21" customWidth="1" min="8" max="8"/>
    <col width="8" customWidth="1" min="9" max="9"/>
    <col width="23" customWidth="1" min="10" max="10"/>
    <col width="9" customWidth="1" min="11" max="11"/>
    <col width="22" customWidth="1" min="12" max="12"/>
    <col width="9" customWidth="1" min="13" max="13"/>
    <col width="15" customWidth="1" min="14" max="14"/>
    <col width="13" customWidth="1" min="15" max="15"/>
    <col width="22" customWidth="1" min="16" max="16"/>
    <col width="9" customWidth="1" min="17" max="17"/>
    <col width="10" customWidth="1" min="18" max="18"/>
    <col width="20" customWidth="1" min="19" max="19"/>
    <col width="14" customWidth="1" min="20" max="20"/>
    <col width="14" customWidth="1" min="21" max="21"/>
    <col width="28" customWidth="1" min="22" max="22"/>
  </cols>
  <sheetData>
    <row r="1" ht="24" customHeight="1">
      <c r="A1" s="1" t="inlineStr">
        <is>
          <t>Historical Financials</t>
        </is>
      </c>
    </row>
    <row r="2" ht="18" customHeight="1">
      <c r="A2" s="2" t="inlineStr">
        <is>
          <t>Annual actuals from the CIQ Standard workbook captured in valuation JSON</t>
        </is>
      </c>
    </row>
    <row r="3" ht="18" customHeight="1"/>
    <row r="4" ht="18" customHeight="1">
      <c r="A4" s="6" t="inlineStr">
        <is>
          <t>Fiscal Year</t>
        </is>
      </c>
      <c r="B4" s="6" t="inlineStr">
        <is>
          <t>Period</t>
        </is>
      </c>
      <c r="C4" s="6" t="inlineStr">
        <is>
          <t>Revenue</t>
        </is>
      </c>
      <c r="D4" s="6" t="inlineStr">
        <is>
          <t>Revenue Growth</t>
        </is>
      </c>
      <c r="E4" s="6" t="inlineStr">
        <is>
          <t>EBIT</t>
        </is>
      </c>
      <c r="F4" s="6" t="inlineStr">
        <is>
          <t>EBIT Margin</t>
        </is>
      </c>
      <c r="G4" s="6" t="inlineStr">
        <is>
          <t>EBITDA</t>
        </is>
      </c>
      <c r="H4" s="6" t="inlineStr">
        <is>
          <t>EBITDA Margin</t>
        </is>
      </c>
      <c r="I4" s="6" t="inlineStr">
        <is>
          <t>D&amp;A</t>
        </is>
      </c>
      <c r="J4" s="6" t="inlineStr">
        <is>
          <t>D&amp;A % Revenue</t>
        </is>
      </c>
      <c r="K4" s="6" t="inlineStr">
        <is>
          <t>Capex</t>
        </is>
      </c>
      <c r="L4" s="6" t="inlineStr">
        <is>
          <t>Capex % Revenue</t>
        </is>
      </c>
      <c r="M4" s="6" t="inlineStr">
        <is>
          <t>CFO</t>
        </is>
      </c>
      <c r="N4" s="6" t="inlineStr">
        <is>
          <t>Pretax Income</t>
        </is>
      </c>
      <c r="O4" s="6" t="inlineStr">
        <is>
          <t>Tax Expense</t>
        </is>
      </c>
      <c r="P4" s="6" t="inlineStr">
        <is>
          <t>Tax Rate</t>
        </is>
      </c>
      <c r="Q4" s="6" t="inlineStr">
        <is>
          <t>Cash</t>
        </is>
      </c>
      <c r="R4" s="6" t="inlineStr">
        <is>
          <t>Debt</t>
        </is>
      </c>
      <c r="S4" s="6" t="inlineStr">
        <is>
          <t>Net Debt</t>
        </is>
      </c>
      <c r="T4" s="6" t="inlineStr">
        <is>
          <t>Total Assets</t>
        </is>
      </c>
      <c r="U4" s="6" t="inlineStr">
        <is>
          <t>Total Equity</t>
        </is>
      </c>
      <c r="V4" s="6" t="inlineStr">
        <is>
          <t>Source</t>
        </is>
      </c>
    </row>
    <row r="5" ht="18" customHeight="1">
      <c r="A5" s="8" t="inlineStr">
        <is>
          <t>FY17</t>
        </is>
      </c>
      <c r="B5" s="8" t="inlineStr">
        <is>
          <t>2017-03-31</t>
        </is>
      </c>
      <c r="C5" s="17" t="n">
        <v>5809.491</v>
      </c>
      <c r="D5" s="12" t="n">
        <v>0.07468970934218411</v>
      </c>
      <c r="E5" s="17" t="n">
        <v>501.98</v>
      </c>
      <c r="F5" s="12" t="n">
        <v>0.0864068814290271</v>
      </c>
      <c r="G5" s="17" t="n">
        <v>561.524</v>
      </c>
      <c r="H5" s="12" t="n">
        <v>0.09665631636231126</v>
      </c>
      <c r="I5" s="17" t="n">
        <v>41.644</v>
      </c>
      <c r="J5" s="12" t="n">
        <v>0.007168269991295278</v>
      </c>
      <c r="K5" s="17" t="n">
        <v>53.919</v>
      </c>
      <c r="L5" s="12" t="n">
        <v>0.009281191760173137</v>
      </c>
      <c r="M5" s="17" t="n">
        <v>382.277</v>
      </c>
      <c r="N5" s="17" t="n">
        <v>429.457</v>
      </c>
      <c r="O5" s="17" t="n">
        <v>164.832</v>
      </c>
      <c r="P5" s="12" t="n">
        <v>0.383814910456693</v>
      </c>
      <c r="Q5" s="17" t="n">
        <v>217.417</v>
      </c>
      <c r="R5" s="17" t="n">
        <v>1743.324</v>
      </c>
      <c r="S5" s="17" t="n">
        <v>1525.907</v>
      </c>
      <c r="T5" s="17" t="n">
        <v>3373.105</v>
      </c>
      <c r="U5" s="17" t="n">
        <v>573.591</v>
      </c>
      <c r="V5" s="8" t="inlineStr">
        <is>
          <t>BAH_Standard.xlsx</t>
        </is>
      </c>
    </row>
    <row r="6" ht="18" customHeight="1">
      <c r="A6" s="8" t="inlineStr">
        <is>
          <t>FY18</t>
        </is>
      </c>
      <c r="B6" s="8" t="inlineStr">
        <is>
          <t>2018-03-31</t>
        </is>
      </c>
      <c r="C6" s="17" t="n">
        <v>6167.6</v>
      </c>
      <c r="D6" s="12" t="n">
        <v>0.06164206124082128</v>
      </c>
      <c r="E6" s="17" t="n">
        <v>512.444</v>
      </c>
      <c r="F6" s="12" t="n">
        <v>0.08308645178027109</v>
      </c>
      <c r="G6" s="17" t="n">
        <v>577.2</v>
      </c>
      <c r="H6" s="12" t="n">
        <v>0.09358583565730592</v>
      </c>
      <c r="I6" s="17" t="n">
        <v>44.056</v>
      </c>
      <c r="J6" s="12" t="n">
        <v>0.007143135093066994</v>
      </c>
      <c r="K6" s="17" t="n">
        <v>78.437</v>
      </c>
      <c r="L6" s="12" t="n">
        <v>0.01271758868927946</v>
      </c>
      <c r="M6" s="17" t="n">
        <v>369.143</v>
      </c>
      <c r="N6" s="17" t="n">
        <v>430.036</v>
      </c>
      <c r="O6" s="17" t="n">
        <v>128.344</v>
      </c>
      <c r="P6" s="12" t="n">
        <v>0.298449432140565</v>
      </c>
      <c r="Q6" s="17" t="n">
        <v>286.958</v>
      </c>
      <c r="R6" s="17" t="n">
        <v>1898.579</v>
      </c>
      <c r="S6" s="17" t="n">
        <v>1611.621</v>
      </c>
      <c r="T6" s="17" t="n">
        <v>3606.619</v>
      </c>
      <c r="U6" s="17" t="n">
        <v>562.491</v>
      </c>
      <c r="V6" s="8" t="inlineStr">
        <is>
          <t>BAH_Standard.xlsx</t>
        </is>
      </c>
    </row>
    <row r="7" ht="18" customHeight="1">
      <c r="A7" s="8" t="inlineStr">
        <is>
          <t>FY19</t>
        </is>
      </c>
      <c r="B7" s="8" t="inlineStr">
        <is>
          <t>2019-03-31</t>
        </is>
      </c>
      <c r="C7" s="17" t="n">
        <v>6704.037</v>
      </c>
      <c r="D7" s="12" t="n">
        <v>0.08697661975484783</v>
      </c>
      <c r="E7" s="17" t="n">
        <v>595.1559999999999</v>
      </c>
      <c r="F7" s="12" t="n">
        <v>0.08877576302159429</v>
      </c>
      <c r="G7" s="17" t="n">
        <v>663.731</v>
      </c>
      <c r="H7" s="12" t="n">
        <v>0.09900467434771019</v>
      </c>
      <c r="I7" s="17" t="n">
        <v>47.675</v>
      </c>
      <c r="J7" s="12" t="n">
        <v>0.007111386765914328</v>
      </c>
      <c r="K7" s="17" t="n">
        <v>94.681</v>
      </c>
      <c r="L7" s="12" t="n">
        <v>0.0141229829131313</v>
      </c>
      <c r="M7" s="17" t="n">
        <v>499.61</v>
      </c>
      <c r="N7" s="17" t="n">
        <v>515.403</v>
      </c>
      <c r="O7" s="17" t="n">
        <v>96.874</v>
      </c>
      <c r="P7" s="12" t="n">
        <v>0.1879577728495954</v>
      </c>
      <c r="Q7" s="17" t="n">
        <v>283.99</v>
      </c>
      <c r="R7" s="17" t="n">
        <v>1845.037</v>
      </c>
      <c r="S7" s="17" t="n">
        <v>1561.047</v>
      </c>
      <c r="T7" s="17" t="n">
        <v>3831.841</v>
      </c>
      <c r="U7" s="17" t="n">
        <v>675.366</v>
      </c>
      <c r="V7" s="8" t="inlineStr">
        <is>
          <t>BAH_Standard.xlsx</t>
        </is>
      </c>
    </row>
    <row r="8" ht="18" customHeight="1">
      <c r="A8" s="8" t="inlineStr">
        <is>
          <t>FY20</t>
        </is>
      </c>
      <c r="B8" s="8" t="inlineStr">
        <is>
          <t>2020-03-31</t>
        </is>
      </c>
      <c r="C8" s="17" t="n">
        <v>7463.841</v>
      </c>
      <c r="D8" s="12" t="n">
        <v>0.1133352933463823</v>
      </c>
      <c r="E8" s="17" t="n">
        <v>664.343</v>
      </c>
      <c r="F8" s="12" t="n">
        <v>0.08900819296659722</v>
      </c>
      <c r="G8" s="17" t="n">
        <v>745.424</v>
      </c>
      <c r="H8" s="12" t="n">
        <v>0.09987136649883083</v>
      </c>
      <c r="I8" s="17" t="n">
        <v>58.781</v>
      </c>
      <c r="J8" s="12" t="n">
        <v>0.00787543571734714</v>
      </c>
      <c r="K8" s="17" t="n">
        <v>128.079</v>
      </c>
      <c r="L8" s="12" t="n">
        <v>0.01715993146156249</v>
      </c>
      <c r="M8" s="17" t="n">
        <v>551.428</v>
      </c>
      <c r="N8" s="17" t="n">
        <v>580.885</v>
      </c>
      <c r="O8" s="17" t="n">
        <v>96.831</v>
      </c>
      <c r="P8" s="12" t="n">
        <v>0.1666956454375651</v>
      </c>
      <c r="Q8" s="17" t="n">
        <v>741.901</v>
      </c>
      <c r="R8" s="17" t="n">
        <v>2561.781</v>
      </c>
      <c r="S8" s="17" t="n">
        <v>1819.88</v>
      </c>
      <c r="T8" s="17" t="n">
        <v>4793.966</v>
      </c>
      <c r="U8" s="17" t="n">
        <v>856.356</v>
      </c>
      <c r="V8" s="8" t="inlineStr">
        <is>
          <t>BAH_Standard.xlsx</t>
        </is>
      </c>
    </row>
    <row r="9" ht="18" customHeight="1">
      <c r="A9" s="8" t="inlineStr">
        <is>
          <t>FY21</t>
        </is>
      </c>
      <c r="B9" s="8" t="inlineStr">
        <is>
          <t>2021-03-31</t>
        </is>
      </c>
      <c r="C9" s="17" t="n">
        <v>7858.938</v>
      </c>
      <c r="D9" s="12" t="n">
        <v>0.05293480930260963</v>
      </c>
      <c r="E9" s="17" t="n">
        <v>750.134</v>
      </c>
      <c r="F9" s="12" t="n">
        <v>0.09544979232562975</v>
      </c>
      <c r="G9" s="17" t="n">
        <v>834.449</v>
      </c>
      <c r="H9" s="12" t="n">
        <v>0.1061783411448213</v>
      </c>
      <c r="I9" s="17" t="n">
        <v>65.015</v>
      </c>
      <c r="J9" s="12" t="n">
        <v>0.008272746266734767</v>
      </c>
      <c r="K9" s="17" t="n">
        <v>87.20999999999999</v>
      </c>
      <c r="L9" s="12" t="n">
        <v>0.01109691920206012</v>
      </c>
      <c r="M9" s="17" t="n">
        <v>718.684</v>
      </c>
      <c r="N9" s="17" t="n">
        <v>662.439</v>
      </c>
      <c r="O9" s="17" t="n">
        <v>53.481</v>
      </c>
      <c r="P9" s="12" t="n">
        <v>0.08073347130830161</v>
      </c>
      <c r="Q9" s="17" t="n">
        <v>990.955</v>
      </c>
      <c r="R9" s="17" t="n">
        <v>2712.858</v>
      </c>
      <c r="S9" s="17" t="n">
        <v>1721.903</v>
      </c>
      <c r="T9" s="17" t="n">
        <v>5499.601</v>
      </c>
      <c r="U9" s="17" t="n">
        <v>1071.176</v>
      </c>
      <c r="V9" s="8" t="inlineStr">
        <is>
          <t>BAH_Standard.xlsx</t>
        </is>
      </c>
    </row>
    <row r="10" ht="18" customHeight="1">
      <c r="A10" s="8" t="inlineStr">
        <is>
          <t>FY22</t>
        </is>
      </c>
      <c r="B10" s="8" t="inlineStr">
        <is>
          <t>2022-03-31</t>
        </is>
      </c>
      <c r="C10" s="17" t="n">
        <v>8363.700000000001</v>
      </c>
      <c r="D10" s="12" t="n">
        <v>0.06422776207166936</v>
      </c>
      <c r="E10" s="17" t="n">
        <v>681.1180000000001</v>
      </c>
      <c r="F10" s="12" t="n">
        <v>0.08143740210672309</v>
      </c>
      <c r="G10" s="17" t="n">
        <v>826.865</v>
      </c>
      <c r="H10" s="12" t="n">
        <v>0.09886354125566435</v>
      </c>
      <c r="I10" s="17" t="n">
        <v>69.547</v>
      </c>
      <c r="J10" s="12" t="n">
        <v>0.008315338905030068</v>
      </c>
      <c r="K10" s="17" t="n">
        <v>79.964</v>
      </c>
      <c r="L10" s="12" t="n">
        <v>0.009560840297954254</v>
      </c>
      <c r="M10" s="17" t="n">
        <v>736.526</v>
      </c>
      <c r="N10" s="17" t="n">
        <v>604.043</v>
      </c>
      <c r="O10" s="17" t="n">
        <v>137.466</v>
      </c>
      <c r="P10" s="12" t="n">
        <v>0.2275765135925754</v>
      </c>
      <c r="Q10" s="17" t="n">
        <v>695.91</v>
      </c>
      <c r="R10" s="17" t="n">
        <v>3103.839</v>
      </c>
      <c r="S10" s="17" t="n">
        <v>2407.929</v>
      </c>
      <c r="T10" s="17" t="n">
        <v>6025.575</v>
      </c>
      <c r="U10" s="17" t="n">
        <v>1046.721</v>
      </c>
      <c r="V10" s="8" t="inlineStr">
        <is>
          <t>BAH_Standard.xlsx</t>
        </is>
      </c>
    </row>
    <row r="11" ht="18" customHeight="1">
      <c r="A11" s="8" t="inlineStr">
        <is>
          <t>FY23</t>
        </is>
      </c>
      <c r="B11" s="8" t="inlineStr">
        <is>
          <t>2023-03-31</t>
        </is>
      </c>
      <c r="C11" s="17" t="n">
        <v>9259</v>
      </c>
      <c r="D11" s="12" t="n">
        <v>0.1070459246505733</v>
      </c>
      <c r="E11" s="17" t="n">
        <v>811</v>
      </c>
      <c r="F11" s="12" t="n">
        <v>0.08759045253267092</v>
      </c>
      <c r="G11" s="17" t="n">
        <v>976</v>
      </c>
      <c r="H11" s="12" t="n">
        <v>0.1054109515066422</v>
      </c>
      <c r="I11" s="17" t="n">
        <v>71</v>
      </c>
      <c r="J11" s="12" t="n">
        <v>0.00766821471001188</v>
      </c>
      <c r="K11" s="17" t="n">
        <v>76</v>
      </c>
      <c r="L11" s="12" t="n">
        <v>0.008208229830435253</v>
      </c>
      <c r="M11" s="17" t="n">
        <v>603</v>
      </c>
      <c r="N11" s="17" t="n">
        <v>687</v>
      </c>
      <c r="O11" s="17" t="n">
        <v>97</v>
      </c>
      <c r="P11" s="12" t="n">
        <v>0.141193595342067</v>
      </c>
      <c r="Q11" s="17" t="n">
        <v>404.862</v>
      </c>
      <c r="R11" s="17" t="n">
        <v>3062.896</v>
      </c>
      <c r="S11" s="17" t="n">
        <v>2658.034</v>
      </c>
      <c r="T11" s="17" t="n">
        <v>6550.652</v>
      </c>
      <c r="U11" s="17" t="n">
        <v>992.002</v>
      </c>
      <c r="V11" s="8" t="inlineStr">
        <is>
          <t>BAH_Standard.xlsx</t>
        </is>
      </c>
    </row>
    <row r="12" ht="18" customHeight="1">
      <c r="A12" s="8" t="inlineStr">
        <is>
          <t>FY24</t>
        </is>
      </c>
      <c r="B12" s="8" t="inlineStr">
        <is>
          <t>2024-03-31</t>
        </is>
      </c>
      <c r="C12" s="17" t="n">
        <v>10662</v>
      </c>
      <c r="D12" s="12" t="n">
        <v>0.1515282427907982</v>
      </c>
      <c r="E12" s="17" t="n">
        <v>1025</v>
      </c>
      <c r="F12" s="12" t="n">
        <v>0.09613580941661977</v>
      </c>
      <c r="G12" s="17" t="n">
        <v>1189</v>
      </c>
      <c r="H12" s="12" t="n">
        <v>0.1115175389232789</v>
      </c>
      <c r="I12" s="17" t="n">
        <v>71</v>
      </c>
      <c r="J12" s="12" t="n">
        <v>0.006659163383980492</v>
      </c>
      <c r="K12" s="17" t="n">
        <v>67</v>
      </c>
      <c r="L12" s="12" t="n">
        <v>0.006283999249671731</v>
      </c>
      <c r="M12" s="17" t="n">
        <v>259</v>
      </c>
      <c r="N12" s="17" t="n">
        <v>881</v>
      </c>
      <c r="O12" s="17" t="n">
        <v>248</v>
      </c>
      <c r="P12" s="12" t="n">
        <v>0.2814982973893303</v>
      </c>
      <c r="Q12" s="17" t="n">
        <v>554</v>
      </c>
      <c r="R12" s="17" t="n">
        <v>3637</v>
      </c>
      <c r="S12" s="17" t="n">
        <v>3083</v>
      </c>
      <c r="T12" s="17" t="n">
        <v>6564</v>
      </c>
      <c r="U12" s="17" t="n">
        <v>1047</v>
      </c>
      <c r="V12" s="8" t="inlineStr">
        <is>
          <t>BAH_Standard.xlsx</t>
        </is>
      </c>
    </row>
    <row r="13" ht="18" customHeight="1">
      <c r="A13" s="8" t="inlineStr">
        <is>
          <t>FY25</t>
        </is>
      </c>
      <c r="B13" s="8" t="inlineStr">
        <is>
          <t>2025-03-31</t>
        </is>
      </c>
      <c r="C13" s="17" t="n">
        <v>11980</v>
      </c>
      <c r="D13" s="12" t="n">
        <v>0.1236165822547364</v>
      </c>
      <c r="E13" s="17" t="n">
        <v>1214</v>
      </c>
      <c r="F13" s="12" t="n">
        <v>0.1013355592654424</v>
      </c>
      <c r="G13" s="17" t="n">
        <v>1379</v>
      </c>
      <c r="H13" s="12" t="n">
        <v>0.1151085141903172</v>
      </c>
      <c r="I13" s="17" t="n">
        <v>70</v>
      </c>
      <c r="J13" s="12" t="n">
        <v>0.005843071786310518</v>
      </c>
      <c r="K13" s="17" t="n">
        <v>98</v>
      </c>
      <c r="L13" s="12" t="n">
        <v>0.008180300500834724</v>
      </c>
      <c r="M13" s="17" t="n">
        <v>1009</v>
      </c>
      <c r="N13" s="17" t="n">
        <v>1104</v>
      </c>
      <c r="O13" s="17" t="n">
        <v>284</v>
      </c>
      <c r="P13" s="12" t="n">
        <v>0.2572463768115942</v>
      </c>
      <c r="Q13" s="17" t="n">
        <v>885</v>
      </c>
      <c r="R13" s="17" t="n">
        <v>4219</v>
      </c>
      <c r="S13" s="17" t="n">
        <v>3334</v>
      </c>
      <c r="T13" s="17" t="n">
        <v>7312</v>
      </c>
      <c r="U13" s="17" t="n">
        <v>1003</v>
      </c>
      <c r="V13" s="8" t="inlineStr">
        <is>
          <t>BAH_Standard.xlsx</t>
        </is>
      </c>
    </row>
    <row r="14" ht="18" customHeight="1">
      <c r="A14" s="8" t="inlineStr">
        <is>
          <t>FY26</t>
        </is>
      </c>
      <c r="B14" s="8" t="inlineStr">
        <is>
          <t>2026-03-31</t>
        </is>
      </c>
      <c r="C14" s="17" t="n">
        <v>11217</v>
      </c>
      <c r="D14" s="12" t="n">
        <v>-0.06368948247078465</v>
      </c>
      <c r="E14" s="17" t="n">
        <v>1095</v>
      </c>
      <c r="F14" s="12" t="n">
        <v>0.09761968440759561</v>
      </c>
      <c r="G14" s="17" t="n">
        <v>1258</v>
      </c>
      <c r="H14" s="12" t="n">
        <v>0.1121511990728359</v>
      </c>
      <c r="I14" s="17" t="n">
        <v>68</v>
      </c>
      <c r="J14" s="12" t="n">
        <v>0.006062226976910047</v>
      </c>
      <c r="K14" s="17" t="n">
        <v>90</v>
      </c>
      <c r="L14" s="12" t="n">
        <v>0.008023535704733886</v>
      </c>
      <c r="M14" s="17" t="n">
        <v>1041</v>
      </c>
      <c r="N14" s="17" t="n">
        <v>917</v>
      </c>
      <c r="O14" s="17" t="n">
        <v>11</v>
      </c>
      <c r="P14" s="12" t="n">
        <v>0.01199563794983642</v>
      </c>
      <c r="Q14" s="17" t="n">
        <v>728</v>
      </c>
      <c r="R14" s="17" t="n">
        <v>4122</v>
      </c>
      <c r="S14" s="17" t="n">
        <v>3394</v>
      </c>
      <c r="T14" s="17" t="n">
        <v>7118</v>
      </c>
      <c r="U14" s="17" t="n">
        <v>1105</v>
      </c>
      <c r="V14" s="8" t="inlineStr">
        <is>
          <t>BAH_Standard.xlsx</t>
        </is>
      </c>
    </row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23" customWidth="1" min="3" max="3"/>
    <col width="21" customWidth="1" min="4" max="4"/>
    <col width="21" customWidth="1" min="5" max="5"/>
    <col width="22" customWidth="1" min="6" max="6"/>
    <col width="22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9" customWidth="1" min="13" max="13"/>
    <col width="9" customWidth="1" min="14" max="14"/>
    <col width="10" customWidth="1" min="15" max="15"/>
    <col width="11" customWidth="1" min="16" max="16"/>
    <col width="9" customWidth="1" min="17" max="17"/>
    <col width="10" customWidth="1" min="18" max="18"/>
    <col width="19" customWidth="1" min="19" max="19"/>
    <col width="10" customWidth="1" min="20" max="20"/>
    <col width="20" customWidth="1" min="21" max="21"/>
    <col width="9" customWidth="1" min="22" max="22"/>
    <col width="21" customWidth="1" min="23" max="23"/>
    <col width="17" customWidth="1" min="24" max="24"/>
  </cols>
  <sheetData>
    <row r="1" ht="24" customHeight="1">
      <c r="A1" s="1" t="inlineStr">
        <is>
          <t>Input Forecast</t>
        </is>
      </c>
    </row>
    <row r="2" ht="18" customHeight="1">
      <c r="A2" s="2" t="inlineStr">
        <is>
          <t>Flattened backend forecast values used as the Base case source</t>
        </is>
      </c>
    </row>
    <row r="3" ht="18" customHeight="1"/>
    <row r="4" ht="18" customHeight="1">
      <c r="A4" s="6" t="inlineStr">
        <is>
          <t>Year</t>
        </is>
      </c>
      <c r="B4" s="6" t="inlineStr">
        <is>
          <t>Revenue</t>
        </is>
      </c>
      <c r="C4" s="6" t="inlineStr">
        <is>
          <t>Growth</t>
        </is>
      </c>
      <c r="D4" s="6" t="inlineStr">
        <is>
          <t>EBIT Margin</t>
        </is>
      </c>
      <c r="E4" s="6" t="inlineStr">
        <is>
          <t>Tax Rate</t>
        </is>
      </c>
      <c r="F4" s="6" t="inlineStr">
        <is>
          <t>Capex % Revenue</t>
        </is>
      </c>
      <c r="G4" s="6" t="inlineStr">
        <is>
          <t>D&amp;A % Revenue</t>
        </is>
      </c>
      <c r="H4" s="6" t="inlineStr">
        <is>
          <t>DSO</t>
        </is>
      </c>
      <c r="I4" s="6" t="inlineStr">
        <is>
          <t>DIO</t>
        </is>
      </c>
      <c r="J4" s="6" t="inlineStr">
        <is>
          <t>DPO</t>
        </is>
      </c>
      <c r="K4" s="6" t="inlineStr">
        <is>
          <t>EBIT</t>
        </is>
      </c>
      <c r="L4" s="6" t="inlineStr">
        <is>
          <t>NOPAT</t>
        </is>
      </c>
      <c r="M4" s="6" t="inlineStr">
        <is>
          <t>D&amp;A</t>
        </is>
      </c>
      <c r="N4" s="6" t="inlineStr">
        <is>
          <t>Capex</t>
        </is>
      </c>
      <c r="O4" s="6" t="inlineStr">
        <is>
          <t>AR</t>
        </is>
      </c>
      <c r="P4" s="6" t="inlineStr">
        <is>
          <t>Inventory</t>
        </is>
      </c>
      <c r="Q4" s="6" t="inlineStr">
        <is>
          <t>AP</t>
        </is>
      </c>
      <c r="R4" s="6" t="inlineStr">
        <is>
          <t>NWC</t>
        </is>
      </c>
      <c r="S4" s="6" t="inlineStr">
        <is>
          <t>Delta NWC</t>
        </is>
      </c>
      <c r="T4" s="6" t="inlineStr">
        <is>
          <t>FCFF</t>
        </is>
      </c>
      <c r="U4" s="6" t="inlineStr">
        <is>
          <t>Discount Factor</t>
        </is>
      </c>
      <c r="V4" s="6" t="inlineStr">
        <is>
          <t>PV FCFF</t>
        </is>
      </c>
      <c r="W4" s="6" t="inlineStr">
        <is>
          <t>ROIC</t>
        </is>
      </c>
      <c r="X4" s="6" t="inlineStr">
        <is>
          <t>Economic Profit</t>
        </is>
      </c>
    </row>
    <row r="5" ht="18" customHeight="1">
      <c r="A5" s="8" t="n">
        <v>1</v>
      </c>
      <c r="B5" s="9" t="n">
        <v>11244.734</v>
      </c>
      <c r="C5" s="12" t="n">
        <v>0.002472516715699436</v>
      </c>
      <c r="D5" s="12" t="n">
        <v>0.09836368436321925</v>
      </c>
      <c r="E5" s="12" t="n">
        <v>0.2056484360576105</v>
      </c>
      <c r="F5" s="12" t="n">
        <v>0.01</v>
      </c>
      <c r="G5" s="12" t="n">
        <v>0.0145620663655914</v>
      </c>
      <c r="H5" s="9" t="n">
        <v>67.09999999999999</v>
      </c>
      <c r="I5" s="9" t="n">
        <v>5</v>
      </c>
      <c r="J5" s="9" t="n">
        <v>19.3</v>
      </c>
      <c r="K5" s="9" t="n">
        <v>1106.073</v>
      </c>
      <c r="L5" s="9" t="n">
        <v>878.611</v>
      </c>
      <c r="M5" s="9" t="n">
        <v>163.747</v>
      </c>
      <c r="N5" s="9" t="n">
        <v>112.447</v>
      </c>
      <c r="O5" s="9" t="n">
        <v>2067.183</v>
      </c>
      <c r="P5" s="9" t="n">
        <v>71.212</v>
      </c>
      <c r="Q5" s="9" t="n">
        <v>274.876</v>
      </c>
      <c r="R5" s="9" t="n">
        <v>1863.518</v>
      </c>
      <c r="S5" s="9" t="n">
        <v>4.596</v>
      </c>
      <c r="T5" s="9" t="n">
        <v>925.314</v>
      </c>
      <c r="U5" s="9" t="n">
        <v>1.06801</v>
      </c>
      <c r="V5" s="9" t="n">
        <v>866.391</v>
      </c>
      <c r="W5" s="12" t="n">
        <v>0.1858707858434463</v>
      </c>
      <c r="X5" s="9" t="n">
        <v>557.128</v>
      </c>
    </row>
    <row r="6" ht="18" customHeight="1">
      <c r="A6" s="8" t="n">
        <v>2</v>
      </c>
      <c r="B6" s="9" t="n">
        <v>11272.537</v>
      </c>
      <c r="C6" s="12" t="n">
        <v>0.002472516715699436</v>
      </c>
      <c r="D6" s="12" t="n">
        <v>0.1001212574541515</v>
      </c>
      <c r="E6" s="12" t="n">
        <v>0.2056484360576105</v>
      </c>
      <c r="F6" s="12" t="n">
        <v>0.01105555555555556</v>
      </c>
      <c r="G6" s="12" t="n">
        <v>0.01503672155244923</v>
      </c>
      <c r="H6" s="9" t="n">
        <v>66.15888888888888</v>
      </c>
      <c r="I6" s="9" t="n">
        <v>9.277777777777779</v>
      </c>
      <c r="J6" s="9" t="n">
        <v>21.68777777777778</v>
      </c>
      <c r="K6" s="9" t="n">
        <v>1128.621</v>
      </c>
      <c r="L6" s="9" t="n">
        <v>896.522</v>
      </c>
      <c r="M6" s="9" t="n">
        <v>169.502</v>
      </c>
      <c r="N6" s="9" t="n">
        <v>124.624</v>
      </c>
      <c r="O6" s="9" t="n">
        <v>2043.229</v>
      </c>
      <c r="P6" s="9" t="n">
        <v>132.464</v>
      </c>
      <c r="Q6" s="9" t="n">
        <v>309.648</v>
      </c>
      <c r="R6" s="9" t="n">
        <v>1866.045</v>
      </c>
      <c r="S6" s="9" t="n">
        <v>2.527</v>
      </c>
      <c r="T6" s="9" t="n">
        <v>938.872</v>
      </c>
      <c r="U6" s="9" t="n">
        <v>1.1406453601</v>
      </c>
      <c r="V6" s="9" t="n">
        <v>823.106</v>
      </c>
      <c r="W6" s="12" t="n">
        <v>0.1915522722119336</v>
      </c>
      <c r="X6" s="9" t="n">
        <v>578.215</v>
      </c>
    </row>
    <row r="7" ht="18" customHeight="1">
      <c r="A7" s="8" t="n">
        <v>3</v>
      </c>
      <c r="B7" s="9" t="n">
        <v>11300.409</v>
      </c>
      <c r="C7" s="12" t="n">
        <v>0.002472516715699436</v>
      </c>
      <c r="D7" s="12" t="n">
        <v>0.1018788305450838</v>
      </c>
      <c r="E7" s="12" t="n">
        <v>0.2056484360576105</v>
      </c>
      <c r="F7" s="12" t="n">
        <v>0.01211111111111111</v>
      </c>
      <c r="G7" s="12" t="n">
        <v>0.01551137673930706</v>
      </c>
      <c r="H7" s="9" t="n">
        <v>65.21777777777777</v>
      </c>
      <c r="I7" s="9" t="n">
        <v>13.55555555555556</v>
      </c>
      <c r="J7" s="9" t="n">
        <v>24.07555555555556</v>
      </c>
      <c r="K7" s="9" t="n">
        <v>1151.272</v>
      </c>
      <c r="L7" s="9" t="n">
        <v>914.515</v>
      </c>
      <c r="M7" s="9" t="n">
        <v>175.285</v>
      </c>
      <c r="N7" s="9" t="n">
        <v>136.861</v>
      </c>
      <c r="O7" s="9" t="n">
        <v>2019.144</v>
      </c>
      <c r="P7" s="9" t="n">
        <v>194.018</v>
      </c>
      <c r="Q7" s="9" t="n">
        <v>344.589</v>
      </c>
      <c r="R7" s="9" t="n">
        <v>1868.573</v>
      </c>
      <c r="S7" s="9" t="n">
        <v>2.528</v>
      </c>
      <c r="T7" s="9" t="n">
        <v>950.4109999999999</v>
      </c>
      <c r="U7" s="9" t="n">
        <v>1.218220651040401</v>
      </c>
      <c r="V7" s="9" t="n">
        <v>780.163</v>
      </c>
      <c r="W7" s="12" t="n">
        <v>0.1971810328973424</v>
      </c>
      <c r="X7" s="9" t="n">
        <v>599.088</v>
      </c>
    </row>
    <row r="8" ht="18" customHeight="1">
      <c r="A8" s="8" t="n">
        <v>4</v>
      </c>
      <c r="B8" s="9" t="n">
        <v>11326.553</v>
      </c>
      <c r="C8" s="12" t="n">
        <v>0.002313569212547329</v>
      </c>
      <c r="D8" s="12" t="n">
        <v>0.103636403636016</v>
      </c>
      <c r="E8" s="12" t="n">
        <v>0.2056484360576105</v>
      </c>
      <c r="F8" s="12" t="n">
        <v>0.01316666666666667</v>
      </c>
      <c r="G8" s="12" t="n">
        <v>0.01598603192616488</v>
      </c>
      <c r="H8" s="9" t="n">
        <v>64.27666666666666</v>
      </c>
      <c r="I8" s="9" t="n">
        <v>17.83333333333333</v>
      </c>
      <c r="J8" s="9" t="n">
        <v>26.46333333333333</v>
      </c>
      <c r="K8" s="9" t="n">
        <v>1173.843</v>
      </c>
      <c r="L8" s="9" t="n">
        <v>932.444</v>
      </c>
      <c r="M8" s="9" t="n">
        <v>181.067</v>
      </c>
      <c r="N8" s="9" t="n">
        <v>149.133</v>
      </c>
      <c r="O8" s="9" t="n">
        <v>1994.611</v>
      </c>
      <c r="P8" s="9" t="n">
        <v>255.836</v>
      </c>
      <c r="Q8" s="9" t="n">
        <v>379.641</v>
      </c>
      <c r="R8" s="9" t="n">
        <v>1870.806</v>
      </c>
      <c r="S8" s="9" t="n">
        <v>2.233</v>
      </c>
      <c r="T8" s="9" t="n">
        <v>962.145</v>
      </c>
      <c r="U8" s="9" t="n">
        <v>1.301071837517658</v>
      </c>
      <c r="V8" s="9" t="n">
        <v>739.502</v>
      </c>
      <c r="W8" s="12" t="n">
        <v>0.2026149559321354</v>
      </c>
      <c r="X8" s="9" t="n">
        <v>619.4589999999999</v>
      </c>
    </row>
    <row r="9" ht="18" customHeight="1">
      <c r="A9" s="8" t="n">
        <v>5</v>
      </c>
      <c r="B9" s="9" t="n">
        <v>11350.957</v>
      </c>
      <c r="C9" s="12" t="n">
        <v>0.002154621709395222</v>
      </c>
      <c r="D9" s="12" t="n">
        <v>0.1053939767269483</v>
      </c>
      <c r="E9" s="12" t="n">
        <v>0.2056484360576105</v>
      </c>
      <c r="F9" s="12" t="n">
        <v>0.01422222222222222</v>
      </c>
      <c r="G9" s="12" t="n">
        <v>0.01646068711302271</v>
      </c>
      <c r="H9" s="9" t="n">
        <v>63.33555555555555</v>
      </c>
      <c r="I9" s="9" t="n">
        <v>22.11111111111111</v>
      </c>
      <c r="J9" s="9" t="n">
        <v>28.85111111111111</v>
      </c>
      <c r="K9" s="9" t="n">
        <v>1196.323</v>
      </c>
      <c r="L9" s="9" t="n">
        <v>950.301</v>
      </c>
      <c r="M9" s="9" t="n">
        <v>186.845</v>
      </c>
      <c r="N9" s="9" t="n">
        <v>161.436</v>
      </c>
      <c r="O9" s="9" t="n">
        <v>1969.642</v>
      </c>
      <c r="P9" s="9" t="n">
        <v>317.888</v>
      </c>
      <c r="Q9" s="9" t="n">
        <v>414.788</v>
      </c>
      <c r="R9" s="9" t="n">
        <v>1872.742</v>
      </c>
      <c r="S9" s="9" t="n">
        <v>1.936</v>
      </c>
      <c r="T9" s="9" t="n">
        <v>973.773</v>
      </c>
      <c r="U9" s="9" t="n">
        <v>1.389557733187234</v>
      </c>
      <c r="V9" s="9" t="n">
        <v>700.779</v>
      </c>
      <c r="W9" s="12" t="n">
        <v>0.207836421028135</v>
      </c>
      <c r="X9" s="9" t="n">
        <v>639.335</v>
      </c>
    </row>
    <row r="10" ht="18" customHeight="1">
      <c r="A10" s="8" t="n">
        <v>6</v>
      </c>
      <c r="B10" s="9" t="n">
        <v>11373.61</v>
      </c>
      <c r="C10" s="12" t="n">
        <v>0.001995674206243116</v>
      </c>
      <c r="D10" s="12" t="n">
        <v>0.1071515498178806</v>
      </c>
      <c r="E10" s="12" t="n">
        <v>0.2056484360576105</v>
      </c>
      <c r="F10" s="12" t="n">
        <v>0.01527777777777778</v>
      </c>
      <c r="G10" s="12" t="n">
        <v>0.01693534229988053</v>
      </c>
      <c r="H10" s="9" t="n">
        <v>62.39444444444444</v>
      </c>
      <c r="I10" s="9" t="n">
        <v>26.38888888888889</v>
      </c>
      <c r="J10" s="9" t="n">
        <v>31.23888888888889</v>
      </c>
      <c r="K10" s="9" t="n">
        <v>1218.7</v>
      </c>
      <c r="L10" s="9" t="n">
        <v>968.076</v>
      </c>
      <c r="M10" s="9" t="n">
        <v>192.616</v>
      </c>
      <c r="N10" s="9" t="n">
        <v>173.763</v>
      </c>
      <c r="O10" s="9" t="n">
        <v>1944.247</v>
      </c>
      <c r="P10" s="9" t="n">
        <v>380.146</v>
      </c>
      <c r="Q10" s="9" t="n">
        <v>450.013</v>
      </c>
      <c r="R10" s="9" t="n">
        <v>1874.38</v>
      </c>
      <c r="S10" s="9" t="n">
        <v>1.638</v>
      </c>
      <c r="T10" s="9" t="n">
        <v>985.29</v>
      </c>
      <c r="U10" s="9" t="n">
        <v>1.484061554621298</v>
      </c>
      <c r="V10" s="9" t="n">
        <v>663.915</v>
      </c>
      <c r="W10" s="12" t="n">
        <v>0.2128165596677414</v>
      </c>
      <c r="X10" s="9" t="n">
        <v>658.707</v>
      </c>
    </row>
    <row r="11" ht="18" customHeight="1">
      <c r="A11" s="8" t="n">
        <v>7</v>
      </c>
      <c r="B11" s="9" t="n">
        <v>11394.5</v>
      </c>
      <c r="C11" s="12" t="n">
        <v>0.001836726703091009</v>
      </c>
      <c r="D11" s="12" t="n">
        <v>0.1089091229088128</v>
      </c>
      <c r="E11" s="12" t="n">
        <v>0.2056484360576105</v>
      </c>
      <c r="F11" s="12" t="n">
        <v>0.01633333333333333</v>
      </c>
      <c r="G11" s="12" t="n">
        <v>0.01740999748673836</v>
      </c>
      <c r="H11" s="9" t="n">
        <v>61.45333333333333</v>
      </c>
      <c r="I11" s="9" t="n">
        <v>30.66666666666666</v>
      </c>
      <c r="J11" s="9" t="n">
        <v>33.62666666666667</v>
      </c>
      <c r="K11" s="9" t="n">
        <v>1240.965</v>
      </c>
      <c r="L11" s="9" t="n">
        <v>985.763</v>
      </c>
      <c r="M11" s="9" t="n">
        <v>198.378</v>
      </c>
      <c r="N11" s="9" t="n">
        <v>186.11</v>
      </c>
      <c r="O11" s="9" t="n">
        <v>1918.438</v>
      </c>
      <c r="P11" s="9" t="n">
        <v>442.581</v>
      </c>
      <c r="Q11" s="9" t="n">
        <v>485.3</v>
      </c>
      <c r="R11" s="9" t="n">
        <v>1875.72</v>
      </c>
      <c r="S11" s="9" t="n">
        <v>1.34</v>
      </c>
      <c r="T11" s="9" t="n">
        <v>996.691</v>
      </c>
      <c r="U11" s="9" t="n">
        <v>1.584992580951092</v>
      </c>
      <c r="V11" s="9" t="n">
        <v>628.83</v>
      </c>
      <c r="W11" s="12" t="n">
        <v>0.2175278058326499</v>
      </c>
      <c r="X11" s="9" t="n">
        <v>677.564</v>
      </c>
    </row>
    <row r="12" ht="18" customHeight="1">
      <c r="A12" s="8" t="n">
        <v>8</v>
      </c>
      <c r="B12" s="9" t="n">
        <v>11413.618</v>
      </c>
      <c r="C12" s="12" t="n">
        <v>0.001677779199938903</v>
      </c>
      <c r="D12" s="12" t="n">
        <v>0.1106666959997451</v>
      </c>
      <c r="E12" s="12" t="n">
        <v>0.2056484360576105</v>
      </c>
      <c r="F12" s="12" t="n">
        <v>0.01738888888888889</v>
      </c>
      <c r="G12" s="12" t="n">
        <v>0.01788465267359618</v>
      </c>
      <c r="H12" s="9" t="n">
        <v>60.51222222222222</v>
      </c>
      <c r="I12" s="9" t="n">
        <v>34.94444444444444</v>
      </c>
      <c r="J12" s="9" t="n">
        <v>36.01444444444444</v>
      </c>
      <c r="K12" s="9" t="n">
        <v>1263.107</v>
      </c>
      <c r="L12" s="9" t="n">
        <v>1003.351</v>
      </c>
      <c r="M12" s="9" t="n">
        <v>204.129</v>
      </c>
      <c r="N12" s="9" t="n">
        <v>198.47</v>
      </c>
      <c r="O12" s="9" t="n">
        <v>1892.228</v>
      </c>
      <c r="P12" s="9" t="n">
        <v>505.164</v>
      </c>
      <c r="Q12" s="9" t="n">
        <v>520.6319999999999</v>
      </c>
      <c r="R12" s="9" t="n">
        <v>1876.76</v>
      </c>
      <c r="S12" s="9" t="n">
        <v>1.041</v>
      </c>
      <c r="T12" s="9" t="n">
        <v>1007.969</v>
      </c>
      <c r="U12" s="9" t="n">
        <v>1.692787926381575</v>
      </c>
      <c r="V12" s="9" t="n">
        <v>595.449</v>
      </c>
      <c r="W12" s="12" t="n">
        <v>0.2219443460603078</v>
      </c>
      <c r="X12" s="9" t="n">
        <v>695.896</v>
      </c>
    </row>
    <row r="13" ht="18" customHeight="1">
      <c r="A13" s="8" t="n">
        <v>9</v>
      </c>
      <c r="B13" s="9" t="n">
        <v>11430.953</v>
      </c>
      <c r="C13" s="12" t="n">
        <v>0.001518831696786796</v>
      </c>
      <c r="D13" s="12" t="n">
        <v>0.1124242690906774</v>
      </c>
      <c r="E13" s="12" t="n">
        <v>0.2056484360576105</v>
      </c>
      <c r="F13" s="12" t="n">
        <v>0.01844444444444444</v>
      </c>
      <c r="G13" s="12" t="n">
        <v>0.01835930786045401</v>
      </c>
      <c r="H13" s="9" t="n">
        <v>59.57111111111111</v>
      </c>
      <c r="I13" s="9" t="n">
        <v>39.22222222222222</v>
      </c>
      <c r="J13" s="9" t="n">
        <v>38.40222222222222</v>
      </c>
      <c r="K13" s="9" t="n">
        <v>1285.117</v>
      </c>
      <c r="L13" s="9" t="n">
        <v>1020.834</v>
      </c>
      <c r="M13" s="9" t="n">
        <v>209.864</v>
      </c>
      <c r="N13" s="9" t="n">
        <v>210.838</v>
      </c>
      <c r="O13" s="9" t="n">
        <v>1865.629</v>
      </c>
      <c r="P13" s="9" t="n">
        <v>567.866</v>
      </c>
      <c r="Q13" s="9" t="n">
        <v>555.994</v>
      </c>
      <c r="R13" s="9" t="n">
        <v>1877.501</v>
      </c>
      <c r="S13" s="9" t="n">
        <v>740795.340233326</v>
      </c>
      <c r="T13" s="9" t="n">
        <v>1019.12</v>
      </c>
      <c r="U13" s="9" t="n">
        <v>1.807914433254786</v>
      </c>
      <c r="V13" s="9" t="n">
        <v>563.699</v>
      </c>
      <c r="W13" s="12" t="n">
        <v>0.2260425461132114</v>
      </c>
      <c r="X13" s="9" t="n">
        <v>713.693</v>
      </c>
    </row>
    <row r="14" ht="18" customHeight="1">
      <c r="A14" s="8" t="n">
        <v>10</v>
      </c>
      <c r="B14" s="9" t="n">
        <v>11446.498</v>
      </c>
      <c r="C14" s="12" t="n">
        <v>0.00135988419363469</v>
      </c>
      <c r="D14" s="12" t="n">
        <v>0.1141818421816096</v>
      </c>
      <c r="E14" s="12" t="n">
        <v>0.2056484360576105</v>
      </c>
      <c r="F14" s="12" t="n">
        <v>0.0195</v>
      </c>
      <c r="G14" s="12" t="n">
        <v>0.01883396304731183</v>
      </c>
      <c r="H14" s="9" t="n">
        <v>58.63</v>
      </c>
      <c r="I14" s="9" t="n">
        <v>43.5</v>
      </c>
      <c r="J14" s="9" t="n">
        <v>40.79</v>
      </c>
      <c r="K14" s="9" t="n">
        <v>1306.982</v>
      </c>
      <c r="L14" s="9" t="n">
        <v>1038.203</v>
      </c>
      <c r="M14" s="9" t="n">
        <v>215.583</v>
      </c>
      <c r="N14" s="9" t="n">
        <v>223.207</v>
      </c>
      <c r="O14" s="9" t="n">
        <v>1838.653</v>
      </c>
      <c r="P14" s="9" t="n">
        <v>630.657</v>
      </c>
      <c r="Q14" s="9" t="n">
        <v>591.367</v>
      </c>
      <c r="R14" s="9" t="n">
        <v>1877.942</v>
      </c>
      <c r="S14" s="9" t="n">
        <v>440627.4448699951</v>
      </c>
      <c r="T14" s="9" t="n">
        <v>1030.139</v>
      </c>
      <c r="U14" s="9" t="n">
        <v>1.930870693860444</v>
      </c>
      <c r="V14" s="9" t="n">
        <v>533.51</v>
      </c>
      <c r="W14" s="12" t="n">
        <v>0.2298013401563148</v>
      </c>
      <c r="X14" s="9" t="n">
        <v>730.946</v>
      </c>
    </row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0" customWidth="1" min="2" max="2"/>
    <col width="16" customWidth="1" min="3" max="3"/>
    <col width="4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WACC Build</t>
        </is>
      </c>
    </row>
    <row r="2" ht="18" customHeight="1">
      <c r="A2" s="2" t="inlineStr">
        <is>
          <t>Scenario discount rates use the effective WACC plus visible scenario spreads.</t>
        </is>
      </c>
    </row>
    <row r="3" ht="18" customHeight="1"/>
    <row r="4" ht="18" customHeight="1">
      <c r="A4" s="6" t="inlineStr">
        <is>
          <t>Line</t>
        </is>
      </c>
      <c r="B4" s="6" t="inlineStr">
        <is>
          <t>Formula / Source</t>
        </is>
      </c>
      <c r="C4" s="6" t="inlineStr">
        <is>
          <t>Value</t>
        </is>
      </c>
      <c r="D4" s="6" t="inlineStr">
        <is>
          <t>Notes</t>
        </is>
      </c>
    </row>
    <row r="5" ht="18" customHeight="1">
      <c r="A5" s="7" t="inlineStr">
        <is>
          <t>Backend WACC</t>
        </is>
      </c>
      <c r="B5" s="7" t="inlineStr">
        <is>
          <t>'Assumptions'!$E$31</t>
        </is>
      </c>
      <c r="C5" s="18">
        <f>'Assumptions'!$E$31</f>
        <v/>
      </c>
      <c r="D5" s="7" t="inlineStr">
        <is>
          <t>Default discount rate from backend</t>
        </is>
      </c>
    </row>
    <row r="6" ht="18" customHeight="1">
      <c r="A6" s="7" t="inlineStr">
        <is>
          <t>Cost of Equity</t>
        </is>
      </c>
      <c r="B6" s="7" t="inlineStr">
        <is>
          <t>'Assumptions'!$E$32</t>
        </is>
      </c>
      <c r="C6" s="18">
        <f>'Assumptions'!$E$32</f>
        <v/>
      </c>
      <c r="D6" s="7" t="inlineStr">
        <is>
          <t>Source value when risk-free / ERP are unavailable</t>
        </is>
      </c>
    </row>
    <row r="7" ht="18" customHeight="1">
      <c r="A7" s="7" t="inlineStr">
        <is>
          <t>Risk-free Rate</t>
        </is>
      </c>
      <c r="B7" s="7" t="inlineStr">
        <is>
          <t>'Assumptions'!$E$34</t>
        </is>
      </c>
      <c r="C7" s="18">
        <f>'Assumptions'!$E$34</f>
        <v/>
      </c>
      <c r="D7" s="7" t="inlineStr">
        <is>
          <t>Blank if not supplied</t>
        </is>
      </c>
    </row>
    <row r="8" ht="18" customHeight="1">
      <c r="A8" s="7" t="inlineStr">
        <is>
          <t>Equity Risk Premium</t>
        </is>
      </c>
      <c r="B8" s="7" t="inlineStr">
        <is>
          <t>'Assumptions'!$E$35</t>
        </is>
      </c>
      <c r="C8" s="18">
        <f>'Assumptions'!$E$35</f>
        <v/>
      </c>
      <c r="D8" s="7" t="inlineStr">
        <is>
          <t>Blank if not supplied</t>
        </is>
      </c>
    </row>
    <row r="9" ht="18" customHeight="1">
      <c r="A9" s="7" t="inlineStr">
        <is>
          <t>Relevered Beta</t>
        </is>
      </c>
      <c r="B9" s="7" t="inlineStr">
        <is>
          <t>'Assumptions'!$E$36</t>
        </is>
      </c>
      <c r="C9" s="18">
        <f>'Assumptions'!$E$36</f>
        <v/>
      </c>
      <c r="D9" s="7" t="inlineStr">
        <is>
          <t>Peer / capital-structure beta</t>
        </is>
      </c>
    </row>
    <row r="10" ht="18" customHeight="1">
      <c r="A10" s="7" t="inlineStr">
        <is>
          <t>Size Premium</t>
        </is>
      </c>
      <c r="B10" s="7" t="inlineStr">
        <is>
          <t>'Assumptions'!$E$37</t>
        </is>
      </c>
      <c r="C10" s="18">
        <f>'Assumptions'!$E$37</f>
        <v/>
      </c>
      <c r="D10" s="7" t="inlineStr">
        <is>
          <t>Source value</t>
        </is>
      </c>
    </row>
    <row r="11" ht="18" customHeight="1">
      <c r="A11" s="7" t="inlineStr">
        <is>
          <t>Equity Weight</t>
        </is>
      </c>
      <c r="B11" s="7" t="inlineStr">
        <is>
          <t>'Assumptions'!$E$38</t>
        </is>
      </c>
      <c r="C11" s="18">
        <f>'Assumptions'!$E$38</f>
        <v/>
      </c>
      <c r="D11" s="7" t="inlineStr">
        <is>
          <t>Market value capital weight</t>
        </is>
      </c>
    </row>
    <row r="12" ht="18" customHeight="1">
      <c r="A12" s="7" t="inlineStr">
        <is>
          <t>Debt Weight</t>
        </is>
      </c>
      <c r="B12" s="7" t="inlineStr">
        <is>
          <t>'Assumptions'!$E$39</t>
        </is>
      </c>
      <c r="C12" s="18">
        <f>'Assumptions'!$E$39</f>
        <v/>
      </c>
      <c r="D12" s="7" t="inlineStr">
        <is>
          <t>Market value capital weight</t>
        </is>
      </c>
    </row>
    <row r="13" ht="18" customHeight="1">
      <c r="A13" s="7" t="inlineStr">
        <is>
          <t>Cost of Debt</t>
        </is>
      </c>
      <c r="B13" s="7" t="inlineStr">
        <is>
          <t>'Assumptions'!$E$33</t>
        </is>
      </c>
      <c r="C13" s="18">
        <f>'Assumptions'!$E$33</f>
        <v/>
      </c>
      <c r="D13" s="7" t="inlineStr">
        <is>
          <t>Blank if not supplied</t>
        </is>
      </c>
    </row>
    <row r="14" ht="18" customHeight="1">
      <c r="A14" s="7" t="inlineStr">
        <is>
          <t>Rebuilt Cost of Equity</t>
        </is>
      </c>
      <c r="B14" s="7">
        <f>IF(OR(ISBLANK('Assumptions'!$E$34),ISBLANK('Assumptions'!$E$35)),'Assumptions'!$E$32,'Assumptions'!$E$34+'Assumptions'!$E$36*'Assumptions'!$E$35+'Assumptions'!$E$37)</f>
        <v/>
      </c>
      <c r="C14" s="18">
        <f>IF(OR(ISBLANK('Assumptions'!$E$34),ISBLANK('Assumptions'!$E$35)),'Assumptions'!$E$32,'Assumptions'!$E$34+'Assumptions'!$E$36*'Assumptions'!$E$35+'Assumptions'!$E$37)</f>
        <v/>
      </c>
      <c r="D14" s="7" t="inlineStr">
        <is>
          <t>Falls back to backend cost of equity</t>
        </is>
      </c>
    </row>
    <row r="15" ht="18" customHeight="1">
      <c r="A15" s="7" t="inlineStr">
        <is>
          <t>Base Case WACC</t>
        </is>
      </c>
      <c r="B15" s="7" t="inlineStr">
        <is>
          <t>'Assumptions'!$E$31</t>
        </is>
      </c>
      <c r="C15" s="18">
        <f>'Assumptions'!$E$31</f>
        <v/>
      </c>
      <c r="D15" s="7" t="inlineStr">
        <is>
          <t>Used in DCF_Base</t>
        </is>
      </c>
    </row>
    <row r="16" ht="18" customHeight="1">
      <c r="A16" s="7" t="inlineStr">
        <is>
          <t>Bear Case WACC</t>
        </is>
      </c>
      <c r="B16" s="7">
        <f>'Assumptions'!$E$31+'Assumptions'!$E$46</f>
        <v/>
      </c>
      <c r="C16" s="18">
        <f>'Assumptions'!$E$31+'Assumptions'!$E$46</f>
        <v/>
      </c>
      <c r="D16" s="7" t="inlineStr">
        <is>
          <t>Used in DCF_Bear</t>
        </is>
      </c>
    </row>
    <row r="17" ht="18" customHeight="1">
      <c r="A17" s="7" t="inlineStr">
        <is>
          <t>Bull Case WACC</t>
        </is>
      </c>
      <c r="B17" s="7">
        <f>'Assumptions'!$E$31+'Assumptions'!$E$51</f>
        <v/>
      </c>
      <c r="C17" s="18">
        <f>'Assumptions'!$E$31+'Assumptions'!$E$51</f>
        <v/>
      </c>
      <c r="D17" s="7" t="inlineStr">
        <is>
          <t>Used in DCF_Bull</t>
        </is>
      </c>
    </row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</cols>
  <sheetData>
    <row r="1" ht="24" customHeight="1">
      <c r="A1" s="1" t="inlineStr">
        <is>
          <t>Base Case DCF</t>
        </is>
      </c>
    </row>
    <row r="2" ht="18" customHeight="1">
      <c r="A2" s="2" t="inlineStr">
        <is>
          <t>Operating forecast, FCFF bridge, terminal value, and equity value per share</t>
        </is>
      </c>
    </row>
    <row r="3" ht="18" customHeight="1"/>
    <row r="4" ht="18" customHeight="1">
      <c r="A4" s="19" t="inlineStr">
        <is>
          <t>Scenario Controls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 ht="18" customHeight="1">
      <c r="A5" s="21" t="inlineStr">
        <is>
          <t>WACC</t>
        </is>
      </c>
      <c r="B5" s="18">
        <f>'Assumptions'!$E$31</f>
        <v/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18" customHeight="1">
      <c r="A6" s="21" t="inlineStr">
        <is>
          <t>Terminal Growth</t>
        </is>
      </c>
      <c r="B6" s="18">
        <f>'Assumptions'!$E$18</f>
        <v/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18" customHeight="1">
      <c r="A7" s="21" t="inlineStr">
        <is>
          <t>Exit Multiple</t>
        </is>
      </c>
      <c r="B7" s="22">
        <f>'Assumptions'!$E$40</f>
        <v/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21" t="inlineStr">
        <is>
          <t>Terminal Gordon Weight</t>
        </is>
      </c>
      <c r="B8" s="18">
        <f>'Assumptions'!$E$42</f>
        <v/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18" customHeight="1">
      <c r="A9" s="21" t="inlineStr">
        <is>
          <t>Current Price</t>
        </is>
      </c>
      <c r="B9" s="22">
        <f>'Assumptions'!$E$5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8" customHeight="1">
      <c r="A12" s="19" t="inlineStr">
        <is>
          <t>Forecast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</row>
    <row r="13" ht="18" customHeight="1">
      <c r="A13" s="7" t="n"/>
      <c r="B13" s="7" t="n"/>
      <c r="C13" s="21" t="inlineStr">
        <is>
          <t>Y1E</t>
        </is>
      </c>
      <c r="D13" s="21" t="inlineStr">
        <is>
          <t>Y2E</t>
        </is>
      </c>
      <c r="E13" s="21" t="inlineStr">
        <is>
          <t>Y3E</t>
        </is>
      </c>
      <c r="F13" s="21" t="inlineStr">
        <is>
          <t>Y4E</t>
        </is>
      </c>
      <c r="G13" s="21" t="inlineStr">
        <is>
          <t>Y5E</t>
        </is>
      </c>
      <c r="H13" s="21" t="inlineStr">
        <is>
          <t>Y6E</t>
        </is>
      </c>
      <c r="I13" s="21" t="inlineStr">
        <is>
          <t>Y7E</t>
        </is>
      </c>
      <c r="J13" s="21" t="inlineStr">
        <is>
          <t>Y8E</t>
        </is>
      </c>
      <c r="K13" s="21" t="inlineStr">
        <is>
          <t>Y9E</t>
        </is>
      </c>
      <c r="L13" s="21" t="inlineStr">
        <is>
          <t>Y10E</t>
        </is>
      </c>
    </row>
    <row r="14" ht="18" customHeight="1">
      <c r="A14" s="7" t="inlineStr">
        <is>
          <t>Revenue</t>
        </is>
      </c>
      <c r="B14" s="7" t="inlineStr">
        <is>
          <t>$mm</t>
        </is>
      </c>
      <c r="C14" s="22">
        <f>'Input_Forecast'!$B$5</f>
        <v/>
      </c>
      <c r="D14" s="22">
        <f>'Input_Forecast'!$B$6</f>
        <v/>
      </c>
      <c r="E14" s="22">
        <f>'Input_Forecast'!$B$7</f>
        <v/>
      </c>
      <c r="F14" s="22">
        <f>'Input_Forecast'!$B$8</f>
        <v/>
      </c>
      <c r="G14" s="22">
        <f>'Input_Forecast'!$B$9</f>
        <v/>
      </c>
      <c r="H14" s="22">
        <f>'Input_Forecast'!$B$10</f>
        <v/>
      </c>
      <c r="I14" s="22">
        <f>'Input_Forecast'!$B$11</f>
        <v/>
      </c>
      <c r="J14" s="22">
        <f>'Input_Forecast'!$B$12</f>
        <v/>
      </c>
      <c r="K14" s="22">
        <f>'Input_Forecast'!$B$13</f>
        <v/>
      </c>
      <c r="L14" s="22">
        <f>'Input_Forecast'!$B$14</f>
        <v/>
      </c>
    </row>
    <row r="15" ht="18" customHeight="1">
      <c r="A15" s="7" t="inlineStr">
        <is>
          <t>Revenue Growth</t>
        </is>
      </c>
      <c r="B15" s="7" t="inlineStr">
        <is>
          <t>%</t>
        </is>
      </c>
      <c r="C15" s="18">
        <f>'Input_Forecast'!$C$5</f>
        <v/>
      </c>
      <c r="D15" s="18">
        <f>'Input_Forecast'!$C$6</f>
        <v/>
      </c>
      <c r="E15" s="18">
        <f>'Input_Forecast'!$C$7</f>
        <v/>
      </c>
      <c r="F15" s="18">
        <f>'Input_Forecast'!$C$8</f>
        <v/>
      </c>
      <c r="G15" s="18">
        <f>'Input_Forecast'!$C$9</f>
        <v/>
      </c>
      <c r="H15" s="18">
        <f>'Input_Forecast'!$C$10</f>
        <v/>
      </c>
      <c r="I15" s="18">
        <f>'Input_Forecast'!$C$11</f>
        <v/>
      </c>
      <c r="J15" s="18">
        <f>'Input_Forecast'!$C$12</f>
        <v/>
      </c>
      <c r="K15" s="18">
        <f>'Input_Forecast'!$C$13</f>
        <v/>
      </c>
      <c r="L15" s="18">
        <f>'Input_Forecast'!$C$14</f>
        <v/>
      </c>
    </row>
    <row r="16" ht="18" customHeight="1">
      <c r="A16" s="7" t="inlineStr">
        <is>
          <t>EBIT Margin</t>
        </is>
      </c>
      <c r="B16" s="7" t="inlineStr">
        <is>
          <t>%</t>
        </is>
      </c>
      <c r="C16" s="18">
        <f>'Input_Forecast'!$D$5</f>
        <v/>
      </c>
      <c r="D16" s="18">
        <f>'Input_Forecast'!$D$6</f>
        <v/>
      </c>
      <c r="E16" s="18">
        <f>'Input_Forecast'!$D$7</f>
        <v/>
      </c>
      <c r="F16" s="18">
        <f>'Input_Forecast'!$D$8</f>
        <v/>
      </c>
      <c r="G16" s="18">
        <f>'Input_Forecast'!$D$9</f>
        <v/>
      </c>
      <c r="H16" s="18">
        <f>'Input_Forecast'!$D$10</f>
        <v/>
      </c>
      <c r="I16" s="18">
        <f>'Input_Forecast'!$D$11</f>
        <v/>
      </c>
      <c r="J16" s="18">
        <f>'Input_Forecast'!$D$12</f>
        <v/>
      </c>
      <c r="K16" s="18">
        <f>'Input_Forecast'!$D$13</f>
        <v/>
      </c>
      <c r="L16" s="18">
        <f>'Input_Forecast'!$D$14</f>
        <v/>
      </c>
    </row>
    <row r="17" ht="18" customHeight="1">
      <c r="A17" s="7" t="inlineStr">
        <is>
          <t>EBIT</t>
        </is>
      </c>
      <c r="B17" s="7" t="inlineStr">
        <is>
          <t>$mm</t>
        </is>
      </c>
      <c r="C17" s="22">
        <f>C14*C16</f>
        <v/>
      </c>
      <c r="D17" s="22">
        <f>D14*D16</f>
        <v/>
      </c>
      <c r="E17" s="22">
        <f>E14*E16</f>
        <v/>
      </c>
      <c r="F17" s="22">
        <f>F14*F16</f>
        <v/>
      </c>
      <c r="G17" s="22">
        <f>G14*G16</f>
        <v/>
      </c>
      <c r="H17" s="22">
        <f>H14*H16</f>
        <v/>
      </c>
      <c r="I17" s="22">
        <f>I14*I16</f>
        <v/>
      </c>
      <c r="J17" s="22">
        <f>J14*J16</f>
        <v/>
      </c>
      <c r="K17" s="22">
        <f>K14*K16</f>
        <v/>
      </c>
      <c r="L17" s="22">
        <f>L14*L16</f>
        <v/>
      </c>
    </row>
    <row r="18" ht="18" customHeight="1">
      <c r="A18" s="7" t="inlineStr">
        <is>
          <t>Tax Rate</t>
        </is>
      </c>
      <c r="B18" s="7" t="inlineStr">
        <is>
          <t>%</t>
        </is>
      </c>
      <c r="C18" s="18">
        <f>'Input_Forecast'!$E$5</f>
        <v/>
      </c>
      <c r="D18" s="18">
        <f>'Input_Forecast'!$E$6</f>
        <v/>
      </c>
      <c r="E18" s="18">
        <f>'Input_Forecast'!$E$7</f>
        <v/>
      </c>
      <c r="F18" s="18">
        <f>'Input_Forecast'!$E$8</f>
        <v/>
      </c>
      <c r="G18" s="18">
        <f>'Input_Forecast'!$E$9</f>
        <v/>
      </c>
      <c r="H18" s="18">
        <f>'Input_Forecast'!$E$10</f>
        <v/>
      </c>
      <c r="I18" s="18">
        <f>'Input_Forecast'!$E$11</f>
        <v/>
      </c>
      <c r="J18" s="18">
        <f>'Input_Forecast'!$E$12</f>
        <v/>
      </c>
      <c r="K18" s="18">
        <f>'Input_Forecast'!$E$13</f>
        <v/>
      </c>
      <c r="L18" s="18">
        <f>'Input_Forecast'!$E$14</f>
        <v/>
      </c>
    </row>
    <row r="19" ht="18" customHeight="1">
      <c r="A19" s="7" t="inlineStr">
        <is>
          <t>NOPAT</t>
        </is>
      </c>
      <c r="B19" s="7" t="inlineStr">
        <is>
          <t>$mm</t>
        </is>
      </c>
      <c r="C19" s="22">
        <f>C17*(1-C18)</f>
        <v/>
      </c>
      <c r="D19" s="22">
        <f>D17*(1-D18)</f>
        <v/>
      </c>
      <c r="E19" s="22">
        <f>E17*(1-E18)</f>
        <v/>
      </c>
      <c r="F19" s="22">
        <f>F17*(1-F18)</f>
        <v/>
      </c>
      <c r="G19" s="22">
        <f>G17*(1-G18)</f>
        <v/>
      </c>
      <c r="H19" s="22">
        <f>H17*(1-H18)</f>
        <v/>
      </c>
      <c r="I19" s="22">
        <f>I17*(1-I18)</f>
        <v/>
      </c>
      <c r="J19" s="22">
        <f>J17*(1-J18)</f>
        <v/>
      </c>
      <c r="K19" s="22">
        <f>K17*(1-K18)</f>
        <v/>
      </c>
      <c r="L19" s="22">
        <f>L17*(1-L18)</f>
        <v/>
      </c>
    </row>
    <row r="20" ht="18" customHeight="1">
      <c r="A20" s="7" t="inlineStr">
        <is>
          <t>D&amp;A % Revenue</t>
        </is>
      </c>
      <c r="B20" s="7" t="inlineStr">
        <is>
          <t>%</t>
        </is>
      </c>
      <c r="C20" s="18">
        <f>'Input_Forecast'!$G$5</f>
        <v/>
      </c>
      <c r="D20" s="18">
        <f>'Input_Forecast'!$G$6</f>
        <v/>
      </c>
      <c r="E20" s="18">
        <f>'Input_Forecast'!$G$7</f>
        <v/>
      </c>
      <c r="F20" s="18">
        <f>'Input_Forecast'!$G$8</f>
        <v/>
      </c>
      <c r="G20" s="18">
        <f>'Input_Forecast'!$G$9</f>
        <v/>
      </c>
      <c r="H20" s="18">
        <f>'Input_Forecast'!$G$10</f>
        <v/>
      </c>
      <c r="I20" s="18">
        <f>'Input_Forecast'!$G$11</f>
        <v/>
      </c>
      <c r="J20" s="18">
        <f>'Input_Forecast'!$G$12</f>
        <v/>
      </c>
      <c r="K20" s="18">
        <f>'Input_Forecast'!$G$13</f>
        <v/>
      </c>
      <c r="L20" s="18">
        <f>'Input_Forecast'!$G$14</f>
        <v/>
      </c>
    </row>
    <row r="21" ht="18" customHeight="1">
      <c r="A21" s="7" t="inlineStr">
        <is>
          <t>D&amp;A</t>
        </is>
      </c>
      <c r="B21" s="7" t="inlineStr">
        <is>
          <t>$mm</t>
        </is>
      </c>
      <c r="C21" s="22">
        <f>C14*C20</f>
        <v/>
      </c>
      <c r="D21" s="22">
        <f>D14*D20</f>
        <v/>
      </c>
      <c r="E21" s="22">
        <f>E14*E20</f>
        <v/>
      </c>
      <c r="F21" s="22">
        <f>F14*F20</f>
        <v/>
      </c>
      <c r="G21" s="22">
        <f>G14*G20</f>
        <v/>
      </c>
      <c r="H21" s="22">
        <f>H14*H20</f>
        <v/>
      </c>
      <c r="I21" s="22">
        <f>I14*I20</f>
        <v/>
      </c>
      <c r="J21" s="22">
        <f>J14*J20</f>
        <v/>
      </c>
      <c r="K21" s="22">
        <f>K14*K20</f>
        <v/>
      </c>
      <c r="L21" s="22">
        <f>L14*L20</f>
        <v/>
      </c>
    </row>
    <row r="22" ht="18" customHeight="1">
      <c r="A22" s="7" t="inlineStr">
        <is>
          <t>Capex % Revenue</t>
        </is>
      </c>
      <c r="B22" s="7" t="inlineStr">
        <is>
          <t>%</t>
        </is>
      </c>
      <c r="C22" s="18">
        <f>'Input_Forecast'!$F$5</f>
        <v/>
      </c>
      <c r="D22" s="18">
        <f>'Input_Forecast'!$F$6</f>
        <v/>
      </c>
      <c r="E22" s="18">
        <f>'Input_Forecast'!$F$7</f>
        <v/>
      </c>
      <c r="F22" s="18">
        <f>'Input_Forecast'!$F$8</f>
        <v/>
      </c>
      <c r="G22" s="18">
        <f>'Input_Forecast'!$F$9</f>
        <v/>
      </c>
      <c r="H22" s="18">
        <f>'Input_Forecast'!$F$10</f>
        <v/>
      </c>
      <c r="I22" s="18">
        <f>'Input_Forecast'!$F$11</f>
        <v/>
      </c>
      <c r="J22" s="18">
        <f>'Input_Forecast'!$F$12</f>
        <v/>
      </c>
      <c r="K22" s="18">
        <f>'Input_Forecast'!$F$13</f>
        <v/>
      </c>
      <c r="L22" s="18">
        <f>'Input_Forecast'!$F$14</f>
        <v/>
      </c>
    </row>
    <row r="23" ht="18" customHeight="1">
      <c r="A23" s="7" t="inlineStr">
        <is>
          <t>Capex</t>
        </is>
      </c>
      <c r="B23" s="7" t="inlineStr">
        <is>
          <t>$mm</t>
        </is>
      </c>
      <c r="C23" s="22">
        <f>C14*C22</f>
        <v/>
      </c>
      <c r="D23" s="22">
        <f>D14*D22</f>
        <v/>
      </c>
      <c r="E23" s="22">
        <f>E14*E22</f>
        <v/>
      </c>
      <c r="F23" s="22">
        <f>F14*F22</f>
        <v/>
      </c>
      <c r="G23" s="22">
        <f>G14*G22</f>
        <v/>
      </c>
      <c r="H23" s="22">
        <f>H14*H22</f>
        <v/>
      </c>
      <c r="I23" s="22">
        <f>I14*I22</f>
        <v/>
      </c>
      <c r="J23" s="22">
        <f>J14*J22</f>
        <v/>
      </c>
      <c r="K23" s="22">
        <f>K14*K22</f>
        <v/>
      </c>
      <c r="L23" s="22">
        <f>L14*L22</f>
        <v/>
      </c>
    </row>
    <row r="24" ht="18" customHeight="1">
      <c r="A24" s="7" t="inlineStr">
        <is>
          <t>DSO</t>
        </is>
      </c>
      <c r="B24" s="7" t="inlineStr">
        <is>
          <t>days</t>
        </is>
      </c>
      <c r="C24" s="7">
        <f>'Input_Forecast'!$H$5</f>
        <v/>
      </c>
      <c r="D24" s="7">
        <f>'Input_Forecast'!$H$6</f>
        <v/>
      </c>
      <c r="E24" s="7">
        <f>'Input_Forecast'!$H$7</f>
        <v/>
      </c>
      <c r="F24" s="7">
        <f>'Input_Forecast'!$H$8</f>
        <v/>
      </c>
      <c r="G24" s="7">
        <f>'Input_Forecast'!$H$9</f>
        <v/>
      </c>
      <c r="H24" s="7">
        <f>'Input_Forecast'!$H$10</f>
        <v/>
      </c>
      <c r="I24" s="7">
        <f>'Input_Forecast'!$H$11</f>
        <v/>
      </c>
      <c r="J24" s="7">
        <f>'Input_Forecast'!$H$12</f>
        <v/>
      </c>
      <c r="K24" s="7">
        <f>'Input_Forecast'!$H$13</f>
        <v/>
      </c>
      <c r="L24" s="7">
        <f>'Input_Forecast'!$H$14</f>
        <v/>
      </c>
    </row>
    <row r="25" ht="18" customHeight="1">
      <c r="A25" s="7" t="inlineStr">
        <is>
          <t>DIO</t>
        </is>
      </c>
      <c r="B25" s="7" t="inlineStr">
        <is>
          <t>days</t>
        </is>
      </c>
      <c r="C25" s="7">
        <f>'Input_Forecast'!$I$5</f>
        <v/>
      </c>
      <c r="D25" s="7">
        <f>'Input_Forecast'!$I$6</f>
        <v/>
      </c>
      <c r="E25" s="7">
        <f>'Input_Forecast'!$I$7</f>
        <v/>
      </c>
      <c r="F25" s="7">
        <f>'Input_Forecast'!$I$8</f>
        <v/>
      </c>
      <c r="G25" s="7">
        <f>'Input_Forecast'!$I$9</f>
        <v/>
      </c>
      <c r="H25" s="7">
        <f>'Input_Forecast'!$I$10</f>
        <v/>
      </c>
      <c r="I25" s="7">
        <f>'Input_Forecast'!$I$11</f>
        <v/>
      </c>
      <c r="J25" s="7">
        <f>'Input_Forecast'!$I$12</f>
        <v/>
      </c>
      <c r="K25" s="7">
        <f>'Input_Forecast'!$I$13</f>
        <v/>
      </c>
      <c r="L25" s="7">
        <f>'Input_Forecast'!$I$14</f>
        <v/>
      </c>
    </row>
    <row r="26" ht="18" customHeight="1">
      <c r="A26" s="7" t="inlineStr">
        <is>
          <t>DPO</t>
        </is>
      </c>
      <c r="B26" s="7" t="inlineStr">
        <is>
          <t>days</t>
        </is>
      </c>
      <c r="C26" s="7">
        <f>'Input_Forecast'!$J$5</f>
        <v/>
      </c>
      <c r="D26" s="7">
        <f>'Input_Forecast'!$J$6</f>
        <v/>
      </c>
      <c r="E26" s="7">
        <f>'Input_Forecast'!$J$7</f>
        <v/>
      </c>
      <c r="F26" s="7">
        <f>'Input_Forecast'!$J$8</f>
        <v/>
      </c>
      <c r="G26" s="7">
        <f>'Input_Forecast'!$J$9</f>
        <v/>
      </c>
      <c r="H26" s="7">
        <f>'Input_Forecast'!$J$10</f>
        <v/>
      </c>
      <c r="I26" s="7">
        <f>'Input_Forecast'!$J$11</f>
        <v/>
      </c>
      <c r="J26" s="7">
        <f>'Input_Forecast'!$J$12</f>
        <v/>
      </c>
      <c r="K26" s="7">
        <f>'Input_Forecast'!$J$13</f>
        <v/>
      </c>
      <c r="L26" s="7">
        <f>'Input_Forecast'!$J$14</f>
        <v/>
      </c>
    </row>
    <row r="27" ht="18" customHeight="1">
      <c r="A27" s="7" t="inlineStr">
        <is>
          <t>Accounts Receivable</t>
        </is>
      </c>
      <c r="B27" s="7" t="inlineStr">
        <is>
          <t>$mm</t>
        </is>
      </c>
      <c r="C27" s="22">
        <f>C14*C24/365</f>
        <v/>
      </c>
      <c r="D27" s="22">
        <f>D14*D24/365</f>
        <v/>
      </c>
      <c r="E27" s="22">
        <f>E14*E24/365</f>
        <v/>
      </c>
      <c r="F27" s="22">
        <f>F14*F24/365</f>
        <v/>
      </c>
      <c r="G27" s="22">
        <f>G14*G24/365</f>
        <v/>
      </c>
      <c r="H27" s="22">
        <f>H14*H24/365</f>
        <v/>
      </c>
      <c r="I27" s="22">
        <f>I14*I24/365</f>
        <v/>
      </c>
      <c r="J27" s="22">
        <f>J14*J24/365</f>
        <v/>
      </c>
      <c r="K27" s="22">
        <f>K14*K24/365</f>
        <v/>
      </c>
      <c r="L27" s="22">
        <f>L14*L24/365</f>
        <v/>
      </c>
    </row>
    <row r="28" ht="18" customHeight="1">
      <c r="A28" s="7" t="inlineStr">
        <is>
          <t>Inventory</t>
        </is>
      </c>
      <c r="B28" s="7" t="inlineStr">
        <is>
          <t>$mm</t>
        </is>
      </c>
      <c r="C28" s="22">
        <f>C14*C25/365</f>
        <v/>
      </c>
      <c r="D28" s="22">
        <f>D14*D25/365</f>
        <v/>
      </c>
      <c r="E28" s="22">
        <f>E14*E25/365</f>
        <v/>
      </c>
      <c r="F28" s="22">
        <f>F14*F25/365</f>
        <v/>
      </c>
      <c r="G28" s="22">
        <f>G14*G25/365</f>
        <v/>
      </c>
      <c r="H28" s="22">
        <f>H14*H25/365</f>
        <v/>
      </c>
      <c r="I28" s="22">
        <f>I14*I25/365</f>
        <v/>
      </c>
      <c r="J28" s="22">
        <f>J14*J25/365</f>
        <v/>
      </c>
      <c r="K28" s="22">
        <f>K14*K25/365</f>
        <v/>
      </c>
      <c r="L28" s="22">
        <f>L14*L25/365</f>
        <v/>
      </c>
    </row>
    <row r="29" ht="18" customHeight="1">
      <c r="A29" s="7" t="inlineStr">
        <is>
          <t>Accounts Payable</t>
        </is>
      </c>
      <c r="B29" s="7" t="inlineStr">
        <is>
          <t>$mm</t>
        </is>
      </c>
      <c r="C29" s="22">
        <f>C14*C26/365</f>
        <v/>
      </c>
      <c r="D29" s="22">
        <f>D14*D26/365</f>
        <v/>
      </c>
      <c r="E29" s="22">
        <f>E14*E26/365</f>
        <v/>
      </c>
      <c r="F29" s="22">
        <f>F14*F26/365</f>
        <v/>
      </c>
      <c r="G29" s="22">
        <f>G14*G26/365</f>
        <v/>
      </c>
      <c r="H29" s="22">
        <f>H14*H26/365</f>
        <v/>
      </c>
      <c r="I29" s="22">
        <f>I14*I26/365</f>
        <v/>
      </c>
      <c r="J29" s="22">
        <f>J14*J26/365</f>
        <v/>
      </c>
      <c r="K29" s="22">
        <f>K14*K26/365</f>
        <v/>
      </c>
      <c r="L29" s="22">
        <f>L14*L26/365</f>
        <v/>
      </c>
    </row>
    <row r="30" ht="18" customHeight="1">
      <c r="A30" s="7" t="inlineStr">
        <is>
          <t>Net Working Capital</t>
        </is>
      </c>
      <c r="B30" s="7" t="inlineStr">
        <is>
          <t>$mm</t>
        </is>
      </c>
      <c r="C30" s="22">
        <f>C27+C28-C29</f>
        <v/>
      </c>
      <c r="D30" s="22">
        <f>D27+D28-D29</f>
        <v/>
      </c>
      <c r="E30" s="22">
        <f>E27+E28-E29</f>
        <v/>
      </c>
      <c r="F30" s="22">
        <f>F27+F28-F29</f>
        <v/>
      </c>
      <c r="G30" s="22">
        <f>G27+G28-G29</f>
        <v/>
      </c>
      <c r="H30" s="22">
        <f>H27+H28-H29</f>
        <v/>
      </c>
      <c r="I30" s="22">
        <f>I27+I28-I29</f>
        <v/>
      </c>
      <c r="J30" s="22">
        <f>J27+J28-J29</f>
        <v/>
      </c>
      <c r="K30" s="22">
        <f>K27+K28-K29</f>
        <v/>
      </c>
      <c r="L30" s="22">
        <f>L27+L28-L29</f>
        <v/>
      </c>
    </row>
    <row r="31" ht="18" customHeight="1">
      <c r="A31" s="7" t="inlineStr">
        <is>
          <t>Delta NWC</t>
        </is>
      </c>
      <c r="B31" s="7" t="inlineStr">
        <is>
          <t>$mm</t>
        </is>
      </c>
      <c r="C31" s="22">
        <f>'Input_Forecast'!$S$5</f>
        <v/>
      </c>
      <c r="D31" s="22">
        <f>'Input_Forecast'!$S$6</f>
        <v/>
      </c>
      <c r="E31" s="22">
        <f>'Input_Forecast'!$S$7</f>
        <v/>
      </c>
      <c r="F31" s="22">
        <f>'Input_Forecast'!$S$8</f>
        <v/>
      </c>
      <c r="G31" s="22">
        <f>'Input_Forecast'!$S$9</f>
        <v/>
      </c>
      <c r="H31" s="22">
        <f>'Input_Forecast'!$S$10</f>
        <v/>
      </c>
      <c r="I31" s="22">
        <f>'Input_Forecast'!$S$11</f>
        <v/>
      </c>
      <c r="J31" s="22">
        <f>'Input_Forecast'!$S$12</f>
        <v/>
      </c>
      <c r="K31" s="22">
        <f>'Input_Forecast'!$S$13</f>
        <v/>
      </c>
      <c r="L31" s="22">
        <f>'Input_Forecast'!$S$14</f>
        <v/>
      </c>
    </row>
    <row r="32" ht="18" customHeight="1">
      <c r="A32" s="21" t="inlineStr">
        <is>
          <t>Free Cash Flow to Firm</t>
        </is>
      </c>
      <c r="B32" s="7" t="inlineStr">
        <is>
          <t>$mm</t>
        </is>
      </c>
      <c r="C32" s="22">
        <f>C19+C21-C23-C31</f>
        <v/>
      </c>
      <c r="D32" s="22">
        <f>D19+D21-D23-D31</f>
        <v/>
      </c>
      <c r="E32" s="22">
        <f>E19+E21-E23-E31</f>
        <v/>
      </c>
      <c r="F32" s="22">
        <f>F19+F21-F23-F31</f>
        <v/>
      </c>
      <c r="G32" s="22">
        <f>G19+G21-G23-G31</f>
        <v/>
      </c>
      <c r="H32" s="22">
        <f>H19+H21-H23-H31</f>
        <v/>
      </c>
      <c r="I32" s="22">
        <f>I19+I21-I23-I31</f>
        <v/>
      </c>
      <c r="J32" s="22">
        <f>J19+J21-J23-J31</f>
        <v/>
      </c>
      <c r="K32" s="22">
        <f>K19+K21-K23-K31</f>
        <v/>
      </c>
      <c r="L32" s="22">
        <f>L19+L21-L23-L31</f>
        <v/>
      </c>
    </row>
    <row r="33" ht="18" customHeight="1">
      <c r="A33" s="7" t="inlineStr">
        <is>
          <t>Discount Factor</t>
        </is>
      </c>
      <c r="B33" s="7" t="inlineStr">
        <is>
          <t>x</t>
        </is>
      </c>
      <c r="C33" s="7">
        <f>IF('Assumptions'!$E$56,POWER(1+$B$5,1-0.5),POWER(1+$B$5,1))</f>
        <v/>
      </c>
      <c r="D33" s="7">
        <f>IF('Assumptions'!$E$56,POWER(1+$B$5,2-0.5),POWER(1+$B$5,2))</f>
        <v/>
      </c>
      <c r="E33" s="7">
        <f>IF('Assumptions'!$E$56,POWER(1+$B$5,3-0.5),POWER(1+$B$5,3))</f>
        <v/>
      </c>
      <c r="F33" s="7">
        <f>IF('Assumptions'!$E$56,POWER(1+$B$5,4-0.5),POWER(1+$B$5,4))</f>
        <v/>
      </c>
      <c r="G33" s="7">
        <f>IF('Assumptions'!$E$56,POWER(1+$B$5,5-0.5),POWER(1+$B$5,5))</f>
        <v/>
      </c>
      <c r="H33" s="7">
        <f>IF('Assumptions'!$E$56,POWER(1+$B$5,6-0.5),POWER(1+$B$5,6))</f>
        <v/>
      </c>
      <c r="I33" s="7">
        <f>IF('Assumptions'!$E$56,POWER(1+$B$5,7-0.5),POWER(1+$B$5,7))</f>
        <v/>
      </c>
      <c r="J33" s="7">
        <f>IF('Assumptions'!$E$56,POWER(1+$B$5,8-0.5),POWER(1+$B$5,8))</f>
        <v/>
      </c>
      <c r="K33" s="7">
        <f>IF('Assumptions'!$E$56,POWER(1+$B$5,9-0.5),POWER(1+$B$5,9))</f>
        <v/>
      </c>
      <c r="L33" s="7">
        <f>IF('Assumptions'!$E$56,POWER(1+$B$5,10-0.5),POWER(1+$B$5,10))</f>
        <v/>
      </c>
    </row>
    <row r="34" ht="18" customHeight="1">
      <c r="A34" s="21" t="inlineStr">
        <is>
          <t>PV FCFF</t>
        </is>
      </c>
      <c r="B34" s="7" t="inlineStr">
        <is>
          <t>$mm</t>
        </is>
      </c>
      <c r="C34" s="22">
        <f>C32/C33</f>
        <v/>
      </c>
      <c r="D34" s="22">
        <f>D32/D33</f>
        <v/>
      </c>
      <c r="E34" s="22">
        <f>E32/E33</f>
        <v/>
      </c>
      <c r="F34" s="22">
        <f>F32/F33</f>
        <v/>
      </c>
      <c r="G34" s="22">
        <f>G32/G33</f>
        <v/>
      </c>
      <c r="H34" s="22">
        <f>H32/H33</f>
        <v/>
      </c>
      <c r="I34" s="22">
        <f>I32/I33</f>
        <v/>
      </c>
      <c r="J34" s="22">
        <f>J32/J33</f>
        <v/>
      </c>
      <c r="K34" s="22">
        <f>K32/K33</f>
        <v/>
      </c>
      <c r="L34" s="22">
        <f>L32/L33</f>
        <v/>
      </c>
    </row>
    <row r="35" ht="18" customHeight="1">
      <c r="A35" s="21" t="inlineStr">
        <is>
          <t>EBITDA</t>
        </is>
      </c>
      <c r="B35" s="7" t="inlineStr">
        <is>
          <t>$mm</t>
        </is>
      </c>
      <c r="C35" s="22">
        <f>C17+C21</f>
        <v/>
      </c>
      <c r="D35" s="22">
        <f>D17+D21</f>
        <v/>
      </c>
      <c r="E35" s="22">
        <f>E17+E21</f>
        <v/>
      </c>
      <c r="F35" s="22">
        <f>F17+F21</f>
        <v/>
      </c>
      <c r="G35" s="22">
        <f>G17+G21</f>
        <v/>
      </c>
      <c r="H35" s="22">
        <f>H17+H21</f>
        <v/>
      </c>
      <c r="I35" s="22">
        <f>I17+I21</f>
        <v/>
      </c>
      <c r="J35" s="22">
        <f>J17+J21</f>
        <v/>
      </c>
      <c r="K35" s="22">
        <f>K17+K21</f>
        <v/>
      </c>
      <c r="L35" s="22">
        <f>L17+L21</f>
        <v/>
      </c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18" customHeight="1">
      <c r="A38" s="19" t="inlineStr">
        <is>
          <t>Valuation</t>
        </is>
      </c>
      <c r="B38" s="20" t="n"/>
      <c r="C38" s="20" t="n"/>
      <c r="D38" s="20" t="n"/>
      <c r="E38" s="20" t="n"/>
      <c r="F38" s="20" t="n"/>
      <c r="G38" s="7" t="n"/>
      <c r="H38" s="7" t="n"/>
      <c r="I38" s="7" t="n"/>
      <c r="J38" s="7" t="n"/>
      <c r="K38" s="7" t="n"/>
      <c r="L38" s="7" t="n"/>
    </row>
    <row r="39" ht="18" customHeight="1">
      <c r="A39" s="7" t="inlineStr">
        <is>
          <t>Terminal FCFF</t>
        </is>
      </c>
      <c r="B39" s="22">
        <f>L32*(1+$B$6)</f>
        <v/>
      </c>
      <c r="C39" s="22" t="inlineStr">
        <is>
          <t>$mm</t>
        </is>
      </c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</row>
    <row r="40" ht="18" customHeight="1">
      <c r="A40" s="7" t="inlineStr">
        <is>
          <t>Gordon Terminal Value</t>
        </is>
      </c>
      <c r="B40" s="22">
        <f>IF($B$5&lt;=$B$6,NA(),B39/($B$5-$B$6))</f>
        <v/>
      </c>
      <c r="C40" s="22" t="inlineStr">
        <is>
          <t>$mm</t>
        </is>
      </c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8" customHeight="1">
      <c r="A41" s="7" t="inlineStr">
        <is>
          <t>Exit Terminal Value</t>
        </is>
      </c>
      <c r="B41" s="22">
        <f>IF('Assumptions'!$E$41="ev_ebit",L17,L35)*$B$7</f>
        <v/>
      </c>
      <c r="C41" s="22" t="inlineStr">
        <is>
          <t>$mm</t>
        </is>
      </c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8" customHeight="1">
      <c r="A42" s="7" t="inlineStr">
        <is>
          <t>Blended Terminal Value</t>
        </is>
      </c>
      <c r="B42" s="22">
        <f>$B$8*B40+(1-$B$8)*B41</f>
        <v/>
      </c>
      <c r="C42" s="22" t="inlineStr">
        <is>
          <t>$mm</t>
        </is>
      </c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8" customHeight="1">
      <c r="A43" s="7" t="inlineStr">
        <is>
          <t>PV Terminal Value</t>
        </is>
      </c>
      <c r="B43" s="22">
        <f>B42/POWER(1+$B$5,10)</f>
        <v/>
      </c>
      <c r="C43" s="22" t="inlineStr">
        <is>
          <t>$mm</t>
        </is>
      </c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</row>
    <row r="44" ht="18" customHeight="1">
      <c r="A44" s="7" t="inlineStr">
        <is>
          <t>PV Explicit FCFF</t>
        </is>
      </c>
      <c r="B44" s="22">
        <f>SUM(C34:L34)</f>
        <v/>
      </c>
      <c r="C44" s="22" t="inlineStr">
        <is>
          <t>$mm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</row>
    <row r="45" ht="18" customHeight="1">
      <c r="A45" s="21" t="inlineStr">
        <is>
          <t>Enterprise Value - Operations</t>
        </is>
      </c>
      <c r="B45" s="23">
        <f>B43+B44</f>
        <v/>
      </c>
      <c r="C45" s="22" t="inlineStr">
        <is>
          <t>$mm</t>
        </is>
      </c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</row>
    <row r="46" ht="18" customHeight="1">
      <c r="A46" s="7" t="inlineStr">
        <is>
          <t>Terminal Value % EV</t>
        </is>
      </c>
      <c r="B46" s="18">
        <f>B43/B45</f>
        <v/>
      </c>
      <c r="C46" s="18" t="inlineStr">
        <is>
          <t>%</t>
        </is>
      </c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</row>
    <row r="47" ht="18" customHeight="1">
      <c r="A47" s="7" t="inlineStr">
        <is>
          <t>Non-operating Assets</t>
        </is>
      </c>
      <c r="B47" s="22">
        <f>'Assumptions'!$E$8</f>
        <v/>
      </c>
      <c r="C47" s="22" t="inlineStr">
        <is>
          <t>$mm</t>
        </is>
      </c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</row>
    <row r="48" ht="18" customHeight="1">
      <c r="A48" s="7" t="inlineStr">
        <is>
          <t>Non-equity Claims</t>
        </is>
      </c>
      <c r="B48" s="22">
        <f>'Assumptions'!$E$7+'Assumptions'!$E$9+'Assumptions'!$E$10+'Assumptions'!$E$11+'Assumptions'!$E$12+'Assumptions'!$E$13+'Assumptions'!$E$14</f>
        <v/>
      </c>
      <c r="C48" s="22" t="inlineStr">
        <is>
          <t>$mm</t>
        </is>
      </c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</row>
    <row r="49" ht="18" customHeight="1">
      <c r="A49" s="21" t="inlineStr">
        <is>
          <t>Equity Value</t>
        </is>
      </c>
      <c r="B49" s="23">
        <f>B45+B47-B48</f>
        <v/>
      </c>
      <c r="C49" s="22" t="inlineStr">
        <is>
          <t>$mm</t>
        </is>
      </c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</row>
    <row r="50" ht="18" customHeight="1">
      <c r="A50" s="7" t="inlineStr">
        <is>
          <t>Diluted Shares</t>
        </is>
      </c>
      <c r="B50" s="22">
        <f>'Assumptions'!$E$6</f>
        <v/>
      </c>
      <c r="C50" s="7" t="inlineStr">
        <is>
          <t>mm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18" customHeight="1">
      <c r="A51" s="21" t="inlineStr">
        <is>
          <t>Intrinsic Value / Share</t>
        </is>
      </c>
      <c r="B51" s="23">
        <f>B49/B50</f>
        <v/>
      </c>
      <c r="C51" s="22" t="inlineStr">
        <is>
          <t>$ / share</t>
        </is>
      </c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</row>
    <row r="52" ht="18" customHeight="1">
      <c r="A52" s="21" t="inlineStr">
        <is>
          <t>Upside / Downside</t>
        </is>
      </c>
      <c r="B52" s="24">
        <f>B51/'Assumptions'!$E$5-1</f>
        <v/>
      </c>
      <c r="C52" s="18" t="inlineStr">
        <is>
          <t>%</t>
        </is>
      </c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</row>
    <row r="53" ht="18" customHeight="1">
      <c r="A53" s="7" t="inlineStr">
        <is>
          <t>Implied EV / EBITDA</t>
        </is>
      </c>
      <c r="B53" s="22">
        <f>B45/L35</f>
        <v/>
      </c>
      <c r="C53" s="7" t="inlineStr">
        <is>
          <t>x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18" customHeight="1">
      <c r="A54" s="7" t="inlineStr">
        <is>
          <t>Implied EV / EBIT</t>
        </is>
      </c>
      <c r="B54" s="22">
        <f>B45/L17</f>
        <v/>
      </c>
      <c r="C54" s="7" t="inlineStr">
        <is>
          <t>x</t>
        </is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</cols>
  <sheetData>
    <row r="1" ht="24" customHeight="1">
      <c r="A1" s="1" t="inlineStr">
        <is>
          <t>Bear Case DCF</t>
        </is>
      </c>
    </row>
    <row r="2" ht="18" customHeight="1">
      <c r="A2" s="2" t="inlineStr">
        <is>
          <t>Operating forecast, FCFF bridge, terminal value, and equity value per share</t>
        </is>
      </c>
    </row>
    <row r="3" ht="18" customHeight="1"/>
    <row r="4" ht="18" customHeight="1">
      <c r="A4" s="19" t="inlineStr">
        <is>
          <t>Scenario Controls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 ht="18" customHeight="1">
      <c r="A5" s="21" t="inlineStr">
        <is>
          <t>WACC</t>
        </is>
      </c>
      <c r="B5" s="18">
        <f>'Assumptions'!$E$31+'Assumptions'!$E$46</f>
        <v/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18" customHeight="1">
      <c r="A6" s="21" t="inlineStr">
        <is>
          <t>Terminal Growth</t>
        </is>
      </c>
      <c r="B6" s="18">
        <f>'Assumptions'!$E$18</f>
        <v/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18" customHeight="1">
      <c r="A7" s="21" t="inlineStr">
        <is>
          <t>Exit Multiple</t>
        </is>
      </c>
      <c r="B7" s="22">
        <f>'Assumptions'!$E$40*'Assumptions'!$E$47</f>
        <v/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21" t="inlineStr">
        <is>
          <t>Terminal Gordon Weight</t>
        </is>
      </c>
      <c r="B8" s="18">
        <f>'Assumptions'!$E$42</f>
        <v/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18" customHeight="1">
      <c r="A9" s="21" t="inlineStr">
        <is>
          <t>Current Price</t>
        </is>
      </c>
      <c r="B9" s="22">
        <f>'Assumptions'!$E$5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8" customHeight="1">
      <c r="A12" s="19" t="inlineStr">
        <is>
          <t>Forecast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</row>
    <row r="13" ht="18" customHeight="1">
      <c r="A13" s="7" t="n"/>
      <c r="B13" s="7" t="n"/>
      <c r="C13" s="21" t="inlineStr">
        <is>
          <t>Y1E</t>
        </is>
      </c>
      <c r="D13" s="21" t="inlineStr">
        <is>
          <t>Y2E</t>
        </is>
      </c>
      <c r="E13" s="21" t="inlineStr">
        <is>
          <t>Y3E</t>
        </is>
      </c>
      <c r="F13" s="21" t="inlineStr">
        <is>
          <t>Y4E</t>
        </is>
      </c>
      <c r="G13" s="21" t="inlineStr">
        <is>
          <t>Y5E</t>
        </is>
      </c>
      <c r="H13" s="21" t="inlineStr">
        <is>
          <t>Y6E</t>
        </is>
      </c>
      <c r="I13" s="21" t="inlineStr">
        <is>
          <t>Y7E</t>
        </is>
      </c>
      <c r="J13" s="21" t="inlineStr">
        <is>
          <t>Y8E</t>
        </is>
      </c>
      <c r="K13" s="21" t="inlineStr">
        <is>
          <t>Y9E</t>
        </is>
      </c>
      <c r="L13" s="21" t="inlineStr">
        <is>
          <t>Y10E</t>
        </is>
      </c>
    </row>
    <row r="14" ht="18" customHeight="1">
      <c r="A14" s="7" t="inlineStr">
        <is>
          <t>Revenue</t>
        </is>
      </c>
      <c r="B14" s="7" t="inlineStr">
        <is>
          <t>$mm</t>
        </is>
      </c>
      <c r="C14" s="22">
        <f>'Assumptions'!$E$15*(1+C15)</f>
        <v/>
      </c>
      <c r="D14" s="22">
        <f>C14*(1+D15)</f>
        <v/>
      </c>
      <c r="E14" s="22">
        <f>D14*(1+E15)</f>
        <v/>
      </c>
      <c r="F14" s="22">
        <f>E14*(1+F15)</f>
        <v/>
      </c>
      <c r="G14" s="22">
        <f>F14*(1+G15)</f>
        <v/>
      </c>
      <c r="H14" s="22">
        <f>G14*(1+H15)</f>
        <v/>
      </c>
      <c r="I14" s="22">
        <f>H14*(1+I15)</f>
        <v/>
      </c>
      <c r="J14" s="22">
        <f>I14*(1+J15)</f>
        <v/>
      </c>
      <c r="K14" s="22">
        <f>J14*(1+K15)</f>
        <v/>
      </c>
      <c r="L14" s="22">
        <f>K14*(1+L15)</f>
        <v/>
      </c>
    </row>
    <row r="15" ht="18" customHeight="1">
      <c r="A15" s="7" t="inlineStr">
        <is>
          <t>Revenue Growth</t>
        </is>
      </c>
      <c r="B15" s="7" t="inlineStr">
        <is>
          <t>%</t>
        </is>
      </c>
      <c r="C15" s="18">
        <f>'Input_Forecast'!$C$5*'Assumptions'!$E$43</f>
        <v/>
      </c>
      <c r="D15" s="18">
        <f>'Input_Forecast'!$C$6*'Assumptions'!$E$43</f>
        <v/>
      </c>
      <c r="E15" s="18">
        <f>'Input_Forecast'!$C$7*'Assumptions'!$E$43</f>
        <v/>
      </c>
      <c r="F15" s="18">
        <f>'Input_Forecast'!$C$8*'Assumptions'!$E$43</f>
        <v/>
      </c>
      <c r="G15" s="18">
        <f>'Input_Forecast'!$C$9*'Assumptions'!$E$43</f>
        <v/>
      </c>
      <c r="H15" s="18">
        <f>'Input_Forecast'!$C$10*'Assumptions'!$E$43</f>
        <v/>
      </c>
      <c r="I15" s="18">
        <f>'Input_Forecast'!$C$11*'Assumptions'!$E$43</f>
        <v/>
      </c>
      <c r="J15" s="18">
        <f>'Input_Forecast'!$C$12*'Assumptions'!$E$43</f>
        <v/>
      </c>
      <c r="K15" s="18">
        <f>'Input_Forecast'!$C$13*'Assumptions'!$E$43</f>
        <v/>
      </c>
      <c r="L15" s="18">
        <f>'Input_Forecast'!$C$14*'Assumptions'!$E$43</f>
        <v/>
      </c>
    </row>
    <row r="16" ht="18" customHeight="1">
      <c r="A16" s="7" t="inlineStr">
        <is>
          <t>EBIT Margin</t>
        </is>
      </c>
      <c r="B16" s="7" t="inlineStr">
        <is>
          <t>%</t>
        </is>
      </c>
      <c r="C16" s="18">
        <f>'Input_Forecast'!$D$5*'Assumptions'!$E$44</f>
        <v/>
      </c>
      <c r="D16" s="18">
        <f>'Input_Forecast'!$D$6*'Assumptions'!$E$44</f>
        <v/>
      </c>
      <c r="E16" s="18">
        <f>'Input_Forecast'!$D$7*'Assumptions'!$E$44</f>
        <v/>
      </c>
      <c r="F16" s="18">
        <f>'Input_Forecast'!$D$8*'Assumptions'!$E$44</f>
        <v/>
      </c>
      <c r="G16" s="18">
        <f>'Input_Forecast'!$D$9*'Assumptions'!$E$44</f>
        <v/>
      </c>
      <c r="H16" s="18">
        <f>'Input_Forecast'!$D$10*'Assumptions'!$E$44</f>
        <v/>
      </c>
      <c r="I16" s="18">
        <f>'Input_Forecast'!$D$11*'Assumptions'!$E$44</f>
        <v/>
      </c>
      <c r="J16" s="18">
        <f>'Input_Forecast'!$D$12*'Assumptions'!$E$44</f>
        <v/>
      </c>
      <c r="K16" s="18">
        <f>'Input_Forecast'!$D$13*'Assumptions'!$E$44</f>
        <v/>
      </c>
      <c r="L16" s="18">
        <f>'Input_Forecast'!$D$14*'Assumptions'!$E$44</f>
        <v/>
      </c>
    </row>
    <row r="17" ht="18" customHeight="1">
      <c r="A17" s="7" t="inlineStr">
        <is>
          <t>EBIT</t>
        </is>
      </c>
      <c r="B17" s="7" t="inlineStr">
        <is>
          <t>$mm</t>
        </is>
      </c>
      <c r="C17" s="22">
        <f>C14*C16</f>
        <v/>
      </c>
      <c r="D17" s="22">
        <f>D14*D16</f>
        <v/>
      </c>
      <c r="E17" s="22">
        <f>E14*E16</f>
        <v/>
      </c>
      <c r="F17" s="22">
        <f>F14*F16</f>
        <v/>
      </c>
      <c r="G17" s="22">
        <f>G14*G16</f>
        <v/>
      </c>
      <c r="H17" s="22">
        <f>H14*H16</f>
        <v/>
      </c>
      <c r="I17" s="22">
        <f>I14*I16</f>
        <v/>
      </c>
      <c r="J17" s="22">
        <f>J14*J16</f>
        <v/>
      </c>
      <c r="K17" s="22">
        <f>K14*K16</f>
        <v/>
      </c>
      <c r="L17" s="22">
        <f>L14*L16</f>
        <v/>
      </c>
    </row>
    <row r="18" ht="18" customHeight="1">
      <c r="A18" s="7" t="inlineStr">
        <is>
          <t>Tax Rate</t>
        </is>
      </c>
      <c r="B18" s="7" t="inlineStr">
        <is>
          <t>%</t>
        </is>
      </c>
      <c r="C18" s="18">
        <f>'Input_Forecast'!$E$5</f>
        <v/>
      </c>
      <c r="D18" s="18">
        <f>'Input_Forecast'!$E$6</f>
        <v/>
      </c>
      <c r="E18" s="18">
        <f>'Input_Forecast'!$E$7</f>
        <v/>
      </c>
      <c r="F18" s="18">
        <f>'Input_Forecast'!$E$8</f>
        <v/>
      </c>
      <c r="G18" s="18">
        <f>'Input_Forecast'!$E$9</f>
        <v/>
      </c>
      <c r="H18" s="18">
        <f>'Input_Forecast'!$E$10</f>
        <v/>
      </c>
      <c r="I18" s="18">
        <f>'Input_Forecast'!$E$11</f>
        <v/>
      </c>
      <c r="J18" s="18">
        <f>'Input_Forecast'!$E$12</f>
        <v/>
      </c>
      <c r="K18" s="18">
        <f>'Input_Forecast'!$E$13</f>
        <v/>
      </c>
      <c r="L18" s="18">
        <f>'Input_Forecast'!$E$14</f>
        <v/>
      </c>
    </row>
    <row r="19" ht="18" customHeight="1">
      <c r="A19" s="7" t="inlineStr">
        <is>
          <t>NOPAT</t>
        </is>
      </c>
      <c r="B19" s="7" t="inlineStr">
        <is>
          <t>$mm</t>
        </is>
      </c>
      <c r="C19" s="22">
        <f>C17*(1-C18)</f>
        <v/>
      </c>
      <c r="D19" s="22">
        <f>D17*(1-D18)</f>
        <v/>
      </c>
      <c r="E19" s="22">
        <f>E17*(1-E18)</f>
        <v/>
      </c>
      <c r="F19" s="22">
        <f>F17*(1-F18)</f>
        <v/>
      </c>
      <c r="G19" s="22">
        <f>G17*(1-G18)</f>
        <v/>
      </c>
      <c r="H19" s="22">
        <f>H17*(1-H18)</f>
        <v/>
      </c>
      <c r="I19" s="22">
        <f>I17*(1-I18)</f>
        <v/>
      </c>
      <c r="J19" s="22">
        <f>J17*(1-J18)</f>
        <v/>
      </c>
      <c r="K19" s="22">
        <f>K17*(1-K18)</f>
        <v/>
      </c>
      <c r="L19" s="22">
        <f>L17*(1-L18)</f>
        <v/>
      </c>
    </row>
    <row r="20" ht="18" customHeight="1">
      <c r="A20" s="7" t="inlineStr">
        <is>
          <t>D&amp;A % Revenue</t>
        </is>
      </c>
      <c r="B20" s="7" t="inlineStr">
        <is>
          <t>%</t>
        </is>
      </c>
      <c r="C20" s="18">
        <f>'Input_Forecast'!$G$5</f>
        <v/>
      </c>
      <c r="D20" s="18">
        <f>'Input_Forecast'!$G$6</f>
        <v/>
      </c>
      <c r="E20" s="18">
        <f>'Input_Forecast'!$G$7</f>
        <v/>
      </c>
      <c r="F20" s="18">
        <f>'Input_Forecast'!$G$8</f>
        <v/>
      </c>
      <c r="G20" s="18">
        <f>'Input_Forecast'!$G$9</f>
        <v/>
      </c>
      <c r="H20" s="18">
        <f>'Input_Forecast'!$G$10</f>
        <v/>
      </c>
      <c r="I20" s="18">
        <f>'Input_Forecast'!$G$11</f>
        <v/>
      </c>
      <c r="J20" s="18">
        <f>'Input_Forecast'!$G$12</f>
        <v/>
      </c>
      <c r="K20" s="18">
        <f>'Input_Forecast'!$G$13</f>
        <v/>
      </c>
      <c r="L20" s="18">
        <f>'Input_Forecast'!$G$14</f>
        <v/>
      </c>
    </row>
    <row r="21" ht="18" customHeight="1">
      <c r="A21" s="7" t="inlineStr">
        <is>
          <t>D&amp;A</t>
        </is>
      </c>
      <c r="B21" s="7" t="inlineStr">
        <is>
          <t>$mm</t>
        </is>
      </c>
      <c r="C21" s="22">
        <f>C14*C20</f>
        <v/>
      </c>
      <c r="D21" s="22">
        <f>D14*D20</f>
        <v/>
      </c>
      <c r="E21" s="22">
        <f>E14*E20</f>
        <v/>
      </c>
      <c r="F21" s="22">
        <f>F14*F20</f>
        <v/>
      </c>
      <c r="G21" s="22">
        <f>G14*G20</f>
        <v/>
      </c>
      <c r="H21" s="22">
        <f>H14*H20</f>
        <v/>
      </c>
      <c r="I21" s="22">
        <f>I14*I20</f>
        <v/>
      </c>
      <c r="J21" s="22">
        <f>J14*J20</f>
        <v/>
      </c>
      <c r="K21" s="22">
        <f>K14*K20</f>
        <v/>
      </c>
      <c r="L21" s="22">
        <f>L14*L20</f>
        <v/>
      </c>
    </row>
    <row r="22" ht="18" customHeight="1">
      <c r="A22" s="7" t="inlineStr">
        <is>
          <t>Capex % Revenue</t>
        </is>
      </c>
      <c r="B22" s="7" t="inlineStr">
        <is>
          <t>%</t>
        </is>
      </c>
      <c r="C22" s="18">
        <f>'Input_Forecast'!$F$5*'Assumptions'!$E$45</f>
        <v/>
      </c>
      <c r="D22" s="18">
        <f>'Input_Forecast'!$F$6*'Assumptions'!$E$45</f>
        <v/>
      </c>
      <c r="E22" s="18">
        <f>'Input_Forecast'!$F$7*'Assumptions'!$E$45</f>
        <v/>
      </c>
      <c r="F22" s="18">
        <f>'Input_Forecast'!$F$8*'Assumptions'!$E$45</f>
        <v/>
      </c>
      <c r="G22" s="18">
        <f>'Input_Forecast'!$F$9*'Assumptions'!$E$45</f>
        <v/>
      </c>
      <c r="H22" s="18">
        <f>'Input_Forecast'!$F$10*'Assumptions'!$E$45</f>
        <v/>
      </c>
      <c r="I22" s="18">
        <f>'Input_Forecast'!$F$11*'Assumptions'!$E$45</f>
        <v/>
      </c>
      <c r="J22" s="18">
        <f>'Input_Forecast'!$F$12*'Assumptions'!$E$45</f>
        <v/>
      </c>
      <c r="K22" s="18">
        <f>'Input_Forecast'!$F$13*'Assumptions'!$E$45</f>
        <v/>
      </c>
      <c r="L22" s="18">
        <f>'Input_Forecast'!$F$14*'Assumptions'!$E$45</f>
        <v/>
      </c>
    </row>
    <row r="23" ht="18" customHeight="1">
      <c r="A23" s="7" t="inlineStr">
        <is>
          <t>Capex</t>
        </is>
      </c>
      <c r="B23" s="7" t="inlineStr">
        <is>
          <t>$mm</t>
        </is>
      </c>
      <c r="C23" s="22">
        <f>C14*C22</f>
        <v/>
      </c>
      <c r="D23" s="22">
        <f>D14*D22</f>
        <v/>
      </c>
      <c r="E23" s="22">
        <f>E14*E22</f>
        <v/>
      </c>
      <c r="F23" s="22">
        <f>F14*F22</f>
        <v/>
      </c>
      <c r="G23" s="22">
        <f>G14*G22</f>
        <v/>
      </c>
      <c r="H23" s="22">
        <f>H14*H22</f>
        <v/>
      </c>
      <c r="I23" s="22">
        <f>I14*I22</f>
        <v/>
      </c>
      <c r="J23" s="22">
        <f>J14*J22</f>
        <v/>
      </c>
      <c r="K23" s="22">
        <f>K14*K22</f>
        <v/>
      </c>
      <c r="L23" s="22">
        <f>L14*L22</f>
        <v/>
      </c>
    </row>
    <row r="24" ht="18" customHeight="1">
      <c r="A24" s="7" t="inlineStr">
        <is>
          <t>DSO</t>
        </is>
      </c>
      <c r="B24" s="7" t="inlineStr">
        <is>
          <t>days</t>
        </is>
      </c>
      <c r="C24" s="7">
        <f>'Input_Forecast'!$H$5</f>
        <v/>
      </c>
      <c r="D24" s="7">
        <f>'Input_Forecast'!$H$6</f>
        <v/>
      </c>
      <c r="E24" s="7">
        <f>'Input_Forecast'!$H$7</f>
        <v/>
      </c>
      <c r="F24" s="7">
        <f>'Input_Forecast'!$H$8</f>
        <v/>
      </c>
      <c r="G24" s="7">
        <f>'Input_Forecast'!$H$9</f>
        <v/>
      </c>
      <c r="H24" s="7">
        <f>'Input_Forecast'!$H$10</f>
        <v/>
      </c>
      <c r="I24" s="7">
        <f>'Input_Forecast'!$H$11</f>
        <v/>
      </c>
      <c r="J24" s="7">
        <f>'Input_Forecast'!$H$12</f>
        <v/>
      </c>
      <c r="K24" s="7">
        <f>'Input_Forecast'!$H$13</f>
        <v/>
      </c>
      <c r="L24" s="7">
        <f>'Input_Forecast'!$H$14</f>
        <v/>
      </c>
    </row>
    <row r="25" ht="18" customHeight="1">
      <c r="A25" s="7" t="inlineStr">
        <is>
          <t>DIO</t>
        </is>
      </c>
      <c r="B25" s="7" t="inlineStr">
        <is>
          <t>days</t>
        </is>
      </c>
      <c r="C25" s="7">
        <f>'Input_Forecast'!$I$5</f>
        <v/>
      </c>
      <c r="D25" s="7">
        <f>'Input_Forecast'!$I$6</f>
        <v/>
      </c>
      <c r="E25" s="7">
        <f>'Input_Forecast'!$I$7</f>
        <v/>
      </c>
      <c r="F25" s="7">
        <f>'Input_Forecast'!$I$8</f>
        <v/>
      </c>
      <c r="G25" s="7">
        <f>'Input_Forecast'!$I$9</f>
        <v/>
      </c>
      <c r="H25" s="7">
        <f>'Input_Forecast'!$I$10</f>
        <v/>
      </c>
      <c r="I25" s="7">
        <f>'Input_Forecast'!$I$11</f>
        <v/>
      </c>
      <c r="J25" s="7">
        <f>'Input_Forecast'!$I$12</f>
        <v/>
      </c>
      <c r="K25" s="7">
        <f>'Input_Forecast'!$I$13</f>
        <v/>
      </c>
      <c r="L25" s="7">
        <f>'Input_Forecast'!$I$14</f>
        <v/>
      </c>
    </row>
    <row r="26" ht="18" customHeight="1">
      <c r="A26" s="7" t="inlineStr">
        <is>
          <t>DPO</t>
        </is>
      </c>
      <c r="B26" s="7" t="inlineStr">
        <is>
          <t>days</t>
        </is>
      </c>
      <c r="C26" s="7">
        <f>'Input_Forecast'!$J$5</f>
        <v/>
      </c>
      <c r="D26" s="7">
        <f>'Input_Forecast'!$J$6</f>
        <v/>
      </c>
      <c r="E26" s="7">
        <f>'Input_Forecast'!$J$7</f>
        <v/>
      </c>
      <c r="F26" s="7">
        <f>'Input_Forecast'!$J$8</f>
        <v/>
      </c>
      <c r="G26" s="7">
        <f>'Input_Forecast'!$J$9</f>
        <v/>
      </c>
      <c r="H26" s="7">
        <f>'Input_Forecast'!$J$10</f>
        <v/>
      </c>
      <c r="I26" s="7">
        <f>'Input_Forecast'!$J$11</f>
        <v/>
      </c>
      <c r="J26" s="7">
        <f>'Input_Forecast'!$J$12</f>
        <v/>
      </c>
      <c r="K26" s="7">
        <f>'Input_Forecast'!$J$13</f>
        <v/>
      </c>
      <c r="L26" s="7">
        <f>'Input_Forecast'!$J$14</f>
        <v/>
      </c>
    </row>
    <row r="27" ht="18" customHeight="1">
      <c r="A27" s="7" t="inlineStr">
        <is>
          <t>Accounts Receivable</t>
        </is>
      </c>
      <c r="B27" s="7" t="inlineStr">
        <is>
          <t>$mm</t>
        </is>
      </c>
      <c r="C27" s="22">
        <f>C14*C24/365</f>
        <v/>
      </c>
      <c r="D27" s="22">
        <f>D14*D24/365</f>
        <v/>
      </c>
      <c r="E27" s="22">
        <f>E14*E24/365</f>
        <v/>
      </c>
      <c r="F27" s="22">
        <f>F14*F24/365</f>
        <v/>
      </c>
      <c r="G27" s="22">
        <f>G14*G24/365</f>
        <v/>
      </c>
      <c r="H27" s="22">
        <f>H14*H24/365</f>
        <v/>
      </c>
      <c r="I27" s="22">
        <f>I14*I24/365</f>
        <v/>
      </c>
      <c r="J27" s="22">
        <f>J14*J24/365</f>
        <v/>
      </c>
      <c r="K27" s="22">
        <f>K14*K24/365</f>
        <v/>
      </c>
      <c r="L27" s="22">
        <f>L14*L24/365</f>
        <v/>
      </c>
    </row>
    <row r="28" ht="18" customHeight="1">
      <c r="A28" s="7" t="inlineStr">
        <is>
          <t>Inventory</t>
        </is>
      </c>
      <c r="B28" s="7" t="inlineStr">
        <is>
          <t>$mm</t>
        </is>
      </c>
      <c r="C28" s="22">
        <f>C14*C25/365</f>
        <v/>
      </c>
      <c r="D28" s="22">
        <f>D14*D25/365</f>
        <v/>
      </c>
      <c r="E28" s="22">
        <f>E14*E25/365</f>
        <v/>
      </c>
      <c r="F28" s="22">
        <f>F14*F25/365</f>
        <v/>
      </c>
      <c r="G28" s="22">
        <f>G14*G25/365</f>
        <v/>
      </c>
      <c r="H28" s="22">
        <f>H14*H25/365</f>
        <v/>
      </c>
      <c r="I28" s="22">
        <f>I14*I25/365</f>
        <v/>
      </c>
      <c r="J28" s="22">
        <f>J14*J25/365</f>
        <v/>
      </c>
      <c r="K28" s="22">
        <f>K14*K25/365</f>
        <v/>
      </c>
      <c r="L28" s="22">
        <f>L14*L25/365</f>
        <v/>
      </c>
    </row>
    <row r="29" ht="18" customHeight="1">
      <c r="A29" s="7" t="inlineStr">
        <is>
          <t>Accounts Payable</t>
        </is>
      </c>
      <c r="B29" s="7" t="inlineStr">
        <is>
          <t>$mm</t>
        </is>
      </c>
      <c r="C29" s="22">
        <f>C14*C26/365</f>
        <v/>
      </c>
      <c r="D29" s="22">
        <f>D14*D26/365</f>
        <v/>
      </c>
      <c r="E29" s="22">
        <f>E14*E26/365</f>
        <v/>
      </c>
      <c r="F29" s="22">
        <f>F14*F26/365</f>
        <v/>
      </c>
      <c r="G29" s="22">
        <f>G14*G26/365</f>
        <v/>
      </c>
      <c r="H29" s="22">
        <f>H14*H26/365</f>
        <v/>
      </c>
      <c r="I29" s="22">
        <f>I14*I26/365</f>
        <v/>
      </c>
      <c r="J29" s="22">
        <f>J14*J26/365</f>
        <v/>
      </c>
      <c r="K29" s="22">
        <f>K14*K26/365</f>
        <v/>
      </c>
      <c r="L29" s="22">
        <f>L14*L26/365</f>
        <v/>
      </c>
    </row>
    <row r="30" ht="18" customHeight="1">
      <c r="A30" s="7" t="inlineStr">
        <is>
          <t>Net Working Capital</t>
        </is>
      </c>
      <c r="B30" s="7" t="inlineStr">
        <is>
          <t>$mm</t>
        </is>
      </c>
      <c r="C30" s="22">
        <f>C27+C28-C29</f>
        <v/>
      </c>
      <c r="D30" s="22">
        <f>D27+D28-D29</f>
        <v/>
      </c>
      <c r="E30" s="22">
        <f>E27+E28-E29</f>
        <v/>
      </c>
      <c r="F30" s="22">
        <f>F27+F28-F29</f>
        <v/>
      </c>
      <c r="G30" s="22">
        <f>G27+G28-G29</f>
        <v/>
      </c>
      <c r="H30" s="22">
        <f>H27+H28-H29</f>
        <v/>
      </c>
      <c r="I30" s="22">
        <f>I27+I28-I29</f>
        <v/>
      </c>
      <c r="J30" s="22">
        <f>J27+J28-J29</f>
        <v/>
      </c>
      <c r="K30" s="22">
        <f>K27+K28-K29</f>
        <v/>
      </c>
      <c r="L30" s="22">
        <f>L27+L28-L29</f>
        <v/>
      </c>
    </row>
    <row r="31" ht="18" customHeight="1">
      <c r="A31" s="7" t="inlineStr">
        <is>
          <t>Delta NWC</t>
        </is>
      </c>
      <c r="B31" s="7" t="inlineStr">
        <is>
          <t>$mm</t>
        </is>
      </c>
      <c r="C31" s="22">
        <f>C30-('Assumptions'!$E$15*'Assumptions'!$E$25/365+'Assumptions'!$E$15*'Assumptions'!$E$27/365-'Assumptions'!$E$15*'Assumptions'!$E$29/365)</f>
        <v/>
      </c>
      <c r="D31" s="22">
        <f>D30-C30</f>
        <v/>
      </c>
      <c r="E31" s="22">
        <f>E30-D30</f>
        <v/>
      </c>
      <c r="F31" s="22">
        <f>F30-E30</f>
        <v/>
      </c>
      <c r="G31" s="22">
        <f>G30-F30</f>
        <v/>
      </c>
      <c r="H31" s="22">
        <f>H30-G30</f>
        <v/>
      </c>
      <c r="I31" s="22">
        <f>I30-H30</f>
        <v/>
      </c>
      <c r="J31" s="22">
        <f>J30-I30</f>
        <v/>
      </c>
      <c r="K31" s="22">
        <f>K30-J30</f>
        <v/>
      </c>
      <c r="L31" s="22">
        <f>L30-K30</f>
        <v/>
      </c>
    </row>
    <row r="32" ht="18" customHeight="1">
      <c r="A32" s="21" t="inlineStr">
        <is>
          <t>Free Cash Flow to Firm</t>
        </is>
      </c>
      <c r="B32" s="7" t="inlineStr">
        <is>
          <t>$mm</t>
        </is>
      </c>
      <c r="C32" s="22">
        <f>C19+C21-C23-C31</f>
        <v/>
      </c>
      <c r="D32" s="22">
        <f>D19+D21-D23-D31</f>
        <v/>
      </c>
      <c r="E32" s="22">
        <f>E19+E21-E23-E31</f>
        <v/>
      </c>
      <c r="F32" s="22">
        <f>F19+F21-F23-F31</f>
        <v/>
      </c>
      <c r="G32" s="22">
        <f>G19+G21-G23-G31</f>
        <v/>
      </c>
      <c r="H32" s="22">
        <f>H19+H21-H23-H31</f>
        <v/>
      </c>
      <c r="I32" s="22">
        <f>I19+I21-I23-I31</f>
        <v/>
      </c>
      <c r="J32" s="22">
        <f>J19+J21-J23-J31</f>
        <v/>
      </c>
      <c r="K32" s="22">
        <f>K19+K21-K23-K31</f>
        <v/>
      </c>
      <c r="L32" s="22">
        <f>L19+L21-L23-L31</f>
        <v/>
      </c>
    </row>
    <row r="33" ht="18" customHeight="1">
      <c r="A33" s="7" t="inlineStr">
        <is>
          <t>Discount Factor</t>
        </is>
      </c>
      <c r="B33" s="7" t="inlineStr">
        <is>
          <t>x</t>
        </is>
      </c>
      <c r="C33" s="7">
        <f>IF('Assumptions'!$E$56,POWER(1+$B$5,1-0.5),POWER(1+$B$5,1))</f>
        <v/>
      </c>
      <c r="D33" s="7">
        <f>IF('Assumptions'!$E$56,POWER(1+$B$5,2-0.5),POWER(1+$B$5,2))</f>
        <v/>
      </c>
      <c r="E33" s="7">
        <f>IF('Assumptions'!$E$56,POWER(1+$B$5,3-0.5),POWER(1+$B$5,3))</f>
        <v/>
      </c>
      <c r="F33" s="7">
        <f>IF('Assumptions'!$E$56,POWER(1+$B$5,4-0.5),POWER(1+$B$5,4))</f>
        <v/>
      </c>
      <c r="G33" s="7">
        <f>IF('Assumptions'!$E$56,POWER(1+$B$5,5-0.5),POWER(1+$B$5,5))</f>
        <v/>
      </c>
      <c r="H33" s="7">
        <f>IF('Assumptions'!$E$56,POWER(1+$B$5,6-0.5),POWER(1+$B$5,6))</f>
        <v/>
      </c>
      <c r="I33" s="7">
        <f>IF('Assumptions'!$E$56,POWER(1+$B$5,7-0.5),POWER(1+$B$5,7))</f>
        <v/>
      </c>
      <c r="J33" s="7">
        <f>IF('Assumptions'!$E$56,POWER(1+$B$5,8-0.5),POWER(1+$B$5,8))</f>
        <v/>
      </c>
      <c r="K33" s="7">
        <f>IF('Assumptions'!$E$56,POWER(1+$B$5,9-0.5),POWER(1+$B$5,9))</f>
        <v/>
      </c>
      <c r="L33" s="7">
        <f>IF('Assumptions'!$E$56,POWER(1+$B$5,10-0.5),POWER(1+$B$5,10))</f>
        <v/>
      </c>
    </row>
    <row r="34" ht="18" customHeight="1">
      <c r="A34" s="21" t="inlineStr">
        <is>
          <t>PV FCFF</t>
        </is>
      </c>
      <c r="B34" s="7" t="inlineStr">
        <is>
          <t>$mm</t>
        </is>
      </c>
      <c r="C34" s="22">
        <f>C32/C33</f>
        <v/>
      </c>
      <c r="D34" s="22">
        <f>D32/D33</f>
        <v/>
      </c>
      <c r="E34" s="22">
        <f>E32/E33</f>
        <v/>
      </c>
      <c r="F34" s="22">
        <f>F32/F33</f>
        <v/>
      </c>
      <c r="G34" s="22">
        <f>G32/G33</f>
        <v/>
      </c>
      <c r="H34" s="22">
        <f>H32/H33</f>
        <v/>
      </c>
      <c r="I34" s="22">
        <f>I32/I33</f>
        <v/>
      </c>
      <c r="J34" s="22">
        <f>J32/J33</f>
        <v/>
      </c>
      <c r="K34" s="22">
        <f>K32/K33</f>
        <v/>
      </c>
      <c r="L34" s="22">
        <f>L32/L33</f>
        <v/>
      </c>
    </row>
    <row r="35" ht="18" customHeight="1">
      <c r="A35" s="21" t="inlineStr">
        <is>
          <t>EBITDA</t>
        </is>
      </c>
      <c r="B35" s="7" t="inlineStr">
        <is>
          <t>$mm</t>
        </is>
      </c>
      <c r="C35" s="22">
        <f>C17+C21</f>
        <v/>
      </c>
      <c r="D35" s="22">
        <f>D17+D21</f>
        <v/>
      </c>
      <c r="E35" s="22">
        <f>E17+E21</f>
        <v/>
      </c>
      <c r="F35" s="22">
        <f>F17+F21</f>
        <v/>
      </c>
      <c r="G35" s="22">
        <f>G17+G21</f>
        <v/>
      </c>
      <c r="H35" s="22">
        <f>H17+H21</f>
        <v/>
      </c>
      <c r="I35" s="22">
        <f>I17+I21</f>
        <v/>
      </c>
      <c r="J35" s="22">
        <f>J17+J21</f>
        <v/>
      </c>
      <c r="K35" s="22">
        <f>K17+K21</f>
        <v/>
      </c>
      <c r="L35" s="22">
        <f>L17+L21</f>
        <v/>
      </c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18" customHeight="1">
      <c r="A38" s="19" t="inlineStr">
        <is>
          <t>Valuation</t>
        </is>
      </c>
      <c r="B38" s="20" t="n"/>
      <c r="C38" s="20" t="n"/>
      <c r="D38" s="20" t="n"/>
      <c r="E38" s="20" t="n"/>
      <c r="F38" s="20" t="n"/>
      <c r="G38" s="7" t="n"/>
      <c r="H38" s="7" t="n"/>
      <c r="I38" s="7" t="n"/>
      <c r="J38" s="7" t="n"/>
      <c r="K38" s="7" t="n"/>
      <c r="L38" s="7" t="n"/>
    </row>
    <row r="39" ht="18" customHeight="1">
      <c r="A39" s="7" t="inlineStr">
        <is>
          <t>Terminal FCFF</t>
        </is>
      </c>
      <c r="B39" s="22">
        <f>L32*(1+$B$6)</f>
        <v/>
      </c>
      <c r="C39" s="22" t="inlineStr">
        <is>
          <t>$mm</t>
        </is>
      </c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</row>
    <row r="40" ht="18" customHeight="1">
      <c r="A40" s="7" t="inlineStr">
        <is>
          <t>Gordon Terminal Value</t>
        </is>
      </c>
      <c r="B40" s="22">
        <f>IF($B$5&lt;=$B$6,NA(),B39/($B$5-$B$6))</f>
        <v/>
      </c>
      <c r="C40" s="22" t="inlineStr">
        <is>
          <t>$mm</t>
        </is>
      </c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8" customHeight="1">
      <c r="A41" s="7" t="inlineStr">
        <is>
          <t>Exit Terminal Value</t>
        </is>
      </c>
      <c r="B41" s="22">
        <f>IF('Assumptions'!$E$41="ev_ebit",L17,L35)*$B$7</f>
        <v/>
      </c>
      <c r="C41" s="22" t="inlineStr">
        <is>
          <t>$mm</t>
        </is>
      </c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8" customHeight="1">
      <c r="A42" s="7" t="inlineStr">
        <is>
          <t>Blended Terminal Value</t>
        </is>
      </c>
      <c r="B42" s="22">
        <f>$B$8*B40+(1-$B$8)*B41</f>
        <v/>
      </c>
      <c r="C42" s="22" t="inlineStr">
        <is>
          <t>$mm</t>
        </is>
      </c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8" customHeight="1">
      <c r="A43" s="7" t="inlineStr">
        <is>
          <t>PV Terminal Value</t>
        </is>
      </c>
      <c r="B43" s="22">
        <f>B42/POWER(1+$B$5,10)</f>
        <v/>
      </c>
      <c r="C43" s="22" t="inlineStr">
        <is>
          <t>$mm</t>
        </is>
      </c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</row>
    <row r="44" ht="18" customHeight="1">
      <c r="A44" s="7" t="inlineStr">
        <is>
          <t>PV Explicit FCFF</t>
        </is>
      </c>
      <c r="B44" s="22">
        <f>SUM(C34:L34)</f>
        <v/>
      </c>
      <c r="C44" s="22" t="inlineStr">
        <is>
          <t>$mm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</row>
    <row r="45" ht="18" customHeight="1">
      <c r="A45" s="21" t="inlineStr">
        <is>
          <t>Enterprise Value - Operations</t>
        </is>
      </c>
      <c r="B45" s="23">
        <f>B43+B44</f>
        <v/>
      </c>
      <c r="C45" s="22" t="inlineStr">
        <is>
          <t>$mm</t>
        </is>
      </c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</row>
    <row r="46" ht="18" customHeight="1">
      <c r="A46" s="7" t="inlineStr">
        <is>
          <t>Terminal Value % EV</t>
        </is>
      </c>
      <c r="B46" s="18">
        <f>B43/B45</f>
        <v/>
      </c>
      <c r="C46" s="18" t="inlineStr">
        <is>
          <t>%</t>
        </is>
      </c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</row>
    <row r="47" ht="18" customHeight="1">
      <c r="A47" s="7" t="inlineStr">
        <is>
          <t>Non-operating Assets</t>
        </is>
      </c>
      <c r="B47" s="22">
        <f>'Assumptions'!$E$8</f>
        <v/>
      </c>
      <c r="C47" s="22" t="inlineStr">
        <is>
          <t>$mm</t>
        </is>
      </c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</row>
    <row r="48" ht="18" customHeight="1">
      <c r="A48" s="7" t="inlineStr">
        <is>
          <t>Non-equity Claims</t>
        </is>
      </c>
      <c r="B48" s="22">
        <f>'Assumptions'!$E$7+'Assumptions'!$E$9+'Assumptions'!$E$10+'Assumptions'!$E$11+'Assumptions'!$E$12+'Assumptions'!$E$13+'Assumptions'!$E$14</f>
        <v/>
      </c>
      <c r="C48" s="22" t="inlineStr">
        <is>
          <t>$mm</t>
        </is>
      </c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</row>
    <row r="49" ht="18" customHeight="1">
      <c r="A49" s="21" t="inlineStr">
        <is>
          <t>Equity Value</t>
        </is>
      </c>
      <c r="B49" s="23">
        <f>B45+B47-B48</f>
        <v/>
      </c>
      <c r="C49" s="22" t="inlineStr">
        <is>
          <t>$mm</t>
        </is>
      </c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</row>
    <row r="50" ht="18" customHeight="1">
      <c r="A50" s="7" t="inlineStr">
        <is>
          <t>Diluted Shares</t>
        </is>
      </c>
      <c r="B50" s="22">
        <f>'Assumptions'!$E$6</f>
        <v/>
      </c>
      <c r="C50" s="7" t="inlineStr">
        <is>
          <t>mm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18" customHeight="1">
      <c r="A51" s="21" t="inlineStr">
        <is>
          <t>Intrinsic Value / Share</t>
        </is>
      </c>
      <c r="B51" s="23">
        <f>B49/B50</f>
        <v/>
      </c>
      <c r="C51" s="22" t="inlineStr">
        <is>
          <t>$ / share</t>
        </is>
      </c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</row>
    <row r="52" ht="18" customHeight="1">
      <c r="A52" s="21" t="inlineStr">
        <is>
          <t>Upside / Downside</t>
        </is>
      </c>
      <c r="B52" s="24">
        <f>B51/'Assumptions'!$E$5-1</f>
        <v/>
      </c>
      <c r="C52" s="18" t="inlineStr">
        <is>
          <t>%</t>
        </is>
      </c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</row>
    <row r="53" ht="18" customHeight="1">
      <c r="A53" s="7" t="inlineStr">
        <is>
          <t>Implied EV / EBITDA</t>
        </is>
      </c>
      <c r="B53" s="22">
        <f>B45/L35</f>
        <v/>
      </c>
      <c r="C53" s="7" t="inlineStr">
        <is>
          <t>x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18" customHeight="1">
      <c r="A54" s="7" t="inlineStr">
        <is>
          <t>Implied EV / EBIT</t>
        </is>
      </c>
      <c r="B54" s="22">
        <f>B45/L17</f>
        <v/>
      </c>
      <c r="C54" s="7" t="inlineStr">
        <is>
          <t>x</t>
        </is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</cols>
  <sheetData>
    <row r="1" ht="24" customHeight="1">
      <c r="A1" s="1" t="inlineStr">
        <is>
          <t>Bull Case DCF</t>
        </is>
      </c>
    </row>
    <row r="2" ht="18" customHeight="1">
      <c r="A2" s="2" t="inlineStr">
        <is>
          <t>Operating forecast, FCFF bridge, terminal value, and equity value per share</t>
        </is>
      </c>
    </row>
    <row r="3" ht="18" customHeight="1"/>
    <row r="4" ht="18" customHeight="1">
      <c r="A4" s="19" t="inlineStr">
        <is>
          <t>Scenario Controls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</row>
    <row r="5" ht="18" customHeight="1">
      <c r="A5" s="21" t="inlineStr">
        <is>
          <t>WACC</t>
        </is>
      </c>
      <c r="B5" s="18">
        <f>'Assumptions'!$E$31+'Assumptions'!$E$51</f>
        <v/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18" customHeight="1">
      <c r="A6" s="21" t="inlineStr">
        <is>
          <t>Terminal Growth</t>
        </is>
      </c>
      <c r="B6" s="18">
        <f>'Assumptions'!$E$18</f>
        <v/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18" customHeight="1">
      <c r="A7" s="21" t="inlineStr">
        <is>
          <t>Exit Multiple</t>
        </is>
      </c>
      <c r="B7" s="22">
        <f>'Assumptions'!$E$40*'Assumptions'!$E$52</f>
        <v/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21" t="inlineStr">
        <is>
          <t>Terminal Gordon Weight</t>
        </is>
      </c>
      <c r="B8" s="18">
        <f>'Assumptions'!$E$42</f>
        <v/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18" customHeight="1">
      <c r="A9" s="21" t="inlineStr">
        <is>
          <t>Current Price</t>
        </is>
      </c>
      <c r="B9" s="22">
        <f>'Assumptions'!$E$5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8" customHeight="1">
      <c r="A12" s="19" t="inlineStr">
        <is>
          <t>Forecast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</row>
    <row r="13" ht="18" customHeight="1">
      <c r="A13" s="7" t="n"/>
      <c r="B13" s="7" t="n"/>
      <c r="C13" s="21" t="inlineStr">
        <is>
          <t>Y1E</t>
        </is>
      </c>
      <c r="D13" s="21" t="inlineStr">
        <is>
          <t>Y2E</t>
        </is>
      </c>
      <c r="E13" s="21" t="inlineStr">
        <is>
          <t>Y3E</t>
        </is>
      </c>
      <c r="F13" s="21" t="inlineStr">
        <is>
          <t>Y4E</t>
        </is>
      </c>
      <c r="G13" s="21" t="inlineStr">
        <is>
          <t>Y5E</t>
        </is>
      </c>
      <c r="H13" s="21" t="inlineStr">
        <is>
          <t>Y6E</t>
        </is>
      </c>
      <c r="I13" s="21" t="inlineStr">
        <is>
          <t>Y7E</t>
        </is>
      </c>
      <c r="J13" s="21" t="inlineStr">
        <is>
          <t>Y8E</t>
        </is>
      </c>
      <c r="K13" s="21" t="inlineStr">
        <is>
          <t>Y9E</t>
        </is>
      </c>
      <c r="L13" s="21" t="inlineStr">
        <is>
          <t>Y10E</t>
        </is>
      </c>
    </row>
    <row r="14" ht="18" customHeight="1">
      <c r="A14" s="7" t="inlineStr">
        <is>
          <t>Revenue</t>
        </is>
      </c>
      <c r="B14" s="7" t="inlineStr">
        <is>
          <t>$mm</t>
        </is>
      </c>
      <c r="C14" s="22">
        <f>'Assumptions'!$E$15*(1+C15)</f>
        <v/>
      </c>
      <c r="D14" s="22">
        <f>C14*(1+D15)</f>
        <v/>
      </c>
      <c r="E14" s="22">
        <f>D14*(1+E15)</f>
        <v/>
      </c>
      <c r="F14" s="22">
        <f>E14*(1+F15)</f>
        <v/>
      </c>
      <c r="G14" s="22">
        <f>F14*(1+G15)</f>
        <v/>
      </c>
      <c r="H14" s="22">
        <f>G14*(1+H15)</f>
        <v/>
      </c>
      <c r="I14" s="22">
        <f>H14*(1+I15)</f>
        <v/>
      </c>
      <c r="J14" s="22">
        <f>I14*(1+J15)</f>
        <v/>
      </c>
      <c r="K14" s="22">
        <f>J14*(1+K15)</f>
        <v/>
      </c>
      <c r="L14" s="22">
        <f>K14*(1+L15)</f>
        <v/>
      </c>
    </row>
    <row r="15" ht="18" customHeight="1">
      <c r="A15" s="7" t="inlineStr">
        <is>
          <t>Revenue Growth</t>
        </is>
      </c>
      <c r="B15" s="7" t="inlineStr">
        <is>
          <t>%</t>
        </is>
      </c>
      <c r="C15" s="18">
        <f>'Input_Forecast'!$C$5*'Assumptions'!$E$48</f>
        <v/>
      </c>
      <c r="D15" s="18">
        <f>'Input_Forecast'!$C$6*'Assumptions'!$E$48</f>
        <v/>
      </c>
      <c r="E15" s="18">
        <f>'Input_Forecast'!$C$7*'Assumptions'!$E$48</f>
        <v/>
      </c>
      <c r="F15" s="18">
        <f>'Input_Forecast'!$C$8*'Assumptions'!$E$48</f>
        <v/>
      </c>
      <c r="G15" s="18">
        <f>'Input_Forecast'!$C$9*'Assumptions'!$E$48</f>
        <v/>
      </c>
      <c r="H15" s="18">
        <f>'Input_Forecast'!$C$10*'Assumptions'!$E$48</f>
        <v/>
      </c>
      <c r="I15" s="18">
        <f>'Input_Forecast'!$C$11*'Assumptions'!$E$48</f>
        <v/>
      </c>
      <c r="J15" s="18">
        <f>'Input_Forecast'!$C$12*'Assumptions'!$E$48</f>
        <v/>
      </c>
      <c r="K15" s="18">
        <f>'Input_Forecast'!$C$13*'Assumptions'!$E$48</f>
        <v/>
      </c>
      <c r="L15" s="18">
        <f>'Input_Forecast'!$C$14*'Assumptions'!$E$48</f>
        <v/>
      </c>
    </row>
    <row r="16" ht="18" customHeight="1">
      <c r="A16" s="7" t="inlineStr">
        <is>
          <t>EBIT Margin</t>
        </is>
      </c>
      <c r="B16" s="7" t="inlineStr">
        <is>
          <t>%</t>
        </is>
      </c>
      <c r="C16" s="18">
        <f>'Input_Forecast'!$D$5*'Assumptions'!$E$49</f>
        <v/>
      </c>
      <c r="D16" s="18">
        <f>'Input_Forecast'!$D$6*'Assumptions'!$E$49</f>
        <v/>
      </c>
      <c r="E16" s="18">
        <f>'Input_Forecast'!$D$7*'Assumptions'!$E$49</f>
        <v/>
      </c>
      <c r="F16" s="18">
        <f>'Input_Forecast'!$D$8*'Assumptions'!$E$49</f>
        <v/>
      </c>
      <c r="G16" s="18">
        <f>'Input_Forecast'!$D$9*'Assumptions'!$E$49</f>
        <v/>
      </c>
      <c r="H16" s="18">
        <f>'Input_Forecast'!$D$10*'Assumptions'!$E$49</f>
        <v/>
      </c>
      <c r="I16" s="18">
        <f>'Input_Forecast'!$D$11*'Assumptions'!$E$49</f>
        <v/>
      </c>
      <c r="J16" s="18">
        <f>'Input_Forecast'!$D$12*'Assumptions'!$E$49</f>
        <v/>
      </c>
      <c r="K16" s="18">
        <f>'Input_Forecast'!$D$13*'Assumptions'!$E$49</f>
        <v/>
      </c>
      <c r="L16" s="18">
        <f>'Input_Forecast'!$D$14*'Assumptions'!$E$49</f>
        <v/>
      </c>
    </row>
    <row r="17" ht="18" customHeight="1">
      <c r="A17" s="7" t="inlineStr">
        <is>
          <t>EBIT</t>
        </is>
      </c>
      <c r="B17" s="7" t="inlineStr">
        <is>
          <t>$mm</t>
        </is>
      </c>
      <c r="C17" s="22">
        <f>C14*C16</f>
        <v/>
      </c>
      <c r="D17" s="22">
        <f>D14*D16</f>
        <v/>
      </c>
      <c r="E17" s="22">
        <f>E14*E16</f>
        <v/>
      </c>
      <c r="F17" s="22">
        <f>F14*F16</f>
        <v/>
      </c>
      <c r="G17" s="22">
        <f>G14*G16</f>
        <v/>
      </c>
      <c r="H17" s="22">
        <f>H14*H16</f>
        <v/>
      </c>
      <c r="I17" s="22">
        <f>I14*I16</f>
        <v/>
      </c>
      <c r="J17" s="22">
        <f>J14*J16</f>
        <v/>
      </c>
      <c r="K17" s="22">
        <f>K14*K16</f>
        <v/>
      </c>
      <c r="L17" s="22">
        <f>L14*L16</f>
        <v/>
      </c>
    </row>
    <row r="18" ht="18" customHeight="1">
      <c r="A18" s="7" t="inlineStr">
        <is>
          <t>Tax Rate</t>
        </is>
      </c>
      <c r="B18" s="7" t="inlineStr">
        <is>
          <t>%</t>
        </is>
      </c>
      <c r="C18" s="18">
        <f>'Input_Forecast'!$E$5</f>
        <v/>
      </c>
      <c r="D18" s="18">
        <f>'Input_Forecast'!$E$6</f>
        <v/>
      </c>
      <c r="E18" s="18">
        <f>'Input_Forecast'!$E$7</f>
        <v/>
      </c>
      <c r="F18" s="18">
        <f>'Input_Forecast'!$E$8</f>
        <v/>
      </c>
      <c r="G18" s="18">
        <f>'Input_Forecast'!$E$9</f>
        <v/>
      </c>
      <c r="H18" s="18">
        <f>'Input_Forecast'!$E$10</f>
        <v/>
      </c>
      <c r="I18" s="18">
        <f>'Input_Forecast'!$E$11</f>
        <v/>
      </c>
      <c r="J18" s="18">
        <f>'Input_Forecast'!$E$12</f>
        <v/>
      </c>
      <c r="K18" s="18">
        <f>'Input_Forecast'!$E$13</f>
        <v/>
      </c>
      <c r="L18" s="18">
        <f>'Input_Forecast'!$E$14</f>
        <v/>
      </c>
    </row>
    <row r="19" ht="18" customHeight="1">
      <c r="A19" s="7" t="inlineStr">
        <is>
          <t>NOPAT</t>
        </is>
      </c>
      <c r="B19" s="7" t="inlineStr">
        <is>
          <t>$mm</t>
        </is>
      </c>
      <c r="C19" s="22">
        <f>C17*(1-C18)</f>
        <v/>
      </c>
      <c r="D19" s="22">
        <f>D17*(1-D18)</f>
        <v/>
      </c>
      <c r="E19" s="22">
        <f>E17*(1-E18)</f>
        <v/>
      </c>
      <c r="F19" s="22">
        <f>F17*(1-F18)</f>
        <v/>
      </c>
      <c r="G19" s="22">
        <f>G17*(1-G18)</f>
        <v/>
      </c>
      <c r="H19" s="22">
        <f>H17*(1-H18)</f>
        <v/>
      </c>
      <c r="I19" s="22">
        <f>I17*(1-I18)</f>
        <v/>
      </c>
      <c r="J19" s="22">
        <f>J17*(1-J18)</f>
        <v/>
      </c>
      <c r="K19" s="22">
        <f>K17*(1-K18)</f>
        <v/>
      </c>
      <c r="L19" s="22">
        <f>L17*(1-L18)</f>
        <v/>
      </c>
    </row>
    <row r="20" ht="18" customHeight="1">
      <c r="A20" s="7" t="inlineStr">
        <is>
          <t>D&amp;A % Revenue</t>
        </is>
      </c>
      <c r="B20" s="7" t="inlineStr">
        <is>
          <t>%</t>
        </is>
      </c>
      <c r="C20" s="18">
        <f>'Input_Forecast'!$G$5</f>
        <v/>
      </c>
      <c r="D20" s="18">
        <f>'Input_Forecast'!$G$6</f>
        <v/>
      </c>
      <c r="E20" s="18">
        <f>'Input_Forecast'!$G$7</f>
        <v/>
      </c>
      <c r="F20" s="18">
        <f>'Input_Forecast'!$G$8</f>
        <v/>
      </c>
      <c r="G20" s="18">
        <f>'Input_Forecast'!$G$9</f>
        <v/>
      </c>
      <c r="H20" s="18">
        <f>'Input_Forecast'!$G$10</f>
        <v/>
      </c>
      <c r="I20" s="18">
        <f>'Input_Forecast'!$G$11</f>
        <v/>
      </c>
      <c r="J20" s="18">
        <f>'Input_Forecast'!$G$12</f>
        <v/>
      </c>
      <c r="K20" s="18">
        <f>'Input_Forecast'!$G$13</f>
        <v/>
      </c>
      <c r="L20" s="18">
        <f>'Input_Forecast'!$G$14</f>
        <v/>
      </c>
    </row>
    <row r="21" ht="18" customHeight="1">
      <c r="A21" s="7" t="inlineStr">
        <is>
          <t>D&amp;A</t>
        </is>
      </c>
      <c r="B21" s="7" t="inlineStr">
        <is>
          <t>$mm</t>
        </is>
      </c>
      <c r="C21" s="22">
        <f>C14*C20</f>
        <v/>
      </c>
      <c r="D21" s="22">
        <f>D14*D20</f>
        <v/>
      </c>
      <c r="E21" s="22">
        <f>E14*E20</f>
        <v/>
      </c>
      <c r="F21" s="22">
        <f>F14*F20</f>
        <v/>
      </c>
      <c r="G21" s="22">
        <f>G14*G20</f>
        <v/>
      </c>
      <c r="H21" s="22">
        <f>H14*H20</f>
        <v/>
      </c>
      <c r="I21" s="22">
        <f>I14*I20</f>
        <v/>
      </c>
      <c r="J21" s="22">
        <f>J14*J20</f>
        <v/>
      </c>
      <c r="K21" s="22">
        <f>K14*K20</f>
        <v/>
      </c>
      <c r="L21" s="22">
        <f>L14*L20</f>
        <v/>
      </c>
    </row>
    <row r="22" ht="18" customHeight="1">
      <c r="A22" s="7" t="inlineStr">
        <is>
          <t>Capex % Revenue</t>
        </is>
      </c>
      <c r="B22" s="7" t="inlineStr">
        <is>
          <t>%</t>
        </is>
      </c>
      <c r="C22" s="18">
        <f>'Input_Forecast'!$F$5*'Assumptions'!$E$50</f>
        <v/>
      </c>
      <c r="D22" s="18">
        <f>'Input_Forecast'!$F$6*'Assumptions'!$E$50</f>
        <v/>
      </c>
      <c r="E22" s="18">
        <f>'Input_Forecast'!$F$7*'Assumptions'!$E$50</f>
        <v/>
      </c>
      <c r="F22" s="18">
        <f>'Input_Forecast'!$F$8*'Assumptions'!$E$50</f>
        <v/>
      </c>
      <c r="G22" s="18">
        <f>'Input_Forecast'!$F$9*'Assumptions'!$E$50</f>
        <v/>
      </c>
      <c r="H22" s="18">
        <f>'Input_Forecast'!$F$10*'Assumptions'!$E$50</f>
        <v/>
      </c>
      <c r="I22" s="18">
        <f>'Input_Forecast'!$F$11*'Assumptions'!$E$50</f>
        <v/>
      </c>
      <c r="J22" s="18">
        <f>'Input_Forecast'!$F$12*'Assumptions'!$E$50</f>
        <v/>
      </c>
      <c r="K22" s="18">
        <f>'Input_Forecast'!$F$13*'Assumptions'!$E$50</f>
        <v/>
      </c>
      <c r="L22" s="18">
        <f>'Input_Forecast'!$F$14*'Assumptions'!$E$50</f>
        <v/>
      </c>
    </row>
    <row r="23" ht="18" customHeight="1">
      <c r="A23" s="7" t="inlineStr">
        <is>
          <t>Capex</t>
        </is>
      </c>
      <c r="B23" s="7" t="inlineStr">
        <is>
          <t>$mm</t>
        </is>
      </c>
      <c r="C23" s="22">
        <f>C14*C22</f>
        <v/>
      </c>
      <c r="D23" s="22">
        <f>D14*D22</f>
        <v/>
      </c>
      <c r="E23" s="22">
        <f>E14*E22</f>
        <v/>
      </c>
      <c r="F23" s="22">
        <f>F14*F22</f>
        <v/>
      </c>
      <c r="G23" s="22">
        <f>G14*G22</f>
        <v/>
      </c>
      <c r="H23" s="22">
        <f>H14*H22</f>
        <v/>
      </c>
      <c r="I23" s="22">
        <f>I14*I22</f>
        <v/>
      </c>
      <c r="J23" s="22">
        <f>J14*J22</f>
        <v/>
      </c>
      <c r="K23" s="22">
        <f>K14*K22</f>
        <v/>
      </c>
      <c r="L23" s="22">
        <f>L14*L22</f>
        <v/>
      </c>
    </row>
    <row r="24" ht="18" customHeight="1">
      <c r="A24" s="7" t="inlineStr">
        <is>
          <t>DSO</t>
        </is>
      </c>
      <c r="B24" s="7" t="inlineStr">
        <is>
          <t>days</t>
        </is>
      </c>
      <c r="C24" s="7">
        <f>'Input_Forecast'!$H$5</f>
        <v/>
      </c>
      <c r="D24" s="7">
        <f>'Input_Forecast'!$H$6</f>
        <v/>
      </c>
      <c r="E24" s="7">
        <f>'Input_Forecast'!$H$7</f>
        <v/>
      </c>
      <c r="F24" s="7">
        <f>'Input_Forecast'!$H$8</f>
        <v/>
      </c>
      <c r="G24" s="7">
        <f>'Input_Forecast'!$H$9</f>
        <v/>
      </c>
      <c r="H24" s="7">
        <f>'Input_Forecast'!$H$10</f>
        <v/>
      </c>
      <c r="I24" s="7">
        <f>'Input_Forecast'!$H$11</f>
        <v/>
      </c>
      <c r="J24" s="7">
        <f>'Input_Forecast'!$H$12</f>
        <v/>
      </c>
      <c r="K24" s="7">
        <f>'Input_Forecast'!$H$13</f>
        <v/>
      </c>
      <c r="L24" s="7">
        <f>'Input_Forecast'!$H$14</f>
        <v/>
      </c>
    </row>
    <row r="25" ht="18" customHeight="1">
      <c r="A25" s="7" t="inlineStr">
        <is>
          <t>DIO</t>
        </is>
      </c>
      <c r="B25" s="7" t="inlineStr">
        <is>
          <t>days</t>
        </is>
      </c>
      <c r="C25" s="7">
        <f>'Input_Forecast'!$I$5</f>
        <v/>
      </c>
      <c r="D25" s="7">
        <f>'Input_Forecast'!$I$6</f>
        <v/>
      </c>
      <c r="E25" s="7">
        <f>'Input_Forecast'!$I$7</f>
        <v/>
      </c>
      <c r="F25" s="7">
        <f>'Input_Forecast'!$I$8</f>
        <v/>
      </c>
      <c r="G25" s="7">
        <f>'Input_Forecast'!$I$9</f>
        <v/>
      </c>
      <c r="H25" s="7">
        <f>'Input_Forecast'!$I$10</f>
        <v/>
      </c>
      <c r="I25" s="7">
        <f>'Input_Forecast'!$I$11</f>
        <v/>
      </c>
      <c r="J25" s="7">
        <f>'Input_Forecast'!$I$12</f>
        <v/>
      </c>
      <c r="K25" s="7">
        <f>'Input_Forecast'!$I$13</f>
        <v/>
      </c>
      <c r="L25" s="7">
        <f>'Input_Forecast'!$I$14</f>
        <v/>
      </c>
    </row>
    <row r="26" ht="18" customHeight="1">
      <c r="A26" s="7" t="inlineStr">
        <is>
          <t>DPO</t>
        </is>
      </c>
      <c r="B26" s="7" t="inlineStr">
        <is>
          <t>days</t>
        </is>
      </c>
      <c r="C26" s="7">
        <f>'Input_Forecast'!$J$5</f>
        <v/>
      </c>
      <c r="D26" s="7">
        <f>'Input_Forecast'!$J$6</f>
        <v/>
      </c>
      <c r="E26" s="7">
        <f>'Input_Forecast'!$J$7</f>
        <v/>
      </c>
      <c r="F26" s="7">
        <f>'Input_Forecast'!$J$8</f>
        <v/>
      </c>
      <c r="G26" s="7">
        <f>'Input_Forecast'!$J$9</f>
        <v/>
      </c>
      <c r="H26" s="7">
        <f>'Input_Forecast'!$J$10</f>
        <v/>
      </c>
      <c r="I26" s="7">
        <f>'Input_Forecast'!$J$11</f>
        <v/>
      </c>
      <c r="J26" s="7">
        <f>'Input_Forecast'!$J$12</f>
        <v/>
      </c>
      <c r="K26" s="7">
        <f>'Input_Forecast'!$J$13</f>
        <v/>
      </c>
      <c r="L26" s="7">
        <f>'Input_Forecast'!$J$14</f>
        <v/>
      </c>
    </row>
    <row r="27" ht="18" customHeight="1">
      <c r="A27" s="7" t="inlineStr">
        <is>
          <t>Accounts Receivable</t>
        </is>
      </c>
      <c r="B27" s="7" t="inlineStr">
        <is>
          <t>$mm</t>
        </is>
      </c>
      <c r="C27" s="22">
        <f>C14*C24/365</f>
        <v/>
      </c>
      <c r="D27" s="22">
        <f>D14*D24/365</f>
        <v/>
      </c>
      <c r="E27" s="22">
        <f>E14*E24/365</f>
        <v/>
      </c>
      <c r="F27" s="22">
        <f>F14*F24/365</f>
        <v/>
      </c>
      <c r="G27" s="22">
        <f>G14*G24/365</f>
        <v/>
      </c>
      <c r="H27" s="22">
        <f>H14*H24/365</f>
        <v/>
      </c>
      <c r="I27" s="22">
        <f>I14*I24/365</f>
        <v/>
      </c>
      <c r="J27" s="22">
        <f>J14*J24/365</f>
        <v/>
      </c>
      <c r="K27" s="22">
        <f>K14*K24/365</f>
        <v/>
      </c>
      <c r="L27" s="22">
        <f>L14*L24/365</f>
        <v/>
      </c>
    </row>
    <row r="28" ht="18" customHeight="1">
      <c r="A28" s="7" t="inlineStr">
        <is>
          <t>Inventory</t>
        </is>
      </c>
      <c r="B28" s="7" t="inlineStr">
        <is>
          <t>$mm</t>
        </is>
      </c>
      <c r="C28" s="22">
        <f>C14*C25/365</f>
        <v/>
      </c>
      <c r="D28" s="22">
        <f>D14*D25/365</f>
        <v/>
      </c>
      <c r="E28" s="22">
        <f>E14*E25/365</f>
        <v/>
      </c>
      <c r="F28" s="22">
        <f>F14*F25/365</f>
        <v/>
      </c>
      <c r="G28" s="22">
        <f>G14*G25/365</f>
        <v/>
      </c>
      <c r="H28" s="22">
        <f>H14*H25/365</f>
        <v/>
      </c>
      <c r="I28" s="22">
        <f>I14*I25/365</f>
        <v/>
      </c>
      <c r="J28" s="22">
        <f>J14*J25/365</f>
        <v/>
      </c>
      <c r="K28" s="22">
        <f>K14*K25/365</f>
        <v/>
      </c>
      <c r="L28" s="22">
        <f>L14*L25/365</f>
        <v/>
      </c>
    </row>
    <row r="29" ht="18" customHeight="1">
      <c r="A29" s="7" t="inlineStr">
        <is>
          <t>Accounts Payable</t>
        </is>
      </c>
      <c r="B29" s="7" t="inlineStr">
        <is>
          <t>$mm</t>
        </is>
      </c>
      <c r="C29" s="22">
        <f>C14*C26/365</f>
        <v/>
      </c>
      <c r="D29" s="22">
        <f>D14*D26/365</f>
        <v/>
      </c>
      <c r="E29" s="22">
        <f>E14*E26/365</f>
        <v/>
      </c>
      <c r="F29" s="22">
        <f>F14*F26/365</f>
        <v/>
      </c>
      <c r="G29" s="22">
        <f>G14*G26/365</f>
        <v/>
      </c>
      <c r="H29" s="22">
        <f>H14*H26/365</f>
        <v/>
      </c>
      <c r="I29" s="22">
        <f>I14*I26/365</f>
        <v/>
      </c>
      <c r="J29" s="22">
        <f>J14*J26/365</f>
        <v/>
      </c>
      <c r="K29" s="22">
        <f>K14*K26/365</f>
        <v/>
      </c>
      <c r="L29" s="22">
        <f>L14*L26/365</f>
        <v/>
      </c>
    </row>
    <row r="30" ht="18" customHeight="1">
      <c r="A30" s="7" t="inlineStr">
        <is>
          <t>Net Working Capital</t>
        </is>
      </c>
      <c r="B30" s="7" t="inlineStr">
        <is>
          <t>$mm</t>
        </is>
      </c>
      <c r="C30" s="22">
        <f>C27+C28-C29</f>
        <v/>
      </c>
      <c r="D30" s="22">
        <f>D27+D28-D29</f>
        <v/>
      </c>
      <c r="E30" s="22">
        <f>E27+E28-E29</f>
        <v/>
      </c>
      <c r="F30" s="22">
        <f>F27+F28-F29</f>
        <v/>
      </c>
      <c r="G30" s="22">
        <f>G27+G28-G29</f>
        <v/>
      </c>
      <c r="H30" s="22">
        <f>H27+H28-H29</f>
        <v/>
      </c>
      <c r="I30" s="22">
        <f>I27+I28-I29</f>
        <v/>
      </c>
      <c r="J30" s="22">
        <f>J27+J28-J29</f>
        <v/>
      </c>
      <c r="K30" s="22">
        <f>K27+K28-K29</f>
        <v/>
      </c>
      <c r="L30" s="22">
        <f>L27+L28-L29</f>
        <v/>
      </c>
    </row>
    <row r="31" ht="18" customHeight="1">
      <c r="A31" s="7" t="inlineStr">
        <is>
          <t>Delta NWC</t>
        </is>
      </c>
      <c r="B31" s="7" t="inlineStr">
        <is>
          <t>$mm</t>
        </is>
      </c>
      <c r="C31" s="22">
        <f>C30-('Assumptions'!$E$15*'Assumptions'!$E$25/365+'Assumptions'!$E$15*'Assumptions'!$E$27/365-'Assumptions'!$E$15*'Assumptions'!$E$29/365)</f>
        <v/>
      </c>
      <c r="D31" s="22">
        <f>D30-C30</f>
        <v/>
      </c>
      <c r="E31" s="22">
        <f>E30-D30</f>
        <v/>
      </c>
      <c r="F31" s="22">
        <f>F30-E30</f>
        <v/>
      </c>
      <c r="G31" s="22">
        <f>G30-F30</f>
        <v/>
      </c>
      <c r="H31" s="22">
        <f>H30-G30</f>
        <v/>
      </c>
      <c r="I31" s="22">
        <f>I30-H30</f>
        <v/>
      </c>
      <c r="J31" s="22">
        <f>J30-I30</f>
        <v/>
      </c>
      <c r="K31" s="22">
        <f>K30-J30</f>
        <v/>
      </c>
      <c r="L31" s="22">
        <f>L30-K30</f>
        <v/>
      </c>
    </row>
    <row r="32" ht="18" customHeight="1">
      <c r="A32" s="21" t="inlineStr">
        <is>
          <t>Free Cash Flow to Firm</t>
        </is>
      </c>
      <c r="B32" s="7" t="inlineStr">
        <is>
          <t>$mm</t>
        </is>
      </c>
      <c r="C32" s="22">
        <f>C19+C21-C23-C31</f>
        <v/>
      </c>
      <c r="D32" s="22">
        <f>D19+D21-D23-D31</f>
        <v/>
      </c>
      <c r="E32" s="22">
        <f>E19+E21-E23-E31</f>
        <v/>
      </c>
      <c r="F32" s="22">
        <f>F19+F21-F23-F31</f>
        <v/>
      </c>
      <c r="G32" s="22">
        <f>G19+G21-G23-G31</f>
        <v/>
      </c>
      <c r="H32" s="22">
        <f>H19+H21-H23-H31</f>
        <v/>
      </c>
      <c r="I32" s="22">
        <f>I19+I21-I23-I31</f>
        <v/>
      </c>
      <c r="J32" s="22">
        <f>J19+J21-J23-J31</f>
        <v/>
      </c>
      <c r="K32" s="22">
        <f>K19+K21-K23-K31</f>
        <v/>
      </c>
      <c r="L32" s="22">
        <f>L19+L21-L23-L31</f>
        <v/>
      </c>
    </row>
    <row r="33" ht="18" customHeight="1">
      <c r="A33" s="7" t="inlineStr">
        <is>
          <t>Discount Factor</t>
        </is>
      </c>
      <c r="B33" s="7" t="inlineStr">
        <is>
          <t>x</t>
        </is>
      </c>
      <c r="C33" s="7">
        <f>IF('Assumptions'!$E$56,POWER(1+$B$5,1-0.5),POWER(1+$B$5,1))</f>
        <v/>
      </c>
      <c r="D33" s="7">
        <f>IF('Assumptions'!$E$56,POWER(1+$B$5,2-0.5),POWER(1+$B$5,2))</f>
        <v/>
      </c>
      <c r="E33" s="7">
        <f>IF('Assumptions'!$E$56,POWER(1+$B$5,3-0.5),POWER(1+$B$5,3))</f>
        <v/>
      </c>
      <c r="F33" s="7">
        <f>IF('Assumptions'!$E$56,POWER(1+$B$5,4-0.5),POWER(1+$B$5,4))</f>
        <v/>
      </c>
      <c r="G33" s="7">
        <f>IF('Assumptions'!$E$56,POWER(1+$B$5,5-0.5),POWER(1+$B$5,5))</f>
        <v/>
      </c>
      <c r="H33" s="7">
        <f>IF('Assumptions'!$E$56,POWER(1+$B$5,6-0.5),POWER(1+$B$5,6))</f>
        <v/>
      </c>
      <c r="I33" s="7">
        <f>IF('Assumptions'!$E$56,POWER(1+$B$5,7-0.5),POWER(1+$B$5,7))</f>
        <v/>
      </c>
      <c r="J33" s="7">
        <f>IF('Assumptions'!$E$56,POWER(1+$B$5,8-0.5),POWER(1+$B$5,8))</f>
        <v/>
      </c>
      <c r="K33" s="7">
        <f>IF('Assumptions'!$E$56,POWER(1+$B$5,9-0.5),POWER(1+$B$5,9))</f>
        <v/>
      </c>
      <c r="L33" s="7">
        <f>IF('Assumptions'!$E$56,POWER(1+$B$5,10-0.5),POWER(1+$B$5,10))</f>
        <v/>
      </c>
    </row>
    <row r="34" ht="18" customHeight="1">
      <c r="A34" s="21" t="inlineStr">
        <is>
          <t>PV FCFF</t>
        </is>
      </c>
      <c r="B34" s="7" t="inlineStr">
        <is>
          <t>$mm</t>
        </is>
      </c>
      <c r="C34" s="22">
        <f>C32/C33</f>
        <v/>
      </c>
      <c r="D34" s="22">
        <f>D32/D33</f>
        <v/>
      </c>
      <c r="E34" s="22">
        <f>E32/E33</f>
        <v/>
      </c>
      <c r="F34" s="22">
        <f>F32/F33</f>
        <v/>
      </c>
      <c r="G34" s="22">
        <f>G32/G33</f>
        <v/>
      </c>
      <c r="H34" s="22">
        <f>H32/H33</f>
        <v/>
      </c>
      <c r="I34" s="22">
        <f>I32/I33</f>
        <v/>
      </c>
      <c r="J34" s="22">
        <f>J32/J33</f>
        <v/>
      </c>
      <c r="K34" s="22">
        <f>K32/K33</f>
        <v/>
      </c>
      <c r="L34" s="22">
        <f>L32/L33</f>
        <v/>
      </c>
    </row>
    <row r="35" ht="18" customHeight="1">
      <c r="A35" s="21" t="inlineStr">
        <is>
          <t>EBITDA</t>
        </is>
      </c>
      <c r="B35" s="7" t="inlineStr">
        <is>
          <t>$mm</t>
        </is>
      </c>
      <c r="C35" s="22">
        <f>C17+C21</f>
        <v/>
      </c>
      <c r="D35" s="22">
        <f>D17+D21</f>
        <v/>
      </c>
      <c r="E35" s="22">
        <f>E17+E21</f>
        <v/>
      </c>
      <c r="F35" s="22">
        <f>F17+F21</f>
        <v/>
      </c>
      <c r="G35" s="22">
        <f>G17+G21</f>
        <v/>
      </c>
      <c r="H35" s="22">
        <f>H17+H21</f>
        <v/>
      </c>
      <c r="I35" s="22">
        <f>I17+I21</f>
        <v/>
      </c>
      <c r="J35" s="22">
        <f>J17+J21</f>
        <v/>
      </c>
      <c r="K35" s="22">
        <f>K17+K21</f>
        <v/>
      </c>
      <c r="L35" s="22">
        <f>L17+L21</f>
        <v/>
      </c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18" customHeight="1">
      <c r="A38" s="19" t="inlineStr">
        <is>
          <t>Valuation</t>
        </is>
      </c>
      <c r="B38" s="20" t="n"/>
      <c r="C38" s="20" t="n"/>
      <c r="D38" s="20" t="n"/>
      <c r="E38" s="20" t="n"/>
      <c r="F38" s="20" t="n"/>
      <c r="G38" s="7" t="n"/>
      <c r="H38" s="7" t="n"/>
      <c r="I38" s="7" t="n"/>
      <c r="J38" s="7" t="n"/>
      <c r="K38" s="7" t="n"/>
      <c r="L38" s="7" t="n"/>
    </row>
    <row r="39" ht="18" customHeight="1">
      <c r="A39" s="7" t="inlineStr">
        <is>
          <t>Terminal FCFF</t>
        </is>
      </c>
      <c r="B39" s="22">
        <f>L32*(1+$B$6)</f>
        <v/>
      </c>
      <c r="C39" s="22" t="inlineStr">
        <is>
          <t>$mm</t>
        </is>
      </c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</row>
    <row r="40" ht="18" customHeight="1">
      <c r="A40" s="7" t="inlineStr">
        <is>
          <t>Gordon Terminal Value</t>
        </is>
      </c>
      <c r="B40" s="22">
        <f>IF($B$5&lt;=$B$6,NA(),B39/($B$5-$B$6))</f>
        <v/>
      </c>
      <c r="C40" s="22" t="inlineStr">
        <is>
          <t>$mm</t>
        </is>
      </c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8" customHeight="1">
      <c r="A41" s="7" t="inlineStr">
        <is>
          <t>Exit Terminal Value</t>
        </is>
      </c>
      <c r="B41" s="22">
        <f>IF('Assumptions'!$E$41="ev_ebit",L17,L35)*$B$7</f>
        <v/>
      </c>
      <c r="C41" s="22" t="inlineStr">
        <is>
          <t>$mm</t>
        </is>
      </c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8" customHeight="1">
      <c r="A42" s="7" t="inlineStr">
        <is>
          <t>Blended Terminal Value</t>
        </is>
      </c>
      <c r="B42" s="22">
        <f>$B$8*B40+(1-$B$8)*B41</f>
        <v/>
      </c>
      <c r="C42" s="22" t="inlineStr">
        <is>
          <t>$mm</t>
        </is>
      </c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8" customHeight="1">
      <c r="A43" s="7" t="inlineStr">
        <is>
          <t>PV Terminal Value</t>
        </is>
      </c>
      <c r="B43" s="22">
        <f>B42/POWER(1+$B$5,10)</f>
        <v/>
      </c>
      <c r="C43" s="22" t="inlineStr">
        <is>
          <t>$mm</t>
        </is>
      </c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</row>
    <row r="44" ht="18" customHeight="1">
      <c r="A44" s="7" t="inlineStr">
        <is>
          <t>PV Explicit FCFF</t>
        </is>
      </c>
      <c r="B44" s="22">
        <f>SUM(C34:L34)</f>
        <v/>
      </c>
      <c r="C44" s="22" t="inlineStr">
        <is>
          <t>$mm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</row>
    <row r="45" ht="18" customHeight="1">
      <c r="A45" s="21" t="inlineStr">
        <is>
          <t>Enterprise Value - Operations</t>
        </is>
      </c>
      <c r="B45" s="23">
        <f>B43+B44</f>
        <v/>
      </c>
      <c r="C45" s="22" t="inlineStr">
        <is>
          <t>$mm</t>
        </is>
      </c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</row>
    <row r="46" ht="18" customHeight="1">
      <c r="A46" s="7" t="inlineStr">
        <is>
          <t>Terminal Value % EV</t>
        </is>
      </c>
      <c r="B46" s="18">
        <f>B43/B45</f>
        <v/>
      </c>
      <c r="C46" s="18" t="inlineStr">
        <is>
          <t>%</t>
        </is>
      </c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</row>
    <row r="47" ht="18" customHeight="1">
      <c r="A47" s="7" t="inlineStr">
        <is>
          <t>Non-operating Assets</t>
        </is>
      </c>
      <c r="B47" s="22">
        <f>'Assumptions'!$E$8</f>
        <v/>
      </c>
      <c r="C47" s="22" t="inlineStr">
        <is>
          <t>$mm</t>
        </is>
      </c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</row>
    <row r="48" ht="18" customHeight="1">
      <c r="A48" s="7" t="inlineStr">
        <is>
          <t>Non-equity Claims</t>
        </is>
      </c>
      <c r="B48" s="22">
        <f>'Assumptions'!$E$7+'Assumptions'!$E$9+'Assumptions'!$E$10+'Assumptions'!$E$11+'Assumptions'!$E$12+'Assumptions'!$E$13+'Assumptions'!$E$14</f>
        <v/>
      </c>
      <c r="C48" s="22" t="inlineStr">
        <is>
          <t>$mm</t>
        </is>
      </c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</row>
    <row r="49" ht="18" customHeight="1">
      <c r="A49" s="21" t="inlineStr">
        <is>
          <t>Equity Value</t>
        </is>
      </c>
      <c r="B49" s="23">
        <f>B45+B47-B48</f>
        <v/>
      </c>
      <c r="C49" s="22" t="inlineStr">
        <is>
          <t>$mm</t>
        </is>
      </c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</row>
    <row r="50" ht="18" customHeight="1">
      <c r="A50" s="7" t="inlineStr">
        <is>
          <t>Diluted Shares</t>
        </is>
      </c>
      <c r="B50" s="22">
        <f>'Assumptions'!$E$6</f>
        <v/>
      </c>
      <c r="C50" s="7" t="inlineStr">
        <is>
          <t>mm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18" customHeight="1">
      <c r="A51" s="21" t="inlineStr">
        <is>
          <t>Intrinsic Value / Share</t>
        </is>
      </c>
      <c r="B51" s="23">
        <f>B49/B50</f>
        <v/>
      </c>
      <c r="C51" s="22" t="inlineStr">
        <is>
          <t>$ / share</t>
        </is>
      </c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</row>
    <row r="52" ht="18" customHeight="1">
      <c r="A52" s="21" t="inlineStr">
        <is>
          <t>Upside / Downside</t>
        </is>
      </c>
      <c r="B52" s="24">
        <f>B51/'Assumptions'!$E$5-1</f>
        <v/>
      </c>
      <c r="C52" s="18" t="inlineStr">
        <is>
          <t>%</t>
        </is>
      </c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</row>
    <row r="53" ht="18" customHeight="1">
      <c r="A53" s="7" t="inlineStr">
        <is>
          <t>Implied EV / EBITDA</t>
        </is>
      </c>
      <c r="B53" s="22">
        <f>B45/L35</f>
        <v/>
      </c>
      <c r="C53" s="7" t="inlineStr">
        <is>
          <t>x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18" customHeight="1">
      <c r="A54" s="7" t="inlineStr">
        <is>
          <t>Implied EV / EBIT</t>
        </is>
      </c>
      <c r="B54" s="22">
        <f>B45/L17</f>
        <v/>
      </c>
      <c r="C54" s="7" t="inlineStr">
        <is>
          <t>x</t>
        </is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70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Equity Bridge</t>
        </is>
      </c>
    </row>
    <row r="2" ht="18" customHeight="1">
      <c r="A2" s="2" t="inlineStr">
        <is>
          <t>Enterprise value to equity value reconciliation by scenario</t>
        </is>
      </c>
    </row>
    <row r="3" ht="18" customHeight="1"/>
    <row r="4" ht="18" customHeight="1">
      <c r="A4" s="6" t="inlineStr">
        <is>
          <t>Line</t>
        </is>
      </c>
      <c r="B4" s="6" t="inlineStr">
        <is>
          <t>Base</t>
        </is>
      </c>
      <c r="C4" s="6" t="inlineStr">
        <is>
          <t>Bear</t>
        </is>
      </c>
      <c r="D4" s="6" t="inlineStr">
        <is>
          <t>Bull</t>
        </is>
      </c>
      <c r="E4" s="6" t="inlineStr">
        <is>
          <t>Notes</t>
        </is>
      </c>
    </row>
    <row r="5" ht="18" customHeight="1">
      <c r="A5" s="7" t="inlineStr">
        <is>
          <t>Enterprise Value - Operations</t>
        </is>
      </c>
      <c r="B5" s="22">
        <f>'DCF_Base'!$B$45</f>
        <v/>
      </c>
      <c r="C5" s="22">
        <f>'DCF_Bear'!$B$45</f>
        <v/>
      </c>
      <c r="D5" s="22">
        <f>'DCF_Bull'!$B$45</f>
        <v/>
      </c>
      <c r="E5" s="7" t="inlineStr">
        <is>
          <t>DCF scenario sheet</t>
        </is>
      </c>
    </row>
    <row r="6" ht="18" customHeight="1">
      <c r="A6" s="7" t="inlineStr">
        <is>
          <t>Non-operating Assets</t>
        </is>
      </c>
      <c r="B6" s="22">
        <f>'DCF_Base'!$B$47</f>
        <v/>
      </c>
      <c r="C6" s="22">
        <f>'DCF_Bear'!$B$47</f>
        <v/>
      </c>
      <c r="D6" s="22">
        <f>'DCF_Bull'!$B$47</f>
        <v/>
      </c>
      <c r="E6" s="7" t="inlineStr">
        <is>
          <t>Added to EV</t>
        </is>
      </c>
    </row>
    <row r="7" ht="18" customHeight="1">
      <c r="A7" s="7" t="inlineStr">
        <is>
          <t>Non-equity Claims</t>
        </is>
      </c>
      <c r="B7" s="22">
        <f>'DCF_Base'!$B$48</f>
        <v/>
      </c>
      <c r="C7" s="22">
        <f>'DCF_Bear'!$B$48</f>
        <v/>
      </c>
      <c r="D7" s="22">
        <f>'DCF_Bull'!$B$48</f>
        <v/>
      </c>
      <c r="E7" s="7" t="inlineStr">
        <is>
          <t>Net debt plus minority, preferred, pension, lease, options, convertibles</t>
        </is>
      </c>
    </row>
    <row r="8" ht="18" customHeight="1">
      <c r="A8" s="7" t="inlineStr">
        <is>
          <t>Equity Value</t>
        </is>
      </c>
      <c r="B8" s="22">
        <f>'DCF_Base'!$B$49</f>
        <v/>
      </c>
      <c r="C8" s="22">
        <f>'DCF_Bear'!$B$49</f>
        <v/>
      </c>
      <c r="D8" s="22">
        <f>'DCF_Bull'!$B$49</f>
        <v/>
      </c>
      <c r="E8" s="7" t="inlineStr">
        <is>
          <t>EV + assets - claims</t>
        </is>
      </c>
    </row>
    <row r="9" ht="18" customHeight="1">
      <c r="A9" s="7" t="inlineStr">
        <is>
          <t>Diluted Shares</t>
        </is>
      </c>
      <c r="B9" s="22">
        <f>'DCF_Base'!$B$50</f>
        <v/>
      </c>
      <c r="C9" s="22">
        <f>'DCF_Bear'!$B$50</f>
        <v/>
      </c>
      <c r="D9" s="22">
        <f>'DCF_Bull'!$B$50</f>
        <v/>
      </c>
      <c r="E9" s="7" t="inlineStr">
        <is>
          <t>Assumptions effective value</t>
        </is>
      </c>
    </row>
    <row r="10" ht="18" customHeight="1">
      <c r="A10" s="7" t="inlineStr">
        <is>
          <t>Intrinsic Value / Share</t>
        </is>
      </c>
      <c r="B10" s="22">
        <f>'DCF_Base'!$B$51</f>
        <v/>
      </c>
      <c r="C10" s="22">
        <f>'DCF_Bear'!$B$51</f>
        <v/>
      </c>
      <c r="D10" s="22">
        <f>'DCF_Bull'!$B$51</f>
        <v/>
      </c>
      <c r="E10" s="7" t="inlineStr">
        <is>
          <t>Equity value / shares</t>
        </is>
      </c>
    </row>
    <row r="11" ht="18" customHeight="1">
      <c r="A11" s="7" t="inlineStr">
        <is>
          <t>Upside / Downside</t>
        </is>
      </c>
      <c r="B11" s="18">
        <f>'DCF_Base'!$B$52</f>
        <v/>
      </c>
      <c r="C11" s="18">
        <f>'DCF_Bear'!$B$52</f>
        <v/>
      </c>
      <c r="D11" s="18">
        <f>'DCF_Bull'!$B$52</f>
        <v/>
      </c>
      <c r="E11" s="7" t="inlineStr">
        <is>
          <t>Relative to current price</t>
        </is>
      </c>
    </row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8" customWidth="1" min="7" max="7"/>
    <col width="8" customWidth="1" min="8" max="8"/>
  </cols>
  <sheetData>
    <row r="1" ht="24" customHeight="1">
      <c r="A1" s="1" t="inlineStr">
        <is>
          <t>Sensitivity Tables</t>
        </is>
      </c>
    </row>
    <row r="2" ht="18" customHeight="1">
      <c r="A2" s="2" t="inlineStr">
        <is>
          <t>Explicit formula tables; change Assumptions to refresh the base mechanics.</t>
        </is>
      </c>
    </row>
    <row r="3" ht="18" customHeight="1"/>
    <row r="4" ht="18" customHeight="1">
      <c r="A4" s="19" t="inlineStr">
        <is>
          <t>WACC vs Terminal Growth: Intrinsic Value / Share</t>
        </is>
      </c>
      <c r="B4" s="20" t="n"/>
      <c r="C4" s="20" t="n"/>
      <c r="D4" s="20" t="n"/>
      <c r="E4" s="20" t="n"/>
      <c r="F4" s="20" t="n"/>
      <c r="G4" s="20" t="n"/>
      <c r="H4" s="20" t="n"/>
    </row>
    <row r="5" ht="18" customHeight="1">
      <c r="A5" s="7" t="inlineStr">
        <is>
          <t>g / WACC</t>
        </is>
      </c>
      <c r="B5" s="18">
        <f>'Assumptions'!$E$31+-0.02</f>
        <v/>
      </c>
      <c r="C5" s="18">
        <f>'Assumptions'!$E$31+-0.01</f>
        <v/>
      </c>
      <c r="D5" s="18">
        <f>'Assumptions'!$E$31+0.0</f>
        <v/>
      </c>
      <c r="E5" s="18">
        <f>'Assumptions'!$E$31+0.01</f>
        <v/>
      </c>
      <c r="F5" s="18">
        <f>'Assumptions'!$E$31+0.02</f>
        <v/>
      </c>
      <c r="G5" s="7" t="n"/>
      <c r="H5" s="7" t="n"/>
    </row>
    <row r="6" ht="18" customHeight="1">
      <c r="A6" s="18">
        <f>'Assumptions'!$E$18+-0.01</f>
        <v/>
      </c>
      <c r="B6" s="22">
        <f>IF(B5&lt;=A6,NA(),(('DCF_Base'!C32/POWER(1+B5,1-0.5)+'DCF_Base'!D32/POWER(1+B5,2-0.5)+'DCF_Base'!E32/POWER(1+B5,3-0.5)+'DCF_Base'!F32/POWER(1+B5,4-0.5)+'DCF_Base'!G32/POWER(1+B5,5-0.5)+'DCF_Base'!H32/POWER(1+B5,6-0.5)+'DCF_Base'!I32/POWER(1+B5,7-0.5)+'DCF_Base'!J32/POWER(1+B5,8-0.5)+'DCF_Base'!K32/POWER(1+B5,9-0.5)+'DCF_Base'!L32/POWER(1+B5,10-0.5))+(('DCF_Base'!L32*(1+A6))/(B5-A6))/POWER(1+B5,10)+'Assumptions'!$E$8-('Assumptions'!$E$7+'Assumptions'!$E$9+'Assumptions'!$E$10+'Assumptions'!$E$11+'Assumptions'!$E$12+'Assumptions'!$E$13+'Assumptions'!$E$14))/'Assumptions'!$E$6)</f>
        <v/>
      </c>
      <c r="C6" s="22">
        <f>IF(C5&lt;=A6,NA(),(('DCF_Base'!C32/POWER(1+C5,1-0.5)+'DCF_Base'!D32/POWER(1+C5,2-0.5)+'DCF_Base'!E32/POWER(1+C5,3-0.5)+'DCF_Base'!F32/POWER(1+C5,4-0.5)+'DCF_Base'!G32/POWER(1+C5,5-0.5)+'DCF_Base'!H32/POWER(1+C5,6-0.5)+'DCF_Base'!I32/POWER(1+C5,7-0.5)+'DCF_Base'!J32/POWER(1+C5,8-0.5)+'DCF_Base'!K32/POWER(1+C5,9-0.5)+'DCF_Base'!L32/POWER(1+C5,10-0.5))+(('DCF_Base'!L32*(1+A6))/(C5-A6))/POWER(1+C5,10)+'Assumptions'!$E$8-('Assumptions'!$E$7+'Assumptions'!$E$9+'Assumptions'!$E$10+'Assumptions'!$E$11+'Assumptions'!$E$12+'Assumptions'!$E$13+'Assumptions'!$E$14))/'Assumptions'!$E$6)</f>
        <v/>
      </c>
      <c r="D6" s="22">
        <f>IF(D5&lt;=A6,NA(),(('DCF_Base'!C32/POWER(1+D5,1-0.5)+'DCF_Base'!D32/POWER(1+D5,2-0.5)+'DCF_Base'!E32/POWER(1+D5,3-0.5)+'DCF_Base'!F32/POWER(1+D5,4-0.5)+'DCF_Base'!G32/POWER(1+D5,5-0.5)+'DCF_Base'!H32/POWER(1+D5,6-0.5)+'DCF_Base'!I32/POWER(1+D5,7-0.5)+'DCF_Base'!J32/POWER(1+D5,8-0.5)+'DCF_Base'!K32/POWER(1+D5,9-0.5)+'DCF_Base'!L32/POWER(1+D5,10-0.5))+(('DCF_Base'!L32*(1+A6))/(D5-A6))/POWER(1+D5,10)+'Assumptions'!$E$8-('Assumptions'!$E$7+'Assumptions'!$E$9+'Assumptions'!$E$10+'Assumptions'!$E$11+'Assumptions'!$E$12+'Assumptions'!$E$13+'Assumptions'!$E$14))/'Assumptions'!$E$6)</f>
        <v/>
      </c>
      <c r="E6" s="22">
        <f>IF(E5&lt;=A6,NA(),(('DCF_Base'!C32/POWER(1+E5,1-0.5)+'DCF_Base'!D32/POWER(1+E5,2-0.5)+'DCF_Base'!E32/POWER(1+E5,3-0.5)+'DCF_Base'!F32/POWER(1+E5,4-0.5)+'DCF_Base'!G32/POWER(1+E5,5-0.5)+'DCF_Base'!H32/POWER(1+E5,6-0.5)+'DCF_Base'!I32/POWER(1+E5,7-0.5)+'DCF_Base'!J32/POWER(1+E5,8-0.5)+'DCF_Base'!K32/POWER(1+E5,9-0.5)+'DCF_Base'!L32/POWER(1+E5,10-0.5))+(('DCF_Base'!L32*(1+A6))/(E5-A6))/POWER(1+E5,10)+'Assumptions'!$E$8-('Assumptions'!$E$7+'Assumptions'!$E$9+'Assumptions'!$E$10+'Assumptions'!$E$11+'Assumptions'!$E$12+'Assumptions'!$E$13+'Assumptions'!$E$14))/'Assumptions'!$E$6)</f>
        <v/>
      </c>
      <c r="F6" s="22">
        <f>IF(F5&lt;=A6,NA(),(('DCF_Base'!C32/POWER(1+F5,1-0.5)+'DCF_Base'!D32/POWER(1+F5,2-0.5)+'DCF_Base'!E32/POWER(1+F5,3-0.5)+'DCF_Base'!F32/POWER(1+F5,4-0.5)+'DCF_Base'!G32/POWER(1+F5,5-0.5)+'DCF_Base'!H32/POWER(1+F5,6-0.5)+'DCF_Base'!I32/POWER(1+F5,7-0.5)+'DCF_Base'!J32/POWER(1+F5,8-0.5)+'DCF_Base'!K32/POWER(1+F5,9-0.5)+'DCF_Base'!L32/POWER(1+F5,10-0.5))+(('DCF_Base'!L32*(1+A6))/(F5-A6))/POWER(1+F5,10)+'Assumptions'!$E$8-('Assumptions'!$E$7+'Assumptions'!$E$9+'Assumptions'!$E$10+'Assumptions'!$E$11+'Assumptions'!$E$12+'Assumptions'!$E$13+'Assumptions'!$E$14))/'Assumptions'!$E$6)</f>
        <v/>
      </c>
      <c r="G6" s="7" t="n"/>
      <c r="H6" s="7" t="n"/>
    </row>
    <row r="7" ht="18" customHeight="1">
      <c r="A7" s="18">
        <f>'Assumptions'!$E$18+-0.005</f>
        <v/>
      </c>
      <c r="B7" s="22">
        <f>IF(B5&lt;=A7,NA(),(('DCF_Base'!C32/POWER(1+B5,1-0.5)+'DCF_Base'!D32/POWER(1+B5,2-0.5)+'DCF_Base'!E32/POWER(1+B5,3-0.5)+'DCF_Base'!F32/POWER(1+B5,4-0.5)+'DCF_Base'!G32/POWER(1+B5,5-0.5)+'DCF_Base'!H32/POWER(1+B5,6-0.5)+'DCF_Base'!I32/POWER(1+B5,7-0.5)+'DCF_Base'!J32/POWER(1+B5,8-0.5)+'DCF_Base'!K32/POWER(1+B5,9-0.5)+'DCF_Base'!L32/POWER(1+B5,10-0.5))+(('DCF_Base'!L32*(1+A7))/(B5-A7))/POWER(1+B5,10)+'Assumptions'!$E$8-('Assumptions'!$E$7+'Assumptions'!$E$9+'Assumptions'!$E$10+'Assumptions'!$E$11+'Assumptions'!$E$12+'Assumptions'!$E$13+'Assumptions'!$E$14))/'Assumptions'!$E$6)</f>
        <v/>
      </c>
      <c r="C7" s="22">
        <f>IF(C5&lt;=A7,NA(),(('DCF_Base'!C32/POWER(1+C5,1-0.5)+'DCF_Base'!D32/POWER(1+C5,2-0.5)+'DCF_Base'!E32/POWER(1+C5,3-0.5)+'DCF_Base'!F32/POWER(1+C5,4-0.5)+'DCF_Base'!G32/POWER(1+C5,5-0.5)+'DCF_Base'!H32/POWER(1+C5,6-0.5)+'DCF_Base'!I32/POWER(1+C5,7-0.5)+'DCF_Base'!J32/POWER(1+C5,8-0.5)+'DCF_Base'!K32/POWER(1+C5,9-0.5)+'DCF_Base'!L32/POWER(1+C5,10-0.5))+(('DCF_Base'!L32*(1+A7))/(C5-A7))/POWER(1+C5,10)+'Assumptions'!$E$8-('Assumptions'!$E$7+'Assumptions'!$E$9+'Assumptions'!$E$10+'Assumptions'!$E$11+'Assumptions'!$E$12+'Assumptions'!$E$13+'Assumptions'!$E$14))/'Assumptions'!$E$6)</f>
        <v/>
      </c>
      <c r="D7" s="22">
        <f>IF(D5&lt;=A7,NA(),(('DCF_Base'!C32/POWER(1+D5,1-0.5)+'DCF_Base'!D32/POWER(1+D5,2-0.5)+'DCF_Base'!E32/POWER(1+D5,3-0.5)+'DCF_Base'!F32/POWER(1+D5,4-0.5)+'DCF_Base'!G32/POWER(1+D5,5-0.5)+'DCF_Base'!H32/POWER(1+D5,6-0.5)+'DCF_Base'!I32/POWER(1+D5,7-0.5)+'DCF_Base'!J32/POWER(1+D5,8-0.5)+'DCF_Base'!K32/POWER(1+D5,9-0.5)+'DCF_Base'!L32/POWER(1+D5,10-0.5))+(('DCF_Base'!L32*(1+A7))/(D5-A7))/POWER(1+D5,10)+'Assumptions'!$E$8-('Assumptions'!$E$7+'Assumptions'!$E$9+'Assumptions'!$E$10+'Assumptions'!$E$11+'Assumptions'!$E$12+'Assumptions'!$E$13+'Assumptions'!$E$14))/'Assumptions'!$E$6)</f>
        <v/>
      </c>
      <c r="E7" s="22">
        <f>IF(E5&lt;=A7,NA(),(('DCF_Base'!C32/POWER(1+E5,1-0.5)+'DCF_Base'!D32/POWER(1+E5,2-0.5)+'DCF_Base'!E32/POWER(1+E5,3-0.5)+'DCF_Base'!F32/POWER(1+E5,4-0.5)+'DCF_Base'!G32/POWER(1+E5,5-0.5)+'DCF_Base'!H32/POWER(1+E5,6-0.5)+'DCF_Base'!I32/POWER(1+E5,7-0.5)+'DCF_Base'!J32/POWER(1+E5,8-0.5)+'DCF_Base'!K32/POWER(1+E5,9-0.5)+'DCF_Base'!L32/POWER(1+E5,10-0.5))+(('DCF_Base'!L32*(1+A7))/(E5-A7))/POWER(1+E5,10)+'Assumptions'!$E$8-('Assumptions'!$E$7+'Assumptions'!$E$9+'Assumptions'!$E$10+'Assumptions'!$E$11+'Assumptions'!$E$12+'Assumptions'!$E$13+'Assumptions'!$E$14))/'Assumptions'!$E$6)</f>
        <v/>
      </c>
      <c r="F7" s="22">
        <f>IF(F5&lt;=A7,NA(),(('DCF_Base'!C32/POWER(1+F5,1-0.5)+'DCF_Base'!D32/POWER(1+F5,2-0.5)+'DCF_Base'!E32/POWER(1+F5,3-0.5)+'DCF_Base'!F32/POWER(1+F5,4-0.5)+'DCF_Base'!G32/POWER(1+F5,5-0.5)+'DCF_Base'!H32/POWER(1+F5,6-0.5)+'DCF_Base'!I32/POWER(1+F5,7-0.5)+'DCF_Base'!J32/POWER(1+F5,8-0.5)+'DCF_Base'!K32/POWER(1+F5,9-0.5)+'DCF_Base'!L32/POWER(1+F5,10-0.5))+(('DCF_Base'!L32*(1+A7))/(F5-A7))/POWER(1+F5,10)+'Assumptions'!$E$8-('Assumptions'!$E$7+'Assumptions'!$E$9+'Assumptions'!$E$10+'Assumptions'!$E$11+'Assumptions'!$E$12+'Assumptions'!$E$13+'Assumptions'!$E$14))/'Assumptions'!$E$6)</f>
        <v/>
      </c>
      <c r="G7" s="7" t="n"/>
      <c r="H7" s="7" t="n"/>
    </row>
    <row r="8" ht="18" customHeight="1">
      <c r="A8" s="18">
        <f>'Assumptions'!$E$18+0.0</f>
        <v/>
      </c>
      <c r="B8" s="22">
        <f>IF(B5&lt;=A8,NA(),(('DCF_Base'!C32/POWER(1+B5,1-0.5)+'DCF_Base'!D32/POWER(1+B5,2-0.5)+'DCF_Base'!E32/POWER(1+B5,3-0.5)+'DCF_Base'!F32/POWER(1+B5,4-0.5)+'DCF_Base'!G32/POWER(1+B5,5-0.5)+'DCF_Base'!H32/POWER(1+B5,6-0.5)+'DCF_Base'!I32/POWER(1+B5,7-0.5)+'DCF_Base'!J32/POWER(1+B5,8-0.5)+'DCF_Base'!K32/POWER(1+B5,9-0.5)+'DCF_Base'!L32/POWER(1+B5,10-0.5))+(('DCF_Base'!L32*(1+A8))/(B5-A8))/POWER(1+B5,10)+'Assumptions'!$E$8-('Assumptions'!$E$7+'Assumptions'!$E$9+'Assumptions'!$E$10+'Assumptions'!$E$11+'Assumptions'!$E$12+'Assumptions'!$E$13+'Assumptions'!$E$14))/'Assumptions'!$E$6)</f>
        <v/>
      </c>
      <c r="C8" s="22">
        <f>IF(C5&lt;=A8,NA(),(('DCF_Base'!C32/POWER(1+C5,1-0.5)+'DCF_Base'!D32/POWER(1+C5,2-0.5)+'DCF_Base'!E32/POWER(1+C5,3-0.5)+'DCF_Base'!F32/POWER(1+C5,4-0.5)+'DCF_Base'!G32/POWER(1+C5,5-0.5)+'DCF_Base'!H32/POWER(1+C5,6-0.5)+'DCF_Base'!I32/POWER(1+C5,7-0.5)+'DCF_Base'!J32/POWER(1+C5,8-0.5)+'DCF_Base'!K32/POWER(1+C5,9-0.5)+'DCF_Base'!L32/POWER(1+C5,10-0.5))+(('DCF_Base'!L32*(1+A8))/(C5-A8))/POWER(1+C5,10)+'Assumptions'!$E$8-('Assumptions'!$E$7+'Assumptions'!$E$9+'Assumptions'!$E$10+'Assumptions'!$E$11+'Assumptions'!$E$12+'Assumptions'!$E$13+'Assumptions'!$E$14))/'Assumptions'!$E$6)</f>
        <v/>
      </c>
      <c r="D8" s="22">
        <f>IF(D5&lt;=A8,NA(),(('DCF_Base'!C32/POWER(1+D5,1-0.5)+'DCF_Base'!D32/POWER(1+D5,2-0.5)+'DCF_Base'!E32/POWER(1+D5,3-0.5)+'DCF_Base'!F32/POWER(1+D5,4-0.5)+'DCF_Base'!G32/POWER(1+D5,5-0.5)+'DCF_Base'!H32/POWER(1+D5,6-0.5)+'DCF_Base'!I32/POWER(1+D5,7-0.5)+'DCF_Base'!J32/POWER(1+D5,8-0.5)+'DCF_Base'!K32/POWER(1+D5,9-0.5)+'DCF_Base'!L32/POWER(1+D5,10-0.5))+(('DCF_Base'!L32*(1+A8))/(D5-A8))/POWER(1+D5,10)+'Assumptions'!$E$8-('Assumptions'!$E$7+'Assumptions'!$E$9+'Assumptions'!$E$10+'Assumptions'!$E$11+'Assumptions'!$E$12+'Assumptions'!$E$13+'Assumptions'!$E$14))/'Assumptions'!$E$6)</f>
        <v/>
      </c>
      <c r="E8" s="22">
        <f>IF(E5&lt;=A8,NA(),(('DCF_Base'!C32/POWER(1+E5,1-0.5)+'DCF_Base'!D32/POWER(1+E5,2-0.5)+'DCF_Base'!E32/POWER(1+E5,3-0.5)+'DCF_Base'!F32/POWER(1+E5,4-0.5)+'DCF_Base'!G32/POWER(1+E5,5-0.5)+'DCF_Base'!H32/POWER(1+E5,6-0.5)+'DCF_Base'!I32/POWER(1+E5,7-0.5)+'DCF_Base'!J32/POWER(1+E5,8-0.5)+'DCF_Base'!K32/POWER(1+E5,9-0.5)+'DCF_Base'!L32/POWER(1+E5,10-0.5))+(('DCF_Base'!L32*(1+A8))/(E5-A8))/POWER(1+E5,10)+'Assumptions'!$E$8-('Assumptions'!$E$7+'Assumptions'!$E$9+'Assumptions'!$E$10+'Assumptions'!$E$11+'Assumptions'!$E$12+'Assumptions'!$E$13+'Assumptions'!$E$14))/'Assumptions'!$E$6)</f>
        <v/>
      </c>
      <c r="F8" s="22">
        <f>IF(F5&lt;=A8,NA(),(('DCF_Base'!C32/POWER(1+F5,1-0.5)+'DCF_Base'!D32/POWER(1+F5,2-0.5)+'DCF_Base'!E32/POWER(1+F5,3-0.5)+'DCF_Base'!F32/POWER(1+F5,4-0.5)+'DCF_Base'!G32/POWER(1+F5,5-0.5)+'DCF_Base'!H32/POWER(1+F5,6-0.5)+'DCF_Base'!I32/POWER(1+F5,7-0.5)+'DCF_Base'!J32/POWER(1+F5,8-0.5)+'DCF_Base'!K32/POWER(1+F5,9-0.5)+'DCF_Base'!L32/POWER(1+F5,10-0.5))+(('DCF_Base'!L32*(1+A8))/(F5-A8))/POWER(1+F5,10)+'Assumptions'!$E$8-('Assumptions'!$E$7+'Assumptions'!$E$9+'Assumptions'!$E$10+'Assumptions'!$E$11+'Assumptions'!$E$12+'Assumptions'!$E$13+'Assumptions'!$E$14))/'Assumptions'!$E$6)</f>
        <v/>
      </c>
      <c r="G8" s="7" t="n"/>
      <c r="H8" s="7" t="n"/>
    </row>
    <row r="9" ht="18" customHeight="1">
      <c r="A9" s="18">
        <f>'Assumptions'!$E$18+0.005</f>
        <v/>
      </c>
      <c r="B9" s="22">
        <f>IF(B5&lt;=A9,NA(),(('DCF_Base'!C32/POWER(1+B5,1-0.5)+'DCF_Base'!D32/POWER(1+B5,2-0.5)+'DCF_Base'!E32/POWER(1+B5,3-0.5)+'DCF_Base'!F32/POWER(1+B5,4-0.5)+'DCF_Base'!G32/POWER(1+B5,5-0.5)+'DCF_Base'!H32/POWER(1+B5,6-0.5)+'DCF_Base'!I32/POWER(1+B5,7-0.5)+'DCF_Base'!J32/POWER(1+B5,8-0.5)+'DCF_Base'!K32/POWER(1+B5,9-0.5)+'DCF_Base'!L32/POWER(1+B5,10-0.5))+(('DCF_Base'!L32*(1+A9))/(B5-A9))/POWER(1+B5,10)+'Assumptions'!$E$8-('Assumptions'!$E$7+'Assumptions'!$E$9+'Assumptions'!$E$10+'Assumptions'!$E$11+'Assumptions'!$E$12+'Assumptions'!$E$13+'Assumptions'!$E$14))/'Assumptions'!$E$6)</f>
        <v/>
      </c>
      <c r="C9" s="22">
        <f>IF(C5&lt;=A9,NA(),(('DCF_Base'!C32/POWER(1+C5,1-0.5)+'DCF_Base'!D32/POWER(1+C5,2-0.5)+'DCF_Base'!E32/POWER(1+C5,3-0.5)+'DCF_Base'!F32/POWER(1+C5,4-0.5)+'DCF_Base'!G32/POWER(1+C5,5-0.5)+'DCF_Base'!H32/POWER(1+C5,6-0.5)+'DCF_Base'!I32/POWER(1+C5,7-0.5)+'DCF_Base'!J32/POWER(1+C5,8-0.5)+'DCF_Base'!K32/POWER(1+C5,9-0.5)+'DCF_Base'!L32/POWER(1+C5,10-0.5))+(('DCF_Base'!L32*(1+A9))/(C5-A9))/POWER(1+C5,10)+'Assumptions'!$E$8-('Assumptions'!$E$7+'Assumptions'!$E$9+'Assumptions'!$E$10+'Assumptions'!$E$11+'Assumptions'!$E$12+'Assumptions'!$E$13+'Assumptions'!$E$14))/'Assumptions'!$E$6)</f>
        <v/>
      </c>
      <c r="D9" s="22">
        <f>IF(D5&lt;=A9,NA(),(('DCF_Base'!C32/POWER(1+D5,1-0.5)+'DCF_Base'!D32/POWER(1+D5,2-0.5)+'DCF_Base'!E32/POWER(1+D5,3-0.5)+'DCF_Base'!F32/POWER(1+D5,4-0.5)+'DCF_Base'!G32/POWER(1+D5,5-0.5)+'DCF_Base'!H32/POWER(1+D5,6-0.5)+'DCF_Base'!I32/POWER(1+D5,7-0.5)+'DCF_Base'!J32/POWER(1+D5,8-0.5)+'DCF_Base'!K32/POWER(1+D5,9-0.5)+'DCF_Base'!L32/POWER(1+D5,10-0.5))+(('DCF_Base'!L32*(1+A9))/(D5-A9))/POWER(1+D5,10)+'Assumptions'!$E$8-('Assumptions'!$E$7+'Assumptions'!$E$9+'Assumptions'!$E$10+'Assumptions'!$E$11+'Assumptions'!$E$12+'Assumptions'!$E$13+'Assumptions'!$E$14))/'Assumptions'!$E$6)</f>
        <v/>
      </c>
      <c r="E9" s="22">
        <f>IF(E5&lt;=A9,NA(),(('DCF_Base'!C32/POWER(1+E5,1-0.5)+'DCF_Base'!D32/POWER(1+E5,2-0.5)+'DCF_Base'!E32/POWER(1+E5,3-0.5)+'DCF_Base'!F32/POWER(1+E5,4-0.5)+'DCF_Base'!G32/POWER(1+E5,5-0.5)+'DCF_Base'!H32/POWER(1+E5,6-0.5)+'DCF_Base'!I32/POWER(1+E5,7-0.5)+'DCF_Base'!J32/POWER(1+E5,8-0.5)+'DCF_Base'!K32/POWER(1+E5,9-0.5)+'DCF_Base'!L32/POWER(1+E5,10-0.5))+(('DCF_Base'!L32*(1+A9))/(E5-A9))/POWER(1+E5,10)+'Assumptions'!$E$8-('Assumptions'!$E$7+'Assumptions'!$E$9+'Assumptions'!$E$10+'Assumptions'!$E$11+'Assumptions'!$E$12+'Assumptions'!$E$13+'Assumptions'!$E$14))/'Assumptions'!$E$6)</f>
        <v/>
      </c>
      <c r="F9" s="22">
        <f>IF(F5&lt;=A9,NA(),(('DCF_Base'!C32/POWER(1+F5,1-0.5)+'DCF_Base'!D32/POWER(1+F5,2-0.5)+'DCF_Base'!E32/POWER(1+F5,3-0.5)+'DCF_Base'!F32/POWER(1+F5,4-0.5)+'DCF_Base'!G32/POWER(1+F5,5-0.5)+'DCF_Base'!H32/POWER(1+F5,6-0.5)+'DCF_Base'!I32/POWER(1+F5,7-0.5)+'DCF_Base'!J32/POWER(1+F5,8-0.5)+'DCF_Base'!K32/POWER(1+F5,9-0.5)+'DCF_Base'!L32/POWER(1+F5,10-0.5))+(('DCF_Base'!L32*(1+A9))/(F5-A9))/POWER(1+F5,10)+'Assumptions'!$E$8-('Assumptions'!$E$7+'Assumptions'!$E$9+'Assumptions'!$E$10+'Assumptions'!$E$11+'Assumptions'!$E$12+'Assumptions'!$E$13+'Assumptions'!$E$14))/'Assumptions'!$E$6)</f>
        <v/>
      </c>
      <c r="G9" s="7" t="n"/>
      <c r="H9" s="7" t="n"/>
    </row>
    <row r="10" ht="18" customHeight="1">
      <c r="A10" s="18">
        <f>'Assumptions'!$E$18+0.01</f>
        <v/>
      </c>
      <c r="B10" s="22">
        <f>IF(B5&lt;=A10,NA(),(('DCF_Base'!C32/POWER(1+B5,1-0.5)+'DCF_Base'!D32/POWER(1+B5,2-0.5)+'DCF_Base'!E32/POWER(1+B5,3-0.5)+'DCF_Base'!F32/POWER(1+B5,4-0.5)+'DCF_Base'!G32/POWER(1+B5,5-0.5)+'DCF_Base'!H32/POWER(1+B5,6-0.5)+'DCF_Base'!I32/POWER(1+B5,7-0.5)+'DCF_Base'!J32/POWER(1+B5,8-0.5)+'DCF_Base'!K32/POWER(1+B5,9-0.5)+'DCF_Base'!L32/POWER(1+B5,10-0.5))+(('DCF_Base'!L32*(1+A10))/(B5-A10))/POWER(1+B5,10)+'Assumptions'!$E$8-('Assumptions'!$E$7+'Assumptions'!$E$9+'Assumptions'!$E$10+'Assumptions'!$E$11+'Assumptions'!$E$12+'Assumptions'!$E$13+'Assumptions'!$E$14))/'Assumptions'!$E$6)</f>
        <v/>
      </c>
      <c r="C10" s="22">
        <f>IF(C5&lt;=A10,NA(),(('DCF_Base'!C32/POWER(1+C5,1-0.5)+'DCF_Base'!D32/POWER(1+C5,2-0.5)+'DCF_Base'!E32/POWER(1+C5,3-0.5)+'DCF_Base'!F32/POWER(1+C5,4-0.5)+'DCF_Base'!G32/POWER(1+C5,5-0.5)+'DCF_Base'!H32/POWER(1+C5,6-0.5)+'DCF_Base'!I32/POWER(1+C5,7-0.5)+'DCF_Base'!J32/POWER(1+C5,8-0.5)+'DCF_Base'!K32/POWER(1+C5,9-0.5)+'DCF_Base'!L32/POWER(1+C5,10-0.5))+(('DCF_Base'!L32*(1+A10))/(C5-A10))/POWER(1+C5,10)+'Assumptions'!$E$8-('Assumptions'!$E$7+'Assumptions'!$E$9+'Assumptions'!$E$10+'Assumptions'!$E$11+'Assumptions'!$E$12+'Assumptions'!$E$13+'Assumptions'!$E$14))/'Assumptions'!$E$6)</f>
        <v/>
      </c>
      <c r="D10" s="22">
        <f>IF(D5&lt;=A10,NA(),(('DCF_Base'!C32/POWER(1+D5,1-0.5)+'DCF_Base'!D32/POWER(1+D5,2-0.5)+'DCF_Base'!E32/POWER(1+D5,3-0.5)+'DCF_Base'!F32/POWER(1+D5,4-0.5)+'DCF_Base'!G32/POWER(1+D5,5-0.5)+'DCF_Base'!H32/POWER(1+D5,6-0.5)+'DCF_Base'!I32/POWER(1+D5,7-0.5)+'DCF_Base'!J32/POWER(1+D5,8-0.5)+'DCF_Base'!K32/POWER(1+D5,9-0.5)+'DCF_Base'!L32/POWER(1+D5,10-0.5))+(('DCF_Base'!L32*(1+A10))/(D5-A10))/POWER(1+D5,10)+'Assumptions'!$E$8-('Assumptions'!$E$7+'Assumptions'!$E$9+'Assumptions'!$E$10+'Assumptions'!$E$11+'Assumptions'!$E$12+'Assumptions'!$E$13+'Assumptions'!$E$14))/'Assumptions'!$E$6)</f>
        <v/>
      </c>
      <c r="E10" s="22">
        <f>IF(E5&lt;=A10,NA(),(('DCF_Base'!C32/POWER(1+E5,1-0.5)+'DCF_Base'!D32/POWER(1+E5,2-0.5)+'DCF_Base'!E32/POWER(1+E5,3-0.5)+'DCF_Base'!F32/POWER(1+E5,4-0.5)+'DCF_Base'!G32/POWER(1+E5,5-0.5)+'DCF_Base'!H32/POWER(1+E5,6-0.5)+'DCF_Base'!I32/POWER(1+E5,7-0.5)+'DCF_Base'!J32/POWER(1+E5,8-0.5)+'DCF_Base'!K32/POWER(1+E5,9-0.5)+'DCF_Base'!L32/POWER(1+E5,10-0.5))+(('DCF_Base'!L32*(1+A10))/(E5-A10))/POWER(1+E5,10)+'Assumptions'!$E$8-('Assumptions'!$E$7+'Assumptions'!$E$9+'Assumptions'!$E$10+'Assumptions'!$E$11+'Assumptions'!$E$12+'Assumptions'!$E$13+'Assumptions'!$E$14))/'Assumptions'!$E$6)</f>
        <v/>
      </c>
      <c r="F10" s="22">
        <f>IF(F5&lt;=A10,NA(),(('DCF_Base'!C32/POWER(1+F5,1-0.5)+'DCF_Base'!D32/POWER(1+F5,2-0.5)+'DCF_Base'!E32/POWER(1+F5,3-0.5)+'DCF_Base'!F32/POWER(1+F5,4-0.5)+'DCF_Base'!G32/POWER(1+F5,5-0.5)+'DCF_Base'!H32/POWER(1+F5,6-0.5)+'DCF_Base'!I32/POWER(1+F5,7-0.5)+'DCF_Base'!J32/POWER(1+F5,8-0.5)+'DCF_Base'!K32/POWER(1+F5,9-0.5)+'DCF_Base'!L32/POWER(1+F5,10-0.5))+(('DCF_Base'!L32*(1+A10))/(F5-A10))/POWER(1+F5,10)+'Assumptions'!$E$8-('Assumptions'!$E$7+'Assumptions'!$E$9+'Assumptions'!$E$10+'Assumptions'!$E$11+'Assumptions'!$E$12+'Assumptions'!$E$13+'Assumptions'!$E$14))/'Assumptions'!$E$6)</f>
        <v/>
      </c>
      <c r="G10" s="7" t="n"/>
      <c r="H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18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18" customHeight="1">
      <c r="A14" s="19" t="inlineStr">
        <is>
          <t>WACC vs Exit Multiple: Intrinsic Value / Share</t>
        </is>
      </c>
      <c r="B14" s="20" t="n"/>
      <c r="C14" s="20" t="n"/>
      <c r="D14" s="20" t="n"/>
      <c r="E14" s="20" t="n"/>
      <c r="F14" s="20" t="n"/>
      <c r="G14" s="20" t="n"/>
      <c r="H14" s="20" t="n"/>
    </row>
    <row r="15" ht="18" customHeight="1">
      <c r="A15" s="7" t="inlineStr">
        <is>
          <t>Exit / WACC</t>
        </is>
      </c>
      <c r="B15" s="18">
        <f>'Assumptions'!$E$31+-0.02</f>
        <v/>
      </c>
      <c r="C15" s="18">
        <f>'Assumptions'!$E$31+-0.01</f>
        <v/>
      </c>
      <c r="D15" s="18">
        <f>'Assumptions'!$E$31+0.0</f>
        <v/>
      </c>
      <c r="E15" s="18">
        <f>'Assumptions'!$E$31+0.01</f>
        <v/>
      </c>
      <c r="F15" s="18">
        <f>'Assumptions'!$E$31+0.02</f>
        <v/>
      </c>
      <c r="G15" s="7" t="n"/>
      <c r="H15" s="7" t="n"/>
    </row>
    <row r="16" ht="18" customHeight="1">
      <c r="A16" s="25">
        <f>'Assumptions'!$E$40+-2</f>
        <v/>
      </c>
      <c r="B16" s="22">
        <f>(('DCF_Base'!C32/POWER(1+B15,1-0.5)+'DCF_Base'!D32/POWER(1+B15,2-0.5)+'DCF_Base'!E32/POWER(1+B15,3-0.5)+'DCF_Base'!F32/POWER(1+B15,4-0.5)+'DCF_Base'!G32/POWER(1+B15,5-0.5)+'DCF_Base'!H32/POWER(1+B15,6-0.5)+'DCF_Base'!I32/POWER(1+B15,7-0.5)+'DCF_Base'!J32/POWER(1+B15,8-0.5)+'DCF_Base'!K32/POWER(1+B15,9-0.5)+'DCF_Base'!L32/POWER(1+B15,10-0.5))+(IF('Assumptions'!$E$41="ev_ebit",'DCF_Base'!L17,'DCF_Base'!L35)*A16)/POWER(1+B15,10)+'Assumptions'!$E$8-('Assumptions'!$E$7+'Assumptions'!$E$9+'Assumptions'!$E$10+'Assumptions'!$E$11+'Assumptions'!$E$12+'Assumptions'!$E$13+'Assumptions'!$E$14))/'Assumptions'!$E$6</f>
        <v/>
      </c>
      <c r="C16" s="22">
        <f>(('DCF_Base'!C32/POWER(1+C15,1-0.5)+'DCF_Base'!D32/POWER(1+C15,2-0.5)+'DCF_Base'!E32/POWER(1+C15,3-0.5)+'DCF_Base'!F32/POWER(1+C15,4-0.5)+'DCF_Base'!G32/POWER(1+C15,5-0.5)+'DCF_Base'!H32/POWER(1+C15,6-0.5)+'DCF_Base'!I32/POWER(1+C15,7-0.5)+'DCF_Base'!J32/POWER(1+C15,8-0.5)+'DCF_Base'!K32/POWER(1+C15,9-0.5)+'DCF_Base'!L32/POWER(1+C15,10-0.5))+(IF('Assumptions'!$E$41="ev_ebit",'DCF_Base'!L17,'DCF_Base'!L35)*A16)/POWER(1+C15,10)+'Assumptions'!$E$8-('Assumptions'!$E$7+'Assumptions'!$E$9+'Assumptions'!$E$10+'Assumptions'!$E$11+'Assumptions'!$E$12+'Assumptions'!$E$13+'Assumptions'!$E$14))/'Assumptions'!$E$6</f>
        <v/>
      </c>
      <c r="D16" s="22">
        <f>(('DCF_Base'!C32/POWER(1+D15,1-0.5)+'DCF_Base'!D32/POWER(1+D15,2-0.5)+'DCF_Base'!E32/POWER(1+D15,3-0.5)+'DCF_Base'!F32/POWER(1+D15,4-0.5)+'DCF_Base'!G32/POWER(1+D15,5-0.5)+'DCF_Base'!H32/POWER(1+D15,6-0.5)+'DCF_Base'!I32/POWER(1+D15,7-0.5)+'DCF_Base'!J32/POWER(1+D15,8-0.5)+'DCF_Base'!K32/POWER(1+D15,9-0.5)+'DCF_Base'!L32/POWER(1+D15,10-0.5))+(IF('Assumptions'!$E$41="ev_ebit",'DCF_Base'!L17,'DCF_Base'!L35)*A16)/POWER(1+D15,10)+'Assumptions'!$E$8-('Assumptions'!$E$7+'Assumptions'!$E$9+'Assumptions'!$E$10+'Assumptions'!$E$11+'Assumptions'!$E$12+'Assumptions'!$E$13+'Assumptions'!$E$14))/'Assumptions'!$E$6</f>
        <v/>
      </c>
      <c r="E16" s="22">
        <f>(('DCF_Base'!C32/POWER(1+E15,1-0.5)+'DCF_Base'!D32/POWER(1+E15,2-0.5)+'DCF_Base'!E32/POWER(1+E15,3-0.5)+'DCF_Base'!F32/POWER(1+E15,4-0.5)+'DCF_Base'!G32/POWER(1+E15,5-0.5)+'DCF_Base'!H32/POWER(1+E15,6-0.5)+'DCF_Base'!I32/POWER(1+E15,7-0.5)+'DCF_Base'!J32/POWER(1+E15,8-0.5)+'DCF_Base'!K32/POWER(1+E15,9-0.5)+'DCF_Base'!L32/POWER(1+E15,10-0.5))+(IF('Assumptions'!$E$41="ev_ebit",'DCF_Base'!L17,'DCF_Base'!L35)*A16)/POWER(1+E15,10)+'Assumptions'!$E$8-('Assumptions'!$E$7+'Assumptions'!$E$9+'Assumptions'!$E$10+'Assumptions'!$E$11+'Assumptions'!$E$12+'Assumptions'!$E$13+'Assumptions'!$E$14))/'Assumptions'!$E$6</f>
        <v/>
      </c>
      <c r="F16" s="22">
        <f>(('DCF_Base'!C32/POWER(1+F15,1-0.5)+'DCF_Base'!D32/POWER(1+F15,2-0.5)+'DCF_Base'!E32/POWER(1+F15,3-0.5)+'DCF_Base'!F32/POWER(1+F15,4-0.5)+'DCF_Base'!G32/POWER(1+F15,5-0.5)+'DCF_Base'!H32/POWER(1+F15,6-0.5)+'DCF_Base'!I32/POWER(1+F15,7-0.5)+'DCF_Base'!J32/POWER(1+F15,8-0.5)+'DCF_Base'!K32/POWER(1+F15,9-0.5)+'DCF_Base'!L32/POWER(1+F15,10-0.5))+(IF('Assumptions'!$E$41="ev_ebit",'DCF_Base'!L17,'DCF_Base'!L35)*A16)/POWER(1+F15,10)+'Assumptions'!$E$8-('Assumptions'!$E$7+'Assumptions'!$E$9+'Assumptions'!$E$10+'Assumptions'!$E$11+'Assumptions'!$E$12+'Assumptions'!$E$13+'Assumptions'!$E$14))/'Assumptions'!$E$6</f>
        <v/>
      </c>
      <c r="G16" s="7" t="n"/>
      <c r="H16" s="7" t="n"/>
    </row>
    <row r="17" ht="18" customHeight="1">
      <c r="A17" s="25">
        <f>'Assumptions'!$E$40+-1</f>
        <v/>
      </c>
      <c r="B17" s="22">
        <f>(('DCF_Base'!C32/POWER(1+B15,1-0.5)+'DCF_Base'!D32/POWER(1+B15,2-0.5)+'DCF_Base'!E32/POWER(1+B15,3-0.5)+'DCF_Base'!F32/POWER(1+B15,4-0.5)+'DCF_Base'!G32/POWER(1+B15,5-0.5)+'DCF_Base'!H32/POWER(1+B15,6-0.5)+'DCF_Base'!I32/POWER(1+B15,7-0.5)+'DCF_Base'!J32/POWER(1+B15,8-0.5)+'DCF_Base'!K32/POWER(1+B15,9-0.5)+'DCF_Base'!L32/POWER(1+B15,10-0.5))+(IF('Assumptions'!$E$41="ev_ebit",'DCF_Base'!L17,'DCF_Base'!L35)*A17)/POWER(1+B15,10)+'Assumptions'!$E$8-('Assumptions'!$E$7+'Assumptions'!$E$9+'Assumptions'!$E$10+'Assumptions'!$E$11+'Assumptions'!$E$12+'Assumptions'!$E$13+'Assumptions'!$E$14))/'Assumptions'!$E$6</f>
        <v/>
      </c>
      <c r="C17" s="22">
        <f>(('DCF_Base'!C32/POWER(1+C15,1-0.5)+'DCF_Base'!D32/POWER(1+C15,2-0.5)+'DCF_Base'!E32/POWER(1+C15,3-0.5)+'DCF_Base'!F32/POWER(1+C15,4-0.5)+'DCF_Base'!G32/POWER(1+C15,5-0.5)+'DCF_Base'!H32/POWER(1+C15,6-0.5)+'DCF_Base'!I32/POWER(1+C15,7-0.5)+'DCF_Base'!J32/POWER(1+C15,8-0.5)+'DCF_Base'!K32/POWER(1+C15,9-0.5)+'DCF_Base'!L32/POWER(1+C15,10-0.5))+(IF('Assumptions'!$E$41="ev_ebit",'DCF_Base'!L17,'DCF_Base'!L35)*A17)/POWER(1+C15,10)+'Assumptions'!$E$8-('Assumptions'!$E$7+'Assumptions'!$E$9+'Assumptions'!$E$10+'Assumptions'!$E$11+'Assumptions'!$E$12+'Assumptions'!$E$13+'Assumptions'!$E$14))/'Assumptions'!$E$6</f>
        <v/>
      </c>
      <c r="D17" s="22">
        <f>(('DCF_Base'!C32/POWER(1+D15,1-0.5)+'DCF_Base'!D32/POWER(1+D15,2-0.5)+'DCF_Base'!E32/POWER(1+D15,3-0.5)+'DCF_Base'!F32/POWER(1+D15,4-0.5)+'DCF_Base'!G32/POWER(1+D15,5-0.5)+'DCF_Base'!H32/POWER(1+D15,6-0.5)+'DCF_Base'!I32/POWER(1+D15,7-0.5)+'DCF_Base'!J32/POWER(1+D15,8-0.5)+'DCF_Base'!K32/POWER(1+D15,9-0.5)+'DCF_Base'!L32/POWER(1+D15,10-0.5))+(IF('Assumptions'!$E$41="ev_ebit",'DCF_Base'!L17,'DCF_Base'!L35)*A17)/POWER(1+D15,10)+'Assumptions'!$E$8-('Assumptions'!$E$7+'Assumptions'!$E$9+'Assumptions'!$E$10+'Assumptions'!$E$11+'Assumptions'!$E$12+'Assumptions'!$E$13+'Assumptions'!$E$14))/'Assumptions'!$E$6</f>
        <v/>
      </c>
      <c r="E17" s="22">
        <f>(('DCF_Base'!C32/POWER(1+E15,1-0.5)+'DCF_Base'!D32/POWER(1+E15,2-0.5)+'DCF_Base'!E32/POWER(1+E15,3-0.5)+'DCF_Base'!F32/POWER(1+E15,4-0.5)+'DCF_Base'!G32/POWER(1+E15,5-0.5)+'DCF_Base'!H32/POWER(1+E15,6-0.5)+'DCF_Base'!I32/POWER(1+E15,7-0.5)+'DCF_Base'!J32/POWER(1+E15,8-0.5)+'DCF_Base'!K32/POWER(1+E15,9-0.5)+'DCF_Base'!L32/POWER(1+E15,10-0.5))+(IF('Assumptions'!$E$41="ev_ebit",'DCF_Base'!L17,'DCF_Base'!L35)*A17)/POWER(1+E15,10)+'Assumptions'!$E$8-('Assumptions'!$E$7+'Assumptions'!$E$9+'Assumptions'!$E$10+'Assumptions'!$E$11+'Assumptions'!$E$12+'Assumptions'!$E$13+'Assumptions'!$E$14))/'Assumptions'!$E$6</f>
        <v/>
      </c>
      <c r="F17" s="22">
        <f>(('DCF_Base'!C32/POWER(1+F15,1-0.5)+'DCF_Base'!D32/POWER(1+F15,2-0.5)+'DCF_Base'!E32/POWER(1+F15,3-0.5)+'DCF_Base'!F32/POWER(1+F15,4-0.5)+'DCF_Base'!G32/POWER(1+F15,5-0.5)+'DCF_Base'!H32/POWER(1+F15,6-0.5)+'DCF_Base'!I32/POWER(1+F15,7-0.5)+'DCF_Base'!J32/POWER(1+F15,8-0.5)+'DCF_Base'!K32/POWER(1+F15,9-0.5)+'DCF_Base'!L32/POWER(1+F15,10-0.5))+(IF('Assumptions'!$E$41="ev_ebit",'DCF_Base'!L17,'DCF_Base'!L35)*A17)/POWER(1+F15,10)+'Assumptions'!$E$8-('Assumptions'!$E$7+'Assumptions'!$E$9+'Assumptions'!$E$10+'Assumptions'!$E$11+'Assumptions'!$E$12+'Assumptions'!$E$13+'Assumptions'!$E$14))/'Assumptions'!$E$6</f>
        <v/>
      </c>
      <c r="G17" s="7" t="n"/>
      <c r="H17" s="7" t="n"/>
    </row>
    <row r="18" ht="18" customHeight="1">
      <c r="A18" s="25">
        <f>'Assumptions'!$E$40+0</f>
        <v/>
      </c>
      <c r="B18" s="22">
        <f>(('DCF_Base'!C32/POWER(1+B15,1-0.5)+'DCF_Base'!D32/POWER(1+B15,2-0.5)+'DCF_Base'!E32/POWER(1+B15,3-0.5)+'DCF_Base'!F32/POWER(1+B15,4-0.5)+'DCF_Base'!G32/POWER(1+B15,5-0.5)+'DCF_Base'!H32/POWER(1+B15,6-0.5)+'DCF_Base'!I32/POWER(1+B15,7-0.5)+'DCF_Base'!J32/POWER(1+B15,8-0.5)+'DCF_Base'!K32/POWER(1+B15,9-0.5)+'DCF_Base'!L32/POWER(1+B15,10-0.5))+(IF('Assumptions'!$E$41="ev_ebit",'DCF_Base'!L17,'DCF_Base'!L35)*A18)/POWER(1+B15,10)+'Assumptions'!$E$8-('Assumptions'!$E$7+'Assumptions'!$E$9+'Assumptions'!$E$10+'Assumptions'!$E$11+'Assumptions'!$E$12+'Assumptions'!$E$13+'Assumptions'!$E$14))/'Assumptions'!$E$6</f>
        <v/>
      </c>
      <c r="C18" s="22">
        <f>(('DCF_Base'!C32/POWER(1+C15,1-0.5)+'DCF_Base'!D32/POWER(1+C15,2-0.5)+'DCF_Base'!E32/POWER(1+C15,3-0.5)+'DCF_Base'!F32/POWER(1+C15,4-0.5)+'DCF_Base'!G32/POWER(1+C15,5-0.5)+'DCF_Base'!H32/POWER(1+C15,6-0.5)+'DCF_Base'!I32/POWER(1+C15,7-0.5)+'DCF_Base'!J32/POWER(1+C15,8-0.5)+'DCF_Base'!K32/POWER(1+C15,9-0.5)+'DCF_Base'!L32/POWER(1+C15,10-0.5))+(IF('Assumptions'!$E$41="ev_ebit",'DCF_Base'!L17,'DCF_Base'!L35)*A18)/POWER(1+C15,10)+'Assumptions'!$E$8-('Assumptions'!$E$7+'Assumptions'!$E$9+'Assumptions'!$E$10+'Assumptions'!$E$11+'Assumptions'!$E$12+'Assumptions'!$E$13+'Assumptions'!$E$14))/'Assumptions'!$E$6</f>
        <v/>
      </c>
      <c r="D18" s="22">
        <f>(('DCF_Base'!C32/POWER(1+D15,1-0.5)+'DCF_Base'!D32/POWER(1+D15,2-0.5)+'DCF_Base'!E32/POWER(1+D15,3-0.5)+'DCF_Base'!F32/POWER(1+D15,4-0.5)+'DCF_Base'!G32/POWER(1+D15,5-0.5)+'DCF_Base'!H32/POWER(1+D15,6-0.5)+'DCF_Base'!I32/POWER(1+D15,7-0.5)+'DCF_Base'!J32/POWER(1+D15,8-0.5)+'DCF_Base'!K32/POWER(1+D15,9-0.5)+'DCF_Base'!L32/POWER(1+D15,10-0.5))+(IF('Assumptions'!$E$41="ev_ebit",'DCF_Base'!L17,'DCF_Base'!L35)*A18)/POWER(1+D15,10)+'Assumptions'!$E$8-('Assumptions'!$E$7+'Assumptions'!$E$9+'Assumptions'!$E$10+'Assumptions'!$E$11+'Assumptions'!$E$12+'Assumptions'!$E$13+'Assumptions'!$E$14))/'Assumptions'!$E$6</f>
        <v/>
      </c>
      <c r="E18" s="22">
        <f>(('DCF_Base'!C32/POWER(1+E15,1-0.5)+'DCF_Base'!D32/POWER(1+E15,2-0.5)+'DCF_Base'!E32/POWER(1+E15,3-0.5)+'DCF_Base'!F32/POWER(1+E15,4-0.5)+'DCF_Base'!G32/POWER(1+E15,5-0.5)+'DCF_Base'!H32/POWER(1+E15,6-0.5)+'DCF_Base'!I32/POWER(1+E15,7-0.5)+'DCF_Base'!J32/POWER(1+E15,8-0.5)+'DCF_Base'!K32/POWER(1+E15,9-0.5)+'DCF_Base'!L32/POWER(1+E15,10-0.5))+(IF('Assumptions'!$E$41="ev_ebit",'DCF_Base'!L17,'DCF_Base'!L35)*A18)/POWER(1+E15,10)+'Assumptions'!$E$8-('Assumptions'!$E$7+'Assumptions'!$E$9+'Assumptions'!$E$10+'Assumptions'!$E$11+'Assumptions'!$E$12+'Assumptions'!$E$13+'Assumptions'!$E$14))/'Assumptions'!$E$6</f>
        <v/>
      </c>
      <c r="F18" s="22">
        <f>(('DCF_Base'!C32/POWER(1+F15,1-0.5)+'DCF_Base'!D32/POWER(1+F15,2-0.5)+'DCF_Base'!E32/POWER(1+F15,3-0.5)+'DCF_Base'!F32/POWER(1+F15,4-0.5)+'DCF_Base'!G32/POWER(1+F15,5-0.5)+'DCF_Base'!H32/POWER(1+F15,6-0.5)+'DCF_Base'!I32/POWER(1+F15,7-0.5)+'DCF_Base'!J32/POWER(1+F15,8-0.5)+'DCF_Base'!K32/POWER(1+F15,9-0.5)+'DCF_Base'!L32/POWER(1+F15,10-0.5))+(IF('Assumptions'!$E$41="ev_ebit",'DCF_Base'!L17,'DCF_Base'!L35)*A18)/POWER(1+F15,10)+'Assumptions'!$E$8-('Assumptions'!$E$7+'Assumptions'!$E$9+'Assumptions'!$E$10+'Assumptions'!$E$11+'Assumptions'!$E$12+'Assumptions'!$E$13+'Assumptions'!$E$14))/'Assumptions'!$E$6</f>
        <v/>
      </c>
      <c r="G18" s="7" t="n"/>
      <c r="H18" s="7" t="n"/>
    </row>
    <row r="19" ht="18" customHeight="1">
      <c r="A19" s="25">
        <f>'Assumptions'!$E$40+1</f>
        <v/>
      </c>
      <c r="B19" s="22">
        <f>(('DCF_Base'!C32/POWER(1+B15,1-0.5)+'DCF_Base'!D32/POWER(1+B15,2-0.5)+'DCF_Base'!E32/POWER(1+B15,3-0.5)+'DCF_Base'!F32/POWER(1+B15,4-0.5)+'DCF_Base'!G32/POWER(1+B15,5-0.5)+'DCF_Base'!H32/POWER(1+B15,6-0.5)+'DCF_Base'!I32/POWER(1+B15,7-0.5)+'DCF_Base'!J32/POWER(1+B15,8-0.5)+'DCF_Base'!K32/POWER(1+B15,9-0.5)+'DCF_Base'!L32/POWER(1+B15,10-0.5))+(IF('Assumptions'!$E$41="ev_ebit",'DCF_Base'!L17,'DCF_Base'!L35)*A19)/POWER(1+B15,10)+'Assumptions'!$E$8-('Assumptions'!$E$7+'Assumptions'!$E$9+'Assumptions'!$E$10+'Assumptions'!$E$11+'Assumptions'!$E$12+'Assumptions'!$E$13+'Assumptions'!$E$14))/'Assumptions'!$E$6</f>
        <v/>
      </c>
      <c r="C19" s="22">
        <f>(('DCF_Base'!C32/POWER(1+C15,1-0.5)+'DCF_Base'!D32/POWER(1+C15,2-0.5)+'DCF_Base'!E32/POWER(1+C15,3-0.5)+'DCF_Base'!F32/POWER(1+C15,4-0.5)+'DCF_Base'!G32/POWER(1+C15,5-0.5)+'DCF_Base'!H32/POWER(1+C15,6-0.5)+'DCF_Base'!I32/POWER(1+C15,7-0.5)+'DCF_Base'!J32/POWER(1+C15,8-0.5)+'DCF_Base'!K32/POWER(1+C15,9-0.5)+'DCF_Base'!L32/POWER(1+C15,10-0.5))+(IF('Assumptions'!$E$41="ev_ebit",'DCF_Base'!L17,'DCF_Base'!L35)*A19)/POWER(1+C15,10)+'Assumptions'!$E$8-('Assumptions'!$E$7+'Assumptions'!$E$9+'Assumptions'!$E$10+'Assumptions'!$E$11+'Assumptions'!$E$12+'Assumptions'!$E$13+'Assumptions'!$E$14))/'Assumptions'!$E$6</f>
        <v/>
      </c>
      <c r="D19" s="22">
        <f>(('DCF_Base'!C32/POWER(1+D15,1-0.5)+'DCF_Base'!D32/POWER(1+D15,2-0.5)+'DCF_Base'!E32/POWER(1+D15,3-0.5)+'DCF_Base'!F32/POWER(1+D15,4-0.5)+'DCF_Base'!G32/POWER(1+D15,5-0.5)+'DCF_Base'!H32/POWER(1+D15,6-0.5)+'DCF_Base'!I32/POWER(1+D15,7-0.5)+'DCF_Base'!J32/POWER(1+D15,8-0.5)+'DCF_Base'!K32/POWER(1+D15,9-0.5)+'DCF_Base'!L32/POWER(1+D15,10-0.5))+(IF('Assumptions'!$E$41="ev_ebit",'DCF_Base'!L17,'DCF_Base'!L35)*A19)/POWER(1+D15,10)+'Assumptions'!$E$8-('Assumptions'!$E$7+'Assumptions'!$E$9+'Assumptions'!$E$10+'Assumptions'!$E$11+'Assumptions'!$E$12+'Assumptions'!$E$13+'Assumptions'!$E$14))/'Assumptions'!$E$6</f>
        <v/>
      </c>
      <c r="E19" s="22">
        <f>(('DCF_Base'!C32/POWER(1+E15,1-0.5)+'DCF_Base'!D32/POWER(1+E15,2-0.5)+'DCF_Base'!E32/POWER(1+E15,3-0.5)+'DCF_Base'!F32/POWER(1+E15,4-0.5)+'DCF_Base'!G32/POWER(1+E15,5-0.5)+'DCF_Base'!H32/POWER(1+E15,6-0.5)+'DCF_Base'!I32/POWER(1+E15,7-0.5)+'DCF_Base'!J32/POWER(1+E15,8-0.5)+'DCF_Base'!K32/POWER(1+E15,9-0.5)+'DCF_Base'!L32/POWER(1+E15,10-0.5))+(IF('Assumptions'!$E$41="ev_ebit",'DCF_Base'!L17,'DCF_Base'!L35)*A19)/POWER(1+E15,10)+'Assumptions'!$E$8-('Assumptions'!$E$7+'Assumptions'!$E$9+'Assumptions'!$E$10+'Assumptions'!$E$11+'Assumptions'!$E$12+'Assumptions'!$E$13+'Assumptions'!$E$14))/'Assumptions'!$E$6</f>
        <v/>
      </c>
      <c r="F19" s="22">
        <f>(('DCF_Base'!C32/POWER(1+F15,1-0.5)+'DCF_Base'!D32/POWER(1+F15,2-0.5)+'DCF_Base'!E32/POWER(1+F15,3-0.5)+'DCF_Base'!F32/POWER(1+F15,4-0.5)+'DCF_Base'!G32/POWER(1+F15,5-0.5)+'DCF_Base'!H32/POWER(1+F15,6-0.5)+'DCF_Base'!I32/POWER(1+F15,7-0.5)+'DCF_Base'!J32/POWER(1+F15,8-0.5)+'DCF_Base'!K32/POWER(1+F15,9-0.5)+'DCF_Base'!L32/POWER(1+F15,10-0.5))+(IF('Assumptions'!$E$41="ev_ebit",'DCF_Base'!L17,'DCF_Base'!L35)*A19)/POWER(1+F15,10)+'Assumptions'!$E$8-('Assumptions'!$E$7+'Assumptions'!$E$9+'Assumptions'!$E$10+'Assumptions'!$E$11+'Assumptions'!$E$12+'Assumptions'!$E$13+'Assumptions'!$E$14))/'Assumptions'!$E$6</f>
        <v/>
      </c>
      <c r="G19" s="7" t="n"/>
      <c r="H19" s="7" t="n"/>
    </row>
    <row r="20" ht="18" customHeight="1">
      <c r="A20" s="25">
        <f>'Assumptions'!$E$40+2</f>
        <v/>
      </c>
      <c r="B20" s="22">
        <f>(('DCF_Base'!C32/POWER(1+B15,1-0.5)+'DCF_Base'!D32/POWER(1+B15,2-0.5)+'DCF_Base'!E32/POWER(1+B15,3-0.5)+'DCF_Base'!F32/POWER(1+B15,4-0.5)+'DCF_Base'!G32/POWER(1+B15,5-0.5)+'DCF_Base'!H32/POWER(1+B15,6-0.5)+'DCF_Base'!I32/POWER(1+B15,7-0.5)+'DCF_Base'!J32/POWER(1+B15,8-0.5)+'DCF_Base'!K32/POWER(1+B15,9-0.5)+'DCF_Base'!L32/POWER(1+B15,10-0.5))+(IF('Assumptions'!$E$41="ev_ebit",'DCF_Base'!L17,'DCF_Base'!L35)*A20)/POWER(1+B15,10)+'Assumptions'!$E$8-('Assumptions'!$E$7+'Assumptions'!$E$9+'Assumptions'!$E$10+'Assumptions'!$E$11+'Assumptions'!$E$12+'Assumptions'!$E$13+'Assumptions'!$E$14))/'Assumptions'!$E$6</f>
        <v/>
      </c>
      <c r="C20" s="22">
        <f>(('DCF_Base'!C32/POWER(1+C15,1-0.5)+'DCF_Base'!D32/POWER(1+C15,2-0.5)+'DCF_Base'!E32/POWER(1+C15,3-0.5)+'DCF_Base'!F32/POWER(1+C15,4-0.5)+'DCF_Base'!G32/POWER(1+C15,5-0.5)+'DCF_Base'!H32/POWER(1+C15,6-0.5)+'DCF_Base'!I32/POWER(1+C15,7-0.5)+'DCF_Base'!J32/POWER(1+C15,8-0.5)+'DCF_Base'!K32/POWER(1+C15,9-0.5)+'DCF_Base'!L32/POWER(1+C15,10-0.5))+(IF('Assumptions'!$E$41="ev_ebit",'DCF_Base'!L17,'DCF_Base'!L35)*A20)/POWER(1+C15,10)+'Assumptions'!$E$8-('Assumptions'!$E$7+'Assumptions'!$E$9+'Assumptions'!$E$10+'Assumptions'!$E$11+'Assumptions'!$E$12+'Assumptions'!$E$13+'Assumptions'!$E$14))/'Assumptions'!$E$6</f>
        <v/>
      </c>
      <c r="D20" s="22">
        <f>(('DCF_Base'!C32/POWER(1+D15,1-0.5)+'DCF_Base'!D32/POWER(1+D15,2-0.5)+'DCF_Base'!E32/POWER(1+D15,3-0.5)+'DCF_Base'!F32/POWER(1+D15,4-0.5)+'DCF_Base'!G32/POWER(1+D15,5-0.5)+'DCF_Base'!H32/POWER(1+D15,6-0.5)+'DCF_Base'!I32/POWER(1+D15,7-0.5)+'DCF_Base'!J32/POWER(1+D15,8-0.5)+'DCF_Base'!K32/POWER(1+D15,9-0.5)+'DCF_Base'!L32/POWER(1+D15,10-0.5))+(IF('Assumptions'!$E$41="ev_ebit",'DCF_Base'!L17,'DCF_Base'!L35)*A20)/POWER(1+D15,10)+'Assumptions'!$E$8-('Assumptions'!$E$7+'Assumptions'!$E$9+'Assumptions'!$E$10+'Assumptions'!$E$11+'Assumptions'!$E$12+'Assumptions'!$E$13+'Assumptions'!$E$14))/'Assumptions'!$E$6</f>
        <v/>
      </c>
      <c r="E20" s="22">
        <f>(('DCF_Base'!C32/POWER(1+E15,1-0.5)+'DCF_Base'!D32/POWER(1+E15,2-0.5)+'DCF_Base'!E32/POWER(1+E15,3-0.5)+'DCF_Base'!F32/POWER(1+E15,4-0.5)+'DCF_Base'!G32/POWER(1+E15,5-0.5)+'DCF_Base'!H32/POWER(1+E15,6-0.5)+'DCF_Base'!I32/POWER(1+E15,7-0.5)+'DCF_Base'!J32/POWER(1+E15,8-0.5)+'DCF_Base'!K32/POWER(1+E15,9-0.5)+'DCF_Base'!L32/POWER(1+E15,10-0.5))+(IF('Assumptions'!$E$41="ev_ebit",'DCF_Base'!L17,'DCF_Base'!L35)*A20)/POWER(1+E15,10)+'Assumptions'!$E$8-('Assumptions'!$E$7+'Assumptions'!$E$9+'Assumptions'!$E$10+'Assumptions'!$E$11+'Assumptions'!$E$12+'Assumptions'!$E$13+'Assumptions'!$E$14))/'Assumptions'!$E$6</f>
        <v/>
      </c>
      <c r="F20" s="22">
        <f>(('DCF_Base'!C32/POWER(1+F15,1-0.5)+'DCF_Base'!D32/POWER(1+F15,2-0.5)+'DCF_Base'!E32/POWER(1+F15,3-0.5)+'DCF_Base'!F32/POWER(1+F15,4-0.5)+'DCF_Base'!G32/POWER(1+F15,5-0.5)+'DCF_Base'!H32/POWER(1+F15,6-0.5)+'DCF_Base'!I32/POWER(1+F15,7-0.5)+'DCF_Base'!J32/POWER(1+F15,8-0.5)+'DCF_Base'!K32/POWER(1+F15,9-0.5)+'DCF_Base'!L32/POWER(1+F15,10-0.5))+(IF('Assumptions'!$E$41="ev_ebit",'DCF_Base'!L17,'DCF_Base'!L35)*A20)/POWER(1+F15,10)+'Assumptions'!$E$8-('Assumptions'!$E$7+'Assumptions'!$E$9+'Assumptions'!$E$10+'Assumptions'!$E$11+'Assumptions'!$E$12+'Assumptions'!$E$13+'Assumptions'!$E$14))/'Assumptions'!$E$6</f>
        <v/>
      </c>
      <c r="G20" s="7" t="n"/>
      <c r="H20" s="7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</row>
    <row r="23" ht="18" customHeight="1">
      <c r="A23" s="21" t="inlineStr">
        <is>
          <t>Backend Base IV</t>
        </is>
      </c>
      <c r="B23" s="22">
        <f>'Assumptions'!$E$57</f>
        <v/>
      </c>
      <c r="C23" s="7" t="n"/>
      <c r="D23" s="7" t="n"/>
      <c r="E23" s="7" t="n"/>
      <c r="F23" s="7" t="n"/>
      <c r="G23" s="7" t="n"/>
      <c r="H23" s="7" t="n"/>
    </row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9" customWidth="1" min="3" max="3"/>
    <col width="12" customWidth="1" min="4" max="4"/>
    <col width="20" customWidth="1" min="5" max="5"/>
    <col width="19" customWidth="1" min="6" max="6"/>
    <col width="16" customWidth="1" min="7" max="7"/>
    <col width="15" customWidth="1" min="8" max="8"/>
    <col width="13" customWidth="1" min="9" max="9"/>
    <col width="10" customWidth="1" min="10" max="10"/>
    <col width="16" customWidth="1" min="11" max="11"/>
    <col width="16" customWidth="1" min="12" max="12"/>
    <col width="14" customWidth="1" min="13" max="13"/>
    <col width="14" customWidth="1" min="14" max="14"/>
    <col width="10" customWidth="1" min="15" max="15"/>
  </cols>
  <sheetData>
    <row r="1" ht="24" customHeight="1">
      <c r="A1" s="1" t="inlineStr">
        <is>
          <t>Comps</t>
        </is>
      </c>
    </row>
    <row r="2" ht="18" customHeight="1">
      <c r="A2" s="2" t="inlineStr">
        <is>
          <t>Peer and comps valuation values from valuation JSON</t>
        </is>
      </c>
    </row>
    <row r="3" ht="18" customHeight="1"/>
    <row r="4" ht="18" customHeight="1">
      <c r="A4" s="4" t="inlineStr">
        <is>
          <t>Peer Set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 ht="18" customHeight="1">
      <c r="A5" s="6" t="inlineStr">
        <is>
          <t>ticker</t>
        </is>
      </c>
      <c r="B5" s="6" t="inlineStr">
        <is>
          <t>run_id</t>
        </is>
      </c>
      <c r="C5" s="6" t="inlineStr">
        <is>
          <t>source_file</t>
        </is>
      </c>
      <c r="D5" s="6" t="inlineStr">
        <is>
          <t>as_of_date</t>
        </is>
      </c>
      <c r="E5" s="6" t="inlineStr">
        <is>
          <t>market_cap_mm</t>
        </is>
      </c>
      <c r="F5" s="6" t="inlineStr">
        <is>
          <t>tev_mm</t>
        </is>
      </c>
      <c r="G5" s="6" t="inlineStr">
        <is>
          <t>revenue_ltm_mm</t>
        </is>
      </c>
      <c r="H5" s="6" t="inlineStr">
        <is>
          <t>ebitda_ltm_mm</t>
        </is>
      </c>
      <c r="I5" s="6" t="inlineStr">
        <is>
          <t>ebit_ltm_mm</t>
        </is>
      </c>
      <c r="J5" s="6" t="inlineStr">
        <is>
          <t>eps_ltm</t>
        </is>
      </c>
      <c r="K5" s="6" t="inlineStr">
        <is>
          <t>tev_ebitda_ltm</t>
        </is>
      </c>
      <c r="L5" s="6" t="inlineStr">
        <is>
          <t>tev_ebitda_fwd</t>
        </is>
      </c>
      <c r="M5" s="6" t="inlineStr">
        <is>
          <t>tev_ebit_ltm</t>
        </is>
      </c>
      <c r="N5" s="6" t="inlineStr">
        <is>
          <t>tev_ebit_fwd</t>
        </is>
      </c>
      <c r="O5" s="6" t="inlineStr">
        <is>
          <t>pe_ltm</t>
        </is>
      </c>
    </row>
    <row r="6" ht="18" customHeight="1">
      <c r="A6" s="7" t="inlineStr">
        <is>
          <t>CACI</t>
        </is>
      </c>
      <c r="B6" s="7" t="n">
        <v>11</v>
      </c>
      <c r="C6" s="7" t="inlineStr">
        <is>
          <t>BAH_Standard.xlsx</t>
        </is>
      </c>
      <c r="D6" s="7" t="inlineStr">
        <is>
          <t>2026-03-31</t>
        </is>
      </c>
      <c r="E6" s="7" t="n">
        <v>11474.226414</v>
      </c>
      <c r="F6" s="7" t="n">
        <v>16930.897414</v>
      </c>
      <c r="G6" s="7" t="n">
        <v>9162.866</v>
      </c>
      <c r="H6" s="7" t="n">
        <v>1105.963</v>
      </c>
      <c r="I6" s="7" t="inlineStr"/>
      <c r="J6" s="7" t="n">
        <v>24.24347</v>
      </c>
      <c r="K6" s="7" t="n">
        <v>14.05928</v>
      </c>
      <c r="L6" s="7" t="n">
        <v>13.53627</v>
      </c>
      <c r="M6" s="7" t="inlineStr"/>
      <c r="N6" s="7" t="inlineStr"/>
      <c r="O6" s="7" t="n">
        <v>21.42433</v>
      </c>
    </row>
    <row r="7" ht="18" customHeight="1">
      <c r="A7" s="7" t="inlineStr">
        <is>
          <t>LDOS</t>
        </is>
      </c>
      <c r="B7" s="7" t="n">
        <v>11</v>
      </c>
      <c r="C7" s="7" t="inlineStr">
        <is>
          <t>BAH_Standard.xlsx</t>
        </is>
      </c>
      <c r="D7" s="7" t="inlineStr">
        <is>
          <t>2026-03-31</t>
        </is>
      </c>
      <c r="E7" s="7" t="n">
        <v>15365.9530152</v>
      </c>
      <c r="F7" s="7" t="n">
        <v>21903.9530152</v>
      </c>
      <c r="G7" s="7" t="n">
        <v>17329</v>
      </c>
      <c r="H7" s="7" t="n">
        <v>2404</v>
      </c>
      <c r="I7" s="7" t="inlineStr"/>
      <c r="J7" s="7" t="n">
        <v>10.93238</v>
      </c>
      <c r="K7" s="7" t="n">
        <v>8.38509</v>
      </c>
      <c r="L7" s="7" t="n">
        <v>8.80916</v>
      </c>
      <c r="M7" s="7" t="inlineStr"/>
      <c r="N7" s="7" t="inlineStr"/>
      <c r="O7" s="7" t="n">
        <v>11.17415</v>
      </c>
    </row>
    <row r="8" ht="18" customHeight="1">
      <c r="A8" s="7" t="inlineStr">
        <is>
          <t>SAIC</t>
        </is>
      </c>
      <c r="B8" s="7" t="n">
        <v>11</v>
      </c>
      <c r="C8" s="7" t="inlineStr">
        <is>
          <t>BAH_Standard.xlsx</t>
        </is>
      </c>
      <c r="D8" s="7" t="inlineStr">
        <is>
          <t>2026-03-31</t>
        </is>
      </c>
      <c r="E8" s="7" t="n">
        <v>4811.5248842</v>
      </c>
      <c r="F8" s="7" t="n">
        <v>7377.5248842</v>
      </c>
      <c r="G8" s="7" t="n">
        <v>7291</v>
      </c>
      <c r="H8" s="7" t="n">
        <v>737</v>
      </c>
      <c r="I8" s="7" t="inlineStr"/>
      <c r="J8" s="7" t="n">
        <v>8.891640000000001</v>
      </c>
      <c r="K8" s="7" t="n">
        <v>9.221909999999999</v>
      </c>
      <c r="L8" s="7" t="n">
        <v>10.0011</v>
      </c>
      <c r="M8" s="7" t="inlineStr"/>
      <c r="N8" s="7" t="inlineStr"/>
      <c r="O8" s="7" t="n">
        <v>12.79967</v>
      </c>
    </row>
    <row r="9" ht="18" customHeight="1">
      <c r="A9" s="7" t="inlineStr">
        <is>
          <t>AMTM</t>
        </is>
      </c>
      <c r="B9" s="7" t="n">
        <v>11</v>
      </c>
      <c r="C9" s="7" t="inlineStr">
        <is>
          <t>BAH_Standard.xlsx</t>
        </is>
      </c>
      <c r="D9" s="7" t="inlineStr">
        <is>
          <t>2026-03-31</t>
        </is>
      </c>
      <c r="E9" s="7" t="n">
        <v>5585.0710752</v>
      </c>
      <c r="F9" s="7" t="n">
        <v>9178.0710752</v>
      </c>
      <c r="G9" s="7" t="n">
        <v>14201</v>
      </c>
      <c r="H9" s="7" t="n">
        <v>998</v>
      </c>
      <c r="I9" s="7" t="inlineStr"/>
      <c r="J9" s="7" t="n">
        <v>0.5994699999999999</v>
      </c>
      <c r="K9" s="7" t="n">
        <v>7.78462</v>
      </c>
      <c r="L9" s="7" t="n">
        <v>8.044549999999999</v>
      </c>
      <c r="M9" s="7" t="inlineStr"/>
      <c r="N9" s="7" t="inlineStr"/>
      <c r="O9" s="7" t="n">
        <v>38.13375</v>
      </c>
    </row>
    <row r="10" ht="18" customHeight="1">
      <c r="A10" s="7" t="inlineStr">
        <is>
          <t>PSN</t>
        </is>
      </c>
      <c r="B10" s="7" t="n">
        <v>11</v>
      </c>
      <c r="C10" s="7" t="inlineStr">
        <is>
          <t>BAH_Standard.xlsx</t>
        </is>
      </c>
      <c r="D10" s="7" t="inlineStr">
        <is>
          <t>2026-03-31</t>
        </is>
      </c>
      <c r="E10" s="7" t="n">
        <v>6065.682084</v>
      </c>
      <c r="F10" s="7" t="n">
        <v>7572.207084</v>
      </c>
      <c r="G10" s="7" t="n">
        <v>6301.061</v>
      </c>
      <c r="H10" s="7" t="n">
        <v>523.768</v>
      </c>
      <c r="I10" s="7" t="inlineStr"/>
      <c r="J10" s="7" t="n">
        <v>2.09227</v>
      </c>
      <c r="K10" s="7" t="n">
        <v>12.34545</v>
      </c>
      <c r="L10" s="7" t="n">
        <v>11.60283</v>
      </c>
      <c r="M10" s="7" t="inlineStr"/>
      <c r="N10" s="7" t="inlineStr"/>
      <c r="O10" s="7" t="n">
        <v>27.09982</v>
      </c>
    </row>
    <row r="11" ht="18" customHeight="1">
      <c r="A11" s="7" t="inlineStr">
        <is>
          <t>KBR</t>
        </is>
      </c>
      <c r="B11" s="7" t="n">
        <v>11</v>
      </c>
      <c r="C11" s="7" t="inlineStr">
        <is>
          <t>BAH_Standard.xlsx</t>
        </is>
      </c>
      <c r="D11" s="7" t="inlineStr">
        <is>
          <t>2026-03-31</t>
        </is>
      </c>
      <c r="E11" s="7" t="n">
        <v>4544.1521664</v>
      </c>
      <c r="F11" s="7" t="n">
        <v>6968.1521664</v>
      </c>
      <c r="G11" s="7" t="n">
        <v>7691</v>
      </c>
      <c r="H11" s="7" t="n">
        <v>654</v>
      </c>
      <c r="I11" s="7" t="inlineStr"/>
      <c r="J11" s="7" t="n">
        <v>3.38912</v>
      </c>
      <c r="K11" s="7" t="n">
        <v>6.54902</v>
      </c>
      <c r="L11" s="7" t="n">
        <v>6.97244</v>
      </c>
      <c r="M11" s="7" t="inlineStr"/>
      <c r="N11" s="7" t="inlineStr"/>
      <c r="O11" s="7" t="n">
        <v>10.57502</v>
      </c>
    </row>
    <row r="12" ht="18" customHeight="1">
      <c r="A12" s="7" t="inlineStr">
        <is>
          <t>FCN</t>
        </is>
      </c>
      <c r="B12" s="7" t="n">
        <v>11</v>
      </c>
      <c r="C12" s="7" t="inlineStr">
        <is>
          <t>BAH_Standard.xlsx</t>
        </is>
      </c>
      <c r="D12" s="7" t="inlineStr">
        <is>
          <t>2026-03-31</t>
        </is>
      </c>
      <c r="E12" s="7" t="n">
        <v>4688.921242799999</v>
      </c>
      <c r="F12" s="7" t="n">
        <v>5497.636242799999</v>
      </c>
      <c r="G12" s="7" t="n">
        <v>3873.92</v>
      </c>
      <c r="H12" s="7" t="n">
        <v>445.269</v>
      </c>
      <c r="I12" s="7" t="inlineStr"/>
      <c r="J12" s="7" t="n">
        <v>8.446009999999999</v>
      </c>
      <c r="K12" s="7" t="n">
        <v>10.67535</v>
      </c>
      <c r="L12" s="7" t="n">
        <v>12.60744</v>
      </c>
      <c r="M12" s="7" t="inlineStr"/>
      <c r="N12" s="7" t="inlineStr"/>
      <c r="O12" s="7" t="n">
        <v>18.77456</v>
      </c>
    </row>
    <row r="13" ht="18" customHeight="1">
      <c r="A13" s="7" t="inlineStr">
        <is>
          <t>ICFI</t>
        </is>
      </c>
      <c r="B13" s="7" t="n">
        <v>11</v>
      </c>
      <c r="C13" s="7" t="inlineStr">
        <is>
          <t>BAH_Standard.xlsx</t>
        </is>
      </c>
      <c r="D13" s="7" t="inlineStr">
        <is>
          <t>2026-03-31</t>
        </is>
      </c>
      <c r="E13" s="7" t="n">
        <v>1317.2601368</v>
      </c>
      <c r="F13" s="7" t="n">
        <v>1917.0921368</v>
      </c>
      <c r="G13" s="7" t="n">
        <v>1822.733</v>
      </c>
      <c r="H13" s="7" t="n">
        <v>198.463</v>
      </c>
      <c r="I13" s="7" t="inlineStr"/>
      <c r="J13" s="7" t="n">
        <v>4.62886</v>
      </c>
      <c r="K13" s="7" t="n">
        <v>8.83286</v>
      </c>
      <c r="L13" s="7" t="n">
        <v>8.926119999999999</v>
      </c>
      <c r="M13" s="7" t="inlineStr"/>
      <c r="N13" s="7" t="inlineStr"/>
      <c r="O13" s="7" t="n">
        <v>15.71878</v>
      </c>
    </row>
    <row r="14" ht="18" customHeight="1"/>
    <row r="15" ht="18" customHeight="1">
      <c r="A15" s="4" t="inlineStr">
        <is>
          <t>Comps Valuation</t>
        </is>
      </c>
      <c r="B15" s="5" t="n"/>
      <c r="C15" s="5" t="n"/>
      <c r="D15" s="5" t="n"/>
      <c r="E15" s="5" t="n"/>
      <c r="F15" s="5" t="n"/>
    </row>
    <row r="16" ht="18" customHeight="1">
      <c r="A16" s="6" t="inlineStr">
        <is>
          <t>Key</t>
        </is>
      </c>
      <c r="B16" s="6" t="inlineStr">
        <is>
          <t>Value</t>
        </is>
      </c>
    </row>
    <row r="17" ht="18" customHeight="1">
      <c r="A17" s="7" t="n"/>
      <c r="B17" s="22" t="inlineStr"/>
    </row>
    <row r="18" ht="18" customHeight="1">
      <c r="A18" s="7" t="n"/>
      <c r="B18" s="22" t="inlineStr"/>
    </row>
    <row r="19" ht="18" customHeight="1">
      <c r="A19" s="7" t="n"/>
      <c r="B19" s="22" t="inlineStr"/>
    </row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44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Football Field</t>
        </is>
      </c>
    </row>
    <row r="2" ht="18" customHeight="1">
      <c r="A2" s="2" t="inlineStr">
        <is>
          <t>Valuation range summary for PM review</t>
        </is>
      </c>
    </row>
    <row r="3" ht="18" customHeight="1"/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Source</t>
        </is>
      </c>
    </row>
    <row r="5" ht="18" customHeight="1">
      <c r="A5" s="7" t="inlineStr">
        <is>
          <t>DCF Scenario Range</t>
        </is>
      </c>
      <c r="B5" s="22">
        <f>'DCF_Bear'!$B$51</f>
        <v/>
      </c>
      <c r="C5" s="22">
        <f>'DCF_Base'!$B$51</f>
        <v/>
      </c>
      <c r="D5" s="22">
        <f>'DCF_Bull'!$B$51</f>
        <v/>
      </c>
      <c r="E5" s="7" t="inlineStr">
        <is>
          <t>Workbook scenario sheets</t>
        </is>
      </c>
    </row>
    <row r="6" ht="18" customHeight="1">
      <c r="A6" s="7" t="inlineStr">
        <is>
          <t>Backend DCF Range</t>
        </is>
      </c>
      <c r="B6" s="22" t="n">
        <v>59.2</v>
      </c>
      <c r="C6" s="22" t="n">
        <v>97.75</v>
      </c>
      <c r="D6" s="22" t="n">
        <v>161.42</v>
      </c>
      <c r="E6" s="7" t="inlineStr">
        <is>
          <t>Deterministic valuation JSON</t>
        </is>
      </c>
    </row>
    <row r="7" ht="18" customHeight="1">
      <c r="A7" s="7" t="inlineStr">
        <is>
          <t>Backend Blended / Expected</t>
        </is>
      </c>
      <c r="B7" s="22" t="n">
        <v>78.15000000000001</v>
      </c>
      <c r="C7" s="22" t="n">
        <v>102.78</v>
      </c>
      <c r="D7" s="22" t="n">
        <v>111.95</v>
      </c>
      <c r="E7" s="7" t="inlineStr">
        <is>
          <t>Exit / expected / Gordon</t>
        </is>
      </c>
    </row>
    <row r="8" ht="18" customHeight="1">
      <c r="A8" s="7" t="inlineStr">
        <is>
          <t>Comps</t>
        </is>
      </c>
      <c r="B8" s="22" t="n">
        <v>66.4944</v>
      </c>
      <c r="C8" s="22" t="n">
        <v>92.7482</v>
      </c>
      <c r="D8" s="22" t="n">
        <v>119.002</v>
      </c>
      <c r="E8" s="7" t="inlineStr">
        <is>
          <t>Comps valuation JSON</t>
        </is>
      </c>
    </row>
    <row r="9" ht="18" customHeight="1">
      <c r="A9" s="7" t="inlineStr">
        <is>
          <t>Market / Street</t>
        </is>
      </c>
      <c r="B9" s="22" t="n">
        <v>77.41</v>
      </c>
      <c r="C9" s="22" t="n">
        <v>93.76922999999999</v>
      </c>
      <c r="D9" s="22" t="inlineStr"/>
      <c r="E9" s="7" t="inlineStr">
        <is>
          <t>Current price and analyst target</t>
        </is>
      </c>
    </row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70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4" customHeight="1">
      <c r="A1" s="1" t="inlineStr">
        <is>
          <t>Checks</t>
        </is>
      </c>
    </row>
    <row r="2" ht="18" customHeight="1">
      <c r="A2" s="2" t="inlineStr">
        <is>
          <t>Resolve Fail / Review rows before using the model for an investment discussion</t>
        </is>
      </c>
    </row>
    <row r="3" ht="18" customHeight="1"/>
    <row r="4" ht="18" customHeight="1">
      <c r="A4" s="6" t="inlineStr">
        <is>
          <t>Check</t>
        </is>
      </c>
      <c r="B4" s="6" t="inlineStr">
        <is>
          <t>Formula</t>
        </is>
      </c>
      <c r="C4" s="6" t="inlineStr">
        <is>
          <t>Status</t>
        </is>
      </c>
      <c r="D4" s="6" t="inlineStr">
        <is>
          <t>Notes</t>
        </is>
      </c>
    </row>
    <row r="5" ht="18" customHeight="1">
      <c r="A5" s="7" t="inlineStr">
        <is>
          <t>Historical rows available</t>
        </is>
      </c>
      <c r="B5" s="22">
        <f>10</f>
        <v/>
      </c>
      <c r="C5" s="7">
        <f>IF(B5&gt;=5,"OK","Fail")</f>
        <v/>
      </c>
      <c r="D5" s="7" t="inlineStr">
        <is>
          <t>Needs enough history for trend review</t>
        </is>
      </c>
    </row>
    <row r="6" ht="18" customHeight="1">
      <c r="A6" s="7" t="inlineStr">
        <is>
          <t>Forecast years available</t>
        </is>
      </c>
      <c r="B6" s="22">
        <f>10</f>
        <v/>
      </c>
      <c r="C6" s="7">
        <f>IF(B6&gt;=5,"OK","Fail")</f>
        <v/>
      </c>
      <c r="D6" s="7" t="inlineStr">
        <is>
          <t>Needs multi-year explicit forecast</t>
        </is>
      </c>
    </row>
    <row r="7" ht="18" customHeight="1">
      <c r="A7" s="7" t="inlineStr">
        <is>
          <t>Scenario probabilities sum to 100%</t>
        </is>
      </c>
      <c r="B7" s="18">
        <f>'Assumptions'!$E$53+'Assumptions'!$E$54+'Assumptions'!$E$55</f>
        <v/>
      </c>
      <c r="C7" s="7">
        <f>IF(ABS(B7-1)&lt;0.001,"OK","Fail")</f>
        <v/>
      </c>
      <c r="D7" s="7" t="inlineStr">
        <is>
          <t>Edit probabilities in Assumptions</t>
        </is>
      </c>
    </row>
    <row r="8" ht="18" customHeight="1">
      <c r="A8" s="7" t="inlineStr">
        <is>
          <t>Base WACC greater than terminal growth</t>
        </is>
      </c>
      <c r="B8" s="18">
        <f>'Assumptions'!$E$31-'Assumptions'!$E$18</f>
        <v/>
      </c>
      <c r="C8" s="7">
        <f>IF(B8&gt;0,"OK","Fail")</f>
        <v/>
      </c>
      <c r="D8" s="7" t="inlineStr">
        <is>
          <t>DCF invalid if WACC &lt;= g</t>
        </is>
      </c>
    </row>
    <row r="9" ht="18" customHeight="1">
      <c r="A9" s="7" t="inlineStr">
        <is>
          <t>Terminal value share of EV</t>
        </is>
      </c>
      <c r="B9" s="18">
        <f>'DCF_Base'!$B$46</f>
        <v/>
      </c>
      <c r="C9" s="7">
        <f>IF(AND(B9&gt;=0.5,B9&lt;=0.85),"OK","Review")</f>
        <v/>
      </c>
      <c r="D9" s="7" t="inlineStr">
        <is>
          <t>Outside 50%-85% deserves PM review</t>
        </is>
      </c>
    </row>
    <row r="10" ht="18" customHeight="1">
      <c r="A10" s="7" t="inlineStr">
        <is>
          <t>Workbook base IV vs backend base IV</t>
        </is>
      </c>
      <c r="B10" s="22">
        <f>'DCF_Base'!$B$51-'Assumptions'!$E$57</f>
        <v/>
      </c>
      <c r="C10" s="7">
        <f>IF(ABS(B10)&lt;=5,"OK","Review")</f>
        <v/>
      </c>
      <c r="D10" s="7" t="inlineStr">
        <is>
          <t>Differences can arise from exposed scenario mechanics</t>
        </is>
      </c>
    </row>
    <row r="11" ht="18" customHeight="1">
      <c r="A11" s="7" t="inlineStr">
        <is>
          <t>Exit metric present</t>
        </is>
      </c>
      <c r="B11" s="22">
        <f>'Assumptions'!$E$41</f>
        <v/>
      </c>
      <c r="C11" s="7">
        <f>IF(B11&lt;&gt;"","OK","Fail")</f>
        <v/>
      </c>
      <c r="D11" s="7" t="inlineStr">
        <is>
          <t>Needed for exit terminal value</t>
        </is>
      </c>
    </row>
    <row r="12" ht="18" customHeight="1">
      <c r="A12" s="7" t="inlineStr">
        <is>
          <t>No hidden writeback</t>
        </is>
      </c>
      <c r="B12" s="22" t="inlineStr">
        <is>
          <t>Review artifact only</t>
        </is>
      </c>
      <c r="C12" s="7" t="inlineStr">
        <is>
          <t>OK</t>
        </is>
      </c>
      <c r="D12" s="7" t="inlineStr">
        <is>
          <t>Workbook does not mutate the database or approved assumptions</t>
        </is>
      </c>
    </row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2026-06-14T21:27:56Z</dcterms:created>
  <dcterms:modified xmlns:dcterms="http://purl.org/dc/terms/" xmlns:xsi="http://www.w3.org/2001/XMLSchema-instance" xsi:type="dcterms:W3CDTF">2026-06-14T21:27:57Z</dcterms:modified>
</cp:coreProperties>
</file>