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3">
    <numFmt numFmtId="164" formatCode="0.0%"/>
    <numFmt numFmtId="165" formatCode="#,##0.00&quot;x&quot;"/>
    <numFmt numFmtId="166" formatCode="#,##0.0;[Red](#,##0.0);-"/>
  </numFmts>
  <fonts count="13">
    <font>
      <name val="Calibri"/>
      <family val="2"/>
      <color theme="1"/>
      <sz val="11"/>
      <scheme val="minor"/>
    </font>
    <font>
      <b val="1"/>
      <color rgb="00FFFFFF"/>
      <sz val="16"/>
    </font>
    <font>
      <i val="1"/>
      <color rgb="00666666"/>
    </font>
    <font>
      <b val="1"/>
      <color rgb="00FFFFFF"/>
    </font>
    <font>
      <b val="1"/>
    </font>
    <font>
      <color rgb="00B26B00"/>
    </font>
    <font>
      <b val="1"/>
      <color rgb="00008000"/>
    </font>
    <font>
      <i val="1"/>
      <color rgb="00888888"/>
    </font>
    <font>
      <i val="1"/>
      <color rgb="00C00000"/>
    </font>
    <font>
      <b val="1"/>
      <color rgb="00C00000"/>
    </font>
    <font>
      <color rgb="00008000"/>
    </font>
    <font>
      <color rgb="000070C0"/>
    </font>
    <font>
      <i val="1"/>
      <color rgb="00B26B0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2" fillId="0" borderId="0" applyAlignment="1" pivotButton="0" quotePrefix="0" xfId="0">
      <alignment vertical="top" wrapText="1"/>
    </xf>
    <xf numFmtId="0" fontId="4" fillId="5" borderId="1" applyAlignment="1" pivotButton="0" quotePrefix="0" xfId="0">
      <alignment vertical="center"/>
    </xf>
    <xf numFmtId="0" fontId="0" fillId="5" borderId="1" applyAlignment="1" pivotButton="0" quotePrefix="0" xfId="0">
      <alignment vertical="center"/>
    </xf>
    <xf numFmtId="0" fontId="9" fillId="5" borderId="1" applyAlignment="1" pivotButton="0" quotePrefix="0" xfId="0">
      <alignment vertical="center"/>
    </xf>
    <xf numFmtId="0" fontId="0" fillId="0" borderId="1" applyAlignment="1" pivotButton="0" quotePrefix="0" xfId="0">
      <alignment vertical="top" wrapText="1"/>
    </xf>
    <xf numFmtId="0" fontId="4" fillId="4" borderId="1" applyAlignment="1" pivotButton="0" quotePrefix="0" xfId="0">
      <alignment vertical="center"/>
    </xf>
    <xf numFmtId="0" fontId="0" fillId="4" borderId="1" applyAlignment="1" pivotButton="0" quotePrefix="0" xfId="0">
      <alignment vertical="center"/>
    </xf>
    <xf numFmtId="0" fontId="5" fillId="4" borderId="1" applyAlignment="1" pivotButton="0" quotePrefix="0" xfId="0">
      <alignment vertical="center"/>
    </xf>
    <xf numFmtId="166" fontId="10" fillId="6" borderId="1" applyAlignment="1" pivotButton="0" quotePrefix="0" xfId="0">
      <alignment vertical="center"/>
    </xf>
    <xf numFmtId="166" fontId="11" fillId="7" borderId="1" applyAlignment="1" pivotButton="0" quotePrefix="0" xfId="0">
      <alignment vertical="center"/>
    </xf>
    <xf numFmtId="166" fontId="4" fillId="0" borderId="1" applyAlignment="1" pivotButton="0" quotePrefix="0" xfId="0">
      <alignment vertical="center"/>
    </xf>
    <xf numFmtId="0" fontId="10" fillId="6" borderId="1" applyAlignment="1" pivotButton="0" quotePrefix="0" xfId="0">
      <alignment vertical="center"/>
    </xf>
    <xf numFmtId="0" fontId="11" fillId="7" borderId="1" applyAlignment="1" pivotButton="0" quotePrefix="0" xfId="0">
      <alignment vertical="center"/>
    </xf>
    <xf numFmtId="164" fontId="10" fillId="6" borderId="1" applyAlignment="1" pivotButton="0" quotePrefix="0" xfId="0">
      <alignment vertical="center"/>
    </xf>
    <xf numFmtId="164" fontId="11" fillId="7" borderId="1" applyAlignment="1" pivotButton="0" quotePrefix="0" xfId="0">
      <alignment vertical="center"/>
    </xf>
    <xf numFmtId="164" fontId="4" fillId="0" borderId="1" applyAlignment="1" pivotButton="0" quotePrefix="0" xfId="0">
      <alignment vertical="center"/>
    </xf>
    <xf numFmtId="165" fontId="10" fillId="6" borderId="1" applyAlignment="1" pivotButton="0" quotePrefix="0" xfId="0">
      <alignment vertical="center"/>
    </xf>
    <xf numFmtId="165" fontId="11" fillId="7" borderId="1" applyAlignment="1" pivotButton="0" quotePrefix="0" xfId="0">
      <alignment vertical="center"/>
    </xf>
    <xf numFmtId="165" fontId="4" fillId="0" borderId="1" applyAlignment="1" pivotButton="0" quotePrefix="0" xfId="0">
      <alignment vertical="center"/>
    </xf>
    <xf numFmtId="0" fontId="12" fillId="0" borderId="0" applyAlignment="1" pivotButton="0" quotePrefix="0" xfId="0">
      <alignment vertical="top" wrapText="1"/>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TTWO — Take-Two Interactive Software, Inc.</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Communication Services / Electronic Gaming &amp; Multimedia</t>
        </is>
      </c>
    </row>
    <row r="6">
      <c r="A6" s="5" t="inlineStr">
        <is>
          <t>Current price</t>
        </is>
      </c>
      <c r="B6" s="6" t="n">
        <v>216.23</v>
      </c>
    </row>
    <row r="7">
      <c r="A7" s="5" t="inlineStr">
        <is>
          <t>Backend Base IV</t>
        </is>
      </c>
      <c r="B7" s="6" t="n">
        <v>179.38</v>
      </c>
    </row>
    <row r="8">
      <c r="A8" s="5" t="inlineStr">
        <is>
          <t>Base upside</t>
        </is>
      </c>
      <c r="B8" s="7" t="n">
        <v>-0.17</v>
      </c>
    </row>
    <row r="9">
      <c r="A9" s="5" t="inlineStr">
        <is>
          <t>Expected IV (prob-weighted)</t>
        </is>
      </c>
      <c r="B9" s="6" t="n">
        <v>186.14</v>
      </c>
    </row>
    <row r="10">
      <c r="A10" s="5" t="inlineStr">
        <is>
          <t>Expected upside</t>
        </is>
      </c>
      <c r="B10" s="7" t="n">
        <v>-0.139</v>
      </c>
    </row>
    <row r="11">
      <c r="A11" s="5" t="inlineStr">
        <is>
          <t>Margin of safety</t>
        </is>
      </c>
      <c r="B11" s="7" t="n">
        <v>-0.205</v>
      </c>
    </row>
    <row r="12">
      <c r="A12" s="5" t="inlineStr">
        <is>
          <t>Analyst target / rec</t>
        </is>
      </c>
      <c r="B12" t="inlineStr">
        <is>
          <t>279.11  (strong_buy)</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t="inlineStr">
        <is>
          <t>review_required_high</t>
        </is>
      </c>
    </row>
    <row r="16"/>
    <row r="17">
      <c r="A17" s="3" t="inlineStr">
        <is>
          <t>Reconciliation to deterministic backend</t>
        </is>
      </c>
      <c r="B17" s="4" t="n"/>
      <c r="C17" s="4" t="n"/>
      <c r="D17" s="4" t="n"/>
    </row>
    <row r="18">
      <c r="A18" s="5" t="inlineStr">
        <is>
          <t>Workbook Base IV (rebuilt)</t>
        </is>
      </c>
      <c r="B18" s="6" t="n">
        <v>179.3825655793855</v>
      </c>
    </row>
    <row r="19">
      <c r="A19" s="5" t="inlineStr">
        <is>
          <t>Backend Base IV</t>
        </is>
      </c>
      <c r="B19" s="6" t="n">
        <v>179.38</v>
      </c>
    </row>
    <row r="20">
      <c r="A20" s="5" t="inlineStr">
        <is>
          <t>Gap</t>
        </is>
      </c>
      <c r="B20" s="6" t="n">
        <v>0.002565579385475303</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C:\Projects\03-Finance\ai-fund\data\valuations\json\TTWO_latest.json</t>
        </is>
      </c>
    </row>
    <row r="33">
      <c r="A33" s="10" t="inlineStr">
        <is>
          <t>Generated</t>
        </is>
      </c>
      <c r="B33" s="10" t="inlineStr">
        <is>
          <t>2026-06-15T22:38:52</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Story &amp; Driver Layer (deterministic)</t>
        </is>
      </c>
    </row>
    <row r="2">
      <c r="A2" s="2" t="inlineStr">
        <is>
          <t>Source: story_sector. These are deterministic story/sector priors, NOT a per-name agent read.</t>
        </is>
      </c>
    </row>
    <row r="3" ht="56" customHeight="1">
      <c r="A3" s="11" t="inlineStr">
        <is>
          <t>NOTE: No guided-workup / analyst-prep run was found for this ticker, so there is no per-name agent judgment to show. story_profile below is a deterministic sector prior. Run the guided ticker workup (output/guided_workups/) to populate agent thesis and driver proposals.</t>
        </is>
      </c>
    </row>
    <row r="4">
      <c r="A4" s="3" t="inlineStr">
        <is>
          <t>Story Profile (deterministic sector prior)</t>
        </is>
      </c>
      <c r="B4" s="4" t="n"/>
      <c r="C4" s="4" t="n"/>
      <c r="D4" s="4" t="n"/>
    </row>
    <row r="5">
      <c r="A5" s="12" t="inlineStr">
        <is>
          <t>Attribute</t>
        </is>
      </c>
      <c r="B5" s="12" t="inlineStr">
        <is>
          <t>Assessment</t>
        </is>
      </c>
      <c r="C5" s="12" t="inlineStr">
        <is>
          <t>Scale</t>
        </is>
      </c>
      <c r="D5" s="12" t="inlineStr">
        <is>
          <t>Read</t>
        </is>
      </c>
    </row>
    <row r="6">
      <c r="A6" s="13" t="inlineStr">
        <is>
          <t>Moat strength</t>
        </is>
      </c>
      <c r="B6" s="14" t="n">
        <v>4</v>
      </c>
      <c r="C6" s="14" t="inlineStr">
        <is>
          <t>0-5</t>
        </is>
      </c>
      <c r="D6" s="14" t="inlineStr">
        <is>
          <t>Durability of competitive advantage</t>
        </is>
      </c>
    </row>
    <row r="7">
      <c r="A7" s="13" t="inlineStr">
        <is>
          <t>Pricing power</t>
        </is>
      </c>
      <c r="B7" s="14" t="n">
        <v>4</v>
      </c>
      <c r="C7" s="14" t="inlineStr">
        <is>
          <t>0-5</t>
        </is>
      </c>
      <c r="D7" s="14" t="inlineStr">
        <is>
          <t>Ability to pass through cost / take price</t>
        </is>
      </c>
    </row>
    <row r="8">
      <c r="A8" s="13" t="inlineStr">
        <is>
          <t>Cyclicality</t>
        </is>
      </c>
      <c r="B8" s="14" t="inlineStr">
        <is>
          <t>low</t>
        </is>
      </c>
      <c r="C8" s="14" t="inlineStr">
        <is>
          <t>low/med/high</t>
        </is>
      </c>
      <c r="D8" s="14" t="inlineStr">
        <is>
          <t>Sensitivity of demand to the cycle</t>
        </is>
      </c>
    </row>
    <row r="9">
      <c r="A9" s="13" t="inlineStr">
        <is>
          <t>Capital intensity</t>
        </is>
      </c>
      <c r="B9" s="14" t="inlineStr">
        <is>
          <t>medium</t>
        </is>
      </c>
      <c r="C9" s="14" t="inlineStr">
        <is>
          <t>low/med/high</t>
        </is>
      </c>
      <c r="D9" s="14" t="inlineStr">
        <is>
          <t>Reinvestment needed to grow</t>
        </is>
      </c>
    </row>
    <row r="10">
      <c r="A10" s="13" t="inlineStr">
        <is>
          <t>Governance risk</t>
        </is>
      </c>
      <c r="B10" s="14" t="inlineStr">
        <is>
          <t>medium</t>
        </is>
      </c>
      <c r="C10" s="14" t="inlineStr">
        <is>
          <t>low/med/high</t>
        </is>
      </c>
      <c r="D10" s="14" t="inlineStr">
        <is>
          <t>Capital-allocation / disclosure risk</t>
        </is>
      </c>
    </row>
    <row r="11">
      <c r="A11" s="13" t="inlineStr">
        <is>
          <t>Advantage period</t>
        </is>
      </c>
      <c r="B11" s="14" t="n">
        <v>9</v>
      </c>
      <c r="C11" s="14" t="inlineStr">
        <is>
          <t>years</t>
        </is>
      </c>
      <c r="D11" s="14" t="inlineStr">
        <is>
          <t>Years of excess returns assumed</t>
        </is>
      </c>
    </row>
    <row r="12"/>
    <row r="13">
      <c r="A13" s="3" t="inlineStr">
        <is>
          <t>Story -&gt; Model Adjustments (what the thesis changed)</t>
        </is>
      </c>
      <c r="B13" s="4" t="n"/>
      <c r="C13" s="4" t="n"/>
      <c r="D13" s="4" t="n"/>
    </row>
    <row r="14">
      <c r="A14" s="12" t="inlineStr">
        <is>
          <t>Adjustment</t>
        </is>
      </c>
      <c r="B14" s="12" t="inlineStr">
        <is>
          <t>Value</t>
        </is>
      </c>
      <c r="C14" s="12" t="inlineStr">
        <is>
          <t>Effect on the model</t>
        </is>
      </c>
    </row>
    <row r="15">
      <c r="A15" s="13" t="inlineStr">
        <is>
          <t>Growth add</t>
        </is>
      </c>
      <c r="B15" s="15" t="n">
        <v>0.008</v>
      </c>
      <c r="C15" s="14" t="inlineStr">
        <is>
          <t>Added to near/mid revenue growth</t>
        </is>
      </c>
      <c r="D15" s="14" t="n"/>
    </row>
    <row r="16">
      <c r="A16" s="13" t="inlineStr">
        <is>
          <t>Margin add</t>
        </is>
      </c>
      <c r="B16" s="15" t="n">
        <v>0.012</v>
      </c>
      <c r="C16" s="14" t="inlineStr">
        <is>
          <t>Added to EBIT margin path</t>
        </is>
      </c>
      <c r="D16" s="14" t="n"/>
    </row>
    <row r="17">
      <c r="A17" s="13" t="inlineStr">
        <is>
          <t>Cyclicality growth multiplier</t>
        </is>
      </c>
      <c r="B17" s="16" t="n">
        <v>1.05</v>
      </c>
      <c r="C17" s="14" t="inlineStr">
        <is>
          <t>Scales growth for cycle exposure</t>
        </is>
      </c>
      <c r="D17" s="14" t="n"/>
    </row>
    <row r="18">
      <c r="A18" s="13" t="inlineStr">
        <is>
          <t>Cyclicality WACC add</t>
        </is>
      </c>
      <c r="B18" s="15" t="n">
        <v>-0.003</v>
      </c>
      <c r="C18" s="14" t="inlineStr">
        <is>
          <t>Raises discount rate for cyclical names</t>
        </is>
      </c>
      <c r="D18" s="14" t="n"/>
    </row>
    <row r="19">
      <c r="A19" s="13" t="inlineStr">
        <is>
          <t>Governance WACC add</t>
        </is>
      </c>
      <c r="B19" s="15" t="n">
        <v>0</v>
      </c>
      <c r="C19" s="14" t="inlineStr">
        <is>
          <t>Raises discount rate for governance risk</t>
        </is>
      </c>
      <c r="D19" s="14" t="n"/>
    </row>
    <row r="20">
      <c r="A20" s="13" t="inlineStr">
        <is>
          <t>Capex target add</t>
        </is>
      </c>
      <c r="B20" s="15" t="n">
        <v>0</v>
      </c>
      <c r="C20" s="14" t="inlineStr">
        <is>
          <t>Raises terminal reinvestment intensity</t>
        </is>
      </c>
      <c r="D20" s="14" t="n"/>
    </row>
    <row r="21">
      <c r="A21" s="13" t="inlineStr">
        <is>
          <t>D&amp;A target add</t>
        </is>
      </c>
      <c r="B21" s="15" t="n">
        <v>0</v>
      </c>
      <c r="C21" s="14" t="inlineStr">
        <is>
          <t>Adjusts terminal D&amp;A intensity</t>
        </is>
      </c>
      <c r="D21" s="14" t="n"/>
    </row>
    <row r="22">
      <c r="A22" s="13" t="inlineStr">
        <is>
          <t>Exit multiple cyclicality mult.</t>
        </is>
      </c>
      <c r="B22" s="16" t="n">
        <v>1.05</v>
      </c>
      <c r="C22" s="14" t="inlineStr">
        <is>
          <t>Haircut/premium on exit multiple</t>
        </is>
      </c>
      <c r="D22" s="14" t="n"/>
    </row>
    <row r="23">
      <c r="A23" s="13" t="inlineStr">
        <is>
          <t>Exit multiple governance mult.</t>
        </is>
      </c>
      <c r="B23" s="16" t="n">
        <v>1</v>
      </c>
      <c r="C23" s="14" t="inlineStr">
        <is>
          <t>Haircut/premium on exit multiple</t>
        </is>
      </c>
      <c r="D23" s="14" t="n"/>
    </row>
    <row r="24">
      <c r="A24" s="13" t="inlineStr">
        <is>
          <t>Terminal blend — Gordon weight</t>
        </is>
      </c>
      <c r="B24" s="15" t="n">
        <v>0.64</v>
      </c>
      <c r="C24" s="14" t="inlineStr">
        <is>
          <t>Weight on Gordon TV (cyclicality-driven)</t>
        </is>
      </c>
      <c r="D24" s="14" t="n"/>
    </row>
    <row r="25">
      <c r="A25" s="13" t="inlineStr">
        <is>
          <t>Terminal blend — Exit weight</t>
        </is>
      </c>
      <c r="B25" s="15" t="n">
        <v>0.36</v>
      </c>
      <c r="C25" s="14" t="inlineStr">
        <is>
          <t>Weight on exit-multiple TV</t>
        </is>
      </c>
      <c r="D25" s="14" t="n"/>
    </row>
    <row r="26"/>
    <row r="27" ht="44" customHeight="1">
      <c r="A27" s="17"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1:J1"/>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review_required_high  (resolved 5, review_required 2)</t>
        </is>
      </c>
    </row>
    <row r="3"/>
    <row r="4">
      <c r="A4" s="3" t="inlineStr">
        <is>
          <t>Default-resolution fields (deterministic)</t>
        </is>
      </c>
      <c r="B4" s="4" t="n"/>
      <c r="C4" s="4" t="n"/>
      <c r="D4" s="4" t="n"/>
      <c r="E4" s="4" t="n"/>
      <c r="F4" s="4" t="n"/>
      <c r="G4" s="4" t="n"/>
      <c r="H4" s="4" t="n"/>
    </row>
    <row r="5">
      <c r="A5" s="12" t="inlineStr">
        <is>
          <t>Field</t>
        </is>
      </c>
      <c r="B5" s="12" t="inlineStr">
        <is>
          <t>Value</t>
        </is>
      </c>
      <c r="C5" s="12" t="inlineStr">
        <is>
          <t>Source</t>
        </is>
      </c>
      <c r="D5" s="12" t="inlineStr">
        <is>
          <t>Source class</t>
        </is>
      </c>
      <c r="E5" s="12" t="inlineStr">
        <is>
          <t>Severity</t>
        </is>
      </c>
      <c r="F5" s="12" t="inlineStr">
        <is>
          <t>PM review?</t>
        </is>
      </c>
      <c r="G5" s="12" t="inlineStr">
        <is>
          <t>Fallback</t>
        </is>
      </c>
      <c r="H5" s="12" t="inlineStr">
        <is>
          <t>Why it matters</t>
        </is>
      </c>
    </row>
    <row r="6" ht="30" customHeight="1">
      <c r="A6" s="18" t="inlineStr">
        <is>
          <t>exit_multiple</t>
        </is>
      </c>
      <c r="B6" s="14" t="n">
        <v>14.7</v>
      </c>
      <c r="C6" s="14" t="inlineStr">
        <is>
          <t>default|story_sector</t>
        </is>
      </c>
      <c r="D6" s="14" t="inlineStr">
        <is>
          <t>story_prior</t>
        </is>
      </c>
      <c r="E6" s="19" t="inlineStr">
        <is>
          <t>high</t>
        </is>
      </c>
      <c r="F6" s="20" t="inlineStr">
        <is>
          <t>YES</t>
        </is>
      </c>
      <c r="G6" s="14" t="n">
        <v>14</v>
      </c>
      <c r="H6" s="21" t="inlineStr">
        <is>
          <t>Directly affects terminal value and equity value.</t>
        </is>
      </c>
    </row>
    <row r="7" ht="30" customHeight="1">
      <c r="A7" s="18" t="inlineStr">
        <is>
          <t>pension_deficit</t>
        </is>
      </c>
      <c r="B7" s="14" t="n">
        <v>0</v>
      </c>
      <c r="C7" s="14" t="inlineStr">
        <is>
          <t>default</t>
        </is>
      </c>
      <c r="D7" s="14" t="inlineStr">
        <is>
          <t>unproven_zero</t>
        </is>
      </c>
      <c r="E7" s="19" t="inlineStr">
        <is>
          <t>medium</t>
        </is>
      </c>
      <c r="F7" s="20" t="inlineStr">
        <is>
          <t>YES</t>
        </is>
      </c>
      <c r="G7" s="14" t="n">
        <v>0</v>
      </c>
      <c r="H7" s="21" t="inlineStr">
        <is>
          <t>Can be a non-equity claim in the equity bridge.</t>
        </is>
      </c>
    </row>
    <row r="8" ht="30" customHeight="1">
      <c r="A8" s="22" t="inlineStr">
        <is>
          <t>dso_start</t>
        </is>
      </c>
      <c r="B8" s="14" t="n">
        <v>45.6</v>
      </c>
      <c r="C8" s="14" t="inlineStr">
        <is>
          <t>yfinance</t>
        </is>
      </c>
      <c r="D8" s="14" t="inlineStr">
        <is>
          <t>public_market</t>
        </is>
      </c>
      <c r="E8" s="23" t="inlineStr">
        <is>
          <t>medium</t>
        </is>
      </c>
      <c r="F8" s="24" t="inlineStr">
        <is>
          <t>no</t>
        </is>
      </c>
      <c r="G8" s="14" t="n">
        <v>50</v>
      </c>
      <c r="H8" s="21" t="inlineStr">
        <is>
          <t>Affects working-capital cash drag.</t>
        </is>
      </c>
    </row>
    <row r="9" ht="30" customHeight="1">
      <c r="A9" s="22" t="inlineStr">
        <is>
          <t>dio_start</t>
        </is>
      </c>
      <c r="B9" s="14" t="n">
        <v>5</v>
      </c>
      <c r="C9" s="14" t="inlineStr">
        <is>
          <t>yfinance</t>
        </is>
      </c>
      <c r="D9" s="14" t="inlineStr">
        <is>
          <t>public_market</t>
        </is>
      </c>
      <c r="E9" s="23" t="inlineStr">
        <is>
          <t>medium</t>
        </is>
      </c>
      <c r="F9" s="24" t="inlineStr">
        <is>
          <t>no</t>
        </is>
      </c>
      <c r="G9" s="14" t="n">
        <v>30</v>
      </c>
      <c r="H9" s="21" t="inlineStr">
        <is>
          <t>Affects inventory investment and working-capital cash drag.</t>
        </is>
      </c>
    </row>
    <row r="10" ht="30" customHeight="1">
      <c r="A10" s="22" t="inlineStr">
        <is>
          <t>dpo_start</t>
        </is>
      </c>
      <c r="B10" s="14" t="n">
        <v>25.9</v>
      </c>
      <c r="C10" s="14" t="inlineStr">
        <is>
          <t>yfinance</t>
        </is>
      </c>
      <c r="D10" s="14" t="inlineStr">
        <is>
          <t>public_market</t>
        </is>
      </c>
      <c r="E10" s="23" t="inlineStr">
        <is>
          <t>medium</t>
        </is>
      </c>
      <c r="F10" s="24" t="inlineStr">
        <is>
          <t>no</t>
        </is>
      </c>
      <c r="G10" s="14" t="n">
        <v>42</v>
      </c>
      <c r="H10" s="21" t="inlineStr">
        <is>
          <t>Affects supplier financing and working-capital cash drag.</t>
        </is>
      </c>
    </row>
    <row r="11" ht="30" customHeight="1">
      <c r="A11" s="13" t="inlineStr">
        <is>
          <t>minority_interest</t>
        </is>
      </c>
      <c r="B11" s="14" t="n">
        <v>232785000</v>
      </c>
      <c r="C11" s="14" t="inlineStr">
        <is>
          <t>edgar_xbrl</t>
        </is>
      </c>
      <c r="D11" s="14" t="inlineStr">
        <is>
          <t>filing</t>
        </is>
      </c>
      <c r="E11" s="14" t="inlineStr">
        <is>
          <t>low</t>
        </is>
      </c>
      <c r="F11" s="14" t="inlineStr">
        <is>
          <t>no</t>
        </is>
      </c>
      <c r="G11" s="14" t="n">
        <v>0</v>
      </c>
      <c r="H11" s="21" t="inlineStr">
        <is>
          <t>Can be a non-equity claim in the equity bridge.</t>
        </is>
      </c>
    </row>
    <row r="12" ht="30" customHeight="1">
      <c r="A12" s="13" t="inlineStr">
        <is>
          <t>preferred_equity</t>
        </is>
      </c>
      <c r="B12" s="14" t="n">
        <v>0</v>
      </c>
      <c r="C12" s="14" t="inlineStr">
        <is>
          <t>yfinance</t>
        </is>
      </c>
      <c r="D12" s="14" t="inlineStr">
        <is>
          <t>public_market</t>
        </is>
      </c>
      <c r="E12" s="14" t="inlineStr">
        <is>
          <t>low</t>
        </is>
      </c>
      <c r="F12" s="14" t="inlineStr">
        <is>
          <t>no</t>
        </is>
      </c>
      <c r="G12" s="14" t="n">
        <v>0</v>
      </c>
      <c r="H12" s="21"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4" t="inlineStr">
        <is>
          <t>Company</t>
        </is>
      </c>
      <c r="B5" s="14" t="inlineStr">
        <is>
          <t>current_price</t>
        </is>
      </c>
      <c r="C5" s="25" t="n">
        <v>216.23</v>
      </c>
      <c r="D5" s="26" t="n"/>
      <c r="E5" s="27">
        <f>IF(D5="",C5,D5)</f>
        <v/>
      </c>
      <c r="F5" s="14" t="inlineStr">
        <is>
          <t>$/sh</t>
        </is>
      </c>
      <c r="G5" s="14" t="inlineStr"/>
      <c r="H5" s="14" t="inlineStr"/>
    </row>
    <row r="6">
      <c r="A6" s="14" t="inlineStr">
        <is>
          <t>Company</t>
        </is>
      </c>
      <c r="B6" s="14" t="inlineStr">
        <is>
          <t>shares_outstanding_mm</t>
        </is>
      </c>
      <c r="C6" s="28" t="n">
        <v>183.9</v>
      </c>
      <c r="D6" s="29" t="n"/>
      <c r="E6" s="13">
        <f>IF(D6="",C6,D6)</f>
        <v/>
      </c>
      <c r="F6" s="14" t="inlineStr">
        <is>
          <t>mm</t>
        </is>
      </c>
      <c r="G6" s="14" t="inlineStr">
        <is>
          <t>yfinance_diluted</t>
        </is>
      </c>
      <c r="H6" s="14" t="inlineStr"/>
    </row>
    <row r="7">
      <c r="A7" s="14" t="inlineStr">
        <is>
          <t>Company</t>
        </is>
      </c>
      <c r="B7" s="14" t="inlineStr">
        <is>
          <t>annual_dilution_pct</t>
        </is>
      </c>
      <c r="C7" s="30" t="n">
        <v>0</v>
      </c>
      <c r="D7" s="31" t="n"/>
      <c r="E7" s="32">
        <f>IF(D7="",C7,D7)</f>
        <v/>
      </c>
      <c r="F7" s="14" t="inlineStr">
        <is>
          <t>%</t>
        </is>
      </c>
      <c r="G7" s="14" t="inlineStr"/>
      <c r="H7" s="14" t="inlineStr"/>
    </row>
    <row r="8">
      <c r="A8" s="14" t="inlineStr">
        <is>
          <t>Company</t>
        </is>
      </c>
      <c r="B8" s="14" t="inlineStr">
        <is>
          <t>net_debt_mm</t>
        </is>
      </c>
      <c r="C8" s="25" t="n">
        <v>1517.5</v>
      </c>
      <c r="D8" s="26" t="n"/>
      <c r="E8" s="27">
        <f>IF(D8="",C8,D8)</f>
        <v/>
      </c>
      <c r="F8" s="14" t="inlineStr">
        <is>
          <t>$mm</t>
        </is>
      </c>
      <c r="G8" s="14" t="inlineStr">
        <is>
          <t>yfinance+leases</t>
        </is>
      </c>
      <c r="H8" s="14" t="inlineStr"/>
    </row>
    <row r="9">
      <c r="A9" s="14" t="inlineStr">
        <is>
          <t>Company</t>
        </is>
      </c>
      <c r="B9" s="14" t="inlineStr">
        <is>
          <t>non_operating_assets_mm</t>
        </is>
      </c>
      <c r="C9" s="25" t="n">
        <v>1856.172</v>
      </c>
      <c r="D9" s="26" t="n"/>
      <c r="E9" s="27">
        <f>IF(D9="",C9,D9)</f>
        <v/>
      </c>
      <c r="F9" s="14" t="inlineStr">
        <is>
          <t>$mm</t>
        </is>
      </c>
      <c r="G9" s="14" t="inlineStr">
        <is>
          <t>yfinance_cash_excess</t>
        </is>
      </c>
      <c r="H9" s="14" t="inlineStr"/>
    </row>
    <row r="10">
      <c r="A10" s="14" t="inlineStr">
        <is>
          <t>Company</t>
        </is>
      </c>
      <c r="B10" s="14" t="inlineStr">
        <is>
          <t>minority_interest_mm</t>
        </is>
      </c>
      <c r="C10" s="25" t="n">
        <v>232.785</v>
      </c>
      <c r="D10" s="26" t="n"/>
      <c r="E10" s="27">
        <f>IF(D10="",C10,D10)</f>
        <v/>
      </c>
      <c r="F10" s="14" t="inlineStr">
        <is>
          <t>$mm</t>
        </is>
      </c>
      <c r="G10" s="14" t="inlineStr">
        <is>
          <t>edgar_xbrl</t>
        </is>
      </c>
      <c r="H10" s="14" t="inlineStr"/>
    </row>
    <row r="11">
      <c r="A11" s="14" t="inlineStr">
        <is>
          <t>Company</t>
        </is>
      </c>
      <c r="B11" s="14" t="inlineStr">
        <is>
          <t>preferred_equity_mm</t>
        </is>
      </c>
      <c r="C11" s="25" t="n">
        <v>0</v>
      </c>
      <c r="D11" s="26" t="n"/>
      <c r="E11" s="27">
        <f>IF(D11="",C11,D11)</f>
        <v/>
      </c>
      <c r="F11" s="14" t="inlineStr">
        <is>
          <t>$mm</t>
        </is>
      </c>
      <c r="G11" s="14" t="inlineStr">
        <is>
          <t>yfinance</t>
        </is>
      </c>
      <c r="H11" s="14" t="inlineStr"/>
    </row>
    <row r="12">
      <c r="A12" s="14" t="inlineStr">
        <is>
          <t>Company</t>
        </is>
      </c>
      <c r="B12" s="14" t="inlineStr">
        <is>
          <t>pension_deficit_mm</t>
        </is>
      </c>
      <c r="C12" s="25" t="n">
        <v>0</v>
      </c>
      <c r="D12" s="26" t="n"/>
      <c r="E12" s="27">
        <f>IF(D12="",C12,D12)</f>
        <v/>
      </c>
      <c r="F12" s="14" t="inlineStr">
        <is>
          <t>$mm</t>
        </is>
      </c>
      <c r="G12" s="14" t="inlineStr">
        <is>
          <t>default</t>
        </is>
      </c>
      <c r="H12" s="14" t="inlineStr"/>
    </row>
    <row r="13">
      <c r="A13" s="14" t="inlineStr">
        <is>
          <t>Company</t>
        </is>
      </c>
      <c r="B13" s="14" t="inlineStr">
        <is>
          <t>lease_liabilities_mm</t>
        </is>
      </c>
      <c r="C13" s="25" t="n">
        <v>0</v>
      </c>
      <c r="D13" s="26" t="n"/>
      <c r="E13" s="27">
        <f>IF(D13="",C13,D13)</f>
        <v/>
      </c>
      <c r="F13" s="14" t="inlineStr">
        <is>
          <t>$mm</t>
        </is>
      </c>
      <c r="G13" s="14" t="inlineStr">
        <is>
          <t>folded_into_net_debt</t>
        </is>
      </c>
      <c r="H13" s="14" t="inlineStr"/>
    </row>
    <row r="14">
      <c r="A14" s="14" t="inlineStr">
        <is>
          <t>Company</t>
        </is>
      </c>
      <c r="B14" s="14" t="inlineStr">
        <is>
          <t>options_value_mm</t>
        </is>
      </c>
      <c r="C14" s="25" t="n">
        <v>999.6</v>
      </c>
      <c r="D14" s="26" t="n"/>
      <c r="E14" s="27">
        <f>IF(D14="",C14,D14)</f>
        <v/>
      </c>
      <c r="F14" s="14" t="inlineStr">
        <is>
          <t>$mm</t>
        </is>
      </c>
      <c r="G14" s="14" t="inlineStr">
        <is>
          <t>sbc_proxy</t>
        </is>
      </c>
      <c r="H14" s="14" t="inlineStr"/>
    </row>
    <row r="15">
      <c r="A15" s="14" t="inlineStr">
        <is>
          <t>Company</t>
        </is>
      </c>
      <c r="B15" s="14" t="inlineStr">
        <is>
          <t>convertibles_value_mm</t>
        </is>
      </c>
      <c r="C15" s="25" t="n">
        <v>0</v>
      </c>
      <c r="D15" s="26" t="n"/>
      <c r="E15" s="27">
        <f>IF(D15="",C15,D15)</f>
        <v/>
      </c>
      <c r="F15" s="14" t="inlineStr">
        <is>
          <t>$mm</t>
        </is>
      </c>
      <c r="G15" s="14" t="inlineStr">
        <is>
          <t>default</t>
        </is>
      </c>
      <c r="H15" s="14" t="inlineStr"/>
    </row>
    <row r="16">
      <c r="A16" s="14" t="inlineStr">
        <is>
          <t>Operating</t>
        </is>
      </c>
      <c r="B16" s="14" t="inlineStr">
        <is>
          <t>revenue_mm</t>
        </is>
      </c>
      <c r="C16" s="25" t="n">
        <v>6656.4</v>
      </c>
      <c r="D16" s="26" t="n"/>
      <c r="E16" s="27">
        <f>IF(D16="",C16,D16)</f>
        <v/>
      </c>
      <c r="F16" s="14" t="inlineStr">
        <is>
          <t>$mm</t>
        </is>
      </c>
      <c r="G16" s="14" t="inlineStr">
        <is>
          <t>yfinance</t>
        </is>
      </c>
      <c r="H16" s="14" t="inlineStr"/>
    </row>
    <row r="17">
      <c r="A17" s="14" t="inlineStr">
        <is>
          <t>Operating</t>
        </is>
      </c>
      <c r="B17" s="14" t="inlineStr">
        <is>
          <t>cogs_pct_of_revenue</t>
        </is>
      </c>
      <c r="C17" s="30" t="n">
        <v>0.4883</v>
      </c>
      <c r="D17" s="31" t="n"/>
      <c r="E17" s="32">
        <f>IF(D17="",C17,D17)</f>
        <v/>
      </c>
      <c r="F17" s="14" t="inlineStr">
        <is>
          <t>% rev</t>
        </is>
      </c>
      <c r="G17" s="14" t="inlineStr"/>
      <c r="H17" s="14" t="inlineStr"/>
    </row>
    <row r="18">
      <c r="A18" s="14" t="inlineStr">
        <is>
          <t>Operating</t>
        </is>
      </c>
      <c r="B18" s="14" t="inlineStr">
        <is>
          <t>growth_terminal_pct</t>
        </is>
      </c>
      <c r="C18" s="30" t="n">
        <v>0.03</v>
      </c>
      <c r="D18" s="31" t="n"/>
      <c r="E18" s="32">
        <f>IF(D18="",C18,D18)</f>
        <v/>
      </c>
      <c r="F18" s="14" t="inlineStr">
        <is>
          <t>%</t>
        </is>
      </c>
      <c r="G18" s="14" t="inlineStr"/>
      <c r="H18" s="14" t="inlineStr"/>
    </row>
    <row r="19">
      <c r="A19" s="14" t="inlineStr">
        <is>
          <t>WACC</t>
        </is>
      </c>
      <c r="B19" s="14" t="inlineStr">
        <is>
          <t>wacc</t>
        </is>
      </c>
      <c r="C19" s="30" t="n">
        <v>0.09419</v>
      </c>
      <c r="D19" s="31" t="n"/>
      <c r="E19" s="32">
        <f>IF(D19="",C19,D19)</f>
        <v/>
      </c>
      <c r="F19" s="14" t="inlineStr">
        <is>
          <t>%</t>
        </is>
      </c>
      <c r="G19" s="14" t="inlineStr"/>
      <c r="H19" s="14" t="inlineStr"/>
    </row>
    <row r="20">
      <c r="A20" s="14" t="inlineStr">
        <is>
          <t>WACC</t>
        </is>
      </c>
      <c r="B20" s="14" t="inlineStr">
        <is>
          <t>cost_of_equity</t>
        </is>
      </c>
      <c r="C20" s="30" t="n">
        <v>0.09548999999999999</v>
      </c>
      <c r="D20" s="31" t="n"/>
      <c r="E20" s="32">
        <f>IF(D20="",C20,D20)</f>
        <v/>
      </c>
      <c r="F20" s="14" t="inlineStr">
        <is>
          <t>%</t>
        </is>
      </c>
      <c r="G20" s="14" t="inlineStr">
        <is>
          <t>yfinance_capm|story_sector</t>
        </is>
      </c>
      <c r="H20" s="14" t="inlineStr"/>
    </row>
    <row r="21">
      <c r="A21" s="14" t="inlineStr">
        <is>
          <t>WACC</t>
        </is>
      </c>
      <c r="B21" s="14" t="inlineStr">
        <is>
          <t>cost_of_debt</t>
        </is>
      </c>
      <c r="C21" s="30" t="inlineStr"/>
      <c r="D21" s="31" t="n"/>
      <c r="E21" s="32">
        <f>IF(D21="",C21,D21)</f>
        <v/>
      </c>
      <c r="F21" s="14" t="inlineStr">
        <is>
          <t>%</t>
        </is>
      </c>
      <c r="G21" s="14" t="inlineStr"/>
      <c r="H21" s="14" t="inlineStr"/>
    </row>
    <row r="22">
      <c r="A22" s="14" t="inlineStr">
        <is>
          <t>WACC</t>
        </is>
      </c>
      <c r="B22" s="14" t="inlineStr">
        <is>
          <t>risk_free_rate</t>
        </is>
      </c>
      <c r="C22" s="30" t="inlineStr"/>
      <c r="D22" s="31" t="n"/>
      <c r="E22" s="32">
        <f>IF(D22="",C22,D22)</f>
        <v/>
      </c>
      <c r="F22" s="14" t="inlineStr">
        <is>
          <t>%</t>
        </is>
      </c>
      <c r="G22" s="14" t="inlineStr"/>
      <c r="H22" s="14" t="inlineStr"/>
    </row>
    <row r="23">
      <c r="A23" s="14" t="inlineStr">
        <is>
          <t>WACC</t>
        </is>
      </c>
      <c r="B23" s="14" t="inlineStr">
        <is>
          <t>equity_risk_premium</t>
        </is>
      </c>
      <c r="C23" s="30" t="inlineStr"/>
      <c r="D23" s="31" t="n"/>
      <c r="E23" s="32">
        <f>IF(D23="",C23,D23)</f>
        <v/>
      </c>
      <c r="F23" s="14" t="inlineStr">
        <is>
          <t>%</t>
        </is>
      </c>
      <c r="G23" s="14" t="inlineStr"/>
      <c r="H23" s="14" t="inlineStr"/>
    </row>
    <row r="24">
      <c r="A24" s="14" t="inlineStr">
        <is>
          <t>WACC</t>
        </is>
      </c>
      <c r="B24" s="14" t="inlineStr">
        <is>
          <t>beta_relevered</t>
        </is>
      </c>
      <c r="C24" s="33" t="n">
        <v>0.98</v>
      </c>
      <c r="D24" s="34" t="n"/>
      <c r="E24" s="35">
        <f>IF(D24="",C24,D24)</f>
        <v/>
      </c>
      <c r="F24" s="14" t="inlineStr">
        <is>
          <t>x</t>
        </is>
      </c>
      <c r="G24" s="14" t="inlineStr"/>
      <c r="H24" s="14" t="inlineStr"/>
    </row>
    <row r="25">
      <c r="A25" s="14" t="inlineStr">
        <is>
          <t>WACC</t>
        </is>
      </c>
      <c r="B25" s="14" t="inlineStr">
        <is>
          <t>size_premium</t>
        </is>
      </c>
      <c r="C25" s="30" t="n">
        <v>0.005</v>
      </c>
      <c r="D25" s="31" t="n"/>
      <c r="E25" s="32">
        <f>IF(D25="",C25,D25)</f>
        <v/>
      </c>
      <c r="F25" s="14" t="inlineStr">
        <is>
          <t>%</t>
        </is>
      </c>
      <c r="G25" s="14" t="inlineStr"/>
      <c r="H25" s="14" t="inlineStr"/>
    </row>
    <row r="26">
      <c r="A26" s="14" t="inlineStr">
        <is>
          <t>WACC</t>
        </is>
      </c>
      <c r="B26" s="14" t="inlineStr">
        <is>
          <t>equity_weight</t>
        </is>
      </c>
      <c r="C26" s="30" t="n">
        <v>0.9764</v>
      </c>
      <c r="D26" s="31" t="n"/>
      <c r="E26" s="32">
        <f>IF(D26="",C26,D26)</f>
        <v/>
      </c>
      <c r="F26" s="14" t="inlineStr">
        <is>
          <t>% cap</t>
        </is>
      </c>
      <c r="G26" s="14" t="inlineStr"/>
      <c r="H26" s="14" t="inlineStr"/>
    </row>
    <row r="27">
      <c r="A27" s="14" t="inlineStr">
        <is>
          <t>WACC</t>
        </is>
      </c>
      <c r="B27" s="14" t="inlineStr">
        <is>
          <t>debt_weight</t>
        </is>
      </c>
      <c r="C27" s="30" t="n">
        <v>0.02359999999999995</v>
      </c>
      <c r="D27" s="31" t="n"/>
      <c r="E27" s="32">
        <f>IF(D27="",C27,D27)</f>
        <v/>
      </c>
      <c r="F27" s="14" t="inlineStr">
        <is>
          <t>% cap</t>
        </is>
      </c>
      <c r="G27" s="14" t="inlineStr">
        <is>
          <t>yfinance_capm</t>
        </is>
      </c>
      <c r="H27" s="14" t="inlineStr"/>
    </row>
    <row r="28">
      <c r="A28" s="14" t="inlineStr">
        <is>
          <t>Terminal</t>
        </is>
      </c>
      <c r="B28" s="14" t="inlineStr">
        <is>
          <t>exit_multiple</t>
        </is>
      </c>
      <c r="C28" s="33" t="n">
        <v>14.7</v>
      </c>
      <c r="D28" s="34" t="n"/>
      <c r="E28" s="35">
        <f>IF(D28="",C28,D28)</f>
        <v/>
      </c>
      <c r="F28" s="14" t="inlineStr">
        <is>
          <t>x</t>
        </is>
      </c>
      <c r="G28" s="14" t="inlineStr">
        <is>
          <t>default|story_sector</t>
        </is>
      </c>
      <c r="H28" s="14" t="inlineStr"/>
    </row>
    <row r="29">
      <c r="A29" s="14" t="inlineStr">
        <is>
          <t>Terminal</t>
        </is>
      </c>
      <c r="B29" s="14" t="inlineStr">
        <is>
          <t>exit_metric</t>
        </is>
      </c>
      <c r="C29" s="28" t="inlineStr">
        <is>
          <t>ev_ebitda</t>
        </is>
      </c>
      <c r="D29" s="29" t="n"/>
      <c r="E29" s="13">
        <f>IF(D29="",C29,D29)</f>
        <v/>
      </c>
      <c r="F29" s="14" t="inlineStr">
        <is>
          <t>text</t>
        </is>
      </c>
      <c r="G29" s="14" t="inlineStr"/>
      <c r="H29" s="14" t="inlineStr"/>
    </row>
    <row r="30">
      <c r="A30" s="14" t="inlineStr">
        <is>
          <t>Terminal</t>
        </is>
      </c>
      <c r="B30" s="14" t="inlineStr">
        <is>
          <t>ronic_terminal</t>
        </is>
      </c>
      <c r="C30" s="30" t="n">
        <v>0.14</v>
      </c>
      <c r="D30" s="31" t="n"/>
      <c r="E30" s="32">
        <f>IF(D30="",C30,D30)</f>
        <v/>
      </c>
      <c r="F30" s="14" t="inlineStr">
        <is>
          <t>%</t>
        </is>
      </c>
      <c r="G30" s="14" t="inlineStr">
        <is>
          <t>default</t>
        </is>
      </c>
      <c r="H30" s="14" t="inlineStr"/>
    </row>
    <row r="31">
      <c r="A31" s="14" t="inlineStr">
        <is>
          <t>Terminal</t>
        </is>
      </c>
      <c r="B31" s="14" t="inlineStr">
        <is>
          <t>terminal_blend_gordon_weight</t>
        </is>
      </c>
      <c r="C31" s="30" t="n">
        <v>0.64</v>
      </c>
      <c r="D31" s="31" t="n"/>
      <c r="E31" s="32">
        <f>IF(D31="",C31,D31)</f>
        <v/>
      </c>
      <c r="F31" s="14" t="inlineStr">
        <is>
          <t>%</t>
        </is>
      </c>
      <c r="G31" s="14" t="inlineStr"/>
      <c r="H31" s="14" t="inlineStr"/>
    </row>
    <row r="32">
      <c r="A32" s="14" t="inlineStr">
        <is>
          <t>Terminal</t>
        </is>
      </c>
      <c r="B32" s="14" t="inlineStr">
        <is>
          <t>terminal_blend_exit_weight</t>
        </is>
      </c>
      <c r="C32" s="30" t="n">
        <v>0.36</v>
      </c>
      <c r="D32" s="31" t="n"/>
      <c r="E32" s="32">
        <f>IF(D32="",C32,D32)</f>
        <v/>
      </c>
      <c r="F32" s="14" t="inlineStr">
        <is>
          <t>%</t>
        </is>
      </c>
      <c r="G32" s="14" t="inlineStr"/>
      <c r="H32" s="14" t="inlineStr"/>
    </row>
    <row r="33">
      <c r="A33" s="14" t="inlineStr">
        <is>
          <t>Scenario</t>
        </is>
      </c>
      <c r="B33" s="14" t="inlineStr">
        <is>
          <t>scenario_prob_bear</t>
        </is>
      </c>
      <c r="C33" s="30" t="n">
        <v>0.2</v>
      </c>
      <c r="D33" s="31" t="n"/>
      <c r="E33" s="32">
        <f>IF(D33="",C33,D33)</f>
        <v/>
      </c>
      <c r="F33" s="14" t="inlineStr">
        <is>
          <t>%</t>
        </is>
      </c>
      <c r="G33" s="14" t="inlineStr"/>
      <c r="H33" s="14" t="inlineStr"/>
    </row>
    <row r="34">
      <c r="A34" s="14" t="inlineStr">
        <is>
          <t>Scenario</t>
        </is>
      </c>
      <c r="B34" s="14" t="inlineStr">
        <is>
          <t>scenario_prob_base</t>
        </is>
      </c>
      <c r="C34" s="30" t="n">
        <v>0.6</v>
      </c>
      <c r="D34" s="31" t="n"/>
      <c r="E34" s="32">
        <f>IF(D34="",C34,D34)</f>
        <v/>
      </c>
      <c r="F34" s="14" t="inlineStr">
        <is>
          <t>%</t>
        </is>
      </c>
      <c r="G34" s="14" t="inlineStr"/>
      <c r="H34" s="14" t="inlineStr"/>
    </row>
    <row r="35">
      <c r="A35" s="14" t="inlineStr">
        <is>
          <t>Scenario</t>
        </is>
      </c>
      <c r="B35" s="14" t="inlineStr">
        <is>
          <t>scenario_prob_bull</t>
        </is>
      </c>
      <c r="C35" s="30" t="n">
        <v>0.2</v>
      </c>
      <c r="D35" s="31" t="n"/>
      <c r="E35" s="32">
        <f>IF(D35="",C35,D35)</f>
        <v/>
      </c>
      <c r="F35" s="14" t="inlineStr">
        <is>
          <t>%</t>
        </is>
      </c>
      <c r="G35" s="14" t="inlineStr"/>
      <c r="H35" s="14" t="inlineStr"/>
    </row>
    <row r="36">
      <c r="A36" s="14" t="inlineStr">
        <is>
          <t>Backend</t>
        </is>
      </c>
      <c r="B36" s="14" t="inlineStr">
        <is>
          <t>backend_iv_base</t>
        </is>
      </c>
      <c r="C36" s="25" t="n">
        <v>179.38</v>
      </c>
      <c r="D36" s="26" t="n"/>
      <c r="E36" s="27">
        <f>IF(D36="",C36,D36)</f>
        <v/>
      </c>
      <c r="F36" s="14" t="inlineStr">
        <is>
          <t>$/sh</t>
        </is>
      </c>
      <c r="G36" s="14" t="inlineStr"/>
      <c r="H36" s="14" t="inlineStr"/>
    </row>
    <row r="37">
      <c r="A37" s="14" t="inlineStr">
        <is>
          <t>Backend</t>
        </is>
      </c>
      <c r="B37" s="14" t="inlineStr">
        <is>
          <t>backend_iv_gordon</t>
        </is>
      </c>
      <c r="C37" s="25" t="n">
        <v>128.68</v>
      </c>
      <c r="D37" s="26" t="n"/>
      <c r="E37" s="27">
        <f>IF(D37="",C37,D37)</f>
        <v/>
      </c>
      <c r="F37" s="14" t="inlineStr">
        <is>
          <t>$/sh</t>
        </is>
      </c>
      <c r="G37" s="14" t="inlineStr"/>
      <c r="H37" s="14" t="inlineStr"/>
    </row>
    <row r="38">
      <c r="A38" s="14" t="inlineStr">
        <is>
          <t>Backend</t>
        </is>
      </c>
      <c r="B38" s="14" t="inlineStr">
        <is>
          <t>backend_iv_exit</t>
        </is>
      </c>
      <c r="C38" s="25" t="n">
        <v>269.53</v>
      </c>
      <c r="D38" s="26" t="n"/>
      <c r="E38" s="27">
        <f>IF(D38="",C38,D38)</f>
        <v/>
      </c>
      <c r="F38" s="14" t="inlineStr">
        <is>
          <t>$/sh</t>
        </is>
      </c>
      <c r="G38" s="14" t="inlineStr"/>
      <c r="H38" s="14" t="inlineStr"/>
    </row>
    <row r="39">
      <c r="A39" s="14" t="inlineStr">
        <is>
          <t>Backend</t>
        </is>
      </c>
      <c r="B39" s="14" t="inlineStr">
        <is>
          <t>backend_tv_pct_ev</t>
        </is>
      </c>
      <c r="C39" s="30" t="n">
        <v>0.532</v>
      </c>
      <c r="D39" s="31" t="n"/>
      <c r="E39" s="32">
        <f>IF(D39="",C39,D39)</f>
        <v/>
      </c>
      <c r="F39" s="14" t="inlineStr">
        <is>
          <t>%</t>
        </is>
      </c>
      <c r="G39" s="14" t="inlineStr"/>
      <c r="H39" s="14"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9" customWidth="1" min="3" max="3"/>
    <col width="12" customWidth="1" min="4" max="4"/>
    <col width="8" customWidth="1" min="5" max="5"/>
    <col width="13" customWidth="1" min="6" max="6"/>
    <col width="8" customWidth="1" min="7" max="7"/>
    <col width="15" customWidth="1" min="8" max="8"/>
    <col width="8" customWidth="1" min="9" max="9"/>
    <col width="8" customWidth="1" min="10" max="10"/>
    <col width="8" customWidth="1" min="11" max="11"/>
    <col width="9" customWidth="1" min="12" max="12"/>
    <col width="8" customWidth="1" min="13" max="13"/>
    <col width="8" customWidth="1" min="14" max="14"/>
    <col width="8" customWidth="1" min="15" max="15"/>
    <col width="10" customWidth="1" min="16" max="16"/>
    <col width="8" customWidth="1" min="17" max="17"/>
    <col width="8" customWidth="1" min="18" max="18"/>
    <col width="1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ht="44" customHeight="1">
      <c r="A3" s="36" t="inlineStr">
        <is>
          <t>No historical actuals available for this ticker (no CIQ Standard workbook / SEC history in the valuation JSON). The DCF and reconciliation are unaffected — they run off the forecast — but trend review needs a CIQ/SEC history source.</t>
        </is>
      </c>
    </row>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sheetData>
  <mergeCells count="2">
    <mergeCell ref="A1:J1"/>
    <mergeCell ref="A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1" customWidth="1" min="3" max="3"/>
    <col width="22" customWidth="1" min="4" max="4"/>
    <col width="10" customWidth="1" min="5" max="5"/>
    <col width="22" customWidth="1" min="6" max="6"/>
    <col width="21" customWidth="1" min="7" max="7"/>
    <col width="20" customWidth="1" min="8" max="8"/>
    <col width="20" customWidth="1" min="9" max="9"/>
    <col width="20" customWidth="1" min="10" max="10"/>
    <col width="10" customWidth="1" min="11" max="11"/>
    <col width="10" customWidth="1" min="12" max="12"/>
    <col width="10" customWidth="1" min="13" max="13"/>
    <col width="9" customWidth="1" min="14" max="14"/>
    <col width="10" customWidth="1" min="15" max="15"/>
    <col width="11" customWidth="1" min="16" max="16"/>
    <col width="9" customWidth="1" min="17" max="17"/>
    <col width="10" customWidth="1" min="18" max="18"/>
    <col width="11" customWidth="1" min="19" max="19"/>
    <col width="10" customWidth="1" min="20" max="20"/>
    <col width="20" customWidth="1" min="21" max="21"/>
    <col width="10" customWidth="1" min="22" max="22"/>
    <col width="22"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4" t="n">
        <v>1</v>
      </c>
      <c r="B5" s="37" t="n">
        <v>7519.569</v>
      </c>
      <c r="C5" s="15" t="n">
        <v>0.129675</v>
      </c>
      <c r="D5" s="15" t="n">
        <v>0.02</v>
      </c>
      <c r="E5" s="15" t="n">
        <v>0.21</v>
      </c>
      <c r="F5" s="15" t="n">
        <v>0.027</v>
      </c>
      <c r="G5" s="15" t="n">
        <v>0.2</v>
      </c>
      <c r="H5" s="37" t="n">
        <v>45.6</v>
      </c>
      <c r="I5" s="37" t="n">
        <v>5</v>
      </c>
      <c r="J5" s="37" t="n">
        <v>25.9</v>
      </c>
      <c r="K5" s="37" t="n">
        <v>150.391</v>
      </c>
      <c r="L5" s="37" t="n">
        <v>118.809</v>
      </c>
      <c r="M5" s="37" t="n">
        <v>1503.914</v>
      </c>
      <c r="N5" s="37" t="n">
        <v>203.028</v>
      </c>
      <c r="O5" s="37" t="n">
        <v>939.431</v>
      </c>
      <c r="P5" s="37" t="n">
        <v>50.299</v>
      </c>
      <c r="Q5" s="37" t="n">
        <v>260.547</v>
      </c>
      <c r="R5" s="37" t="n">
        <v>729.182</v>
      </c>
      <c r="S5" s="37" t="n">
        <v>83.703</v>
      </c>
      <c r="T5" s="37" t="n">
        <v>1335.992</v>
      </c>
      <c r="U5" s="37" t="n">
        <v>1.09419</v>
      </c>
      <c r="V5" s="37" t="n">
        <v>1220.987</v>
      </c>
      <c r="W5" s="15" t="n">
        <v>0.02263506309919131</v>
      </c>
      <c r="X5" s="37" t="n">
        <v>-375.585</v>
      </c>
    </row>
    <row r="6">
      <c r="A6" s="14" t="n">
        <v>2</v>
      </c>
      <c r="B6" s="37" t="n">
        <v>8494.669</v>
      </c>
      <c r="C6" s="15" t="n">
        <v>0.129675</v>
      </c>
      <c r="D6" s="15" t="n">
        <v>0.03022222222222222</v>
      </c>
      <c r="E6" s="15" t="n">
        <v>0.21</v>
      </c>
      <c r="F6" s="15" t="n">
        <v>0.02685</v>
      </c>
      <c r="G6" s="15" t="n">
        <v>0.1988888888888889</v>
      </c>
      <c r="H6" s="37" t="n">
        <v>45.94222222222222</v>
      </c>
      <c r="I6" s="37" t="n">
        <v>6.944444444444445</v>
      </c>
      <c r="J6" s="37" t="n">
        <v>27.15222222222222</v>
      </c>
      <c r="K6" s="37" t="n">
        <v>256.728</v>
      </c>
      <c r="L6" s="37" t="n">
        <v>202.815</v>
      </c>
      <c r="M6" s="37" t="n">
        <v>1689.495</v>
      </c>
      <c r="N6" s="37" t="n">
        <v>228.082</v>
      </c>
      <c r="O6" s="37" t="n">
        <v>1069.216</v>
      </c>
      <c r="P6" s="37" t="n">
        <v>78.91800000000001</v>
      </c>
      <c r="Q6" s="37" t="n">
        <v>308.564</v>
      </c>
      <c r="R6" s="37" t="n">
        <v>839.5700000000001</v>
      </c>
      <c r="S6" s="37" t="n">
        <v>110.388</v>
      </c>
      <c r="T6" s="37" t="n">
        <v>1553.84</v>
      </c>
      <c r="U6" s="37" t="n">
        <v>1.1972517561</v>
      </c>
      <c r="V6" s="37" t="n">
        <v>1297.839</v>
      </c>
      <c r="W6" s="15" t="n">
        <v>0.05030485005788601</v>
      </c>
      <c r="X6" s="37" t="n">
        <v>-176.933</v>
      </c>
    </row>
    <row r="7">
      <c r="A7" s="14" t="n">
        <v>3</v>
      </c>
      <c r="B7" s="37" t="n">
        <v>9596.215</v>
      </c>
      <c r="C7" s="15" t="n">
        <v>0.129675</v>
      </c>
      <c r="D7" s="15" t="n">
        <v>0.04044444444444444</v>
      </c>
      <c r="E7" s="15" t="n">
        <v>0.21</v>
      </c>
      <c r="F7" s="15" t="n">
        <v>0.0267</v>
      </c>
      <c r="G7" s="15" t="n">
        <v>0.1977777777777778</v>
      </c>
      <c r="H7" s="37" t="n">
        <v>46.28444444444445</v>
      </c>
      <c r="I7" s="37" t="n">
        <v>8.888888888888889</v>
      </c>
      <c r="J7" s="37" t="n">
        <v>28.40444444444444</v>
      </c>
      <c r="K7" s="37" t="n">
        <v>388.114</v>
      </c>
      <c r="L7" s="37" t="n">
        <v>306.61</v>
      </c>
      <c r="M7" s="37" t="n">
        <v>1897.918</v>
      </c>
      <c r="N7" s="37" t="n">
        <v>256.219</v>
      </c>
      <c r="O7" s="37" t="n">
        <v>1216.864</v>
      </c>
      <c r="P7" s="37" t="n">
        <v>114.115</v>
      </c>
      <c r="Q7" s="37" t="n">
        <v>364.653</v>
      </c>
      <c r="R7" s="37" t="n">
        <v>966.326</v>
      </c>
      <c r="S7" s="37" t="n">
        <v>126.755</v>
      </c>
      <c r="T7" s="37" t="n">
        <v>1821.553</v>
      </c>
      <c r="U7" s="37" t="n">
        <v>1.310020899007059</v>
      </c>
      <c r="V7" s="37" t="n">
        <v>1390.477</v>
      </c>
      <c r="W7" s="15" t="n">
        <v>0.1143770894768618</v>
      </c>
      <c r="X7" s="37" t="n">
        <v>54.115</v>
      </c>
    </row>
    <row r="8">
      <c r="A8" s="14" t="n">
        <v>4</v>
      </c>
      <c r="B8" s="37" t="n">
        <v>10778.96</v>
      </c>
      <c r="C8" s="15" t="n">
        <v>0.12325125</v>
      </c>
      <c r="D8" s="15" t="n">
        <v>0.05066666666666667</v>
      </c>
      <c r="E8" s="15" t="n">
        <v>0.21</v>
      </c>
      <c r="F8" s="15" t="n">
        <v>0.02655</v>
      </c>
      <c r="G8" s="15" t="n">
        <v>0.1966666666666667</v>
      </c>
      <c r="H8" s="37" t="n">
        <v>46.62666666666667</v>
      </c>
      <c r="I8" s="37" t="n">
        <v>10.83333333333333</v>
      </c>
      <c r="J8" s="37" t="n">
        <v>29.65666666666667</v>
      </c>
      <c r="K8" s="37" t="n">
        <v>546.134</v>
      </c>
      <c r="L8" s="37" t="n">
        <v>431.446</v>
      </c>
      <c r="M8" s="37" t="n">
        <v>2119.862</v>
      </c>
      <c r="N8" s="37" t="n">
        <v>286.181</v>
      </c>
      <c r="O8" s="37" t="n">
        <v>1376.951</v>
      </c>
      <c r="P8" s="37" t="n">
        <v>156.219</v>
      </c>
      <c r="Q8" s="37" t="n">
        <v>427.655</v>
      </c>
      <c r="R8" s="37" t="n">
        <v>1105.515</v>
      </c>
      <c r="S8" s="37" t="n">
        <v>139.189</v>
      </c>
      <c r="T8" s="37" t="n">
        <v>2125.938</v>
      </c>
      <c r="U8" s="37" t="n">
        <v>1.433411767484534</v>
      </c>
      <c r="V8" s="37" t="n">
        <v>1483.131</v>
      </c>
      <c r="W8" s="15" t="n">
        <v>0.3701021526391748</v>
      </c>
      <c r="X8" s="37" t="n">
        <v>321.644</v>
      </c>
    </row>
    <row r="9">
      <c r="A9" s="14" t="n">
        <v>5</v>
      </c>
      <c r="B9" s="37" t="n">
        <v>12038.239</v>
      </c>
      <c r="C9" s="15" t="n">
        <v>0.1168275</v>
      </c>
      <c r="D9" s="15" t="n">
        <v>0.06088888888888888</v>
      </c>
      <c r="E9" s="15" t="n">
        <v>0.21</v>
      </c>
      <c r="F9" s="15" t="n">
        <v>0.0264</v>
      </c>
      <c r="G9" s="15" t="n">
        <v>0.1955555555555556</v>
      </c>
      <c r="H9" s="37" t="n">
        <v>46.96888888888889</v>
      </c>
      <c r="I9" s="37" t="n">
        <v>12.77777777777778</v>
      </c>
      <c r="J9" s="37" t="n">
        <v>30.90888888888889</v>
      </c>
      <c r="K9" s="37" t="n">
        <v>732.995</v>
      </c>
      <c r="L9" s="37" t="n">
        <v>579.066</v>
      </c>
      <c r="M9" s="37" t="n">
        <v>2354.145</v>
      </c>
      <c r="N9" s="37" t="n">
        <v>317.81</v>
      </c>
      <c r="O9" s="37" t="n">
        <v>1549.103</v>
      </c>
      <c r="P9" s="37" t="n">
        <v>205.784</v>
      </c>
      <c r="Q9" s="37" t="n">
        <v>497.783</v>
      </c>
      <c r="R9" s="37" t="n">
        <v>1257.104</v>
      </c>
      <c r="S9" s="37" t="n">
        <v>151.59</v>
      </c>
      <c r="T9" s="37" t="n">
        <v>2463.811</v>
      </c>
      <c r="U9" s="37" t="n">
        <v>1.568424821863902</v>
      </c>
      <c r="V9" s="37" t="n">
        <v>1570.883</v>
      </c>
      <c r="W9" s="15" t="n">
        <v>579066054.8276801</v>
      </c>
      <c r="X9" s="37" t="n">
        <v>579.066</v>
      </c>
    </row>
    <row r="10">
      <c r="A10" s="14" t="n">
        <v>6</v>
      </c>
      <c r="B10" s="37" t="n">
        <v>13367.306</v>
      </c>
      <c r="C10" s="15" t="n">
        <v>0.11040375</v>
      </c>
      <c r="D10" s="15" t="n">
        <v>0.07111111111111111</v>
      </c>
      <c r="E10" s="15" t="n">
        <v>0.21</v>
      </c>
      <c r="F10" s="15" t="n">
        <v>0.02625</v>
      </c>
      <c r="G10" s="15" t="n">
        <v>0.1944444444444444</v>
      </c>
      <c r="H10" s="37" t="n">
        <v>47.31111111111111</v>
      </c>
      <c r="I10" s="37" t="n">
        <v>14.72222222222222</v>
      </c>
      <c r="J10" s="37" t="n">
        <v>32.16111111111111</v>
      </c>
      <c r="K10" s="37" t="n">
        <v>950.564</v>
      </c>
      <c r="L10" s="37" t="n">
        <v>750.946</v>
      </c>
      <c r="M10" s="37" t="n">
        <v>2599.198</v>
      </c>
      <c r="N10" s="37" t="n">
        <v>350.892</v>
      </c>
      <c r="O10" s="37" t="n">
        <v>1732.663</v>
      </c>
      <c r="P10" s="37" t="n">
        <v>263.276</v>
      </c>
      <c r="Q10" s="37" t="n">
        <v>575.134</v>
      </c>
      <c r="R10" s="37" t="n">
        <v>1420.806</v>
      </c>
      <c r="S10" s="37" t="n">
        <v>163.701</v>
      </c>
      <c r="T10" s="37" t="n">
        <v>2835.551</v>
      </c>
      <c r="U10" s="37" t="n">
        <v>1.716154755835263</v>
      </c>
      <c r="V10" s="37" t="n">
        <v>1652.27</v>
      </c>
      <c r="W10" s="15" t="n">
        <v>750945540.1791084</v>
      </c>
      <c r="X10" s="37" t="n">
        <v>750.946</v>
      </c>
    </row>
    <row r="11">
      <c r="A11" s="14" t="n">
        <v>7</v>
      </c>
      <c r="B11" s="37" t="n">
        <v>14757.238</v>
      </c>
      <c r="C11" s="15" t="n">
        <v>0.10398</v>
      </c>
      <c r="D11" s="15" t="n">
        <v>0.08133333333333333</v>
      </c>
      <c r="E11" s="15" t="n">
        <v>0.21</v>
      </c>
      <c r="F11" s="15" t="n">
        <v>0.0261</v>
      </c>
      <c r="G11" s="15" t="n">
        <v>0.1933333333333333</v>
      </c>
      <c r="H11" s="37" t="n">
        <v>47.65333333333334</v>
      </c>
      <c r="I11" s="37" t="n">
        <v>16.66666666666666</v>
      </c>
      <c r="J11" s="37" t="n">
        <v>33.41333333333333</v>
      </c>
      <c r="K11" s="37" t="n">
        <v>1200.255</v>
      </c>
      <c r="L11" s="37" t="n">
        <v>948.202</v>
      </c>
      <c r="M11" s="37" t="n">
        <v>2853.066</v>
      </c>
      <c r="N11" s="37" t="n">
        <v>385.164</v>
      </c>
      <c r="O11" s="37" t="n">
        <v>1926.662</v>
      </c>
      <c r="P11" s="37" t="n">
        <v>329.039</v>
      </c>
      <c r="Q11" s="37" t="n">
        <v>659.658</v>
      </c>
      <c r="R11" s="37" t="n">
        <v>1596.043</v>
      </c>
      <c r="S11" s="37" t="n">
        <v>175.238</v>
      </c>
      <c r="T11" s="37" t="n">
        <v>3240.866</v>
      </c>
      <c r="U11" s="37" t="n">
        <v>1.877799372287386</v>
      </c>
      <c r="V11" s="37" t="n">
        <v>1725.885</v>
      </c>
      <c r="W11" s="15" t="n">
        <v>948201755.7049285</v>
      </c>
      <c r="X11" s="37" t="n">
        <v>948.202</v>
      </c>
    </row>
    <row r="12">
      <c r="A12" s="14" t="n">
        <v>8</v>
      </c>
      <c r="B12" s="37" t="n">
        <v>16196.899</v>
      </c>
      <c r="C12" s="15" t="n">
        <v>0.09755625000000001</v>
      </c>
      <c r="D12" s="15" t="n">
        <v>0.09155555555555554</v>
      </c>
      <c r="E12" s="15" t="n">
        <v>0.21</v>
      </c>
      <c r="F12" s="15" t="n">
        <v>0.02595</v>
      </c>
      <c r="G12" s="15" t="n">
        <v>0.1922222222222222</v>
      </c>
      <c r="H12" s="37" t="n">
        <v>47.99555555555555</v>
      </c>
      <c r="I12" s="37" t="n">
        <v>18.61111111111111</v>
      </c>
      <c r="J12" s="37" t="n">
        <v>34.66555555555556</v>
      </c>
      <c r="K12" s="37" t="n">
        <v>1482.916</v>
      </c>
      <c r="L12" s="37" t="n">
        <v>1171.504</v>
      </c>
      <c r="M12" s="37" t="n">
        <v>3113.404</v>
      </c>
      <c r="N12" s="37" t="n">
        <v>420.31</v>
      </c>
      <c r="O12" s="37" t="n">
        <v>2129.806</v>
      </c>
      <c r="P12" s="37" t="n">
        <v>403.272</v>
      </c>
      <c r="Q12" s="37" t="n">
        <v>751.145</v>
      </c>
      <c r="R12" s="37" t="n">
        <v>1781.933</v>
      </c>
      <c r="S12" s="37" t="n">
        <v>185.889</v>
      </c>
      <c r="T12" s="37" t="n">
        <v>3678.709</v>
      </c>
      <c r="U12" s="37" t="n">
        <v>2.054669295163135</v>
      </c>
      <c r="V12" s="37" t="n">
        <v>1790.414</v>
      </c>
      <c r="W12" s="15" t="n">
        <v>1171503722.548596</v>
      </c>
      <c r="X12" s="37" t="n">
        <v>1171.504</v>
      </c>
    </row>
    <row r="13">
      <c r="A13" s="14" t="n">
        <v>9</v>
      </c>
      <c r="B13" s="37" t="n">
        <v>17672.963</v>
      </c>
      <c r="C13" s="15" t="n">
        <v>0.09113250000000001</v>
      </c>
      <c r="D13" s="15" t="n">
        <v>0.1017777777777778</v>
      </c>
      <c r="E13" s="15" t="n">
        <v>0.21</v>
      </c>
      <c r="F13" s="15" t="n">
        <v>0.0258</v>
      </c>
      <c r="G13" s="15" t="n">
        <v>0.1911111111111111</v>
      </c>
      <c r="H13" s="37" t="n">
        <v>48.33777777777778</v>
      </c>
      <c r="I13" s="37" t="n">
        <v>20.55555555555556</v>
      </c>
      <c r="J13" s="37" t="n">
        <v>35.91777777777778</v>
      </c>
      <c r="K13" s="37" t="n">
        <v>1798.715</v>
      </c>
      <c r="L13" s="37" t="n">
        <v>1420.985</v>
      </c>
      <c r="M13" s="37" t="n">
        <v>3377.5</v>
      </c>
      <c r="N13" s="37" t="n">
        <v>455.962</v>
      </c>
      <c r="O13" s="37" t="n">
        <v>2340.471</v>
      </c>
      <c r="P13" s="37" t="n">
        <v>485.996</v>
      </c>
      <c r="Q13" s="37" t="n">
        <v>849.205</v>
      </c>
      <c r="R13" s="37" t="n">
        <v>1977.261</v>
      </c>
      <c r="S13" s="37" t="n">
        <v>195.328</v>
      </c>
      <c r="T13" s="37" t="n">
        <v>4147.194</v>
      </c>
      <c r="U13" s="37" t="n">
        <v>2.248198596074551</v>
      </c>
      <c r="V13" s="37" t="n">
        <v>1844.674</v>
      </c>
      <c r="W13" s="15" t="n">
        <v>1420984781.017087</v>
      </c>
      <c r="X13" s="37" t="n">
        <v>1420.985</v>
      </c>
    </row>
    <row r="14">
      <c r="A14" s="14" t="n">
        <v>10</v>
      </c>
      <c r="B14" s="37" t="n">
        <v>19170.018</v>
      </c>
      <c r="C14" s="15" t="n">
        <v>0.08470875</v>
      </c>
      <c r="D14" s="15" t="n">
        <v>0.112</v>
      </c>
      <c r="E14" s="15" t="n">
        <v>0.21</v>
      </c>
      <c r="F14" s="15" t="n">
        <v>0.02565</v>
      </c>
      <c r="G14" s="15" t="n">
        <v>0.19</v>
      </c>
      <c r="H14" s="37" t="n">
        <v>48.68</v>
      </c>
      <c r="I14" s="37" t="n">
        <v>22.5</v>
      </c>
      <c r="J14" s="37" t="n">
        <v>37.17</v>
      </c>
      <c r="K14" s="37" t="n">
        <v>2147.042</v>
      </c>
      <c r="L14" s="37" t="n">
        <v>1696.163</v>
      </c>
      <c r="M14" s="37" t="n">
        <v>3642.303</v>
      </c>
      <c r="N14" s="37" t="n">
        <v>491.711</v>
      </c>
      <c r="O14" s="37" t="n">
        <v>2556.703</v>
      </c>
      <c r="P14" s="37" t="n">
        <v>577.0309999999999</v>
      </c>
      <c r="Q14" s="37" t="n">
        <v>953.255</v>
      </c>
      <c r="R14" s="37" t="n">
        <v>2180.479</v>
      </c>
      <c r="S14" s="37" t="n">
        <v>203.218</v>
      </c>
      <c r="T14" s="37" t="n">
        <v>4643.538</v>
      </c>
      <c r="U14" s="37" t="n">
        <v>2.459956421838813</v>
      </c>
      <c r="V14" s="37" t="n">
        <v>1887.65</v>
      </c>
      <c r="W14" s="15" t="n">
        <v>1696163168.767202</v>
      </c>
      <c r="X14" s="37" t="n">
        <v>1696.163</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4" t="inlineStr">
        <is>
          <t>Backend WACC (used in DCF)</t>
        </is>
      </c>
      <c r="B5" s="15">
        <f>'Assumptions'!$E$19</f>
        <v/>
      </c>
      <c r="C5" s="14" t="inlineStr">
        <is>
          <t>Default discount rate from backend</t>
        </is>
      </c>
    </row>
    <row r="6">
      <c r="A6" s="14" t="inlineStr">
        <is>
          <t>Cost of equity</t>
        </is>
      </c>
      <c r="B6" s="15">
        <f>'Assumptions'!$E$20</f>
        <v/>
      </c>
      <c r="C6" s="14" t="inlineStr">
        <is>
          <t>CAPM cost of equity</t>
        </is>
      </c>
    </row>
    <row r="7">
      <c r="A7" s="14" t="inlineStr">
        <is>
          <t>Risk-free rate</t>
        </is>
      </c>
      <c r="B7" s="15">
        <f>'Assumptions'!$E$22</f>
        <v/>
      </c>
      <c r="C7" s="14" t="inlineStr">
        <is>
          <t>Blank if unavailable</t>
        </is>
      </c>
    </row>
    <row r="8">
      <c r="A8" s="14" t="inlineStr">
        <is>
          <t>Equity risk premium</t>
        </is>
      </c>
      <c r="B8" s="15">
        <f>'Assumptions'!$E$23</f>
        <v/>
      </c>
      <c r="C8" s="14" t="inlineStr">
        <is>
          <t>Blank if unavailable</t>
        </is>
      </c>
    </row>
    <row r="9">
      <c r="A9" s="14" t="inlineStr">
        <is>
          <t>Relevered beta</t>
        </is>
      </c>
      <c r="B9" s="16">
        <f>'Assumptions'!$E$24</f>
        <v/>
      </c>
      <c r="C9" s="14" t="inlineStr">
        <is>
          <t>Peer/structure beta</t>
        </is>
      </c>
    </row>
    <row r="10">
      <c r="A10" s="14" t="inlineStr">
        <is>
          <t>Size premium</t>
        </is>
      </c>
      <c r="B10" s="15">
        <f>'Assumptions'!$E$25</f>
        <v/>
      </c>
      <c r="C10" s="14" t="inlineStr">
        <is>
          <t>Duff &amp; Phelps</t>
        </is>
      </c>
    </row>
    <row r="11">
      <c r="A11" s="14" t="inlineStr">
        <is>
          <t>Cost of debt</t>
        </is>
      </c>
      <c r="B11" s="15">
        <f>'Assumptions'!$E$21</f>
        <v/>
      </c>
      <c r="C11" s="14" t="inlineStr">
        <is>
          <t>Blank if unavailable</t>
        </is>
      </c>
    </row>
    <row r="12">
      <c r="A12" s="14" t="inlineStr">
        <is>
          <t>Equity weight</t>
        </is>
      </c>
      <c r="B12" s="15">
        <f>'Assumptions'!$E$26</f>
        <v/>
      </c>
      <c r="C12" s="14" t="inlineStr">
        <is>
          <t>Market-value weight</t>
        </is>
      </c>
    </row>
    <row r="13">
      <c r="A13" s="14" t="inlineStr">
        <is>
          <t>Debt weight</t>
        </is>
      </c>
      <c r="B13" s="15">
        <f>'Assumptions'!$E$27</f>
        <v/>
      </c>
      <c r="C13" s="14" t="inlineStr">
        <is>
          <t>Market-value weight</t>
        </is>
      </c>
    </row>
    <row r="14">
      <c r="A14" s="14" t="inlineStr">
        <is>
          <t>Rebuilt cost of equity (check)</t>
        </is>
      </c>
      <c r="B14" s="15">
        <f>IF(OR(ISBLANK('Assumptions'!$E$22),ISBLANK('Assumptions'!$E$23)),'Assumptions'!$E$20,'Assumptions'!$E$22+'Assumptions'!$E$24*'Assumptions'!$E$23+'Assumptions'!$E$25)</f>
        <v/>
      </c>
      <c r="C14" s="14"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8" t="inlineStr">
        <is>
          <t>Operating model</t>
        </is>
      </c>
      <c r="B4" s="39" t="n"/>
      <c r="C4" s="39" t="n"/>
      <c r="D4" s="39" t="n"/>
      <c r="E4" s="39" t="n"/>
      <c r="F4" s="39" t="n"/>
      <c r="G4" s="39" t="n"/>
      <c r="H4" s="39" t="n"/>
      <c r="I4" s="39" t="n"/>
      <c r="J4" s="39" t="n"/>
      <c r="K4" s="39" t="n"/>
      <c r="L4" s="39" t="n"/>
    </row>
    <row r="5">
      <c r="A5" s="14" t="n"/>
      <c r="B5" s="14" t="n"/>
      <c r="C5" s="40" t="inlineStr">
        <is>
          <t>Y1</t>
        </is>
      </c>
      <c r="D5" s="40" t="inlineStr">
        <is>
          <t>Y2</t>
        </is>
      </c>
      <c r="E5" s="40" t="inlineStr">
        <is>
          <t>Y3</t>
        </is>
      </c>
      <c r="F5" s="40" t="inlineStr">
        <is>
          <t>Y4</t>
        </is>
      </c>
      <c r="G5" s="40" t="inlineStr">
        <is>
          <t>Y5</t>
        </is>
      </c>
      <c r="H5" s="40" t="inlineStr">
        <is>
          <t>Y6</t>
        </is>
      </c>
      <c r="I5" s="40" t="inlineStr">
        <is>
          <t>Y7</t>
        </is>
      </c>
      <c r="J5" s="40" t="inlineStr">
        <is>
          <t>Y8</t>
        </is>
      </c>
      <c r="K5" s="40" t="inlineStr">
        <is>
          <t>Y9</t>
        </is>
      </c>
      <c r="L5" s="40" t="inlineStr">
        <is>
          <t>Y10</t>
        </is>
      </c>
    </row>
    <row r="6">
      <c r="A6" s="14" t="inlineStr">
        <is>
          <t>Revenue</t>
        </is>
      </c>
      <c r="B6" s="14" t="n"/>
      <c r="C6" s="37">
        <f>'Input_Forecast'!$B$5</f>
        <v/>
      </c>
      <c r="D6" s="37">
        <f>'Input_Forecast'!$B$6</f>
        <v/>
      </c>
      <c r="E6" s="37">
        <f>'Input_Forecast'!$B$7</f>
        <v/>
      </c>
      <c r="F6" s="37">
        <f>'Input_Forecast'!$B$8</f>
        <v/>
      </c>
      <c r="G6" s="37">
        <f>'Input_Forecast'!$B$9</f>
        <v/>
      </c>
      <c r="H6" s="37">
        <f>'Input_Forecast'!$B$10</f>
        <v/>
      </c>
      <c r="I6" s="37">
        <f>'Input_Forecast'!$B$11</f>
        <v/>
      </c>
      <c r="J6" s="37">
        <f>'Input_Forecast'!$B$12</f>
        <v/>
      </c>
      <c r="K6" s="37">
        <f>'Input_Forecast'!$B$13</f>
        <v/>
      </c>
      <c r="L6" s="37">
        <f>'Input_Forecast'!$B$14</f>
        <v/>
      </c>
    </row>
    <row r="7">
      <c r="A7" s="14" t="inlineStr">
        <is>
          <t>Revenue growth</t>
        </is>
      </c>
      <c r="B7" s="14" t="n"/>
      <c r="C7" s="15">
        <f>'Input_Forecast'!$C$5</f>
        <v/>
      </c>
      <c r="D7" s="15">
        <f>'Input_Forecast'!$C$6</f>
        <v/>
      </c>
      <c r="E7" s="15">
        <f>'Input_Forecast'!$C$7</f>
        <v/>
      </c>
      <c r="F7" s="15">
        <f>'Input_Forecast'!$C$8</f>
        <v/>
      </c>
      <c r="G7" s="15">
        <f>'Input_Forecast'!$C$9</f>
        <v/>
      </c>
      <c r="H7" s="15">
        <f>'Input_Forecast'!$C$10</f>
        <v/>
      </c>
      <c r="I7" s="15">
        <f>'Input_Forecast'!$C$11</f>
        <v/>
      </c>
      <c r="J7" s="15">
        <f>'Input_Forecast'!$C$12</f>
        <v/>
      </c>
      <c r="K7" s="15">
        <f>'Input_Forecast'!$C$13</f>
        <v/>
      </c>
      <c r="L7" s="15">
        <f>'Input_Forecast'!$C$14</f>
        <v/>
      </c>
    </row>
    <row r="8">
      <c r="A8" s="14" t="inlineStr">
        <is>
          <t>EBIT margin</t>
        </is>
      </c>
      <c r="B8" s="14" t="n"/>
      <c r="C8" s="15">
        <f>'Input_Forecast'!$D$5</f>
        <v/>
      </c>
      <c r="D8" s="15">
        <f>'Input_Forecast'!$D$6</f>
        <v/>
      </c>
      <c r="E8" s="15">
        <f>'Input_Forecast'!$D$7</f>
        <v/>
      </c>
      <c r="F8" s="15">
        <f>'Input_Forecast'!$D$8</f>
        <v/>
      </c>
      <c r="G8" s="15">
        <f>'Input_Forecast'!$D$9</f>
        <v/>
      </c>
      <c r="H8" s="15">
        <f>'Input_Forecast'!$D$10</f>
        <v/>
      </c>
      <c r="I8" s="15">
        <f>'Input_Forecast'!$D$11</f>
        <v/>
      </c>
      <c r="J8" s="15">
        <f>'Input_Forecast'!$D$12</f>
        <v/>
      </c>
      <c r="K8" s="15">
        <f>'Input_Forecast'!$D$13</f>
        <v/>
      </c>
      <c r="L8" s="15">
        <f>'Input_Forecast'!$D$14</f>
        <v/>
      </c>
    </row>
    <row r="9">
      <c r="A9" s="14" t="inlineStr">
        <is>
          <t>EBIT</t>
        </is>
      </c>
      <c r="B9" s="14" t="n"/>
      <c r="C9" s="37">
        <f>C6*C8</f>
        <v/>
      </c>
      <c r="D9" s="37">
        <f>D6*D8</f>
        <v/>
      </c>
      <c r="E9" s="37">
        <f>E6*E8</f>
        <v/>
      </c>
      <c r="F9" s="37">
        <f>F6*F8</f>
        <v/>
      </c>
      <c r="G9" s="37">
        <f>G6*G8</f>
        <v/>
      </c>
      <c r="H9" s="37">
        <f>H6*H8</f>
        <v/>
      </c>
      <c r="I9" s="37">
        <f>I6*I8</f>
        <v/>
      </c>
      <c r="J9" s="37">
        <f>J6*J8</f>
        <v/>
      </c>
      <c r="K9" s="37">
        <f>K6*K8</f>
        <v/>
      </c>
      <c r="L9" s="37">
        <f>L6*L8</f>
        <v/>
      </c>
    </row>
    <row r="10">
      <c r="A10" s="14" t="inlineStr">
        <is>
          <t>Tax rate</t>
        </is>
      </c>
      <c r="B10" s="14" t="n"/>
      <c r="C10" s="15">
        <f>'Input_Forecast'!$E$5</f>
        <v/>
      </c>
      <c r="D10" s="15">
        <f>'Input_Forecast'!$E$6</f>
        <v/>
      </c>
      <c r="E10" s="15">
        <f>'Input_Forecast'!$E$7</f>
        <v/>
      </c>
      <c r="F10" s="15">
        <f>'Input_Forecast'!$E$8</f>
        <v/>
      </c>
      <c r="G10" s="15">
        <f>'Input_Forecast'!$E$9</f>
        <v/>
      </c>
      <c r="H10" s="15">
        <f>'Input_Forecast'!$E$10</f>
        <v/>
      </c>
      <c r="I10" s="15">
        <f>'Input_Forecast'!$E$11</f>
        <v/>
      </c>
      <c r="J10" s="15">
        <f>'Input_Forecast'!$E$12</f>
        <v/>
      </c>
      <c r="K10" s="15">
        <f>'Input_Forecast'!$E$13</f>
        <v/>
      </c>
      <c r="L10" s="15">
        <f>'Input_Forecast'!$E$14</f>
        <v/>
      </c>
    </row>
    <row r="11">
      <c r="A11" s="14" t="inlineStr">
        <is>
          <t>NOPAT</t>
        </is>
      </c>
      <c r="B11" s="14" t="n"/>
      <c r="C11" s="37">
        <f>C9*(1-C10)</f>
        <v/>
      </c>
      <c r="D11" s="37">
        <f>D9*(1-D10)</f>
        <v/>
      </c>
      <c r="E11" s="37">
        <f>E9*(1-E10)</f>
        <v/>
      </c>
      <c r="F11" s="37">
        <f>F9*(1-F10)</f>
        <v/>
      </c>
      <c r="G11" s="37">
        <f>G9*(1-G10)</f>
        <v/>
      </c>
      <c r="H11" s="37">
        <f>H9*(1-H10)</f>
        <v/>
      </c>
      <c r="I11" s="37">
        <f>I9*(1-I10)</f>
        <v/>
      </c>
      <c r="J11" s="37">
        <f>J9*(1-J10)</f>
        <v/>
      </c>
      <c r="K11" s="37">
        <f>K9*(1-K10)</f>
        <v/>
      </c>
      <c r="L11" s="37">
        <f>L9*(1-L10)</f>
        <v/>
      </c>
    </row>
    <row r="12">
      <c r="A12" s="14" t="inlineStr">
        <is>
          <t>D&amp;A</t>
        </is>
      </c>
      <c r="B12" s="14" t="n"/>
      <c r="C12" s="37">
        <f>'Input_Forecast'!$M$5</f>
        <v/>
      </c>
      <c r="D12" s="37">
        <f>'Input_Forecast'!$M$6</f>
        <v/>
      </c>
      <c r="E12" s="37">
        <f>'Input_Forecast'!$M$7</f>
        <v/>
      </c>
      <c r="F12" s="37">
        <f>'Input_Forecast'!$M$8</f>
        <v/>
      </c>
      <c r="G12" s="37">
        <f>'Input_Forecast'!$M$9</f>
        <v/>
      </c>
      <c r="H12" s="37">
        <f>'Input_Forecast'!$M$10</f>
        <v/>
      </c>
      <c r="I12" s="37">
        <f>'Input_Forecast'!$M$11</f>
        <v/>
      </c>
      <c r="J12" s="37">
        <f>'Input_Forecast'!$M$12</f>
        <v/>
      </c>
      <c r="K12" s="37">
        <f>'Input_Forecast'!$M$13</f>
        <v/>
      </c>
      <c r="L12" s="37">
        <f>'Input_Forecast'!$M$14</f>
        <v/>
      </c>
    </row>
    <row r="13">
      <c r="A13" s="14" t="inlineStr">
        <is>
          <t>Capex</t>
        </is>
      </c>
      <c r="B13" s="14" t="n"/>
      <c r="C13" s="37">
        <f>'Input_Forecast'!$N$5</f>
        <v/>
      </c>
      <c r="D13" s="37">
        <f>'Input_Forecast'!$N$6</f>
        <v/>
      </c>
      <c r="E13" s="37">
        <f>'Input_Forecast'!$N$7</f>
        <v/>
      </c>
      <c r="F13" s="37">
        <f>'Input_Forecast'!$N$8</f>
        <v/>
      </c>
      <c r="G13" s="37">
        <f>'Input_Forecast'!$N$9</f>
        <v/>
      </c>
      <c r="H13" s="37">
        <f>'Input_Forecast'!$N$10</f>
        <v/>
      </c>
      <c r="I13" s="37">
        <f>'Input_Forecast'!$N$11</f>
        <v/>
      </c>
      <c r="J13" s="37">
        <f>'Input_Forecast'!$N$12</f>
        <v/>
      </c>
      <c r="K13" s="37">
        <f>'Input_Forecast'!$N$13</f>
        <v/>
      </c>
      <c r="L13" s="37">
        <f>'Input_Forecast'!$N$14</f>
        <v/>
      </c>
    </row>
    <row r="14">
      <c r="A14" s="14" t="inlineStr">
        <is>
          <t>Net working capital</t>
        </is>
      </c>
      <c r="B14" s="14" t="n"/>
      <c r="C14" s="37">
        <f>'Input_Forecast'!$R$5</f>
        <v/>
      </c>
      <c r="D14" s="37">
        <f>'Input_Forecast'!$R$6</f>
        <v/>
      </c>
      <c r="E14" s="37">
        <f>'Input_Forecast'!$R$7</f>
        <v/>
      </c>
      <c r="F14" s="37">
        <f>'Input_Forecast'!$R$8</f>
        <v/>
      </c>
      <c r="G14" s="37">
        <f>'Input_Forecast'!$R$9</f>
        <v/>
      </c>
      <c r="H14" s="37">
        <f>'Input_Forecast'!$R$10</f>
        <v/>
      </c>
      <c r="I14" s="37">
        <f>'Input_Forecast'!$R$11</f>
        <v/>
      </c>
      <c r="J14" s="37">
        <f>'Input_Forecast'!$R$12</f>
        <v/>
      </c>
      <c r="K14" s="37">
        <f>'Input_Forecast'!$R$13</f>
        <v/>
      </c>
      <c r="L14" s="37">
        <f>'Input_Forecast'!$R$14</f>
        <v/>
      </c>
    </row>
    <row r="15">
      <c r="A15" s="14" t="inlineStr">
        <is>
          <t>Delta NWC</t>
        </is>
      </c>
      <c r="B15" s="14" t="n"/>
      <c r="C15" s="37">
        <f>'Input_Forecast'!$S$5</f>
        <v/>
      </c>
      <c r="D15" s="37">
        <f>D14-C14</f>
        <v/>
      </c>
      <c r="E15" s="37">
        <f>E14-D14</f>
        <v/>
      </c>
      <c r="F15" s="37">
        <f>F14-E14</f>
        <v/>
      </c>
      <c r="G15" s="37">
        <f>G14-F14</f>
        <v/>
      </c>
      <c r="H15" s="37">
        <f>H14-G14</f>
        <v/>
      </c>
      <c r="I15" s="37">
        <f>I14-H14</f>
        <v/>
      </c>
      <c r="J15" s="37">
        <f>J14-I14</f>
        <v/>
      </c>
      <c r="K15" s="37">
        <f>K14-J14</f>
        <v/>
      </c>
      <c r="L15" s="37">
        <f>L14-K14</f>
        <v/>
      </c>
    </row>
    <row r="16">
      <c r="A16" s="13" t="inlineStr">
        <is>
          <t>FCFF (NOPAT+D&amp;A-Capex-dNWC)</t>
        </is>
      </c>
      <c r="B16" s="14" t="n"/>
      <c r="C16" s="37">
        <f>C11+C12-C13-C15</f>
        <v/>
      </c>
      <c r="D16" s="37">
        <f>D11+D12-D13-D15</f>
        <v/>
      </c>
      <c r="E16" s="37">
        <f>E11+E12-E13-E15</f>
        <v/>
      </c>
      <c r="F16" s="37">
        <f>F11+F12-F13-F15</f>
        <v/>
      </c>
      <c r="G16" s="37">
        <f>G11+G12-G13-G15</f>
        <v/>
      </c>
      <c r="H16" s="37">
        <f>H11+H12-H13-H15</f>
        <v/>
      </c>
      <c r="I16" s="37">
        <f>I11+I12-I13-I15</f>
        <v/>
      </c>
      <c r="J16" s="37">
        <f>J11+J12-J13-J15</f>
        <v/>
      </c>
      <c r="K16" s="37">
        <f>K11+K12-K13-K15</f>
        <v/>
      </c>
      <c r="L16" s="37">
        <f>L11+L12-L13-L15</f>
        <v/>
      </c>
    </row>
    <row r="17">
      <c r="A17" s="14" t="inlineStr">
        <is>
          <t>FCFF — backend (foot check)</t>
        </is>
      </c>
      <c r="B17" s="14" t="n"/>
      <c r="C17" s="37">
        <f>'Input_Forecast'!$T$5</f>
        <v/>
      </c>
      <c r="D17" s="37">
        <f>'Input_Forecast'!$T$6</f>
        <v/>
      </c>
      <c r="E17" s="37">
        <f>'Input_Forecast'!$T$7</f>
        <v/>
      </c>
      <c r="F17" s="37">
        <f>'Input_Forecast'!$T$8</f>
        <v/>
      </c>
      <c r="G17" s="37">
        <f>'Input_Forecast'!$T$9</f>
        <v/>
      </c>
      <c r="H17" s="37">
        <f>'Input_Forecast'!$T$10</f>
        <v/>
      </c>
      <c r="I17" s="37">
        <f>'Input_Forecast'!$T$11</f>
        <v/>
      </c>
      <c r="J17" s="37">
        <f>'Input_Forecast'!$T$12</f>
        <v/>
      </c>
      <c r="K17" s="37">
        <f>'Input_Forecast'!$T$13</f>
        <v/>
      </c>
      <c r="L17" s="37">
        <f>'Input_Forecast'!$T$14</f>
        <v/>
      </c>
    </row>
    <row r="18">
      <c r="A18" s="14" t="inlineStr">
        <is>
          <t>Discount factor</t>
        </is>
      </c>
      <c r="B18" s="14" t="n"/>
      <c r="C18" s="16">
        <f>POWER(1+'Assumptions'!$E$19,1)</f>
        <v/>
      </c>
      <c r="D18" s="16">
        <f>POWER(1+'Assumptions'!$E$19,2)</f>
        <v/>
      </c>
      <c r="E18" s="16">
        <f>POWER(1+'Assumptions'!$E$19,3)</f>
        <v/>
      </c>
      <c r="F18" s="16">
        <f>POWER(1+'Assumptions'!$E$19,4)</f>
        <v/>
      </c>
      <c r="G18" s="16">
        <f>POWER(1+'Assumptions'!$E$19,5)</f>
        <v/>
      </c>
      <c r="H18" s="16">
        <f>POWER(1+'Assumptions'!$E$19,6)</f>
        <v/>
      </c>
      <c r="I18" s="16">
        <f>POWER(1+'Assumptions'!$E$19,7)</f>
        <v/>
      </c>
      <c r="J18" s="16">
        <f>POWER(1+'Assumptions'!$E$19,8)</f>
        <v/>
      </c>
      <c r="K18" s="16">
        <f>POWER(1+'Assumptions'!$E$19,9)</f>
        <v/>
      </c>
      <c r="L18" s="16">
        <f>POWER(1+'Assumptions'!$E$19,10)</f>
        <v/>
      </c>
    </row>
    <row r="19">
      <c r="A19" s="13" t="inlineStr">
        <is>
          <t>PV of FCFF</t>
        </is>
      </c>
      <c r="B19" s="14" t="n"/>
      <c r="C19" s="37">
        <f>C16/C18</f>
        <v/>
      </c>
      <c r="D19" s="37">
        <f>D16/D18</f>
        <v/>
      </c>
      <c r="E19" s="37">
        <f>E16/E18</f>
        <v/>
      </c>
      <c r="F19" s="37">
        <f>F16/F18</f>
        <v/>
      </c>
      <c r="G19" s="37">
        <f>G16/G18</f>
        <v/>
      </c>
      <c r="H19" s="37">
        <f>H16/H18</f>
        <v/>
      </c>
      <c r="I19" s="37">
        <f>I16/I18</f>
        <v/>
      </c>
      <c r="J19" s="37">
        <f>J16/J18</f>
        <v/>
      </c>
      <c r="K19" s="37">
        <f>K16/K18</f>
        <v/>
      </c>
      <c r="L19" s="37">
        <f>L16/L18</f>
        <v/>
      </c>
    </row>
    <row r="20">
      <c r="A20" s="14" t="inlineStr">
        <is>
          <t>EBITDA</t>
        </is>
      </c>
      <c r="B20" s="14" t="n"/>
      <c r="C20" s="37">
        <f>C9+C12</f>
        <v/>
      </c>
      <c r="D20" s="37">
        <f>D9+D12</f>
        <v/>
      </c>
      <c r="E20" s="37">
        <f>E9+E12</f>
        <v/>
      </c>
      <c r="F20" s="37">
        <f>F9+F12</f>
        <v/>
      </c>
      <c r="G20" s="37">
        <f>G9+G12</f>
        <v/>
      </c>
      <c r="H20" s="37">
        <f>H9+H12</f>
        <v/>
      </c>
      <c r="I20" s="37">
        <f>I9+I12</f>
        <v/>
      </c>
      <c r="J20" s="37">
        <f>J9+J12</f>
        <v/>
      </c>
      <c r="K20" s="37">
        <f>K9+K12</f>
        <v/>
      </c>
      <c r="L20" s="37">
        <f>L9+L12</f>
        <v/>
      </c>
    </row>
    <row r="21">
      <c r="A21" s="14" t="n"/>
      <c r="B21" s="14" t="n"/>
      <c r="C21" s="14" t="n"/>
      <c r="D21" s="14" t="n"/>
      <c r="E21" s="14" t="n"/>
      <c r="F21" s="14" t="n"/>
      <c r="G21" s="14" t="n"/>
      <c r="H21" s="14" t="n"/>
      <c r="I21" s="14" t="n"/>
      <c r="J21" s="14" t="n"/>
      <c r="K21" s="14" t="n"/>
      <c r="L21" s="14" t="n"/>
    </row>
    <row r="22">
      <c r="A22" s="38" t="inlineStr">
        <is>
          <t>Terminal value &amp; equity bridge</t>
        </is>
      </c>
      <c r="B22" s="39" t="n"/>
      <c r="C22" s="39" t="n"/>
      <c r="D22" s="39" t="n"/>
      <c r="E22" s="14" t="n"/>
      <c r="F22" s="14" t="n"/>
      <c r="G22" s="14" t="n"/>
      <c r="H22" s="14" t="n"/>
      <c r="I22" s="14" t="n"/>
      <c r="J22" s="14" t="n"/>
      <c r="K22" s="14" t="n"/>
      <c r="L22" s="14" t="n"/>
    </row>
    <row r="23">
      <c r="A23" s="14" t="inlineStr">
        <is>
          <t>Terminal revenue (Y+1)</t>
        </is>
      </c>
      <c r="B23" s="37">
        <f>L6*(1+'Assumptions'!$E$18)</f>
        <v/>
      </c>
      <c r="C23" s="14" t="n"/>
      <c r="D23" s="14" t="n"/>
      <c r="E23" s="14" t="n"/>
      <c r="F23" s="14" t="n"/>
      <c r="G23" s="14" t="n"/>
      <c r="H23" s="14" t="n"/>
      <c r="I23" s="14" t="n"/>
      <c r="J23" s="14" t="n"/>
      <c r="K23" s="14" t="n"/>
      <c r="L23" s="14" t="n"/>
    </row>
    <row r="24">
      <c r="A24" s="14" t="inlineStr">
        <is>
          <t>Terminal EBIT</t>
        </is>
      </c>
      <c r="B24" s="37">
        <f>B23*L8</f>
        <v/>
      </c>
      <c r="C24" s="14" t="n"/>
      <c r="D24" s="14" t="n"/>
      <c r="E24" s="14" t="n"/>
      <c r="F24" s="14" t="n"/>
      <c r="G24" s="14" t="n"/>
      <c r="H24" s="14" t="n"/>
      <c r="I24" s="14" t="n"/>
      <c r="J24" s="14" t="n"/>
      <c r="K24" s="14" t="n"/>
      <c r="L24" s="14" t="n"/>
    </row>
    <row r="25">
      <c r="A25" s="14" t="inlineStr">
        <is>
          <t>Terminal NOPAT</t>
        </is>
      </c>
      <c r="B25" s="37">
        <f>B24*(1-L10)</f>
        <v/>
      </c>
      <c r="C25" s="14" t="n"/>
      <c r="D25" s="14" t="n"/>
      <c r="E25" s="14" t="n"/>
      <c r="F25" s="14" t="n"/>
      <c r="G25" s="14" t="n"/>
      <c r="H25" s="14" t="n"/>
      <c r="I25" s="14" t="n"/>
      <c r="J25" s="14" t="n"/>
      <c r="K25" s="14" t="n"/>
      <c r="L25" s="14" t="n"/>
    </row>
    <row r="26">
      <c r="A26" s="14" t="inlineStr">
        <is>
          <t>Terminal reinvestment rate (g/RONIC)</t>
        </is>
      </c>
      <c r="B26" s="15">
        <f>'Assumptions'!$E$18/'Assumptions'!$E$30</f>
        <v/>
      </c>
      <c r="C26" s="14" t="n"/>
      <c r="D26" s="14" t="n"/>
      <c r="E26" s="14" t="n"/>
      <c r="F26" s="14" t="n"/>
      <c r="G26" s="14" t="n"/>
      <c r="H26" s="14" t="n"/>
      <c r="I26" s="14" t="n"/>
      <c r="J26" s="14" t="n"/>
      <c r="K26" s="14" t="n"/>
      <c r="L26" s="14" t="n"/>
    </row>
    <row r="27">
      <c r="A27" s="14" t="inlineStr">
        <is>
          <t>Terminal FCFF (value-driver)</t>
        </is>
      </c>
      <c r="B27" s="37">
        <f>B25*(1-B26)</f>
        <v/>
      </c>
      <c r="C27" s="14" t="n"/>
      <c r="D27" s="14" t="n"/>
      <c r="E27" s="14" t="n"/>
      <c r="F27" s="14" t="n"/>
      <c r="G27" s="14" t="n"/>
      <c r="H27" s="14" t="n"/>
      <c r="I27" s="14" t="n"/>
      <c r="J27" s="14" t="n"/>
      <c r="K27" s="14" t="n"/>
      <c r="L27" s="14" t="n"/>
    </row>
    <row r="28">
      <c r="A28" s="14" t="inlineStr">
        <is>
          <t>Gordon terminal value</t>
        </is>
      </c>
      <c r="B28" s="37">
        <f>IF('Assumptions'!$E$19&lt;='Assumptions'!$E$18,NA(),B27/('Assumptions'!$E$19-'Assumptions'!$E$18))</f>
        <v/>
      </c>
      <c r="C28" s="14" t="n"/>
      <c r="D28" s="14" t="n"/>
      <c r="E28" s="14" t="n"/>
      <c r="F28" s="14" t="n"/>
      <c r="G28" s="14" t="n"/>
      <c r="H28" s="14" t="n"/>
      <c r="I28" s="14" t="n"/>
      <c r="J28" s="14" t="n"/>
      <c r="K28" s="14" t="n"/>
      <c r="L28" s="14" t="n"/>
    </row>
    <row r="29">
      <c r="A29" s="14" t="inlineStr">
        <is>
          <t>Exit terminal value</t>
        </is>
      </c>
      <c r="B29" s="37">
        <f>IF('Assumptions'!$E$29="ev_ebit",L9,L20)*'Assumptions'!$E$28</f>
        <v/>
      </c>
      <c r="C29" s="14" t="n"/>
      <c r="D29" s="14" t="n"/>
      <c r="E29" s="14" t="n"/>
      <c r="F29" s="14" t="n"/>
      <c r="G29" s="14" t="n"/>
      <c r="H29" s="14" t="n"/>
      <c r="I29" s="14" t="n"/>
      <c r="J29" s="14" t="n"/>
      <c r="K29" s="14" t="n"/>
      <c r="L29" s="14" t="n"/>
    </row>
    <row r="30">
      <c r="A30" s="14" t="inlineStr">
        <is>
          <t>PV of Gordon TV</t>
        </is>
      </c>
      <c r="B30" s="37">
        <f>B28/POWER(1+'Assumptions'!$E$19,10)</f>
        <v/>
      </c>
      <c r="C30" s="14" t="n"/>
      <c r="D30" s="14" t="n"/>
      <c r="E30" s="14" t="n"/>
      <c r="F30" s="14" t="n"/>
      <c r="G30" s="14" t="n"/>
      <c r="H30" s="14" t="n"/>
      <c r="I30" s="14" t="n"/>
      <c r="J30" s="14" t="n"/>
      <c r="K30" s="14" t="n"/>
      <c r="L30" s="14" t="n"/>
    </row>
    <row r="31">
      <c r="A31" s="14" t="inlineStr">
        <is>
          <t>PV of exit TV</t>
        </is>
      </c>
      <c r="B31" s="37">
        <f>B29/POWER(1+'Assumptions'!$E$19,10)</f>
        <v/>
      </c>
      <c r="C31" s="14" t="n"/>
      <c r="D31" s="14" t="n"/>
      <c r="E31" s="14" t="n"/>
      <c r="F31" s="14" t="n"/>
      <c r="G31" s="14" t="n"/>
      <c r="H31" s="14" t="n"/>
      <c r="I31" s="14" t="n"/>
      <c r="J31" s="14" t="n"/>
      <c r="K31" s="14" t="n"/>
      <c r="L31" s="14" t="n"/>
    </row>
    <row r="32">
      <c r="A32" s="14" t="inlineStr">
        <is>
          <t>PV of blended TV</t>
        </is>
      </c>
      <c r="B32" s="37">
        <f>'Assumptions'!$E$31*B30+'Assumptions'!$E$32*B31</f>
        <v/>
      </c>
      <c r="C32" s="14" t="n"/>
      <c r="D32" s="14" t="n"/>
      <c r="E32" s="14" t="n"/>
      <c r="F32" s="14" t="n"/>
      <c r="G32" s="14" t="n"/>
      <c r="H32" s="14" t="n"/>
      <c r="I32" s="14" t="n"/>
      <c r="J32" s="14" t="n"/>
      <c r="K32" s="14" t="n"/>
      <c r="L32" s="14" t="n"/>
    </row>
    <row r="33">
      <c r="A33" s="14" t="inlineStr">
        <is>
          <t>PV of explicit FCFF</t>
        </is>
      </c>
      <c r="B33" s="37">
        <f>SUM(C19:L19)</f>
        <v/>
      </c>
      <c r="C33" s="14" t="n"/>
      <c r="D33" s="14" t="n"/>
      <c r="E33" s="14" t="n"/>
      <c r="F33" s="14" t="n"/>
      <c r="G33" s="14" t="n"/>
      <c r="H33" s="14" t="n"/>
      <c r="I33" s="14" t="n"/>
      <c r="J33" s="14" t="n"/>
      <c r="K33" s="14" t="n"/>
      <c r="L33" s="14" t="n"/>
    </row>
    <row r="34">
      <c r="A34" s="13" t="inlineStr">
        <is>
          <t>Enterprise value — operations</t>
        </is>
      </c>
      <c r="B34" s="27">
        <f>B33+B32</f>
        <v/>
      </c>
      <c r="C34" s="14" t="n"/>
      <c r="D34" s="14" t="n"/>
      <c r="E34" s="14" t="n"/>
      <c r="F34" s="14" t="n"/>
      <c r="G34" s="14" t="n"/>
      <c r="H34" s="14" t="n"/>
      <c r="I34" s="14" t="n"/>
      <c r="J34" s="14" t="n"/>
      <c r="K34" s="14" t="n"/>
      <c r="L34" s="14" t="n"/>
    </row>
    <row r="35">
      <c r="A35" s="14" t="inlineStr">
        <is>
          <t>Terminal value % of EV</t>
        </is>
      </c>
      <c r="B35" s="15">
        <f>B32/B34</f>
        <v/>
      </c>
      <c r="C35" s="14" t="n"/>
      <c r="D35" s="14" t="n"/>
      <c r="E35" s="14" t="n"/>
      <c r="F35" s="14" t="n"/>
      <c r="G35" s="14" t="n"/>
      <c r="H35" s="14" t="n"/>
      <c r="I35" s="14" t="n"/>
      <c r="J35" s="14" t="n"/>
      <c r="K35" s="14" t="n"/>
      <c r="L35" s="14" t="n"/>
    </row>
    <row r="36">
      <c r="A36" s="14" t="inlineStr">
        <is>
          <t>Non-operating assets</t>
        </is>
      </c>
      <c r="B36" s="37">
        <f>'Assumptions'!$E$9</f>
        <v/>
      </c>
      <c r="C36" s="14" t="n"/>
      <c r="D36" s="14" t="n"/>
      <c r="E36" s="14" t="n"/>
      <c r="F36" s="14" t="n"/>
      <c r="G36" s="14" t="n"/>
      <c r="H36" s="14" t="n"/>
      <c r="I36" s="14" t="n"/>
      <c r="J36" s="14" t="n"/>
      <c r="K36" s="14" t="n"/>
      <c r="L36" s="14" t="n"/>
    </row>
    <row r="37">
      <c r="A37" s="14" t="inlineStr">
        <is>
          <t>Non-equity claims</t>
        </is>
      </c>
      <c r="B37" s="37">
        <f>'Assumptions'!$E$8+'Assumptions'!$E$10+'Assumptions'!$E$11+'Assumptions'!$E$12+'Assumptions'!$E$13+'Assumptions'!$E$14+'Assumptions'!$E$15</f>
        <v/>
      </c>
      <c r="C37" s="14" t="n"/>
      <c r="D37" s="14" t="n"/>
      <c r="E37" s="14" t="n"/>
      <c r="F37" s="14" t="n"/>
      <c r="G37" s="14" t="n"/>
      <c r="H37" s="14" t="n"/>
      <c r="I37" s="14" t="n"/>
      <c r="J37" s="14" t="n"/>
      <c r="K37" s="14" t="n"/>
      <c r="L37" s="14" t="n"/>
    </row>
    <row r="38">
      <c r="A38" s="13" t="inlineStr">
        <is>
          <t>Equity value</t>
        </is>
      </c>
      <c r="B38" s="27">
        <f>B34+B36-B37</f>
        <v/>
      </c>
      <c r="C38" s="14" t="n"/>
      <c r="D38" s="14" t="n"/>
      <c r="E38" s="14" t="n"/>
      <c r="F38" s="14" t="n"/>
      <c r="G38" s="14" t="n"/>
      <c r="H38" s="14" t="n"/>
      <c r="I38" s="14" t="n"/>
      <c r="J38" s="14" t="n"/>
      <c r="K38" s="14" t="n"/>
      <c r="L38" s="14" t="n"/>
    </row>
    <row r="39">
      <c r="A39" s="14" t="inlineStr">
        <is>
          <t>Diluted terminal shares</t>
        </is>
      </c>
      <c r="B39" s="37">
        <f>'Assumptions'!$E$6*POWER(1+'Assumptions'!$E$7,10)</f>
        <v/>
      </c>
      <c r="C39" s="14" t="n"/>
      <c r="D39" s="14" t="n"/>
      <c r="E39" s="14" t="n"/>
      <c r="F39" s="14" t="n"/>
      <c r="G39" s="14" t="n"/>
      <c r="H39" s="14" t="n"/>
      <c r="I39" s="14" t="n"/>
      <c r="J39" s="14" t="n"/>
      <c r="K39" s="14" t="n"/>
      <c r="L39" s="14" t="n"/>
    </row>
    <row r="40">
      <c r="A40" s="13" t="inlineStr">
        <is>
          <t>Intrinsic value / share</t>
        </is>
      </c>
      <c r="B40" s="41">
        <f>B38/B39</f>
        <v/>
      </c>
      <c r="C40" s="14" t="n"/>
      <c r="D40" s="14" t="n"/>
      <c r="E40" s="14" t="n"/>
      <c r="F40" s="14" t="n"/>
      <c r="G40" s="14" t="n"/>
      <c r="H40" s="14" t="n"/>
      <c r="I40" s="14" t="n"/>
      <c r="J40" s="14" t="n"/>
      <c r="K40" s="14" t="n"/>
      <c r="L40" s="14" t="n"/>
    </row>
    <row r="41">
      <c r="A41" s="14" t="inlineStr">
        <is>
          <t>IV / share — Gordon only</t>
        </is>
      </c>
      <c r="B41" s="42">
        <f>(B33+B30+B36-B37)/B39</f>
        <v/>
      </c>
      <c r="C41" s="14" t="n"/>
      <c r="D41" s="14" t="n"/>
      <c r="E41" s="14" t="n"/>
      <c r="F41" s="14" t="n"/>
      <c r="G41" s="14" t="n"/>
      <c r="H41" s="14" t="n"/>
      <c r="I41" s="14" t="n"/>
      <c r="J41" s="14" t="n"/>
      <c r="K41" s="14" t="n"/>
      <c r="L41" s="14" t="n"/>
    </row>
    <row r="42">
      <c r="A42" s="14" t="inlineStr">
        <is>
          <t>IV / share — exit only</t>
        </is>
      </c>
      <c r="B42" s="42">
        <f>(B33+B31+B36-B37)/B39</f>
        <v/>
      </c>
      <c r="C42" s="14" t="n"/>
      <c r="D42" s="14" t="n"/>
      <c r="E42" s="14" t="n"/>
      <c r="F42" s="14" t="n"/>
      <c r="G42" s="14" t="n"/>
      <c r="H42" s="14" t="n"/>
      <c r="I42" s="14" t="n"/>
      <c r="J42" s="14" t="n"/>
      <c r="K42" s="14" t="n"/>
      <c r="L42" s="14" t="n"/>
    </row>
    <row r="43">
      <c r="A43" s="13" t="inlineStr">
        <is>
          <t>Upside / downside vs price</t>
        </is>
      </c>
      <c r="B43" s="32">
        <f>B40/'Assumptions'!$E$5-1</f>
        <v/>
      </c>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3" t="inlineStr">
        <is>
          <t>Reconciliation gap vs backend Base IV</t>
        </is>
      </c>
      <c r="B45" s="42">
        <f>B40-'Assumptions'!$E$36</f>
        <v/>
      </c>
      <c r="C45" s="14">
        <f>IF(ABS(B45)&lt;=0.1,"RECONCILED","CHECK")</f>
        <v/>
      </c>
      <c r="D45" s="14" t="n"/>
      <c r="E45" s="14" t="n"/>
      <c r="F45" s="14" t="n"/>
      <c r="G45" s="14" t="n"/>
      <c r="H45" s="14" t="n"/>
      <c r="I45" s="14" t="n"/>
      <c r="J45" s="14" t="n"/>
      <c r="K45" s="14" t="n"/>
      <c r="L45" s="14"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11" customWidth="1" min="6" max="6"/>
    <col width="12" customWidth="1" min="7" max="7"/>
    <col width="8"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5" t="n">
        <v>0.2</v>
      </c>
      <c r="C6" s="16" t="n">
        <v>0.8</v>
      </c>
      <c r="D6" s="15" t="n">
        <v>-0.02</v>
      </c>
      <c r="E6" s="15" t="n">
        <v>0.01</v>
      </c>
      <c r="F6" s="16" t="n">
        <v>0.9</v>
      </c>
      <c r="G6" s="42" t="n">
        <v>120.55</v>
      </c>
      <c r="H6" s="15" t="n">
        <v>-0.442</v>
      </c>
      <c r="I6" s="14" t="n"/>
    </row>
    <row r="7">
      <c r="A7" s="13" t="inlineStr">
        <is>
          <t>base</t>
        </is>
      </c>
      <c r="B7" s="15" t="n">
        <v>0.6</v>
      </c>
      <c r="C7" s="16" t="n">
        <v>1</v>
      </c>
      <c r="D7" s="15" t="n">
        <v>0</v>
      </c>
      <c r="E7" s="15" t="n">
        <v>0</v>
      </c>
      <c r="F7" s="16" t="n">
        <v>1</v>
      </c>
      <c r="G7" s="42" t="n">
        <v>179.38</v>
      </c>
      <c r="H7" s="15" t="n">
        <v>-0.17</v>
      </c>
      <c r="I7" s="14" t="n"/>
    </row>
    <row r="8">
      <c r="A8" s="13" t="inlineStr">
        <is>
          <t>bull</t>
        </is>
      </c>
      <c r="B8" s="15" t="n">
        <v>0.2</v>
      </c>
      <c r="C8" s="16" t="n">
        <v>1.2</v>
      </c>
      <c r="D8" s="15" t="n">
        <v>0.02</v>
      </c>
      <c r="E8" s="15" t="n">
        <v>-0.01</v>
      </c>
      <c r="F8" s="16" t="n">
        <v>1.1</v>
      </c>
      <c r="G8" s="42" t="n">
        <v>272.01</v>
      </c>
      <c r="H8" s="15" t="n">
        <v>0.258</v>
      </c>
      <c r="I8" s="14" t="n"/>
    </row>
    <row r="9">
      <c r="A9" s="13" t="inlineStr">
        <is>
          <t>Expected (prob-weighted)</t>
        </is>
      </c>
      <c r="B9" s="14" t="n"/>
      <c r="C9" s="14" t="n"/>
      <c r="D9" s="14" t="n"/>
      <c r="E9" s="14" t="n"/>
      <c r="F9" s="14" t="n"/>
      <c r="G9" s="41" t="n">
        <v>186.14</v>
      </c>
      <c r="H9" s="15" t="n">
        <v>-0.139</v>
      </c>
      <c r="I9" s="14"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4" t="n"/>
      <c r="H12" s="14" t="n"/>
      <c r="I12" s="14" t="n"/>
    </row>
    <row r="13">
      <c r="A13" s="13" t="inlineStr">
        <is>
          <t>bear</t>
        </is>
      </c>
      <c r="B13" s="15" t="n">
        <v>0.1</v>
      </c>
      <c r="C13" s="16" t="n">
        <v>0.92</v>
      </c>
      <c r="D13" s="15" t="n">
        <v>-0.0161</v>
      </c>
      <c r="E13" s="15" t="n">
        <v>0.008500000000000001</v>
      </c>
      <c r="F13" s="16" t="n">
        <v>0.915</v>
      </c>
      <c r="G13" s="14" t="n"/>
      <c r="H13" s="14" t="n"/>
      <c r="I13" s="14" t="n"/>
    </row>
    <row r="14">
      <c r="A14" s="13" t="inlineStr">
        <is>
          <t>base</t>
        </is>
      </c>
      <c r="B14" s="15" t="n">
        <v>0.55</v>
      </c>
      <c r="C14" s="16" t="n">
        <v>1</v>
      </c>
      <c r="D14" s="15" t="n">
        <v>0</v>
      </c>
      <c r="E14" s="15" t="n">
        <v>0</v>
      </c>
      <c r="F14" s="16" t="n">
        <v>1</v>
      </c>
      <c r="G14" s="14" t="n"/>
      <c r="H14" s="14" t="n"/>
      <c r="I14" s="14" t="n"/>
    </row>
    <row r="15">
      <c r="A15" s="13" t="inlineStr">
        <is>
          <t>bull</t>
        </is>
      </c>
      <c r="B15" s="15" t="n">
        <v>0.35</v>
      </c>
      <c r="C15" s="16" t="n">
        <v>1.26</v>
      </c>
      <c r="D15" s="15" t="n">
        <v>0.0179</v>
      </c>
      <c r="E15" s="15" t="n">
        <v>-0.008500000000000001</v>
      </c>
      <c r="F15" s="16" t="n">
        <v>1.175</v>
      </c>
      <c r="G15" s="14" t="n"/>
      <c r="H15" s="14" t="n"/>
      <c r="I15" s="14" t="n"/>
    </row>
    <row r="16">
      <c r="A16" s="13" t="inlineStr">
        <is>
          <t>Context expected IV</t>
        </is>
      </c>
      <c r="B16" s="41" t="n">
        <v>212.99</v>
      </c>
      <c r="C16" s="14" t="n"/>
      <c r="D16" s="14" t="n"/>
      <c r="E16" s="14" t="n"/>
      <c r="F16" s="14" t="n"/>
      <c r="G16" s="14" t="n"/>
      <c r="H16" s="14" t="n"/>
      <c r="I16" s="14"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2" t="n">
        <v>120.55</v>
      </c>
      <c r="C5" s="42" t="n">
        <v>179.38</v>
      </c>
      <c r="D5" s="42" t="n">
        <v>272.01</v>
      </c>
      <c r="E5" s="14" t="inlineStr">
        <is>
          <t>Bear / Base / Bull</t>
        </is>
      </c>
    </row>
    <row r="6">
      <c r="A6" s="13" t="inlineStr">
        <is>
          <t>DCF — terminal method (this wb)</t>
        </is>
      </c>
      <c r="B6" s="42">
        <f>'DCF_Base'!$B$42</f>
        <v/>
      </c>
      <c r="C6" s="42">
        <f>'DCF_Base'!$B$40</f>
        <v/>
      </c>
      <c r="D6" s="42">
        <f>'DCF_Base'!$B$41</f>
        <v/>
      </c>
      <c r="E6" s="14" t="inlineStr">
        <is>
          <t>Exit / Blended / Gordon (rebuilt)</t>
        </is>
      </c>
    </row>
    <row r="7">
      <c r="A7" s="13" t="inlineStr">
        <is>
          <t>Economic profit (EP) IV</t>
        </is>
      </c>
      <c r="B7" s="42" t="inlineStr"/>
      <c r="C7" s="42" t="n">
        <v>100.04</v>
      </c>
      <c r="D7" s="42" t="inlineStr"/>
      <c r="E7" s="14" t="inlineStr">
        <is>
          <t>Invested capital + PV economic profit</t>
        </is>
      </c>
    </row>
    <row r="8">
      <c r="A8" s="13" t="inlineStr">
        <is>
          <t>FCFE IV</t>
        </is>
      </c>
      <c r="B8" s="42" t="inlineStr"/>
      <c r="C8" s="42" t="n">
        <v>133.63</v>
      </c>
      <c r="D8" s="42" t="inlineStr"/>
      <c r="E8" s="14" t="inlineStr">
        <is>
          <t>Direct-to-equity cross-check</t>
        </is>
      </c>
    </row>
    <row r="9">
      <c r="A9" s="13" t="inlineStr">
        <is>
          <t>Comps</t>
        </is>
      </c>
      <c r="B9" s="42" t="inlineStr"/>
      <c r="C9" s="42" t="inlineStr"/>
      <c r="D9" s="42" t="inlineStr"/>
      <c r="E9" s="14" t="inlineStr">
        <is>
          <t>EV/EBITDA / blended / P/E</t>
        </is>
      </c>
    </row>
    <row r="10">
      <c r="A10" s="13" t="inlineStr">
        <is>
          <t>Market / street</t>
        </is>
      </c>
      <c r="B10" s="42" t="n">
        <v>216.23</v>
      </c>
      <c r="C10" s="42" t="n">
        <v>279.10516</v>
      </c>
      <c r="D10" s="42" t="inlineStr"/>
      <c r="E10" s="14" t="inlineStr">
        <is>
          <t>Current price / analyst target</t>
        </is>
      </c>
    </row>
    <row r="11"/>
    <row r="12">
      <c r="A12" s="5" t="inlineStr">
        <is>
          <t>Implied growth priced in</t>
        </is>
      </c>
      <c r="B12" s="7" t="n">
        <v>0.159</v>
      </c>
    </row>
    <row r="13">
      <c r="A13" s="5" t="inlineStr">
        <is>
          <t>DCF vs EP gap</t>
        </is>
      </c>
      <c r="B13" s="7" t="n">
        <v>-0.4306</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8" t="inlineStr">
        <is>
          <t>IV/share: WACC (cols) vs terminal growth (rows) — Gordon path</t>
        </is>
      </c>
      <c r="B4" s="39" t="n"/>
      <c r="C4" s="39" t="n"/>
      <c r="D4" s="39" t="n"/>
      <c r="E4" s="39" t="n"/>
      <c r="F4" s="39" t="n"/>
      <c r="G4" s="39" t="n"/>
      <c r="H4" s="39" t="n"/>
    </row>
    <row r="5">
      <c r="A5" s="14" t="inlineStr">
        <is>
          <t>g \ WACC</t>
        </is>
      </c>
      <c r="B5" s="15">
        <f>'Assumptions'!$E$19+-0.01</f>
        <v/>
      </c>
      <c r="C5" s="15">
        <f>'Assumptions'!$E$19+-0.005</f>
        <v/>
      </c>
      <c r="D5" s="15">
        <f>'Assumptions'!$E$19+0.0</f>
        <v/>
      </c>
      <c r="E5" s="15">
        <f>'Assumptions'!$E$19+0.005</f>
        <v/>
      </c>
      <c r="F5" s="15">
        <f>'Assumptions'!$E$19+0.01</f>
        <v/>
      </c>
      <c r="G5" s="14" t="n"/>
      <c r="H5" s="14" t="n"/>
    </row>
    <row r="6">
      <c r="A6" s="15">
        <f>'Assumptions'!$E$18+-0.01</f>
        <v/>
      </c>
      <c r="B6" s="42">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2">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2">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2">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2">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4" t="n"/>
      <c r="H6" s="14" t="n"/>
    </row>
    <row r="7">
      <c r="A7" s="15">
        <f>'Assumptions'!$E$18+-0.005</f>
        <v/>
      </c>
      <c r="B7" s="42">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2">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2">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2">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2">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4" t="n"/>
      <c r="H7" s="14" t="n"/>
    </row>
    <row r="8">
      <c r="A8" s="15">
        <f>'Assumptions'!$E$18+0.0</f>
        <v/>
      </c>
      <c r="B8" s="42">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2">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2">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2">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2">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4" t="n"/>
      <c r="H8" s="14" t="n"/>
    </row>
    <row r="9">
      <c r="A9" s="15">
        <f>'Assumptions'!$E$18+0.005</f>
        <v/>
      </c>
      <c r="B9" s="42">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2">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2">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2">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2">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4" t="n"/>
      <c r="H9" s="14" t="n"/>
    </row>
    <row r="10">
      <c r="A10" s="15">
        <f>'Assumptions'!$E$18+0.01</f>
        <v/>
      </c>
      <c r="B10" s="42">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2">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2">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2">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2">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38" t="inlineStr">
        <is>
          <t>IV/share: WACC (cols) vs exit multiple (rows) — exit path</t>
        </is>
      </c>
      <c r="B13" s="39" t="n"/>
      <c r="C13" s="39" t="n"/>
      <c r="D13" s="39" t="n"/>
      <c r="E13" s="39" t="n"/>
      <c r="F13" s="39" t="n"/>
      <c r="G13" s="39" t="n"/>
      <c r="H13" s="39" t="n"/>
    </row>
    <row r="14">
      <c r="A14" s="14" t="inlineStr">
        <is>
          <t>Exit \ WACC</t>
        </is>
      </c>
      <c r="B14" s="15">
        <f>'Assumptions'!$E$19+-0.01</f>
        <v/>
      </c>
      <c r="C14" s="15">
        <f>'Assumptions'!$E$19+-0.005</f>
        <v/>
      </c>
      <c r="D14" s="15">
        <f>'Assumptions'!$E$19+0.0</f>
        <v/>
      </c>
      <c r="E14" s="15">
        <f>'Assumptions'!$E$19+0.005</f>
        <v/>
      </c>
      <c r="F14" s="15">
        <f>'Assumptions'!$E$19+0.01</f>
        <v/>
      </c>
      <c r="G14" s="14" t="n"/>
      <c r="H14" s="14" t="n"/>
    </row>
    <row r="15">
      <c r="A15" s="16">
        <f>'Assumptions'!$E$28+-2</f>
        <v/>
      </c>
      <c r="B15" s="42">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2">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2">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2">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2">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4" t="n"/>
      <c r="H15" s="14" t="n"/>
    </row>
    <row r="16">
      <c r="A16" s="16">
        <f>'Assumptions'!$E$28+-1</f>
        <v/>
      </c>
      <c r="B16" s="42">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2">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2">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2">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2">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4" t="n"/>
      <c r="H16" s="14" t="n"/>
    </row>
    <row r="17">
      <c r="A17" s="16">
        <f>'Assumptions'!$E$28+0</f>
        <v/>
      </c>
      <c r="B17" s="42">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2">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2">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2">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2">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4" t="n"/>
      <c r="H17" s="14" t="n"/>
    </row>
    <row r="18">
      <c r="A18" s="16">
        <f>'Assumptions'!$E$28+1</f>
        <v/>
      </c>
      <c r="B18" s="42">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2">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2">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2">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2">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4" t="n"/>
      <c r="H18" s="14" t="n"/>
    </row>
    <row r="19">
      <c r="A19" s="16">
        <f>'Assumptions'!$E$28+2</f>
        <v/>
      </c>
      <c r="B19" s="42">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2">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2">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2">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2">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4" t="n"/>
      <c r="H19" s="14" t="n"/>
    </row>
    <row r="20">
      <c r="A20" s="14" t="n"/>
      <c r="B20" s="14" t="n"/>
      <c r="C20" s="14" t="n"/>
      <c r="D20" s="14" t="n"/>
      <c r="E20" s="14" t="n"/>
      <c r="F20" s="14" t="n"/>
      <c r="G20" s="14" t="n"/>
      <c r="H20" s="14" t="n"/>
    </row>
    <row r="21">
      <c r="A21" s="13" t="inlineStr">
        <is>
          <t>Backend Base IV</t>
        </is>
      </c>
      <c r="B21" s="42">
        <f>'Assumptions'!$E$36</f>
        <v/>
      </c>
      <c r="C21" s="14" t="n"/>
      <c r="D21" s="14" t="n"/>
      <c r="E21" s="14" t="n"/>
      <c r="F21" s="14" t="n"/>
      <c r="G21" s="14" t="n"/>
      <c r="H21" s="14"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4" t="inlineStr">
        <is>
          <t>Reconciles to backend Base IV</t>
        </is>
      </c>
      <c r="B5" s="42">
        <f>'DCF_Base'!$B$40-'Assumptions'!$E$36</f>
        <v/>
      </c>
      <c r="C5" s="14">
        <f>IF(ABS(B5)&lt;=0.1,"OK","FAIL")</f>
        <v/>
      </c>
      <c r="D5" s="14" t="inlineStr">
        <is>
          <t>Rebuilt Base IV must equal backend iv_base</t>
        </is>
      </c>
    </row>
    <row r="6">
      <c r="A6" s="14" t="inlineStr">
        <is>
          <t>WACC greater than terminal growth</t>
        </is>
      </c>
      <c r="B6" s="15">
        <f>'Assumptions'!$E$19-'Assumptions'!$E$18</f>
        <v/>
      </c>
      <c r="C6" s="14">
        <f>IF(B6&gt;0,"OK","FAIL")</f>
        <v/>
      </c>
      <c r="D6" s="14" t="inlineStr">
        <is>
          <t>Gordon invalid if WACC &lt;= g</t>
        </is>
      </c>
    </row>
    <row r="7">
      <c r="A7" s="14" t="inlineStr">
        <is>
          <t>RONIC greater than terminal growth</t>
        </is>
      </c>
      <c r="B7" s="15">
        <f>'Assumptions'!$E$30-'Assumptions'!$E$18</f>
        <v/>
      </c>
      <c r="C7" s="14">
        <f>IF(B7&gt;0,"OK","FAIL")</f>
        <v/>
      </c>
      <c r="D7" s="14" t="inlineStr">
        <is>
          <t>Value-driver TV requires RONIC &gt; g</t>
        </is>
      </c>
    </row>
    <row r="8">
      <c r="A8" s="14" t="inlineStr">
        <is>
          <t>Terminal value share of EV</t>
        </is>
      </c>
      <c r="B8" s="15">
        <f>'DCF_Base'!$B$35</f>
        <v/>
      </c>
      <c r="C8" s="14">
        <f>IF(AND(B8&gt;=0.4,B8&lt;=0.85),"OK","REVIEW")</f>
        <v/>
      </c>
      <c r="D8" s="14" t="inlineStr">
        <is>
          <t>Outside 40-85% deserves a look</t>
        </is>
      </c>
    </row>
    <row r="9">
      <c r="A9" s="14" t="inlineStr">
        <is>
          <t>Scenario probabilities sum to 100%</t>
        </is>
      </c>
      <c r="B9" s="15">
        <f>'Assumptions'!$E$33+'Assumptions'!$E$34+'Assumptions'!$E$35</f>
        <v/>
      </c>
      <c r="C9" s="14">
        <f>IF(ABS(B9-1)&lt;0.001,"OK","FAIL")</f>
        <v/>
      </c>
      <c r="D9" s="14" t="inlineStr">
        <is>
          <t>Edit probabilities in Assumptions</t>
        </is>
      </c>
    </row>
    <row r="10">
      <c r="A10" s="14" t="inlineStr">
        <is>
          <t>Exit metric present</t>
        </is>
      </c>
      <c r="B10" s="14">
        <f>'Assumptions'!$E$29</f>
        <v/>
      </c>
      <c r="C10" s="14">
        <f>IF(B10&lt;&gt;"","OK","FAIL")</f>
        <v/>
      </c>
      <c r="D10" s="14" t="inlineStr">
        <is>
          <t>Needed for exit terminal value</t>
        </is>
      </c>
    </row>
    <row r="11">
      <c r="A11" s="14" t="inlineStr">
        <is>
          <t>Model applicability</t>
        </is>
      </c>
      <c r="B11" s="14" t="inlineStr">
        <is>
          <t>dcf_applicable</t>
        </is>
      </c>
      <c r="C11" s="14">
        <f>IF(B11="dcf_applicable","OK","REVIEW")</f>
        <v/>
      </c>
      <c r="D11" s="14" t="inlineStr">
        <is>
          <t>Backend DCF applicability gate</t>
        </is>
      </c>
    </row>
    <row r="12">
      <c r="A12" s="14" t="inlineStr">
        <is>
          <t>Model trust state</t>
        </is>
      </c>
      <c r="B12" s="14" t="inlineStr">
        <is>
          <t>watch</t>
        </is>
      </c>
      <c r="C12" s="14">
        <f>IF(B12="ok","OK","REVIEW")</f>
        <v/>
      </c>
      <c r="D12" s="14" t="inlineStr">
        <is>
          <t>Register flags: {'none': 26, 'watch': 7, 'review_required': 0, 'critical': 0}</t>
        </is>
      </c>
    </row>
    <row r="13">
      <c r="A13" s="14" t="inlineStr">
        <is>
          <t>PM review items outstanding</t>
        </is>
      </c>
      <c r="B13" s="14" t="n">
        <v>2</v>
      </c>
      <c r="C13" s="14">
        <f>IF(B13=0,"OK","REVIEW")</f>
        <v/>
      </c>
      <c r="D13" s="14" t="inlineStr">
        <is>
          <t>See PM_Review_Queue tab</t>
        </is>
      </c>
    </row>
    <row r="14">
      <c r="A14" s="14" t="inlineStr">
        <is>
          <t>No hidden writeback</t>
        </is>
      </c>
      <c r="B14" s="14" t="inlineStr">
        <is>
          <t>Review artifact only</t>
        </is>
      </c>
      <c r="C14" s="14">
        <f>"OK"</f>
        <v/>
      </c>
      <c r="D14" s="14"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2026-06-15T20:38:52Z</dcterms:created>
  <dcterms:modified xmlns:dcterms="http://purl.org/dc/terms/" xmlns:xsi="http://www.w3.org/2001/XMLSchema-instance" xsi:type="dcterms:W3CDTF">2026-06-15T20:38:53Z</dcterms:modified>
</cp:coreProperties>
</file>