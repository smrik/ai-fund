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nfig" sheetId="1" state="hidden" r:id="rId1"/>
    <sheet xmlns:r="http://schemas.openxmlformats.org/officeDocument/2006/relationships" name="Cover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ear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Equity_Bridge" sheetId="7" state="visible" r:id="rId7"/>
    <sheet xmlns:r="http://schemas.openxmlformats.org/officeDocument/2006/relationships" name="Comps" sheetId="8" state="visible" r:id="rId8"/>
    <sheet xmlns:r="http://schemas.openxmlformats.org/officeDocument/2006/relationships" name="Comps Diagnostic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QoE" sheetId="11" state="visible" r:id="rId11"/>
    <sheet xmlns:r="http://schemas.openxmlformats.org/officeDocument/2006/relationships" name="Output" sheetId="12" state="visible" r:id="rId12"/>
  </sheets>
  <definedNames>
    <definedName name="json_path">Config!$B$2</definedName>
  </definedNames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0.0&quot;x&quot;"/>
    <numFmt numFmtId="167" formatCode="0.0000"/>
    <numFmt numFmtId="168" formatCode="&quot;$&quot;#,##0.00"/>
    <numFmt numFmtId="169" formatCode="+0.0;-0.0;0.0"/>
    <numFmt numFmtId="170" formatCode="+0.0;-0.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70C0"/>
      <sz val="10"/>
    </font>
    <font>
      <name val="Calibri"/>
      <b val="1"/>
      <color rgb="00000000"/>
      <sz val="9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color rgb="000070C0"/>
      <sz val="14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FFC000"/>
      <sz val="9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1F3864"/>
      <sz val="12"/>
    </font>
    <font>
      <name val="Calibri"/>
      <i val="1"/>
      <color rgb="00888888"/>
      <sz val="8"/>
    </font>
    <font>
      <name val="Calibri"/>
      <b val="1"/>
      <color rgb="001F3864"/>
      <sz val="13"/>
    </font>
    <font>
      <name val="Calibri"/>
      <b val="1"/>
      <color rgb="00375623"/>
      <sz val="10"/>
    </font>
    <font>
      <name val="Calibri"/>
      <b val="1"/>
      <color rgb="000070C0"/>
      <sz val="10"/>
    </font>
    <font>
      <name val="Calibri"/>
      <color rgb="001E4620"/>
      <sz val="10"/>
    </font>
    <font>
      <name val="Calibri"/>
      <b val="1"/>
      <color rgb="00000000"/>
      <sz val="11"/>
    </font>
    <font>
      <name val="Calibri"/>
      <b val="1"/>
      <color rgb="001F3864"/>
      <sz val="14"/>
    </font>
    <font>
      <name val="Calibri"/>
      <sz val="1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215732"/>
      </patternFill>
    </fill>
    <fill>
      <patternFill patternType="solid">
        <fgColor rgb="009E07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F5F7FA"/>
        <bgColor rgb="00F5F7FA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bottom style="medium">
        <color rgb="00CCCCCC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3" fontId="1" fillId="2" borderId="0" applyAlignment="1" pivotButton="0" quotePrefix="0" xfId="0">
      <alignment horizontal="right" vertical="center"/>
    </xf>
    <xf numFmtId="3" fontId="1" fillId="2" borderId="0" pivotButton="0" quotePrefix="0" xfId="0"/>
    <xf numFmtId="0" fontId="11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right" vertical="center"/>
    </xf>
    <xf numFmtId="164" fontId="0" fillId="3" borderId="0" pivotButton="0" quotePrefix="0" xfId="0"/>
    <xf numFmtId="164" fontId="11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0" fillId="3" borderId="0" pivotButton="0" quotePrefix="0" xfId="0"/>
    <xf numFmtId="165" fontId="11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6" fontId="0" fillId="3" borderId="0" pivotButton="0" quotePrefix="0" xfId="0"/>
    <xf numFmtId="166" fontId="11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4" fontId="0" fillId="3" borderId="0" pivotButton="0" quotePrefix="0" xfId="0"/>
    <xf numFmtId="4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1"/>
    </xf>
    <xf numFmtId="10" fontId="3" fillId="0" borderId="0" pivotButton="0" quotePrefix="0" xfId="0"/>
    <xf numFmtId="10" fontId="0" fillId="3" borderId="0" pivotButton="0" quotePrefix="0" xfId="0"/>
    <xf numFmtId="10" fontId="11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11" fillId="0" borderId="0" applyAlignment="1" pivotButton="0" quotePrefix="0" xfId="0">
      <alignment horizontal="left" vertical="center" indent="2"/>
    </xf>
    <xf numFmtId="164" fontId="1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0" fillId="3" borderId="0" pivotButton="0" quotePrefix="0" xfId="0"/>
    <xf numFmtId="3" fontId="11" fillId="0" borderId="0" applyAlignment="1" pivotButton="0" quotePrefix="0" xfId="0">
      <alignment horizontal="right" vertical="center"/>
    </xf>
    <xf numFmtId="0" fontId="9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4" fillId="0" borderId="0" pivotButton="0" quotePrefix="0" xfId="0"/>
    <xf numFmtId="3" fontId="12" fillId="0" borderId="0" applyAlignment="1" pivotButton="0" quotePrefix="0" xfId="0">
      <alignment horizontal="right" vertical="center"/>
    </xf>
    <xf numFmtId="10" fontId="12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/>
    </xf>
    <xf numFmtId="0" fontId="1" fillId="5" borderId="0" pivotButton="0" quotePrefix="0" xfId="0"/>
    <xf numFmtId="3" fontId="2" fillId="0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/>
    </xf>
    <xf numFmtId="0" fontId="1" fillId="6" borderId="0" pivotButton="0" quotePrefix="0" xfId="0"/>
    <xf numFmtId="0" fontId="1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right" vertical="center"/>
    </xf>
    <xf numFmtId="168" fontId="16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49" fontId="17" fillId="4" borderId="0" applyAlignment="1" pivotButton="0" quotePrefix="0" xfId="0">
      <alignment horizontal="center" vertical="center"/>
    </xf>
    <xf numFmtId="49" fontId="17" fillId="4" borderId="0" applyAlignment="1" pivotButton="0" quotePrefix="0" xfId="0">
      <alignment horizontal="right" vertical="center"/>
    </xf>
    <xf numFmtId="3" fontId="17" fillId="4" borderId="0" applyAlignment="1" pivotButton="0" quotePrefix="0" xfId="0">
      <alignment horizontal="right" vertical="center"/>
    </xf>
    <xf numFmtId="166" fontId="17" fillId="4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right" vertical="center"/>
    </xf>
    <xf numFmtId="3" fontId="11" fillId="7" borderId="0" applyAlignment="1" pivotButton="0" quotePrefix="0" xfId="0">
      <alignment horizontal="right" vertical="center"/>
    </xf>
    <xf numFmtId="2" fontId="11" fillId="7" borderId="0" applyAlignment="1" pivotButton="0" quotePrefix="0" xfId="0">
      <alignment horizontal="right" vertical="center"/>
    </xf>
    <xf numFmtId="166" fontId="11" fillId="7" borderId="0" applyAlignment="1" pivotButton="0" quotePrefix="0" xfId="0">
      <alignment horizontal="right" vertical="center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right" vertical="center"/>
    </xf>
    <xf numFmtId="3" fontId="11" fillId="8" borderId="0" applyAlignment="1" pivotButton="0" quotePrefix="0" xfId="0">
      <alignment horizontal="right" vertical="center"/>
    </xf>
    <xf numFmtId="2" fontId="11" fillId="8" borderId="0" applyAlignment="1" pivotButton="0" quotePrefix="0" xfId="0">
      <alignment horizontal="right" vertical="center"/>
    </xf>
    <xf numFmtId="166" fontId="11" fillId="8" borderId="0" applyAlignment="1" pivotButton="0" quotePrefix="0" xfId="0">
      <alignment horizontal="right" vertical="center"/>
    </xf>
    <xf numFmtId="166" fontId="1" fillId="5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8" fontId="18" fillId="9" borderId="0" applyAlignment="1" pivotButton="0" quotePrefix="0" xfId="0">
      <alignment horizontal="center" vertical="center"/>
    </xf>
    <xf numFmtId="168" fontId="0" fillId="10" borderId="0" applyAlignment="1" pivotButton="0" quotePrefix="0" xfId="0">
      <alignment horizontal="center" vertical="center"/>
    </xf>
    <xf numFmtId="168" fontId="0" fillId="11" borderId="0" applyAlignment="1" pivotButton="0" quotePrefix="0" xfId="0">
      <alignment horizontal="center" vertical="center"/>
    </xf>
    <xf numFmtId="168" fontId="2" fillId="11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  <xf numFmtId="170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12" borderId="0" applyAlignment="1" pivotButton="0" quotePrefix="0" xfId="0">
      <alignment horizontal="general" vertical="bottom"/>
    </xf>
    <xf numFmtId="0" fontId="22" fillId="13" borderId="0" applyAlignment="1" pivotButton="0" quotePrefix="0" xfId="0">
      <alignment horizontal="general" vertical="bottom"/>
    </xf>
    <xf numFmtId="0" fontId="1" fillId="14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2" fillId="12" borderId="0" pivotButton="0" quotePrefix="0" xfId="0"/>
    <xf numFmtId="0" fontId="20" fillId="0" borderId="0" pivotButton="0" quotePrefix="0" xfId="0"/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json_path</t>
        </is>
      </c>
      <c r="B2" s="3" t="inlineStr">
        <is>
          <t>C:\Projects\03-Finance\ai-fund\data\exports\generated\ticker\OPCH\20260606-231710-xlsx-50e54f4b\OPCH_latest.json</t>
        </is>
      </c>
    </row>
    <row r="4">
      <c r="A4" s="4" t="inlineStr">
        <is>
          <t>Instructions:</t>
        </is>
      </c>
    </row>
    <row r="5">
      <c r="A5" s="5" t="inlineStr">
        <is>
          <t>1. Change B2 to point at a different ticker (e.g. ORCL_latest.json)</t>
        </is>
      </c>
    </row>
    <row r="6">
      <c r="A6" s="5" t="inlineStr">
        <is>
          <t>2. Data → Refresh All  (Ctrl+Alt+F5)</t>
        </is>
      </c>
    </row>
    <row r="7">
      <c r="A7" s="5" t="inlineStr">
        <is>
          <t>3. All Assumptions Col B values update from the new JSON.</t>
        </is>
      </c>
    </row>
    <row r="8">
      <c r="A8" s="5" t="inlineStr">
        <is>
          <t>4. The path must match what batch_runner --json last wrote.</t>
        </is>
      </c>
    </row>
  </sheetData>
  <mergeCells count="4">
    <mergeCell ref="A8:B8"/>
    <mergeCell ref="A6:B6"/>
    <mergeCell ref="A7:B7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4:C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</cols>
  <sheetData>
    <row r="4" ht="36" customHeight="1">
      <c r="B4" s="6" t="inlineStr">
        <is>
          <t>EQUITY VALUATION MODEL</t>
        </is>
      </c>
    </row>
    <row r="5" ht="22" customHeight="1">
      <c r="B5" s="7" t="inlineStr">
        <is>
          <t>IBM — International Business Machines Corporation</t>
        </is>
      </c>
    </row>
    <row r="7">
      <c r="B7" s="2" t="inlineStr">
        <is>
          <t>Sector</t>
        </is>
      </c>
      <c r="C7" s="8" t="inlineStr">
        <is>
          <t>Technology</t>
        </is>
      </c>
    </row>
    <row r="8">
      <c r="B8" s="2" t="inlineStr">
        <is>
          <t>As of</t>
        </is>
      </c>
      <c r="C8" s="8" t="inlineStr">
        <is>
          <t>2026-03-09</t>
        </is>
      </c>
    </row>
    <row r="9">
      <c r="B9" s="2" t="inlineStr">
        <is>
          <t>Price</t>
        </is>
      </c>
      <c r="C9" s="8" t="inlineStr">
        <is>
          <t>$253.33</t>
        </is>
      </c>
    </row>
    <row r="10">
      <c r="B10" s="2" t="inlineStr">
        <is>
          <t>EV ($mm)</t>
        </is>
      </c>
      <c r="C10" s="8" t="inlineStr">
        <is>
          <t>$293,093</t>
        </is>
      </c>
    </row>
    <row r="11">
      <c r="B11" s="2" t="inlineStr">
        <is>
          <t>Shares</t>
        </is>
      </c>
      <c r="C11" s="8" t="inlineStr">
        <is>
          <t>948.7mm</t>
        </is>
      </c>
    </row>
    <row r="12">
      <c r="B12" s="2" t="inlineStr">
        <is>
          <t>Model</t>
        </is>
      </c>
      <c r="C12" s="8" t="inlineStr">
        <is>
          <t>DCF Bear / Base / Bull + Comps + EP cross-check</t>
        </is>
      </c>
    </row>
    <row r="14" ht="14" customHeight="1">
      <c r="B14" s="59" t="inlineStr">
        <is>
          <t>Sheet Guide</t>
        </is>
      </c>
    </row>
    <row r="15">
      <c r="B15" s="10" t="inlineStr">
        <is>
          <t xml:space="preserve">  Assumptions  — All inputs with JSON baseline + PM override column (yellow)</t>
        </is>
      </c>
    </row>
    <row r="16">
      <c r="B16" s="10" t="inlineStr">
        <is>
          <t xml:space="preserve">  DCF_Base     — 10-year FCFF projection, live formulas, Base scenario</t>
        </is>
      </c>
    </row>
    <row r="17">
      <c r="B17" s="10" t="inlineStr">
        <is>
          <t xml:space="preserve">  DCF_Bear     — Bear scenario (growth ×0.6, margin ×0.75, WACC +200bp)</t>
        </is>
      </c>
    </row>
    <row r="18">
      <c r="B18" s="10" t="inlineStr">
        <is>
          <t xml:space="preserve">  DCF_Bull     — Bull scenario (growth ×1.4, margin ×1.15, WACC -100bp)</t>
        </is>
      </c>
    </row>
    <row r="19">
      <c r="B19" s="10" t="inlineStr">
        <is>
          <t xml:space="preserve">  Equity_Bridge— Enterprise → Equity value, IV per share, expected IV</t>
        </is>
      </c>
    </row>
    <row r="20">
      <c r="B20" s="10" t="inlineStr">
        <is>
          <t xml:space="preserve">  Comps        — Peer multiples table, live medians, exclude toggle</t>
        </is>
      </c>
    </row>
    <row r="21">
      <c r="B21" s="10" t="inlineStr">
        <is>
          <t xml:space="preserve">  Sensitivity  — IV grid: WACC × terminal growth (±200bp each)</t>
        </is>
      </c>
    </row>
    <row r="22">
      <c r="B22" s="10" t="inlineStr">
        <is>
          <t xml:space="preserve">  QoE          — Quality of Earnings signals (Sloan, cash conv, NWC drift)</t>
        </is>
      </c>
    </row>
    <row r="23">
      <c r="B23" s="10" t="inlineStr">
        <is>
          <t xml:space="preserve">  Output       — Summary dashboard with colour-coded upside flags</t>
        </is>
      </c>
    </row>
    <row r="25" ht="14" customHeight="1">
      <c r="B25" s="11" t="inlineStr">
        <is>
          <t>Override pattern: Col B = JSON baseline (blue)  |  Col C = PM override (yellow, type here)  |  Col D = Active (formula: =IF(C="",B,C))</t>
        </is>
      </c>
    </row>
    <row r="26">
      <c r="B26" s="12" t="inlineStr">
        <is>
          <t>Press F9 to recalculate all formulas after editing.</t>
        </is>
      </c>
    </row>
  </sheetData>
  <mergeCells count="2">
    <mergeCell ref="B5:C5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E5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2" customWidth="1" min="5" max="5"/>
  </cols>
  <sheetData>
    <row r="1" ht="32" customHeight="1">
      <c r="A1" s="13" t="inlineStr">
        <is>
          <t>Driver</t>
        </is>
      </c>
      <c r="B1" s="13" t="inlineStr">
        <is>
          <t>JSON Baseline</t>
        </is>
      </c>
      <c r="C1" s="13" t="inlineStr">
        <is>
          <t>PM Override</t>
        </is>
      </c>
      <c r="D1" s="13" t="inlineStr">
        <is>
          <t>Active</t>
        </is>
      </c>
      <c r="E1" s="13" t="inlineStr">
        <is>
          <t>Source</t>
        </is>
      </c>
    </row>
    <row r="2" ht="16" customHeight="1">
      <c r="A2" s="1" t="inlineStr">
        <is>
          <t xml:space="preserve">  MARKET DATA</t>
        </is>
      </c>
      <c r="B2" s="14" t="n"/>
      <c r="C2" s="1" t="inlineStr">
        <is>
          <t>← Type override here (yellow cells)</t>
        </is>
      </c>
      <c r="D2" s="14" t="n"/>
      <c r="E2" s="14" t="n"/>
    </row>
    <row r="3" ht="16" customHeight="1">
      <c r="A3" s="1" t="inlineStr">
        <is>
          <t xml:space="preserve">  DCF GROWTH DRIVERS</t>
        </is>
      </c>
      <c r="B3" s="15" t="n">
        <v>66799</v>
      </c>
      <c r="C3" s="16" t="n"/>
      <c r="D3" s="15">
        <f>IF(C3="",B3,C3)</f>
        <v/>
      </c>
      <c r="E3" s="1" t="inlineStr">
        <is>
          <t>CIQ</t>
        </is>
      </c>
    </row>
    <row r="4">
      <c r="A4" s="17" t="inlineStr">
        <is>
          <t>Revenue Growth — Near (Y1–Y5)</t>
        </is>
      </c>
      <c r="B4" s="18" t="n">
        <v>0.06572810326501899</v>
      </c>
      <c r="C4" s="19" t="n"/>
      <c r="D4" s="20">
        <f>IF(C4="",B4,C4)</f>
        <v/>
      </c>
      <c r="E4" s="10" t="inlineStr">
        <is>
          <t>CIQ consensus</t>
        </is>
      </c>
    </row>
    <row r="5">
      <c r="A5" s="17" t="inlineStr">
        <is>
          <t>Revenue Growth — Mid (Y6–Y10)</t>
        </is>
      </c>
      <c r="B5" s="18" t="n">
        <v>0.04600967228551329</v>
      </c>
      <c r="C5" s="19" t="n"/>
      <c r="D5" s="20">
        <f>IF(C5="",B5,C5)</f>
        <v/>
      </c>
      <c r="E5" s="10" t="inlineStr">
        <is>
          <t>CIQ consensus blend</t>
        </is>
      </c>
    </row>
    <row r="6">
      <c r="A6" s="17" t="inlineStr">
        <is>
          <t>Terminal Revenue Growth</t>
        </is>
      </c>
      <c r="B6" s="18" t="n">
        <v>0.035</v>
      </c>
      <c r="C6" s="19" t="n"/>
      <c r="D6" s="20">
        <f>IF(C6="",B6,C6)</f>
        <v/>
      </c>
      <c r="E6" s="10" t="inlineStr">
        <is>
          <t>GDP anchor</t>
        </is>
      </c>
    </row>
    <row r="7" ht="16" customHeight="1">
      <c r="A7" s="1" t="inlineStr">
        <is>
          <t xml:space="preserve">  MARGIN DRIVERS</t>
        </is>
      </c>
      <c r="B7" s="14" t="n"/>
      <c r="C7" s="14" t="n"/>
      <c r="D7" s="14" t="n"/>
      <c r="E7" s="14" t="n"/>
    </row>
    <row r="8">
      <c r="A8" s="17" t="inlineStr">
        <is>
          <t>EBIT Margin — Start</t>
        </is>
      </c>
      <c r="B8" s="18" t="n">
        <v>0.1254319379432487</v>
      </c>
      <c r="C8" s="19" t="n"/>
      <c r="D8" s="20">
        <f>IF(C8="",B8,C8)</f>
        <v/>
      </c>
      <c r="E8" s="10" t="inlineStr">
        <is>
          <t>CIQ LTM</t>
        </is>
      </c>
    </row>
    <row r="9">
      <c r="A9" s="17" t="inlineStr">
        <is>
          <t>EBIT Margin — Target (Y10)</t>
        </is>
      </c>
      <c r="B9" s="18" t="n">
        <v>0.2</v>
      </c>
      <c r="C9" s="19" t="n"/>
      <c r="D9" s="20">
        <f>IF(C9="",B9,C9)</f>
        <v/>
      </c>
      <c r="E9" s="10" t="inlineStr">
        <is>
          <t>Sector median</t>
        </is>
      </c>
    </row>
    <row r="10" ht="16" customHeight="1">
      <c r="A10" s="1" t="inlineStr">
        <is>
          <t xml:space="preserve">  D&amp;A / CAPEX</t>
        </is>
      </c>
      <c r="B10" s="14" t="n"/>
      <c r="C10" s="14" t="n"/>
      <c r="D10" s="14" t="n"/>
      <c r="E10" s="14" t="n"/>
    </row>
    <row r="11">
      <c r="A11" s="17" t="inlineStr">
        <is>
          <t>D&amp;A % Revenue</t>
        </is>
      </c>
      <c r="B11" s="18" t="n">
        <v>0.01127316699982725</v>
      </c>
      <c r="C11" s="19" t="n"/>
      <c r="D11" s="20">
        <f>IF(C11="",B11,C11)</f>
        <v/>
      </c>
      <c r="E11" s="10" t="inlineStr">
        <is>
          <t>CIQ LTM</t>
        </is>
      </c>
    </row>
    <row r="12">
      <c r="A12" s="17" t="inlineStr">
        <is>
          <t>Capex % Revenue</t>
        </is>
      </c>
      <c r="B12" s="18" t="n">
        <v>0.01606101309201819</v>
      </c>
      <c r="C12" s="19" t="n"/>
      <c r="D12" s="20">
        <f>IF(C12="",B12,C12)</f>
        <v/>
      </c>
      <c r="E12" s="10" t="inlineStr">
        <is>
          <t>CIQ LTM</t>
        </is>
      </c>
    </row>
    <row r="13" ht="16" customHeight="1">
      <c r="A13" s="1" t="inlineStr">
        <is>
          <t xml:space="preserve">  TAX</t>
        </is>
      </c>
      <c r="B13" s="14" t="n"/>
      <c r="C13" s="14" t="n"/>
      <c r="D13" s="14" t="n"/>
      <c r="E13" s="14" t="n"/>
    </row>
    <row r="14">
      <c r="A14" s="17" t="inlineStr">
        <is>
          <t>Effective Tax Rate — Start</t>
        </is>
      </c>
      <c r="B14" s="18" t="n">
        <v>0.1474112445576097</v>
      </c>
      <c r="C14" s="19" t="n"/>
      <c r="D14" s="20">
        <f>IF(C14="",B14,C14)</f>
        <v/>
      </c>
      <c r="E14" s="10" t="inlineStr">
        <is>
          <t>CIQ LTM</t>
        </is>
      </c>
    </row>
    <row r="15">
      <c r="A15" s="17" t="inlineStr">
        <is>
          <t>Effective Tax Rate — Target</t>
        </is>
      </c>
      <c r="B15" s="18" t="n">
        <v>0.15</v>
      </c>
      <c r="C15" s="19" t="n"/>
      <c r="D15" s="20">
        <f>IF(C15="",B15,C15)</f>
        <v/>
      </c>
      <c r="E15" s="10" t="inlineStr">
        <is>
          <t>Company guidance</t>
        </is>
      </c>
    </row>
    <row r="16" ht="16" customHeight="1">
      <c r="A16" s="1" t="inlineStr">
        <is>
          <t xml:space="preserve">  WORKING CAPITAL DRIVERS</t>
        </is>
      </c>
      <c r="B16" s="14" t="n"/>
      <c r="C16" s="14" t="n"/>
      <c r="D16" s="14" t="n"/>
      <c r="E16" s="14" t="n"/>
    </row>
    <row r="17">
      <c r="A17" s="17" t="inlineStr">
        <is>
          <t>DSO Start (days)</t>
        </is>
      </c>
      <c r="B17" s="21" t="n">
        <v>47</v>
      </c>
      <c r="C17" s="22" t="n"/>
      <c r="D17" s="23">
        <f>IF(C17="",B17,C17)</f>
        <v/>
      </c>
      <c r="E17" s="10" t="inlineStr">
        <is>
          <t>CIQ LTM</t>
        </is>
      </c>
    </row>
    <row r="18">
      <c r="A18" s="17" t="inlineStr">
        <is>
          <t>DSO Target (days)</t>
        </is>
      </c>
      <c r="B18" s="21" t="n">
        <v>45.59999999999999</v>
      </c>
      <c r="C18" s="22" t="n"/>
      <c r="D18" s="23">
        <f>IF(C18="",B18,C18)</f>
        <v/>
      </c>
      <c r="E18" s="10" t="inlineStr">
        <is>
          <t>Sector median</t>
        </is>
      </c>
    </row>
    <row r="19">
      <c r="A19" s="17" t="inlineStr">
        <is>
          <t>DIO Start (days)</t>
        </is>
      </c>
      <c r="B19" s="21" t="n">
        <v>6.7</v>
      </c>
      <c r="C19" s="22" t="n"/>
      <c r="D19" s="23">
        <f>IF(C19="",B19,C19)</f>
        <v/>
      </c>
      <c r="E19" s="10" t="inlineStr">
        <is>
          <t>CIQ LTM</t>
        </is>
      </c>
    </row>
    <row r="20">
      <c r="A20" s="17" t="inlineStr">
        <is>
          <t>DIO Target (days)</t>
        </is>
      </c>
      <c r="B20" s="21" t="n">
        <v>26.51</v>
      </c>
      <c r="C20" s="22" t="n"/>
      <c r="D20" s="23">
        <f>IF(C20="",B20,C20)</f>
        <v/>
      </c>
      <c r="E20" s="10" t="inlineStr">
        <is>
          <t>Sector median</t>
        </is>
      </c>
    </row>
    <row r="21">
      <c r="A21" s="17" t="inlineStr">
        <is>
          <t>DPO Start (days)</t>
        </is>
      </c>
      <c r="B21" s="21" t="n">
        <v>26</v>
      </c>
      <c r="C21" s="22" t="n"/>
      <c r="D21" s="23">
        <f>IF(C21="",B21,C21)</f>
        <v/>
      </c>
      <c r="E21" s="10" t="inlineStr">
        <is>
          <t>CIQ LTM</t>
        </is>
      </c>
    </row>
    <row r="22">
      <c r="A22" s="17" t="inlineStr">
        <is>
          <t>DPO Target (days)</t>
        </is>
      </c>
      <c r="B22" s="21" t="n">
        <v>34.4</v>
      </c>
      <c r="C22" s="22" t="n"/>
      <c r="D22" s="23">
        <f>IF(C22="",B22,C22)</f>
        <v/>
      </c>
      <c r="E22" s="10" t="inlineStr">
        <is>
          <t>Sector median</t>
        </is>
      </c>
    </row>
    <row r="23" ht="16" customHeight="1">
      <c r="A23" s="1" t="inlineStr">
        <is>
          <t xml:space="preserve">  TERMINAL VALUE</t>
        </is>
      </c>
      <c r="B23" s="14" t="n"/>
      <c r="C23" s="14" t="n"/>
      <c r="D23" s="14" t="n"/>
      <c r="E23" s="14" t="n"/>
    </row>
    <row r="24">
      <c r="A24" s="17" t="inlineStr">
        <is>
          <t>Exit Multiple (EV/EBITDA)</t>
        </is>
      </c>
      <c r="B24" s="24" t="n">
        <v>7.8924</v>
      </c>
      <c r="C24" s="25" t="n"/>
      <c r="D24" s="26">
        <f>IF(C24="",B24,C24)</f>
        <v/>
      </c>
      <c r="E24" s="10" t="inlineStr">
        <is>
          <t>Forward comps</t>
        </is>
      </c>
    </row>
    <row r="25">
      <c r="A25" s="17" t="inlineStr">
        <is>
          <t>RONIC Terminal</t>
        </is>
      </c>
      <c r="B25" s="18" t="n">
        <v>0.15</v>
      </c>
      <c r="C25" s="19" t="n"/>
      <c r="D25" s="20">
        <f>IF(C25="",B25,C25)</f>
        <v/>
      </c>
      <c r="E25" s="10" t="inlineStr">
        <is>
          <t>ROIC estimate</t>
        </is>
      </c>
    </row>
    <row r="26" ht="16" customHeight="1">
      <c r="A26" s="1" t="inlineStr">
        <is>
          <t xml:space="preserve">  WACC BUILD-UP</t>
        </is>
      </c>
      <c r="B26" s="14" t="n"/>
      <c r="C26" s="14" t="n"/>
      <c r="D26" s="14" t="n"/>
      <c r="E26" s="14" t="n"/>
    </row>
    <row r="27">
      <c r="A27" s="17" t="inlineStr">
        <is>
          <t>Risk-Free Rate</t>
        </is>
      </c>
      <c r="B27" s="18" t="n">
        <v>0.045</v>
      </c>
      <c r="C27" s="19" t="n"/>
      <c r="D27" s="20">
        <f>IF(C27="",B27,C27)</f>
        <v/>
      </c>
      <c r="E27" s="10" t="inlineStr">
        <is>
          <t>10Y UST</t>
        </is>
      </c>
    </row>
    <row r="28">
      <c r="A28" s="17" t="inlineStr">
        <is>
          <t>Equity Risk Premium</t>
        </is>
      </c>
      <c r="B28" s="18" t="n">
        <v>0.05</v>
      </c>
      <c r="C28" s="19" t="n"/>
      <c r="D28" s="20">
        <f>IF(C28="",B28,C28)</f>
        <v/>
      </c>
      <c r="E28" s="10" t="inlineStr">
        <is>
          <t>Damodaran</t>
        </is>
      </c>
    </row>
    <row r="29">
      <c r="A29" s="17" t="inlineStr">
        <is>
          <t>Beta (re-levered)</t>
        </is>
      </c>
      <c r="B29" s="27" t="n">
        <v>0.71</v>
      </c>
      <c r="C29" s="28" t="n"/>
      <c r="D29" s="29">
        <f>IF(C29="",B29,C29)</f>
        <v/>
      </c>
      <c r="E29" s="10" t="inlineStr">
        <is>
          <t>Hamada / peers</t>
        </is>
      </c>
    </row>
    <row r="30">
      <c r="A30" s="17" t="inlineStr">
        <is>
          <t>Size Premium</t>
        </is>
      </c>
      <c r="B30" s="18" t="n">
        <v>0</v>
      </c>
      <c r="C30" s="19" t="n"/>
      <c r="D30" s="20">
        <f>IF(C30="",B30,C30)</f>
        <v/>
      </c>
      <c r="E30" s="10" t="inlineStr">
        <is>
          <t>Duff &amp; Phelps</t>
        </is>
      </c>
    </row>
    <row r="31">
      <c r="A31" s="30" t="inlineStr">
        <is>
          <t>Cost of Equity (Ke)</t>
        </is>
      </c>
      <c r="B31" s="31" t="n">
        <v>0.0803</v>
      </c>
      <c r="C31" s="32" t="n"/>
      <c r="D31" s="33">
        <f>IF(C31="",D27+D29*D28+D30,C31)</f>
        <v/>
      </c>
      <c r="E31" s="34" t="inlineStr">
        <is>
          <t>CAPM: Rf + β×ERP + size premium</t>
        </is>
      </c>
    </row>
    <row r="32">
      <c r="A32" s="17" t="inlineStr">
        <is>
          <t>Cost of Debt (pre-tax)</t>
        </is>
      </c>
      <c r="B32" s="18" t="n">
        <v>0.02780468678648223</v>
      </c>
      <c r="C32" s="19" t="n"/>
      <c r="D32" s="20">
        <f>IF(C32="",B32,C32)</f>
        <v/>
      </c>
      <c r="E32" s="10" t="inlineStr">
        <is>
          <t>Interest expense / total debt (CIQ)</t>
        </is>
      </c>
    </row>
    <row r="33">
      <c r="A33" s="35" t="inlineStr">
        <is>
          <t>Tax Rate (for Kd)</t>
        </is>
      </c>
      <c r="D33" s="36">
        <f>D14</f>
        <v/>
      </c>
      <c r="E33" s="34">
        <f>Assumptions D14</f>
        <v/>
      </c>
    </row>
    <row r="34">
      <c r="A34" s="30" t="inlineStr">
        <is>
          <t>Cost of Debt after-tax (Kd)</t>
        </is>
      </c>
      <c r="B34" s="31" t="n">
        <v>0.02370596330275235</v>
      </c>
      <c r="C34" s="32" t="n"/>
      <c r="D34" s="33">
        <f>IF(C34="",D32*(1-D33),C34)</f>
        <v/>
      </c>
      <c r="E34" s="34" t="inlineStr">
        <is>
          <t>Kd × (1 - tax)</t>
        </is>
      </c>
    </row>
    <row r="35">
      <c r="A35" s="17" t="inlineStr">
        <is>
          <t>Equity Weight</t>
        </is>
      </c>
      <c r="B35" s="18" t="n">
        <v>0.8256</v>
      </c>
      <c r="C35" s="19" t="n"/>
      <c r="D35" s="20">
        <f>IF(C35="",B35,C35)</f>
        <v/>
      </c>
      <c r="E35" s="10" t="inlineStr">
        <is>
          <t>Market cap / TEV</t>
        </is>
      </c>
    </row>
    <row r="36">
      <c r="A36" s="17" t="inlineStr">
        <is>
          <t>Debt Weight</t>
        </is>
      </c>
      <c r="B36" s="18" t="n">
        <v>0.1744</v>
      </c>
      <c r="C36" s="19" t="n"/>
      <c r="D36" s="20">
        <f>IF(C36="",B36,C36)</f>
        <v/>
      </c>
      <c r="E36" s="10" t="inlineStr">
        <is>
          <t>Net debt / TEV</t>
        </is>
      </c>
    </row>
    <row r="37">
      <c r="A37" s="30" t="inlineStr">
        <is>
          <t>WACC</t>
        </is>
      </c>
      <c r="B37" s="31" t="n">
        <v>0.07043000000000001</v>
      </c>
      <c r="C37" s="32" t="n"/>
      <c r="D37" s="37">
        <f>IF(C37="",B37,C37)</f>
        <v/>
      </c>
      <c r="E37" s="34" t="inlineStr">
        <is>
          <t>JSON baseline (batch_runner) — override C37 to adjust</t>
        </is>
      </c>
    </row>
    <row r="38" ht="16" customHeight="1">
      <c r="A38" s="1" t="inlineStr">
        <is>
          <t xml:space="preserve">  EQUITY BRIDGE ITEMS ($mm)</t>
        </is>
      </c>
      <c r="B38" s="14" t="n"/>
      <c r="C38" s="14" t="n"/>
      <c r="D38" s="14" t="n"/>
      <c r="E38" s="14" t="n"/>
    </row>
    <row r="39">
      <c r="A39" s="17" t="inlineStr">
        <is>
          <t>Net Debt ($mm)</t>
        </is>
      </c>
      <c r="B39" s="38" t="n">
        <v>51020</v>
      </c>
      <c r="C39" s="39" t="n"/>
      <c r="D39" s="40">
        <f>IF(C39="",B39,C39)</f>
        <v/>
      </c>
      <c r="E39" s="10" t="inlineStr">
        <is>
          <t>CIQ balance sheet</t>
        </is>
      </c>
    </row>
    <row r="40">
      <c r="A40" s="17" t="inlineStr">
        <is>
          <t>Shares Outstanding (mm)</t>
        </is>
      </c>
      <c r="B40" s="21" t="n">
        <v>948.675</v>
      </c>
      <c r="C40" s="22" t="n"/>
      <c r="D40" s="23">
        <f>IF(C40="",B40,C40)</f>
        <v/>
      </c>
      <c r="E40" s="10" t="inlineStr">
        <is>
          <t>CIQ</t>
        </is>
      </c>
    </row>
    <row r="41">
      <c r="A41" s="17" t="inlineStr">
        <is>
          <t>Invested Capital ($mm)</t>
        </is>
      </c>
      <c r="B41" s="38" t="n">
        <v>41749.375</v>
      </c>
      <c r="C41" s="39" t="n"/>
      <c r="D41" s="40">
        <f>IF(C41="",B41,C41)</f>
        <v/>
      </c>
      <c r="E41" s="10" t="inlineStr">
        <is>
          <t>CIQ</t>
        </is>
      </c>
    </row>
    <row r="42">
      <c r="A42" s="17" t="inlineStr">
        <is>
          <t>Non-Operating Assets ($mm)</t>
        </is>
      </c>
      <c r="B42" s="38" t="n">
        <v>12251.02</v>
      </c>
      <c r="C42" s="39" t="n"/>
      <c r="D42" s="40">
        <f>IF(C42="",B42,C42)</f>
        <v/>
      </c>
      <c r="E42" s="10" t="inlineStr">
        <is>
          <t>CIQ</t>
        </is>
      </c>
    </row>
    <row r="43">
      <c r="A43" s="17" t="inlineStr">
        <is>
          <t>Minority Interest ($mm)</t>
        </is>
      </c>
      <c r="B43" s="38" t="n">
        <v>0</v>
      </c>
      <c r="C43" s="39" t="n"/>
      <c r="D43" s="40">
        <f>IF(C43="",B43,C43)</f>
        <v/>
      </c>
      <c r="E43" s="10" t="inlineStr">
        <is>
          <t>CIQ</t>
        </is>
      </c>
    </row>
    <row r="44">
      <c r="A44" s="17" t="inlineStr">
        <is>
          <t>Preferred Equity ($mm)</t>
        </is>
      </c>
      <c r="B44" s="38" t="n">
        <v>0</v>
      </c>
      <c r="C44" s="39" t="n"/>
      <c r="D44" s="40">
        <f>IF(C44="",B44,C44)</f>
        <v/>
      </c>
      <c r="E44" s="10" t="inlineStr">
        <is>
          <t>CIQ</t>
        </is>
      </c>
    </row>
    <row r="45">
      <c r="A45" s="17" t="inlineStr">
        <is>
          <t>Pension Deficit ($mm)</t>
        </is>
      </c>
      <c r="B45" s="38" t="n">
        <v>0</v>
      </c>
      <c r="C45" s="39" t="n"/>
      <c r="D45" s="40">
        <f>IF(C45="",B45,C45)</f>
        <v/>
      </c>
      <c r="E45" s="10" t="inlineStr">
        <is>
          <t>CIQ</t>
        </is>
      </c>
    </row>
    <row r="46">
      <c r="A46" s="17" t="inlineStr">
        <is>
          <t>Lease Liabilities ($mm)</t>
        </is>
      </c>
      <c r="B46" s="38" t="n">
        <v>0</v>
      </c>
      <c r="C46" s="39" t="n"/>
      <c r="D46" s="40">
        <f>IF(C46="",B46,C46)</f>
        <v/>
      </c>
      <c r="E46" s="10" t="inlineStr">
        <is>
          <t>CIQ</t>
        </is>
      </c>
    </row>
    <row r="47">
      <c r="A47" s="17" t="inlineStr">
        <is>
          <t>Options Value ($mm)</t>
        </is>
      </c>
      <c r="B47" s="38" t="n">
        <v>0</v>
      </c>
      <c r="C47" s="39" t="n"/>
      <c r="D47" s="40">
        <f>IF(C47="",B47,C47)</f>
        <v/>
      </c>
      <c r="E47" s="10" t="inlineStr">
        <is>
          <t>CIQ</t>
        </is>
      </c>
    </row>
    <row r="48">
      <c r="A48" s="17" t="inlineStr">
        <is>
          <t>Convertibles ($mm)</t>
        </is>
      </c>
      <c r="B48" s="38" t="n">
        <v>0</v>
      </c>
      <c r="C48" s="39" t="n"/>
      <c r="D48" s="40">
        <f>IF(C48="",B48,C48)</f>
        <v/>
      </c>
      <c r="E48" s="10" t="inlineStr">
        <is>
          <t>CIQ</t>
        </is>
      </c>
    </row>
    <row r="49" ht="16" customHeight="1">
      <c r="A49" s="1" t="inlineStr">
        <is>
          <t xml:space="preserve">  SCENARIO PROBABILITIES</t>
        </is>
      </c>
      <c r="B49" s="14" t="n"/>
      <c r="C49" s="14" t="n"/>
      <c r="D49" s="14" t="n"/>
      <c r="E49" s="14" t="n"/>
    </row>
    <row r="50">
      <c r="A50" s="17" t="inlineStr">
        <is>
          <t>P(Bear)</t>
        </is>
      </c>
      <c r="B50" s="18" t="n">
        <v>0.2</v>
      </c>
      <c r="C50" s="19" t="n"/>
      <c r="D50" s="20">
        <f>IF(C50="",B50,C50)</f>
        <v/>
      </c>
      <c r="E50" s="10" t="inlineStr">
        <is>
          <t>PM judgment</t>
        </is>
      </c>
    </row>
    <row r="51">
      <c r="A51" s="17" t="inlineStr">
        <is>
          <t>P(Base)</t>
        </is>
      </c>
      <c r="B51" s="18" t="n">
        <v>0.6</v>
      </c>
      <c r="C51" s="19" t="n"/>
      <c r="D51" s="20">
        <f>IF(C51="",B51,C51)</f>
        <v/>
      </c>
      <c r="E51" s="10" t="inlineStr">
        <is>
          <t>PM judgment</t>
        </is>
      </c>
    </row>
    <row r="52">
      <c r="A52" s="17" t="inlineStr">
        <is>
          <t>P(Bull)</t>
        </is>
      </c>
      <c r="B52" s="18" t="n">
        <v>0.2</v>
      </c>
      <c r="C52" s="19" t="n"/>
      <c r="D52" s="20">
        <f>IF(C52="",B52,C52)</f>
        <v/>
      </c>
      <c r="E52" s="10" t="inlineStr">
        <is>
          <t>PM judgment</t>
        </is>
      </c>
    </row>
    <row r="53">
      <c r="A53" s="41" t="inlineStr">
        <is>
          <t>Sum of probs</t>
        </is>
      </c>
      <c r="D53" s="42">
        <f>D50+D51+D52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5732"/>
    <outlinePr summaryBelow="1" summaryRight="1"/>
    <pageSetUpPr/>
  </sheetPr>
  <dimension ref="A1:N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BASE SCENARIO  |  IBM Valuation</t>
        </is>
      </c>
    </row>
    <row r="2" ht="18" customHeight="1">
      <c r="A2" s="1" t="inlineStr">
        <is>
          <t xml:space="preserve">  10-YEAR FCFF PROJECTION  ($mm)</t>
        </is>
      </c>
      <c r="B2" s="44" t="inlineStr">
        <is>
          <t>LTM</t>
        </is>
      </c>
      <c r="C2" s="44" t="inlineStr">
        <is>
          <t>Y1</t>
        </is>
      </c>
      <c r="D2" s="44" t="inlineStr">
        <is>
          <t>Y2</t>
        </is>
      </c>
      <c r="E2" s="44" t="inlineStr">
        <is>
          <t>Y3</t>
        </is>
      </c>
      <c r="F2" s="44" t="inlineStr">
        <is>
          <t>Y4</t>
        </is>
      </c>
      <c r="G2" s="44" t="inlineStr">
        <is>
          <t>Y5</t>
        </is>
      </c>
      <c r="H2" s="44" t="inlineStr">
        <is>
          <t>Y6</t>
        </is>
      </c>
      <c r="I2" s="44" t="inlineStr">
        <is>
          <t>Y7</t>
        </is>
      </c>
      <c r="J2" s="44" t="inlineStr">
        <is>
          <t>Y8</t>
        </is>
      </c>
      <c r="K2" s="44" t="inlineStr">
        <is>
          <t>Y9</t>
        </is>
      </c>
      <c r="L2" s="44" t="inlineStr">
        <is>
          <t>Y10</t>
        </is>
      </c>
      <c r="M2" s="44" t="inlineStr">
        <is>
          <t>Terminal</t>
        </is>
      </c>
      <c r="N2" s="14" t="n"/>
    </row>
    <row r="3">
      <c r="A3" s="45" t="inlineStr">
        <is>
          <t>── REVENUE ─────────────────────────────────</t>
        </is>
      </c>
    </row>
    <row r="4">
      <c r="A4" s="30" t="inlineStr">
        <is>
          <t>Revenue ($mm)</t>
        </is>
      </c>
      <c r="B4" s="46">
        <f>Assumptions!$D$3</f>
        <v/>
      </c>
      <c r="C4" s="40">
        <f>B4*(1+Assumptions!$D$4)</f>
        <v/>
      </c>
      <c r="D4" s="40">
        <f>C4*(1+Assumptions!$D$4)</f>
        <v/>
      </c>
      <c r="E4" s="40">
        <f>D4*(1+Assumptions!$D$4)</f>
        <v/>
      </c>
      <c r="F4" s="40">
        <f>E4*(1+Assumptions!$D$4)</f>
        <v/>
      </c>
      <c r="G4" s="40">
        <f>F4*(1+Assumptions!$D$4)</f>
        <v/>
      </c>
      <c r="H4" s="40">
        <f>G4*(1+Assumptions!$D$5)</f>
        <v/>
      </c>
      <c r="I4" s="40">
        <f>H4*(1+Assumptions!$D$5)</f>
        <v/>
      </c>
      <c r="J4" s="40">
        <f>I4*(1+Assumptions!$D$5)</f>
        <v/>
      </c>
      <c r="K4" s="40">
        <f>J4*(1+Assumptions!$D$5)</f>
        <v/>
      </c>
      <c r="L4" s="40">
        <f>K4*(1+Assumptions!$D$5)</f>
        <v/>
      </c>
      <c r="M4" s="40">
        <f>L4*(1+Assumptions!$D$6)</f>
        <v/>
      </c>
    </row>
    <row r="5">
      <c r="A5" s="17" t="inlineStr">
        <is>
          <t>Revenue Growth %</t>
        </is>
      </c>
      <c r="C5" s="20">
        <f>C4/B4-1</f>
        <v/>
      </c>
      <c r="D5" s="20">
        <f>D4/C4-1</f>
        <v/>
      </c>
      <c r="E5" s="20">
        <f>E4/D4-1</f>
        <v/>
      </c>
      <c r="F5" s="20">
        <f>F4/E4-1</f>
        <v/>
      </c>
      <c r="G5" s="20">
        <f>G4/F4-1</f>
        <v/>
      </c>
      <c r="H5" s="20">
        <f>H4/G4-1</f>
        <v/>
      </c>
      <c r="I5" s="20">
        <f>I4/H4-1</f>
        <v/>
      </c>
      <c r="J5" s="20">
        <f>J4/I4-1</f>
        <v/>
      </c>
      <c r="K5" s="20">
        <f>K4/J4-1</f>
        <v/>
      </c>
      <c r="L5" s="20">
        <f>L4/K4-1</f>
        <v/>
      </c>
      <c r="M5" s="20">
        <f>M4/L4-1</f>
        <v/>
      </c>
    </row>
    <row r="6">
      <c r="A6" s="45" t="inlineStr">
        <is>
          <t>── PROFITABILITY ────────────────────────────</t>
        </is>
      </c>
    </row>
    <row r="7">
      <c r="A7" s="17" t="inlineStr">
        <is>
          <t>EBIT Margin %</t>
        </is>
      </c>
      <c r="C7" s="20">
        <f>Assumptions!$D$8+(Assumptions!$D$9-Assumptions!$D$8)*(COLUMN()-2)/10</f>
        <v/>
      </c>
      <c r="D7" s="20">
        <f>Assumptions!$D$8+(Assumptions!$D$9-Assumptions!$D$8)*(COLUMN()-2)/10</f>
        <v/>
      </c>
      <c r="E7" s="20">
        <f>Assumptions!$D$8+(Assumptions!$D$9-Assumptions!$D$8)*(COLUMN()-2)/10</f>
        <v/>
      </c>
      <c r="F7" s="20">
        <f>Assumptions!$D$8+(Assumptions!$D$9-Assumptions!$D$8)*(COLUMN()-2)/10</f>
        <v/>
      </c>
      <c r="G7" s="20">
        <f>Assumptions!$D$8+(Assumptions!$D$9-Assumptions!$D$8)*(COLUMN()-2)/10</f>
        <v/>
      </c>
      <c r="H7" s="20">
        <f>Assumptions!$D$8+(Assumptions!$D$9-Assumptions!$D$8)*(COLUMN()-2)/10</f>
        <v/>
      </c>
      <c r="I7" s="20">
        <f>Assumptions!$D$8+(Assumptions!$D$9-Assumptions!$D$8)*(COLUMN()-2)/10</f>
        <v/>
      </c>
      <c r="J7" s="20">
        <f>Assumptions!$D$8+(Assumptions!$D$9-Assumptions!$D$8)*(COLUMN()-2)/10</f>
        <v/>
      </c>
      <c r="K7" s="20">
        <f>Assumptions!$D$8+(Assumptions!$D$9-Assumptions!$D$8)*(COLUMN()-2)/10</f>
        <v/>
      </c>
      <c r="L7" s="20">
        <f>Assumptions!$D$8+(Assumptions!$D$9-Assumptions!$D$8)*(COLUMN()-2)/10</f>
        <v/>
      </c>
      <c r="M7" s="20">
        <f>Assumptions!$D$9</f>
        <v/>
      </c>
    </row>
    <row r="8">
      <c r="A8" s="17" t="inlineStr">
        <is>
          <t>EBIT ($mm)</t>
        </is>
      </c>
      <c r="C8" s="40">
        <f>C4*C7</f>
        <v/>
      </c>
      <c r="D8" s="40">
        <f>D4*D7</f>
        <v/>
      </c>
      <c r="E8" s="40">
        <f>E4*E7</f>
        <v/>
      </c>
      <c r="F8" s="40">
        <f>F4*F7</f>
        <v/>
      </c>
      <c r="G8" s="40">
        <f>G4*G7</f>
        <v/>
      </c>
      <c r="H8" s="40">
        <f>H4*H7</f>
        <v/>
      </c>
      <c r="I8" s="40">
        <f>I4*I7</f>
        <v/>
      </c>
      <c r="J8" s="40">
        <f>J4*J7</f>
        <v/>
      </c>
      <c r="K8" s="40">
        <f>K4*K7</f>
        <v/>
      </c>
      <c r="L8" s="40">
        <f>L4*L7</f>
        <v/>
      </c>
      <c r="M8" s="40">
        <f>M4*M7</f>
        <v/>
      </c>
    </row>
    <row r="9">
      <c r="A9" s="17" t="inlineStr">
        <is>
          <t>EBITDA ($mm)</t>
        </is>
      </c>
      <c r="C9" s="40">
        <f>C8+C14</f>
        <v/>
      </c>
      <c r="D9" s="40">
        <f>D8+D14</f>
        <v/>
      </c>
      <c r="E9" s="40">
        <f>E8+E14</f>
        <v/>
      </c>
      <c r="F9" s="40">
        <f>F8+F14</f>
        <v/>
      </c>
      <c r="G9" s="40">
        <f>G8+G14</f>
        <v/>
      </c>
      <c r="H9" s="40">
        <f>H8+H14</f>
        <v/>
      </c>
      <c r="I9" s="40">
        <f>I8+I14</f>
        <v/>
      </c>
      <c r="J9" s="40">
        <f>J8+J14</f>
        <v/>
      </c>
      <c r="K9" s="40">
        <f>K8+K14</f>
        <v/>
      </c>
      <c r="L9" s="40">
        <f>L8+L14</f>
        <v/>
      </c>
      <c r="M9" s="40">
        <f>M8+M14</f>
        <v/>
      </c>
    </row>
    <row r="10">
      <c r="A10" s="17" t="inlineStr">
        <is>
          <t>Tax Rate %</t>
        </is>
      </c>
      <c r="C10" s="20">
        <f>Assumptions!$D$14+(Assumptions!$D$15-Assumptions!$D$14)*(COLUMN()-2)/10</f>
        <v/>
      </c>
      <c r="D10" s="20">
        <f>Assumptions!$D$14+(Assumptions!$D$15-Assumptions!$D$14)*(COLUMN()-2)/10</f>
        <v/>
      </c>
      <c r="E10" s="20">
        <f>Assumptions!$D$14+(Assumptions!$D$15-Assumptions!$D$14)*(COLUMN()-2)/10</f>
        <v/>
      </c>
      <c r="F10" s="20">
        <f>Assumptions!$D$14+(Assumptions!$D$15-Assumptions!$D$14)*(COLUMN()-2)/10</f>
        <v/>
      </c>
      <c r="G10" s="20">
        <f>Assumptions!$D$14+(Assumptions!$D$15-Assumptions!$D$14)*(COLUMN()-2)/10</f>
        <v/>
      </c>
      <c r="H10" s="20">
        <f>Assumptions!$D$14+(Assumptions!$D$15-Assumptions!$D$14)*(COLUMN()-2)/10</f>
        <v/>
      </c>
      <c r="I10" s="20">
        <f>Assumptions!$D$14+(Assumptions!$D$15-Assumptions!$D$14)*(COLUMN()-2)/10</f>
        <v/>
      </c>
      <c r="J10" s="20">
        <f>Assumptions!$D$14+(Assumptions!$D$15-Assumptions!$D$14)*(COLUMN()-2)/10</f>
        <v/>
      </c>
      <c r="K10" s="20">
        <f>Assumptions!$D$14+(Assumptions!$D$15-Assumptions!$D$14)*(COLUMN()-2)/10</f>
        <v/>
      </c>
      <c r="L10" s="20">
        <f>Assumptions!$D$14+(Assumptions!$D$15-Assumptions!$D$14)*(COLUMN()-2)/10</f>
        <v/>
      </c>
      <c r="M10" s="20">
        <f>Assumptions!$D$15</f>
        <v/>
      </c>
    </row>
    <row r="11">
      <c r="A11" s="30" t="inlineStr">
        <is>
          <t>NOPAT ($mm)</t>
        </is>
      </c>
      <c r="C11" s="40">
        <f>C8*(1-C10)</f>
        <v/>
      </c>
      <c r="D11" s="40">
        <f>D8*(1-D10)</f>
        <v/>
      </c>
      <c r="E11" s="40">
        <f>E8*(1-E10)</f>
        <v/>
      </c>
      <c r="F11" s="40">
        <f>F8*(1-F10)</f>
        <v/>
      </c>
      <c r="G11" s="40">
        <f>G8*(1-G10)</f>
        <v/>
      </c>
      <c r="H11" s="40">
        <f>H8*(1-H10)</f>
        <v/>
      </c>
      <c r="I11" s="40">
        <f>I8*(1-I10)</f>
        <v/>
      </c>
      <c r="J11" s="40">
        <f>J8*(1-J10)</f>
        <v/>
      </c>
      <c r="K11" s="40">
        <f>K8*(1-K10)</f>
        <v/>
      </c>
      <c r="L11" s="40">
        <f>L8*(1-L10)</f>
        <v/>
      </c>
      <c r="M11" s="40">
        <f>M8*(1-M10)</f>
        <v/>
      </c>
    </row>
    <row r="12">
      <c r="A12" s="45" t="inlineStr">
        <is>
          <t>── D&amp;A / CAPEX ──────────────────────────────</t>
        </is>
      </c>
    </row>
    <row r="13">
      <c r="A13" s="17" t="inlineStr">
        <is>
          <t>D&amp;A % Revenue</t>
        </is>
      </c>
      <c r="B13" s="47">
        <f>Assumptions!$D$11</f>
        <v/>
      </c>
      <c r="C13" s="33">
        <f>Assumptions!$D$11</f>
        <v/>
      </c>
      <c r="D13" s="33">
        <f>Assumptions!$D$11</f>
        <v/>
      </c>
      <c r="E13" s="33">
        <f>Assumptions!$D$11</f>
        <v/>
      </c>
      <c r="F13" s="33">
        <f>Assumptions!$D$11</f>
        <v/>
      </c>
      <c r="G13" s="33">
        <f>Assumptions!$D$11</f>
        <v/>
      </c>
      <c r="H13" s="33">
        <f>Assumptions!$D$11</f>
        <v/>
      </c>
      <c r="I13" s="33">
        <f>Assumptions!$D$11</f>
        <v/>
      </c>
      <c r="J13" s="33">
        <f>Assumptions!$D$11</f>
        <v/>
      </c>
      <c r="K13" s="33">
        <f>Assumptions!$D$11</f>
        <v/>
      </c>
      <c r="L13" s="33">
        <f>Assumptions!$D$11</f>
        <v/>
      </c>
      <c r="M13" s="33">
        <f>Assumptions!$D$11</f>
        <v/>
      </c>
    </row>
    <row r="14">
      <c r="A14" s="17" t="inlineStr">
        <is>
          <t>D&amp;A ($mm)</t>
        </is>
      </c>
      <c r="C14" s="40">
        <f>C4*C13</f>
        <v/>
      </c>
      <c r="D14" s="40">
        <f>D4*D13</f>
        <v/>
      </c>
      <c r="E14" s="40">
        <f>E4*E13</f>
        <v/>
      </c>
      <c r="F14" s="40">
        <f>F4*F13</f>
        <v/>
      </c>
      <c r="G14" s="40">
        <f>G4*G13</f>
        <v/>
      </c>
      <c r="H14" s="40">
        <f>H4*H13</f>
        <v/>
      </c>
      <c r="I14" s="40">
        <f>I4*I13</f>
        <v/>
      </c>
      <c r="J14" s="40">
        <f>J4*J13</f>
        <v/>
      </c>
      <c r="K14" s="40">
        <f>K4*K13</f>
        <v/>
      </c>
      <c r="L14" s="40">
        <f>L4*L13</f>
        <v/>
      </c>
      <c r="M14" s="40">
        <f>M4*M13</f>
        <v/>
      </c>
    </row>
    <row r="15">
      <c r="A15" s="17" t="inlineStr">
        <is>
          <t>Capex % Revenue</t>
        </is>
      </c>
      <c r="B15" s="47">
        <f>Assumptions!$D$12</f>
        <v/>
      </c>
      <c r="C15" s="33">
        <f>Assumptions!$D$12</f>
        <v/>
      </c>
      <c r="D15" s="33">
        <f>Assumptions!$D$12</f>
        <v/>
      </c>
      <c r="E15" s="33">
        <f>Assumptions!$D$12</f>
        <v/>
      </c>
      <c r="F15" s="33">
        <f>Assumptions!$D$12</f>
        <v/>
      </c>
      <c r="G15" s="33">
        <f>Assumptions!$D$12</f>
        <v/>
      </c>
      <c r="H15" s="33">
        <f>Assumptions!$D$12</f>
        <v/>
      </c>
      <c r="I15" s="33">
        <f>Assumptions!$D$12</f>
        <v/>
      </c>
      <c r="J15" s="33">
        <f>Assumptions!$D$12</f>
        <v/>
      </c>
      <c r="K15" s="33">
        <f>Assumptions!$D$12</f>
        <v/>
      </c>
      <c r="L15" s="33">
        <f>Assumptions!$D$12</f>
        <v/>
      </c>
    </row>
    <row r="16">
      <c r="A16" s="17" t="inlineStr">
        <is>
          <t>Capex ($mm)</t>
        </is>
      </c>
      <c r="C16" s="40">
        <f>C4*C15</f>
        <v/>
      </c>
      <c r="D16" s="40">
        <f>D4*D15</f>
        <v/>
      </c>
      <c r="E16" s="40">
        <f>E4*E15</f>
        <v/>
      </c>
      <c r="F16" s="40">
        <f>F4*F15</f>
        <v/>
      </c>
      <c r="G16" s="40">
        <f>G4*G15</f>
        <v/>
      </c>
      <c r="H16" s="40">
        <f>H4*H15</f>
        <v/>
      </c>
      <c r="I16" s="40">
        <f>I4*I15</f>
        <v/>
      </c>
      <c r="J16" s="40">
        <f>J4*J15</f>
        <v/>
      </c>
      <c r="K16" s="40">
        <f>K4*K15</f>
        <v/>
      </c>
      <c r="L16" s="40">
        <f>L4*L15</f>
        <v/>
      </c>
    </row>
    <row r="17">
      <c r="A17" s="45" t="inlineStr">
        <is>
          <t>── NWC DRIVERS ──────────────────────────────</t>
        </is>
      </c>
    </row>
    <row r="18">
      <c r="A18" s="17" t="inlineStr">
        <is>
          <t>DSO (days)</t>
        </is>
      </c>
      <c r="B18" s="48">
        <f>Assumptions!$D$17</f>
        <v/>
      </c>
      <c r="C18" s="23">
        <f>Assumptions!$D$17+(Assumptions!$D$18-Assumptions!$D$17)*(COLUMN()-2)/10</f>
        <v/>
      </c>
      <c r="D18" s="23">
        <f>Assumptions!$D$17+(Assumptions!$D$18-Assumptions!$D$17)*(COLUMN()-2)/10</f>
        <v/>
      </c>
      <c r="E18" s="23">
        <f>Assumptions!$D$17+(Assumptions!$D$18-Assumptions!$D$17)*(COLUMN()-2)/10</f>
        <v/>
      </c>
      <c r="F18" s="23">
        <f>Assumptions!$D$17+(Assumptions!$D$18-Assumptions!$D$17)*(COLUMN()-2)/10</f>
        <v/>
      </c>
      <c r="G18" s="23">
        <f>Assumptions!$D$17+(Assumptions!$D$18-Assumptions!$D$17)*(COLUMN()-2)/10</f>
        <v/>
      </c>
      <c r="H18" s="23">
        <f>Assumptions!$D$17+(Assumptions!$D$18-Assumptions!$D$17)*(COLUMN()-2)/10</f>
        <v/>
      </c>
      <c r="I18" s="23">
        <f>Assumptions!$D$17+(Assumptions!$D$18-Assumptions!$D$17)*(COLUMN()-2)/10</f>
        <v/>
      </c>
      <c r="J18" s="23">
        <f>Assumptions!$D$17+(Assumptions!$D$18-Assumptions!$D$17)*(COLUMN()-2)/10</f>
        <v/>
      </c>
      <c r="K18" s="23">
        <f>Assumptions!$D$17+(Assumptions!$D$18-Assumptions!$D$17)*(COLUMN()-2)/10</f>
        <v/>
      </c>
      <c r="L18" s="23">
        <f>Assumptions!$D$17+(Assumptions!$D$18-Assumptions!$D$17)*(COLUMN()-2)/10</f>
        <v/>
      </c>
    </row>
    <row r="19">
      <c r="A19" s="17" t="inlineStr">
        <is>
          <t>DIO (days)</t>
        </is>
      </c>
      <c r="B19" s="48">
        <f>Assumptions!$D$19</f>
        <v/>
      </c>
      <c r="C19" s="23">
        <f>Assumptions!$D$19+(Assumptions!$D$20-Assumptions!$D$19)*(COLUMN()-2)/10</f>
        <v/>
      </c>
      <c r="D19" s="23">
        <f>Assumptions!$D$19+(Assumptions!$D$20-Assumptions!$D$19)*(COLUMN()-2)/10</f>
        <v/>
      </c>
      <c r="E19" s="23">
        <f>Assumptions!$D$19+(Assumptions!$D$20-Assumptions!$D$19)*(COLUMN()-2)/10</f>
        <v/>
      </c>
      <c r="F19" s="23">
        <f>Assumptions!$D$19+(Assumptions!$D$20-Assumptions!$D$19)*(COLUMN()-2)/10</f>
        <v/>
      </c>
      <c r="G19" s="23">
        <f>Assumptions!$D$19+(Assumptions!$D$20-Assumptions!$D$19)*(COLUMN()-2)/10</f>
        <v/>
      </c>
      <c r="H19" s="23">
        <f>Assumptions!$D$19+(Assumptions!$D$20-Assumptions!$D$19)*(COLUMN()-2)/10</f>
        <v/>
      </c>
      <c r="I19" s="23">
        <f>Assumptions!$D$19+(Assumptions!$D$20-Assumptions!$D$19)*(COLUMN()-2)/10</f>
        <v/>
      </c>
      <c r="J19" s="23">
        <f>Assumptions!$D$19+(Assumptions!$D$20-Assumptions!$D$19)*(COLUMN()-2)/10</f>
        <v/>
      </c>
      <c r="K19" s="23">
        <f>Assumptions!$D$19+(Assumptions!$D$20-Assumptions!$D$19)*(COLUMN()-2)/10</f>
        <v/>
      </c>
      <c r="L19" s="23">
        <f>Assumptions!$D$19+(Assumptions!$D$20-Assumptions!$D$19)*(COLUMN()-2)/10</f>
        <v/>
      </c>
    </row>
    <row r="20">
      <c r="A20" s="17" t="inlineStr">
        <is>
          <t>DPO (days)</t>
        </is>
      </c>
      <c r="B20" s="48">
        <f>Assumptions!$D$21</f>
        <v/>
      </c>
      <c r="C20" s="23">
        <f>Assumptions!$D$21+(Assumptions!$D$22-Assumptions!$D$21)*(COLUMN()-2)/10</f>
        <v/>
      </c>
      <c r="D20" s="23">
        <f>Assumptions!$D$21+(Assumptions!$D$22-Assumptions!$D$21)*(COLUMN()-2)/10</f>
        <v/>
      </c>
      <c r="E20" s="23">
        <f>Assumptions!$D$21+(Assumptions!$D$22-Assumptions!$D$21)*(COLUMN()-2)/10</f>
        <v/>
      </c>
      <c r="F20" s="23">
        <f>Assumptions!$D$21+(Assumptions!$D$22-Assumptions!$D$21)*(COLUMN()-2)/10</f>
        <v/>
      </c>
      <c r="G20" s="23">
        <f>Assumptions!$D$21+(Assumptions!$D$22-Assumptions!$D$21)*(COLUMN()-2)/10</f>
        <v/>
      </c>
      <c r="H20" s="23">
        <f>Assumptions!$D$21+(Assumptions!$D$22-Assumptions!$D$21)*(COLUMN()-2)/10</f>
        <v/>
      </c>
      <c r="I20" s="23">
        <f>Assumptions!$D$21+(Assumptions!$D$22-Assumptions!$D$21)*(COLUMN()-2)/10</f>
        <v/>
      </c>
      <c r="J20" s="23">
        <f>Assumptions!$D$21+(Assumptions!$D$22-Assumptions!$D$21)*(COLUMN()-2)/10</f>
        <v/>
      </c>
      <c r="K20" s="23">
        <f>Assumptions!$D$21+(Assumptions!$D$22-Assumptions!$D$21)*(COLUMN()-2)/10</f>
        <v/>
      </c>
      <c r="L20" s="23">
        <f>Assumptions!$D$21+(Assumptions!$D$22-Assumptions!$D$21)*(COLUMN()-2)/10</f>
        <v/>
      </c>
    </row>
    <row r="21">
      <c r="A21" s="17" t="inlineStr">
        <is>
          <t>AR ($mm)</t>
        </is>
      </c>
      <c r="B21" s="40">
        <f>B4/365*B18</f>
        <v/>
      </c>
      <c r="C21" s="40">
        <f>C4/365*C18</f>
        <v/>
      </c>
      <c r="D21" s="40">
        <f>D4/365*D18</f>
        <v/>
      </c>
      <c r="E21" s="40">
        <f>E4/365*E18</f>
        <v/>
      </c>
      <c r="F21" s="40">
        <f>F4/365*F18</f>
        <v/>
      </c>
      <c r="G21" s="40">
        <f>G4/365*G18</f>
        <v/>
      </c>
      <c r="H21" s="40">
        <f>H4/365*H18</f>
        <v/>
      </c>
      <c r="I21" s="40">
        <f>I4/365*I18</f>
        <v/>
      </c>
      <c r="J21" s="40">
        <f>J4/365*J18</f>
        <v/>
      </c>
      <c r="K21" s="40">
        <f>K4/365*K18</f>
        <v/>
      </c>
      <c r="L21" s="40">
        <f>L4/365*L18</f>
        <v/>
      </c>
    </row>
    <row r="22">
      <c r="A22" s="17" t="inlineStr">
        <is>
          <t>Inventory ($mm)</t>
        </is>
      </c>
      <c r="B22" s="40">
        <f>B4/365*B19</f>
        <v/>
      </c>
      <c r="C22" s="40">
        <f>C4/365*C19</f>
        <v/>
      </c>
      <c r="D22" s="40">
        <f>D4/365*D19</f>
        <v/>
      </c>
      <c r="E22" s="40">
        <f>E4/365*E19</f>
        <v/>
      </c>
      <c r="F22" s="40">
        <f>F4/365*F19</f>
        <v/>
      </c>
      <c r="G22" s="40">
        <f>G4/365*G19</f>
        <v/>
      </c>
      <c r="H22" s="40">
        <f>H4/365*H19</f>
        <v/>
      </c>
      <c r="I22" s="40">
        <f>I4/365*I19</f>
        <v/>
      </c>
      <c r="J22" s="40">
        <f>J4/365*J19</f>
        <v/>
      </c>
      <c r="K22" s="40">
        <f>K4/365*K19</f>
        <v/>
      </c>
      <c r="L22" s="40">
        <f>L4/365*L19</f>
        <v/>
      </c>
    </row>
    <row r="23">
      <c r="A23" s="17" t="inlineStr">
        <is>
          <t>AP ($mm)</t>
        </is>
      </c>
      <c r="B23" s="40">
        <f>B4/365*B20</f>
        <v/>
      </c>
      <c r="C23" s="40">
        <f>C4/365*C20</f>
        <v/>
      </c>
      <c r="D23" s="40">
        <f>D4/365*D20</f>
        <v/>
      </c>
      <c r="E23" s="40">
        <f>E4/365*E20</f>
        <v/>
      </c>
      <c r="F23" s="40">
        <f>F4/365*F20</f>
        <v/>
      </c>
      <c r="G23" s="40">
        <f>G4/365*G20</f>
        <v/>
      </c>
      <c r="H23" s="40">
        <f>H4/365*H20</f>
        <v/>
      </c>
      <c r="I23" s="40">
        <f>I4/365*I20</f>
        <v/>
      </c>
      <c r="J23" s="40">
        <f>J4/365*J20</f>
        <v/>
      </c>
      <c r="K23" s="40">
        <f>K4/365*K20</f>
        <v/>
      </c>
      <c r="L23" s="40">
        <f>L4/365*L20</f>
        <v/>
      </c>
    </row>
    <row r="24">
      <c r="A24" s="17" t="inlineStr">
        <is>
          <t>NWC ($mm)</t>
        </is>
      </c>
      <c r="B24" s="40">
        <f>B21+B22-B23</f>
        <v/>
      </c>
      <c r="C24" s="40">
        <f>C21+C22-C23</f>
        <v/>
      </c>
      <c r="D24" s="40">
        <f>D21+D22-D23</f>
        <v/>
      </c>
      <c r="E24" s="40">
        <f>E21+E22-E23</f>
        <v/>
      </c>
      <c r="F24" s="40">
        <f>F21+F22-F23</f>
        <v/>
      </c>
      <c r="G24" s="40">
        <f>G21+G22-G23</f>
        <v/>
      </c>
      <c r="H24" s="40">
        <f>H21+H22-H23</f>
        <v/>
      </c>
      <c r="I24" s="40">
        <f>I21+I22-I23</f>
        <v/>
      </c>
      <c r="J24" s="40">
        <f>J21+J22-J23</f>
        <v/>
      </c>
      <c r="K24" s="40">
        <f>K21+K22-K23</f>
        <v/>
      </c>
      <c r="L24" s="40">
        <f>L21+L22-L23</f>
        <v/>
      </c>
    </row>
    <row r="25">
      <c r="A25" s="17" t="inlineStr">
        <is>
          <t>ΔNWC ($mm)</t>
        </is>
      </c>
      <c r="C25" s="40">
        <f>C24-B24</f>
        <v/>
      </c>
      <c r="D25" s="40">
        <f>D24-C24</f>
        <v/>
      </c>
      <c r="E25" s="40">
        <f>E24-D24</f>
        <v/>
      </c>
      <c r="F25" s="40">
        <f>F24-E24</f>
        <v/>
      </c>
      <c r="G25" s="40">
        <f>G24-F24</f>
        <v/>
      </c>
      <c r="H25" s="40">
        <f>H24-G24</f>
        <v/>
      </c>
      <c r="I25" s="40">
        <f>I24-H24</f>
        <v/>
      </c>
      <c r="J25" s="40">
        <f>J24-I24</f>
        <v/>
      </c>
      <c r="K25" s="40">
        <f>K24-J24</f>
        <v/>
      </c>
      <c r="L25" s="40">
        <f>L24-K24</f>
        <v/>
      </c>
    </row>
    <row r="26">
      <c r="A26" s="45" t="inlineStr">
        <is>
          <t>── FREE CASH FLOW ───────────────────────────</t>
        </is>
      </c>
    </row>
    <row r="27">
      <c r="A27" s="30" t="inlineStr">
        <is>
          <t>FCFF ($mm)</t>
        </is>
      </c>
      <c r="C27" s="40">
        <f>C11+C14-C16-C25</f>
        <v/>
      </c>
      <c r="D27" s="40">
        <f>D11+D14-D16-D25</f>
        <v/>
      </c>
      <c r="E27" s="40">
        <f>E11+E14-E16-E25</f>
        <v/>
      </c>
      <c r="F27" s="40">
        <f>F11+F14-F16-F25</f>
        <v/>
      </c>
      <c r="G27" s="40">
        <f>G11+G14-G16-G25</f>
        <v/>
      </c>
      <c r="H27" s="40">
        <f>H11+H14-H16-H25</f>
        <v/>
      </c>
      <c r="I27" s="40">
        <f>I11+I14-I16-I25</f>
        <v/>
      </c>
      <c r="J27" s="40">
        <f>J11+J14-J16-J25</f>
        <v/>
      </c>
      <c r="K27" s="40">
        <f>K11+K14-K16-K25</f>
        <v/>
      </c>
      <c r="L27" s="40">
        <f>L11+L14-L16-L25</f>
        <v/>
      </c>
    </row>
    <row r="28">
      <c r="A28" s="17" t="inlineStr">
        <is>
          <t>Discount Factor</t>
        </is>
      </c>
      <c r="C28" s="49">
        <f>1/(1+Assumptions!$D$37)^1</f>
        <v/>
      </c>
      <c r="D28" s="49">
        <f>1/(1+Assumptions!$D$37)^2</f>
        <v/>
      </c>
      <c r="E28" s="49">
        <f>1/(1+Assumptions!$D$37)^3</f>
        <v/>
      </c>
      <c r="F28" s="49">
        <f>1/(1+Assumptions!$D$37)^4</f>
        <v/>
      </c>
      <c r="G28" s="49">
        <f>1/(1+Assumptions!$D$37)^5</f>
        <v/>
      </c>
      <c r="H28" s="49">
        <f>1/(1+Assumptions!$D$37)^6</f>
        <v/>
      </c>
      <c r="I28" s="49">
        <f>1/(1+Assumptions!$D$37)^7</f>
        <v/>
      </c>
      <c r="J28" s="49">
        <f>1/(1+Assumptions!$D$37)^8</f>
        <v/>
      </c>
      <c r="K28" s="49">
        <f>1/(1+Assumptions!$D$37)^9</f>
        <v/>
      </c>
      <c r="L28" s="49">
        <f>1/(1+Assumptions!$D$37)^10</f>
        <v/>
      </c>
      <c r="M28" s="49">
        <f>1/(1+Assumptions!$D$37)^10</f>
        <v/>
      </c>
    </row>
    <row r="29">
      <c r="A29" s="30" t="inlineStr">
        <is>
          <t>PV FCFF ($mm)</t>
        </is>
      </c>
      <c r="C29" s="40">
        <f>C27*C28</f>
        <v/>
      </c>
      <c r="D29" s="40">
        <f>D27*D28</f>
        <v/>
      </c>
      <c r="E29" s="40">
        <f>E27*E28</f>
        <v/>
      </c>
      <c r="F29" s="40">
        <f>F27*F28</f>
        <v/>
      </c>
      <c r="G29" s="40">
        <f>G27*G28</f>
        <v/>
      </c>
      <c r="H29" s="40">
        <f>H27*H28</f>
        <v/>
      </c>
      <c r="I29" s="40">
        <f>I27*I28</f>
        <v/>
      </c>
      <c r="J29" s="40">
        <f>J27*J28</f>
        <v/>
      </c>
      <c r="K29" s="40">
        <f>K27*K28</f>
        <v/>
      </c>
      <c r="L29" s="40">
        <f>L27*L28</f>
        <v/>
      </c>
    </row>
    <row r="30">
      <c r="A30" s="17" t="inlineStr">
        <is>
          <t>Cumulative PV FCFF ($mm)</t>
        </is>
      </c>
      <c r="C30" s="40">
        <f>C29</f>
        <v/>
      </c>
      <c r="D30" s="40">
        <f>C30+D29</f>
        <v/>
      </c>
      <c r="E30" s="40">
        <f>D30+E29</f>
        <v/>
      </c>
      <c r="F30" s="40">
        <f>E30+F29</f>
        <v/>
      </c>
      <c r="G30" s="40">
        <f>F30+G29</f>
        <v/>
      </c>
      <c r="H30" s="40">
        <f>G30+H29</f>
        <v/>
      </c>
      <c r="I30" s="40">
        <f>H30+I29</f>
        <v/>
      </c>
      <c r="J30" s="40">
        <f>I30+J29</f>
        <v/>
      </c>
      <c r="K30" s="40">
        <f>J30+K29</f>
        <v/>
      </c>
      <c r="L30" s="40">
        <f>K30+L29</f>
        <v/>
      </c>
    </row>
    <row r="31">
      <c r="A31" s="45" t="inlineStr">
        <is>
          <t>── RETURNS ──────────────────────────────────</t>
        </is>
      </c>
    </row>
    <row r="32">
      <c r="A32" s="17" t="inlineStr">
        <is>
          <t>Invested Capital ($mm)</t>
        </is>
      </c>
      <c r="B32" s="46">
        <f>Assumptions!$D$41</f>
        <v/>
      </c>
      <c r="C32" s="40">
        <f>B32+C16+C25-C14</f>
        <v/>
      </c>
      <c r="D32" s="40">
        <f>C32+D16+D25-D14</f>
        <v/>
      </c>
      <c r="E32" s="40">
        <f>D32+E16+E25-E14</f>
        <v/>
      </c>
      <c r="F32" s="40">
        <f>E32+F16+F25-F14</f>
        <v/>
      </c>
      <c r="G32" s="40">
        <f>F32+G16+G25-G14</f>
        <v/>
      </c>
      <c r="H32" s="40">
        <f>G32+H16+H25-H14</f>
        <v/>
      </c>
      <c r="I32" s="40">
        <f>H32+I16+I25-I14</f>
        <v/>
      </c>
      <c r="J32" s="40">
        <f>I32+J16+J25-J14</f>
        <v/>
      </c>
      <c r="K32" s="40">
        <f>J32+K16+K25-K14</f>
        <v/>
      </c>
      <c r="L32" s="40">
        <f>K32+L16+L25-L14</f>
        <v/>
      </c>
    </row>
    <row r="33">
      <c r="A33" s="30" t="inlineStr">
        <is>
          <t>ROIC %</t>
        </is>
      </c>
      <c r="C33" s="20">
        <f>C11/B32</f>
        <v/>
      </c>
      <c r="D33" s="20">
        <f>D11/C32</f>
        <v/>
      </c>
      <c r="E33" s="20">
        <f>E11/D32</f>
        <v/>
      </c>
      <c r="F33" s="20">
        <f>F11/E32</f>
        <v/>
      </c>
      <c r="G33" s="20">
        <f>G11/F32</f>
        <v/>
      </c>
      <c r="H33" s="20">
        <f>H11/G32</f>
        <v/>
      </c>
      <c r="I33" s="20">
        <f>I11/H32</f>
        <v/>
      </c>
      <c r="J33" s="20">
        <f>J11/I32</f>
        <v/>
      </c>
      <c r="K33" s="20">
        <f>K11/J32</f>
        <v/>
      </c>
      <c r="L33" s="20">
        <f>L11/K32</f>
        <v/>
      </c>
    </row>
    <row r="34">
      <c r="A34" s="17" t="inlineStr">
        <is>
          <t>Economic Profit ($mm)</t>
        </is>
      </c>
      <c r="C34" s="40">
        <f>C11-B32*Assumptions!$D$37</f>
        <v/>
      </c>
      <c r="D34" s="40">
        <f>D11-C32*Assumptions!$D$37</f>
        <v/>
      </c>
      <c r="E34" s="40">
        <f>E11-D32*Assumptions!$D$37</f>
        <v/>
      </c>
      <c r="F34" s="40">
        <f>F11-E32*Assumptions!$D$37</f>
        <v/>
      </c>
      <c r="G34" s="40">
        <f>G11-F32*Assumptions!$D$37</f>
        <v/>
      </c>
      <c r="H34" s="40">
        <f>H11-G32*Assumptions!$D$37</f>
        <v/>
      </c>
      <c r="I34" s="40">
        <f>I11-H32*Assumptions!$D$37</f>
        <v/>
      </c>
      <c r="J34" s="40">
        <f>J11-I32*Assumptions!$D$37</f>
        <v/>
      </c>
      <c r="K34" s="40">
        <f>K11-J32*Assumptions!$D$37</f>
        <v/>
      </c>
      <c r="L34" s="40">
        <f>L11-K32*Assumptions!$D$37</f>
        <v/>
      </c>
    </row>
    <row r="35" ht="16" customHeight="1">
      <c r="A35" s="50" t="inlineStr">
        <is>
          <t xml:space="preserve">  TERMINAL VALUE &amp; EV SUMMARY</t>
        </is>
      </c>
      <c r="B35" s="51" t="n"/>
      <c r="C35" s="51" t="n"/>
      <c r="D35" s="51" t="n"/>
      <c r="E35" s="51" t="n"/>
      <c r="F35" s="51" t="n"/>
    </row>
    <row r="36">
      <c r="A36" s="17" t="inlineStr">
        <is>
          <t>Gordon Growth TV ($mm)</t>
        </is>
      </c>
      <c r="M36" s="40">
        <f>IF(Assumptions!$D$37&gt;Assumptions!$D$6,M11*(1-Assumptions!$D$6/Assumptions!$D$25)/(Assumptions!$D$37-Assumptions!$D$6),0)</f>
        <v/>
      </c>
    </row>
    <row r="37">
      <c r="A37" s="17" t="inlineStr">
        <is>
          <t>Exit Multiple TV ($mm)</t>
        </is>
      </c>
      <c r="M37" s="40">
        <f>L9*Assumptions!$D$24</f>
        <v/>
      </c>
    </row>
    <row r="38">
      <c r="A38" s="17" t="inlineStr">
        <is>
          <t>Blended TV ($mm)</t>
        </is>
      </c>
      <c r="M38" s="40">
        <f>(M36+M37)/2</f>
        <v/>
      </c>
    </row>
    <row r="39">
      <c r="A39" s="17" t="inlineStr">
        <is>
          <t>PV of Blended TV ($mm)</t>
        </is>
      </c>
      <c r="M39" s="40">
        <f>M38*L28</f>
        <v/>
      </c>
    </row>
    <row r="41">
      <c r="A41" s="30" t="inlineStr">
        <is>
          <t>Sum PV FCFF ($mm)</t>
        </is>
      </c>
      <c r="M41" s="52">
        <f>L30</f>
        <v/>
      </c>
    </row>
    <row r="42">
      <c r="A42" s="30" t="inlineStr">
        <is>
          <t>EV Operations ($mm)</t>
        </is>
      </c>
      <c r="M42" s="52">
        <f>M41+M39</f>
        <v/>
      </c>
    </row>
    <row r="43">
      <c r="A43" s="17" t="inlineStr">
        <is>
          <t>TV % of EV</t>
        </is>
      </c>
      <c r="M43" s="20">
        <f>IF(M42&gt;0,M39/M42,0)</f>
        <v/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E0700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BEAR SCENARIO  |  IBM Valuation</t>
        </is>
      </c>
    </row>
    <row r="2" ht="16" customHeight="1">
      <c r="A2" s="53" t="inlineStr">
        <is>
          <t xml:space="preserve">  SCENARIO PARAMETERS</t>
        </is>
      </c>
      <c r="B2" s="54" t="n"/>
      <c r="C2" s="54" t="n"/>
    </row>
    <row r="3">
      <c r="A3" s="55" t="inlineStr">
        <is>
          <t>Growth Multiplier</t>
        </is>
      </c>
      <c r="B3" s="56" t="n">
        <v>0.6</v>
      </c>
    </row>
    <row r="4">
      <c r="A4" s="55" t="inlineStr">
        <is>
          <t>EBIT Margin Multiplier</t>
        </is>
      </c>
      <c r="B4" s="56" t="n">
        <v>0.75</v>
      </c>
    </row>
    <row r="5">
      <c r="A5" s="55" t="inlineStr">
        <is>
          <t>Capex Multiplier</t>
        </is>
      </c>
      <c r="B5" s="56" t="n">
        <v>1.2</v>
      </c>
    </row>
    <row r="6">
      <c r="A6" s="55" t="inlineStr">
        <is>
          <t>WACC Adjustment (add)</t>
        </is>
      </c>
      <c r="B6" s="57" t="n">
        <v>0.02</v>
      </c>
    </row>
    <row r="7">
      <c r="A7" s="55" t="inlineStr">
        <is>
          <t>Exit Multiple Multiplier</t>
        </is>
      </c>
      <c r="B7" s="56" t="n">
        <v>0.7</v>
      </c>
    </row>
    <row r="9" ht="18" customHeight="1">
      <c r="A9" s="1" t="inlineStr">
        <is>
          <t xml:space="preserve">  10-YEAR FCFF PROJECTION  ($mm)</t>
        </is>
      </c>
      <c r="B9" s="44" t="inlineStr">
        <is>
          <t>LTM</t>
        </is>
      </c>
      <c r="C9" s="44" t="inlineStr">
        <is>
          <t>Y1</t>
        </is>
      </c>
      <c r="D9" s="44" t="inlineStr">
        <is>
          <t>Y2</t>
        </is>
      </c>
      <c r="E9" s="44" t="inlineStr">
        <is>
          <t>Y3</t>
        </is>
      </c>
      <c r="F9" s="44" t="inlineStr">
        <is>
          <t>Y4</t>
        </is>
      </c>
      <c r="G9" s="44" t="inlineStr">
        <is>
          <t>Y5</t>
        </is>
      </c>
      <c r="H9" s="44" t="inlineStr">
        <is>
          <t>Y6</t>
        </is>
      </c>
      <c r="I9" s="44" t="inlineStr">
        <is>
          <t>Y7</t>
        </is>
      </c>
      <c r="J9" s="44" t="inlineStr">
        <is>
          <t>Y8</t>
        </is>
      </c>
      <c r="K9" s="44" t="inlineStr">
        <is>
          <t>Y9</t>
        </is>
      </c>
      <c r="L9" s="44" t="inlineStr">
        <is>
          <t>Y10</t>
        </is>
      </c>
      <c r="M9" s="44" t="inlineStr">
        <is>
          <t>Terminal</t>
        </is>
      </c>
      <c r="N9" s="14" t="n"/>
    </row>
    <row r="10">
      <c r="A10" s="45" t="inlineStr">
        <is>
          <t>── REVENUE ─────────────────────────────────</t>
        </is>
      </c>
    </row>
    <row r="11">
      <c r="A11" s="30" t="inlineStr">
        <is>
          <t>Revenue ($mm)</t>
        </is>
      </c>
      <c r="B11" s="46">
        <f>Assumptions!$D$3</f>
        <v/>
      </c>
      <c r="C11" s="40">
        <f>B11*(1+Assumptions!$D$4*$B$3)</f>
        <v/>
      </c>
      <c r="D11" s="40">
        <f>C11*(1+Assumptions!$D$4*$B$3)</f>
        <v/>
      </c>
      <c r="E11" s="40">
        <f>D11*(1+Assumptions!$D$4*$B$3)</f>
        <v/>
      </c>
      <c r="F11" s="40">
        <f>E11*(1+Assumptions!$D$4*$B$3)</f>
        <v/>
      </c>
      <c r="G11" s="40">
        <f>F11*(1+Assumptions!$D$4*$B$3)</f>
        <v/>
      </c>
      <c r="H11" s="40">
        <f>G11*(1+Assumptions!$D$5*$B$3)</f>
        <v/>
      </c>
      <c r="I11" s="40">
        <f>H11*(1+Assumptions!$D$5*$B$3)</f>
        <v/>
      </c>
      <c r="J11" s="40">
        <f>I11*(1+Assumptions!$D$5*$B$3)</f>
        <v/>
      </c>
      <c r="K11" s="40">
        <f>J11*(1+Assumptions!$D$5*$B$3)</f>
        <v/>
      </c>
      <c r="L11" s="40">
        <f>K11*(1+Assumptions!$D$5*$B$3)</f>
        <v/>
      </c>
      <c r="M11" s="40">
        <f>L11*(1+Assumptions!$D$6)</f>
        <v/>
      </c>
    </row>
    <row r="12">
      <c r="A12" s="17" t="inlineStr">
        <is>
          <t>Revenue Growth %</t>
        </is>
      </c>
      <c r="C12" s="20">
        <f>C11/B11-1</f>
        <v/>
      </c>
      <c r="D12" s="20">
        <f>D11/C11-1</f>
        <v/>
      </c>
      <c r="E12" s="20">
        <f>E11/D11-1</f>
        <v/>
      </c>
      <c r="F12" s="20">
        <f>F11/E11-1</f>
        <v/>
      </c>
      <c r="G12" s="20">
        <f>G11/F11-1</f>
        <v/>
      </c>
      <c r="H12" s="20">
        <f>H11/G11-1</f>
        <v/>
      </c>
      <c r="I12" s="20">
        <f>I11/H11-1</f>
        <v/>
      </c>
      <c r="J12" s="20">
        <f>J11/I11-1</f>
        <v/>
      </c>
      <c r="K12" s="20">
        <f>K11/J11-1</f>
        <v/>
      </c>
      <c r="L12" s="20">
        <f>L11/K11-1</f>
        <v/>
      </c>
      <c r="M12" s="20">
        <f>M11/L11-1</f>
        <v/>
      </c>
    </row>
    <row r="13">
      <c r="A13" s="45" t="inlineStr">
        <is>
          <t>── PROFITABILITY ────────────────────────────</t>
        </is>
      </c>
    </row>
    <row r="14">
      <c r="A14" s="17" t="inlineStr">
        <is>
          <t>EBIT Margin %</t>
        </is>
      </c>
      <c r="C14" s="20">
        <f>Assumptions!$D$8+(Assumptions!$D$9*$B$4-Assumptions!$D$8)*(COLUMN()-2)/10</f>
        <v/>
      </c>
      <c r="D14" s="20">
        <f>Assumptions!$D$8+(Assumptions!$D$9*$B$4-Assumptions!$D$8)*(COLUMN()-2)/10</f>
        <v/>
      </c>
      <c r="E14" s="20">
        <f>Assumptions!$D$8+(Assumptions!$D$9*$B$4-Assumptions!$D$8)*(COLUMN()-2)/10</f>
        <v/>
      </c>
      <c r="F14" s="20">
        <f>Assumptions!$D$8+(Assumptions!$D$9*$B$4-Assumptions!$D$8)*(COLUMN()-2)/10</f>
        <v/>
      </c>
      <c r="G14" s="20">
        <f>Assumptions!$D$8+(Assumptions!$D$9*$B$4-Assumptions!$D$8)*(COLUMN()-2)/10</f>
        <v/>
      </c>
      <c r="H14" s="20">
        <f>Assumptions!$D$8+(Assumptions!$D$9*$B$4-Assumptions!$D$8)*(COLUMN()-2)/10</f>
        <v/>
      </c>
      <c r="I14" s="20">
        <f>Assumptions!$D$8+(Assumptions!$D$9*$B$4-Assumptions!$D$8)*(COLUMN()-2)/10</f>
        <v/>
      </c>
      <c r="J14" s="20">
        <f>Assumptions!$D$8+(Assumptions!$D$9*$B$4-Assumptions!$D$8)*(COLUMN()-2)/10</f>
        <v/>
      </c>
      <c r="K14" s="20">
        <f>Assumptions!$D$8+(Assumptions!$D$9*$B$4-Assumptions!$D$8)*(COLUMN()-2)/10</f>
        <v/>
      </c>
      <c r="L14" s="20">
        <f>Assumptions!$D$8+(Assumptions!$D$9*$B$4-Assumptions!$D$8)*(COLUMN()-2)/10</f>
        <v/>
      </c>
      <c r="M14" s="20">
        <f>Assumptions!$D$9</f>
        <v/>
      </c>
    </row>
    <row r="15">
      <c r="A15" s="17" t="inlineStr">
        <is>
          <t>EBIT ($mm)</t>
        </is>
      </c>
      <c r="C15" s="40">
        <f>C11*C14</f>
        <v/>
      </c>
      <c r="D15" s="40">
        <f>D11*D14</f>
        <v/>
      </c>
      <c r="E15" s="40">
        <f>E11*E14</f>
        <v/>
      </c>
      <c r="F15" s="40">
        <f>F11*F14</f>
        <v/>
      </c>
      <c r="G15" s="40">
        <f>G11*G14</f>
        <v/>
      </c>
      <c r="H15" s="40">
        <f>H11*H14</f>
        <v/>
      </c>
      <c r="I15" s="40">
        <f>I11*I14</f>
        <v/>
      </c>
      <c r="J15" s="40">
        <f>J11*J14</f>
        <v/>
      </c>
      <c r="K15" s="40">
        <f>K11*K14</f>
        <v/>
      </c>
      <c r="L15" s="40">
        <f>L11*L14</f>
        <v/>
      </c>
      <c r="M15" s="40">
        <f>M11*M14</f>
        <v/>
      </c>
    </row>
    <row r="16">
      <c r="A16" s="17" t="inlineStr">
        <is>
          <t>EBITDA ($mm)</t>
        </is>
      </c>
      <c r="C16" s="40">
        <f>C15+C21</f>
        <v/>
      </c>
      <c r="D16" s="40">
        <f>D15+D21</f>
        <v/>
      </c>
      <c r="E16" s="40">
        <f>E15+E21</f>
        <v/>
      </c>
      <c r="F16" s="40">
        <f>F15+F21</f>
        <v/>
      </c>
      <c r="G16" s="40">
        <f>G15+G21</f>
        <v/>
      </c>
      <c r="H16" s="40">
        <f>H15+H21</f>
        <v/>
      </c>
      <c r="I16" s="40">
        <f>I15+I21</f>
        <v/>
      </c>
      <c r="J16" s="40">
        <f>J15+J21</f>
        <v/>
      </c>
      <c r="K16" s="40">
        <f>K15+K21</f>
        <v/>
      </c>
      <c r="L16" s="40">
        <f>L15+L21</f>
        <v/>
      </c>
      <c r="M16" s="40">
        <f>M15+M21</f>
        <v/>
      </c>
    </row>
    <row r="17">
      <c r="A17" s="17" t="inlineStr">
        <is>
          <t>Tax Rate %</t>
        </is>
      </c>
      <c r="C17" s="20">
        <f>Assumptions!$D$14+(Assumptions!$D$15-Assumptions!$D$14)*(COLUMN()-2)/10</f>
        <v/>
      </c>
      <c r="D17" s="20">
        <f>Assumptions!$D$14+(Assumptions!$D$15-Assumptions!$D$14)*(COLUMN()-2)/10</f>
        <v/>
      </c>
      <c r="E17" s="20">
        <f>Assumptions!$D$14+(Assumptions!$D$15-Assumptions!$D$14)*(COLUMN()-2)/10</f>
        <v/>
      </c>
      <c r="F17" s="20">
        <f>Assumptions!$D$14+(Assumptions!$D$15-Assumptions!$D$14)*(COLUMN()-2)/10</f>
        <v/>
      </c>
      <c r="G17" s="20">
        <f>Assumptions!$D$14+(Assumptions!$D$15-Assumptions!$D$14)*(COLUMN()-2)/10</f>
        <v/>
      </c>
      <c r="H17" s="20">
        <f>Assumptions!$D$14+(Assumptions!$D$15-Assumptions!$D$14)*(COLUMN()-2)/10</f>
        <v/>
      </c>
      <c r="I17" s="20">
        <f>Assumptions!$D$14+(Assumptions!$D$15-Assumptions!$D$14)*(COLUMN()-2)/10</f>
        <v/>
      </c>
      <c r="J17" s="20">
        <f>Assumptions!$D$14+(Assumptions!$D$15-Assumptions!$D$14)*(COLUMN()-2)/10</f>
        <v/>
      </c>
      <c r="K17" s="20">
        <f>Assumptions!$D$14+(Assumptions!$D$15-Assumptions!$D$14)*(COLUMN()-2)/10</f>
        <v/>
      </c>
      <c r="L17" s="20">
        <f>Assumptions!$D$14+(Assumptions!$D$15-Assumptions!$D$14)*(COLUMN()-2)/10</f>
        <v/>
      </c>
      <c r="M17" s="20">
        <f>Assumptions!$D$15</f>
        <v/>
      </c>
    </row>
    <row r="18">
      <c r="A18" s="30" t="inlineStr">
        <is>
          <t>NOPAT ($mm)</t>
        </is>
      </c>
      <c r="C18" s="40">
        <f>C15*(1-C17)</f>
        <v/>
      </c>
      <c r="D18" s="40">
        <f>D15*(1-D17)</f>
        <v/>
      </c>
      <c r="E18" s="40">
        <f>E15*(1-E17)</f>
        <v/>
      </c>
      <c r="F18" s="40">
        <f>F15*(1-F17)</f>
        <v/>
      </c>
      <c r="G18" s="40">
        <f>G15*(1-G17)</f>
        <v/>
      </c>
      <c r="H18" s="40">
        <f>H15*(1-H17)</f>
        <v/>
      </c>
      <c r="I18" s="40">
        <f>I15*(1-I17)</f>
        <v/>
      </c>
      <c r="J18" s="40">
        <f>J15*(1-J17)</f>
        <v/>
      </c>
      <c r="K18" s="40">
        <f>K15*(1-K17)</f>
        <v/>
      </c>
      <c r="L18" s="40">
        <f>L15*(1-L17)</f>
        <v/>
      </c>
      <c r="M18" s="40">
        <f>M15*(1-M17)</f>
        <v/>
      </c>
    </row>
    <row r="19">
      <c r="A19" s="45" t="inlineStr">
        <is>
          <t>── D&amp;A / CAPEX ──────────────────────────────</t>
        </is>
      </c>
    </row>
    <row r="20">
      <c r="A20" s="17" t="inlineStr">
        <is>
          <t>D&amp;A % Revenue</t>
        </is>
      </c>
      <c r="B20" s="47">
        <f>Assumptions!$D$11</f>
        <v/>
      </c>
      <c r="C20" s="33">
        <f>Assumptions!$D$11</f>
        <v/>
      </c>
      <c r="D20" s="33">
        <f>Assumptions!$D$11</f>
        <v/>
      </c>
      <c r="E20" s="33">
        <f>Assumptions!$D$11</f>
        <v/>
      </c>
      <c r="F20" s="33">
        <f>Assumptions!$D$11</f>
        <v/>
      </c>
      <c r="G20" s="33">
        <f>Assumptions!$D$11</f>
        <v/>
      </c>
      <c r="H20" s="33">
        <f>Assumptions!$D$11</f>
        <v/>
      </c>
      <c r="I20" s="33">
        <f>Assumptions!$D$11</f>
        <v/>
      </c>
      <c r="J20" s="33">
        <f>Assumptions!$D$11</f>
        <v/>
      </c>
      <c r="K20" s="33">
        <f>Assumptions!$D$11</f>
        <v/>
      </c>
      <c r="L20" s="33">
        <f>Assumptions!$D$11</f>
        <v/>
      </c>
      <c r="M20" s="33">
        <f>Assumptions!$D$11</f>
        <v/>
      </c>
    </row>
    <row r="21">
      <c r="A21" s="17" t="inlineStr">
        <is>
          <t>D&amp;A ($mm)</t>
        </is>
      </c>
      <c r="C21" s="40">
        <f>C11*C20</f>
        <v/>
      </c>
      <c r="D21" s="40">
        <f>D11*D20</f>
        <v/>
      </c>
      <c r="E21" s="40">
        <f>E11*E20</f>
        <v/>
      </c>
      <c r="F21" s="40">
        <f>F11*F20</f>
        <v/>
      </c>
      <c r="G21" s="40">
        <f>G11*G20</f>
        <v/>
      </c>
      <c r="H21" s="40">
        <f>H11*H20</f>
        <v/>
      </c>
      <c r="I21" s="40">
        <f>I11*I20</f>
        <v/>
      </c>
      <c r="J21" s="40">
        <f>J11*J20</f>
        <v/>
      </c>
      <c r="K21" s="40">
        <f>K11*K20</f>
        <v/>
      </c>
      <c r="L21" s="40">
        <f>L11*L20</f>
        <v/>
      </c>
      <c r="M21" s="40">
        <f>M11*M20</f>
        <v/>
      </c>
    </row>
    <row r="22">
      <c r="A22" s="17" t="inlineStr">
        <is>
          <t>Capex % Revenue</t>
        </is>
      </c>
      <c r="B22" s="47">
        <f>Assumptions!$D$12</f>
        <v/>
      </c>
      <c r="C22" s="33">
        <f>Assumptions!$D$12*$B$5</f>
        <v/>
      </c>
      <c r="D22" s="33">
        <f>Assumptions!$D$12*$B$5</f>
        <v/>
      </c>
      <c r="E22" s="33">
        <f>Assumptions!$D$12*$B$5</f>
        <v/>
      </c>
      <c r="F22" s="33">
        <f>Assumptions!$D$12*$B$5</f>
        <v/>
      </c>
      <c r="G22" s="33">
        <f>Assumptions!$D$12*$B$5</f>
        <v/>
      </c>
      <c r="H22" s="33">
        <f>Assumptions!$D$12*$B$5</f>
        <v/>
      </c>
      <c r="I22" s="33">
        <f>Assumptions!$D$12*$B$5</f>
        <v/>
      </c>
      <c r="J22" s="33">
        <f>Assumptions!$D$12*$B$5</f>
        <v/>
      </c>
      <c r="K22" s="33">
        <f>Assumptions!$D$12*$B$5</f>
        <v/>
      </c>
      <c r="L22" s="33">
        <f>Assumptions!$D$12*$B$5</f>
        <v/>
      </c>
    </row>
    <row r="23">
      <c r="A23" s="17" t="inlineStr">
        <is>
          <t>Capex ($mm)</t>
        </is>
      </c>
      <c r="C23" s="40">
        <f>C11*C22</f>
        <v/>
      </c>
      <c r="D23" s="40">
        <f>D11*D22</f>
        <v/>
      </c>
      <c r="E23" s="40">
        <f>E11*E22</f>
        <v/>
      </c>
      <c r="F23" s="40">
        <f>F11*F22</f>
        <v/>
      </c>
      <c r="G23" s="40">
        <f>G11*G22</f>
        <v/>
      </c>
      <c r="H23" s="40">
        <f>H11*H22</f>
        <v/>
      </c>
      <c r="I23" s="40">
        <f>I11*I22</f>
        <v/>
      </c>
      <c r="J23" s="40">
        <f>J11*J22</f>
        <v/>
      </c>
      <c r="K23" s="40">
        <f>K11*K22</f>
        <v/>
      </c>
      <c r="L23" s="40">
        <f>L11*L22</f>
        <v/>
      </c>
    </row>
    <row r="24">
      <c r="A24" s="45" t="inlineStr">
        <is>
          <t>── NWC DRIVERS ──────────────────────────────</t>
        </is>
      </c>
    </row>
    <row r="25">
      <c r="A25" s="17" t="inlineStr">
        <is>
          <t>DSO (days)</t>
        </is>
      </c>
      <c r="B25" s="48">
        <f>Assumptions!$D$17</f>
        <v/>
      </c>
      <c r="C25" s="23">
        <f>Assumptions!$D$17+(Assumptions!$D$18-Assumptions!$D$17)*(COLUMN()-2)/10</f>
        <v/>
      </c>
      <c r="D25" s="23">
        <f>Assumptions!$D$17+(Assumptions!$D$18-Assumptions!$D$17)*(COLUMN()-2)/10</f>
        <v/>
      </c>
      <c r="E25" s="23">
        <f>Assumptions!$D$17+(Assumptions!$D$18-Assumptions!$D$17)*(COLUMN()-2)/10</f>
        <v/>
      </c>
      <c r="F25" s="23">
        <f>Assumptions!$D$17+(Assumptions!$D$18-Assumptions!$D$17)*(COLUMN()-2)/10</f>
        <v/>
      </c>
      <c r="G25" s="23">
        <f>Assumptions!$D$17+(Assumptions!$D$18-Assumptions!$D$17)*(COLUMN()-2)/10</f>
        <v/>
      </c>
      <c r="H25" s="23">
        <f>Assumptions!$D$17+(Assumptions!$D$18-Assumptions!$D$17)*(COLUMN()-2)/10</f>
        <v/>
      </c>
      <c r="I25" s="23">
        <f>Assumptions!$D$17+(Assumptions!$D$18-Assumptions!$D$17)*(COLUMN()-2)/10</f>
        <v/>
      </c>
      <c r="J25" s="23">
        <f>Assumptions!$D$17+(Assumptions!$D$18-Assumptions!$D$17)*(COLUMN()-2)/10</f>
        <v/>
      </c>
      <c r="K25" s="23">
        <f>Assumptions!$D$17+(Assumptions!$D$18-Assumptions!$D$17)*(COLUMN()-2)/10</f>
        <v/>
      </c>
      <c r="L25" s="23">
        <f>Assumptions!$D$17+(Assumptions!$D$18-Assumptions!$D$17)*(COLUMN()-2)/10</f>
        <v/>
      </c>
    </row>
    <row r="26">
      <c r="A26" s="17" t="inlineStr">
        <is>
          <t>DIO (days)</t>
        </is>
      </c>
      <c r="B26" s="48">
        <f>Assumptions!$D$19</f>
        <v/>
      </c>
      <c r="C26" s="23">
        <f>Assumptions!$D$19+(Assumptions!$D$20-Assumptions!$D$19)*(COLUMN()-2)/10</f>
        <v/>
      </c>
      <c r="D26" s="23">
        <f>Assumptions!$D$19+(Assumptions!$D$20-Assumptions!$D$19)*(COLUMN()-2)/10</f>
        <v/>
      </c>
      <c r="E26" s="23">
        <f>Assumptions!$D$19+(Assumptions!$D$20-Assumptions!$D$19)*(COLUMN()-2)/10</f>
        <v/>
      </c>
      <c r="F26" s="23">
        <f>Assumptions!$D$19+(Assumptions!$D$20-Assumptions!$D$19)*(COLUMN()-2)/10</f>
        <v/>
      </c>
      <c r="G26" s="23">
        <f>Assumptions!$D$19+(Assumptions!$D$20-Assumptions!$D$19)*(COLUMN()-2)/10</f>
        <v/>
      </c>
      <c r="H26" s="23">
        <f>Assumptions!$D$19+(Assumptions!$D$20-Assumptions!$D$19)*(COLUMN()-2)/10</f>
        <v/>
      </c>
      <c r="I26" s="23">
        <f>Assumptions!$D$19+(Assumptions!$D$20-Assumptions!$D$19)*(COLUMN()-2)/10</f>
        <v/>
      </c>
      <c r="J26" s="23">
        <f>Assumptions!$D$19+(Assumptions!$D$20-Assumptions!$D$19)*(COLUMN()-2)/10</f>
        <v/>
      </c>
      <c r="K26" s="23">
        <f>Assumptions!$D$19+(Assumptions!$D$20-Assumptions!$D$19)*(COLUMN()-2)/10</f>
        <v/>
      </c>
      <c r="L26" s="23">
        <f>Assumptions!$D$19+(Assumptions!$D$20-Assumptions!$D$19)*(COLUMN()-2)/10</f>
        <v/>
      </c>
    </row>
    <row r="27">
      <c r="A27" s="17" t="inlineStr">
        <is>
          <t>DPO (days)</t>
        </is>
      </c>
      <c r="B27" s="48">
        <f>Assumptions!$D$21</f>
        <v/>
      </c>
      <c r="C27" s="23">
        <f>Assumptions!$D$21+(Assumptions!$D$22-Assumptions!$D$21)*(COLUMN()-2)/10</f>
        <v/>
      </c>
      <c r="D27" s="23">
        <f>Assumptions!$D$21+(Assumptions!$D$22-Assumptions!$D$21)*(COLUMN()-2)/10</f>
        <v/>
      </c>
      <c r="E27" s="23">
        <f>Assumptions!$D$21+(Assumptions!$D$22-Assumptions!$D$21)*(COLUMN()-2)/10</f>
        <v/>
      </c>
      <c r="F27" s="23">
        <f>Assumptions!$D$21+(Assumptions!$D$22-Assumptions!$D$21)*(COLUMN()-2)/10</f>
        <v/>
      </c>
      <c r="G27" s="23">
        <f>Assumptions!$D$21+(Assumptions!$D$22-Assumptions!$D$21)*(COLUMN()-2)/10</f>
        <v/>
      </c>
      <c r="H27" s="23">
        <f>Assumptions!$D$21+(Assumptions!$D$22-Assumptions!$D$21)*(COLUMN()-2)/10</f>
        <v/>
      </c>
      <c r="I27" s="23">
        <f>Assumptions!$D$21+(Assumptions!$D$22-Assumptions!$D$21)*(COLUMN()-2)/10</f>
        <v/>
      </c>
      <c r="J27" s="23">
        <f>Assumptions!$D$21+(Assumptions!$D$22-Assumptions!$D$21)*(COLUMN()-2)/10</f>
        <v/>
      </c>
      <c r="K27" s="23">
        <f>Assumptions!$D$21+(Assumptions!$D$22-Assumptions!$D$21)*(COLUMN()-2)/10</f>
        <v/>
      </c>
      <c r="L27" s="23">
        <f>Assumptions!$D$21+(Assumptions!$D$22-Assumptions!$D$21)*(COLUMN()-2)/10</f>
        <v/>
      </c>
    </row>
    <row r="28">
      <c r="A28" s="17" t="inlineStr">
        <is>
          <t>AR ($mm)</t>
        </is>
      </c>
      <c r="B28" s="40">
        <f>B11/365*B25</f>
        <v/>
      </c>
      <c r="C28" s="40">
        <f>C11/365*C25</f>
        <v/>
      </c>
      <c r="D28" s="40">
        <f>D11/365*D25</f>
        <v/>
      </c>
      <c r="E28" s="40">
        <f>E11/365*E25</f>
        <v/>
      </c>
      <c r="F28" s="40">
        <f>F11/365*F25</f>
        <v/>
      </c>
      <c r="G28" s="40">
        <f>G11/365*G25</f>
        <v/>
      </c>
      <c r="H28" s="40">
        <f>H11/365*H25</f>
        <v/>
      </c>
      <c r="I28" s="40">
        <f>I11/365*I25</f>
        <v/>
      </c>
      <c r="J28" s="40">
        <f>J11/365*J25</f>
        <v/>
      </c>
      <c r="K28" s="40">
        <f>K11/365*K25</f>
        <v/>
      </c>
      <c r="L28" s="40">
        <f>L11/365*L25</f>
        <v/>
      </c>
    </row>
    <row r="29">
      <c r="A29" s="17" t="inlineStr">
        <is>
          <t>Inventory ($mm)</t>
        </is>
      </c>
      <c r="B29" s="40">
        <f>B11/365*B26</f>
        <v/>
      </c>
      <c r="C29" s="40">
        <f>C11/365*C26</f>
        <v/>
      </c>
      <c r="D29" s="40">
        <f>D11/365*D26</f>
        <v/>
      </c>
      <c r="E29" s="40">
        <f>E11/365*E26</f>
        <v/>
      </c>
      <c r="F29" s="40">
        <f>F11/365*F26</f>
        <v/>
      </c>
      <c r="G29" s="40">
        <f>G11/365*G26</f>
        <v/>
      </c>
      <c r="H29" s="40">
        <f>H11/365*H26</f>
        <v/>
      </c>
      <c r="I29" s="40">
        <f>I11/365*I26</f>
        <v/>
      </c>
      <c r="J29" s="40">
        <f>J11/365*J26</f>
        <v/>
      </c>
      <c r="K29" s="40">
        <f>K11/365*K26</f>
        <v/>
      </c>
      <c r="L29" s="40">
        <f>L11/365*L26</f>
        <v/>
      </c>
    </row>
    <row r="30">
      <c r="A30" s="17" t="inlineStr">
        <is>
          <t>AP ($mm)</t>
        </is>
      </c>
      <c r="B30" s="40">
        <f>B11/365*B27</f>
        <v/>
      </c>
      <c r="C30" s="40">
        <f>C11/365*C27</f>
        <v/>
      </c>
      <c r="D30" s="40">
        <f>D11/365*D27</f>
        <v/>
      </c>
      <c r="E30" s="40">
        <f>E11/365*E27</f>
        <v/>
      </c>
      <c r="F30" s="40">
        <f>F11/365*F27</f>
        <v/>
      </c>
      <c r="G30" s="40">
        <f>G11/365*G27</f>
        <v/>
      </c>
      <c r="H30" s="40">
        <f>H11/365*H27</f>
        <v/>
      </c>
      <c r="I30" s="40">
        <f>I11/365*I27</f>
        <v/>
      </c>
      <c r="J30" s="40">
        <f>J11/365*J27</f>
        <v/>
      </c>
      <c r="K30" s="40">
        <f>K11/365*K27</f>
        <v/>
      </c>
      <c r="L30" s="40">
        <f>L11/365*L27</f>
        <v/>
      </c>
    </row>
    <row r="31">
      <c r="A31" s="17" t="inlineStr">
        <is>
          <t>NWC ($mm)</t>
        </is>
      </c>
      <c r="B31" s="40">
        <f>B28+B29-B30</f>
        <v/>
      </c>
      <c r="C31" s="40">
        <f>C28+C29-C30</f>
        <v/>
      </c>
      <c r="D31" s="40">
        <f>D28+D29-D30</f>
        <v/>
      </c>
      <c r="E31" s="40">
        <f>E28+E29-E30</f>
        <v/>
      </c>
      <c r="F31" s="40">
        <f>F28+F29-F30</f>
        <v/>
      </c>
      <c r="G31" s="40">
        <f>G28+G29-G30</f>
        <v/>
      </c>
      <c r="H31" s="40">
        <f>H28+H29-H30</f>
        <v/>
      </c>
      <c r="I31" s="40">
        <f>I28+I29-I30</f>
        <v/>
      </c>
      <c r="J31" s="40">
        <f>J28+J29-J30</f>
        <v/>
      </c>
      <c r="K31" s="40">
        <f>K28+K29-K30</f>
        <v/>
      </c>
      <c r="L31" s="40">
        <f>L28+L29-L30</f>
        <v/>
      </c>
    </row>
    <row r="32">
      <c r="A32" s="17" t="inlineStr">
        <is>
          <t>ΔNWC ($mm)</t>
        </is>
      </c>
      <c r="C32" s="40">
        <f>C31-B31</f>
        <v/>
      </c>
      <c r="D32" s="40">
        <f>D31-C31</f>
        <v/>
      </c>
      <c r="E32" s="40">
        <f>E31-D31</f>
        <v/>
      </c>
      <c r="F32" s="40">
        <f>F31-E31</f>
        <v/>
      </c>
      <c r="G32" s="40">
        <f>G31-F31</f>
        <v/>
      </c>
      <c r="H32" s="40">
        <f>H31-G31</f>
        <v/>
      </c>
      <c r="I32" s="40">
        <f>I31-H31</f>
        <v/>
      </c>
      <c r="J32" s="40">
        <f>J31-I31</f>
        <v/>
      </c>
      <c r="K32" s="40">
        <f>K31-J31</f>
        <v/>
      </c>
      <c r="L32" s="40">
        <f>L31-K31</f>
        <v/>
      </c>
    </row>
    <row r="33">
      <c r="A33" s="45" t="inlineStr">
        <is>
          <t>── FREE CASH FLOW ───────────────────────────</t>
        </is>
      </c>
    </row>
    <row r="34">
      <c r="A34" s="30" t="inlineStr">
        <is>
          <t>FCFF ($mm)</t>
        </is>
      </c>
      <c r="C34" s="40">
        <f>C18+C21-C23-C32</f>
        <v/>
      </c>
      <c r="D34" s="40">
        <f>D18+D21-D23-D32</f>
        <v/>
      </c>
      <c r="E34" s="40">
        <f>E18+E21-E23-E32</f>
        <v/>
      </c>
      <c r="F34" s="40">
        <f>F18+F21-F23-F32</f>
        <v/>
      </c>
      <c r="G34" s="40">
        <f>G18+G21-G23-G32</f>
        <v/>
      </c>
      <c r="H34" s="40">
        <f>H18+H21-H23-H32</f>
        <v/>
      </c>
      <c r="I34" s="40">
        <f>I18+I21-I23-I32</f>
        <v/>
      </c>
      <c r="J34" s="40">
        <f>J18+J21-J23-J32</f>
        <v/>
      </c>
      <c r="K34" s="40">
        <f>K18+K21-K23-K32</f>
        <v/>
      </c>
      <c r="L34" s="40">
        <f>L18+L21-L23-L32</f>
        <v/>
      </c>
    </row>
    <row r="35">
      <c r="A35" s="17" t="inlineStr">
        <is>
          <t>Discount Factor</t>
        </is>
      </c>
      <c r="C35" s="49">
        <f>1/(1+(Assumptions!$D$37+$B$6))^1</f>
        <v/>
      </c>
      <c r="D35" s="49">
        <f>1/(1+(Assumptions!$D$37+$B$6))^2</f>
        <v/>
      </c>
      <c r="E35" s="49">
        <f>1/(1+(Assumptions!$D$37+$B$6))^3</f>
        <v/>
      </c>
      <c r="F35" s="49">
        <f>1/(1+(Assumptions!$D$37+$B$6))^4</f>
        <v/>
      </c>
      <c r="G35" s="49">
        <f>1/(1+(Assumptions!$D$37+$B$6))^5</f>
        <v/>
      </c>
      <c r="H35" s="49">
        <f>1/(1+(Assumptions!$D$37+$B$6))^6</f>
        <v/>
      </c>
      <c r="I35" s="49">
        <f>1/(1+(Assumptions!$D$37+$B$6))^7</f>
        <v/>
      </c>
      <c r="J35" s="49">
        <f>1/(1+(Assumptions!$D$37+$B$6))^8</f>
        <v/>
      </c>
      <c r="K35" s="49">
        <f>1/(1+(Assumptions!$D$37+$B$6))^9</f>
        <v/>
      </c>
      <c r="L35" s="49">
        <f>1/(1+(Assumptions!$D$37+$B$6))^10</f>
        <v/>
      </c>
      <c r="M35" s="49">
        <f>1/(1+(Assumptions!$D$37+$B$6))^10</f>
        <v/>
      </c>
    </row>
    <row r="36">
      <c r="A36" s="30" t="inlineStr">
        <is>
          <t>PV FCFF ($mm)</t>
        </is>
      </c>
      <c r="C36" s="40">
        <f>C34*C35</f>
        <v/>
      </c>
      <c r="D36" s="40">
        <f>D34*D35</f>
        <v/>
      </c>
      <c r="E36" s="40">
        <f>E34*E35</f>
        <v/>
      </c>
      <c r="F36" s="40">
        <f>F34*F35</f>
        <v/>
      </c>
      <c r="G36" s="40">
        <f>G34*G35</f>
        <v/>
      </c>
      <c r="H36" s="40">
        <f>H34*H35</f>
        <v/>
      </c>
      <c r="I36" s="40">
        <f>I34*I35</f>
        <v/>
      </c>
      <c r="J36" s="40">
        <f>J34*J35</f>
        <v/>
      </c>
      <c r="K36" s="40">
        <f>K34*K35</f>
        <v/>
      </c>
      <c r="L36" s="40">
        <f>L34*L35</f>
        <v/>
      </c>
    </row>
    <row r="37">
      <c r="A37" s="17" t="inlineStr">
        <is>
          <t>Cumulative PV FCFF ($mm)</t>
        </is>
      </c>
      <c r="C37" s="40">
        <f>C36</f>
        <v/>
      </c>
      <c r="D37" s="40">
        <f>C37+D36</f>
        <v/>
      </c>
      <c r="E37" s="40">
        <f>D37+E36</f>
        <v/>
      </c>
      <c r="F37" s="40">
        <f>E37+F36</f>
        <v/>
      </c>
      <c r="G37" s="40">
        <f>F37+G36</f>
        <v/>
      </c>
      <c r="H37" s="40">
        <f>G37+H36</f>
        <v/>
      </c>
      <c r="I37" s="40">
        <f>H37+I36</f>
        <v/>
      </c>
      <c r="J37" s="40">
        <f>I37+J36</f>
        <v/>
      </c>
      <c r="K37" s="40">
        <f>J37+K36</f>
        <v/>
      </c>
      <c r="L37" s="40">
        <f>K37+L36</f>
        <v/>
      </c>
    </row>
    <row r="38">
      <c r="A38" s="45" t="inlineStr">
        <is>
          <t>── RETURNS ──────────────────────────────────</t>
        </is>
      </c>
    </row>
    <row r="39">
      <c r="A39" s="17" t="inlineStr">
        <is>
          <t>Invested Capital ($mm)</t>
        </is>
      </c>
      <c r="B39" s="46">
        <f>Assumptions!$D$41</f>
        <v/>
      </c>
      <c r="C39" s="40">
        <f>B39+C23+C32-C21</f>
        <v/>
      </c>
      <c r="D39" s="40">
        <f>C39+D23+D32-D21</f>
        <v/>
      </c>
      <c r="E39" s="40">
        <f>D39+E23+E32-E21</f>
        <v/>
      </c>
      <c r="F39" s="40">
        <f>E39+F23+F32-F21</f>
        <v/>
      </c>
      <c r="G39" s="40">
        <f>F39+G23+G32-G21</f>
        <v/>
      </c>
      <c r="H39" s="40">
        <f>G39+H23+H32-H21</f>
        <v/>
      </c>
      <c r="I39" s="40">
        <f>H39+I23+I32-I21</f>
        <v/>
      </c>
      <c r="J39" s="40">
        <f>I39+J23+J32-J21</f>
        <v/>
      </c>
      <c r="K39" s="40">
        <f>J39+K23+K32-K21</f>
        <v/>
      </c>
      <c r="L39" s="40">
        <f>K39+L23+L32-L21</f>
        <v/>
      </c>
    </row>
    <row r="40">
      <c r="A40" s="30" t="inlineStr">
        <is>
          <t>ROIC %</t>
        </is>
      </c>
      <c r="C40" s="20">
        <f>C18/B39</f>
        <v/>
      </c>
      <c r="D40" s="20">
        <f>D18/C39</f>
        <v/>
      </c>
      <c r="E40" s="20">
        <f>E18/D39</f>
        <v/>
      </c>
      <c r="F40" s="20">
        <f>F18/E39</f>
        <v/>
      </c>
      <c r="G40" s="20">
        <f>G18/F39</f>
        <v/>
      </c>
      <c r="H40" s="20">
        <f>H18/G39</f>
        <v/>
      </c>
      <c r="I40" s="20">
        <f>I18/H39</f>
        <v/>
      </c>
      <c r="J40" s="20">
        <f>J18/I39</f>
        <v/>
      </c>
      <c r="K40" s="20">
        <f>K18/J39</f>
        <v/>
      </c>
      <c r="L40" s="20">
        <f>L18/K39</f>
        <v/>
      </c>
    </row>
    <row r="41">
      <c r="A41" s="17" t="inlineStr">
        <is>
          <t>Economic Profit ($mm)</t>
        </is>
      </c>
      <c r="C41" s="40">
        <f>C18-B39*(Assumptions!$D$37+$B$6)</f>
        <v/>
      </c>
      <c r="D41" s="40">
        <f>D18-C39*(Assumptions!$D$37+$B$6)</f>
        <v/>
      </c>
      <c r="E41" s="40">
        <f>E18-D39*(Assumptions!$D$37+$B$6)</f>
        <v/>
      </c>
      <c r="F41" s="40">
        <f>F18-E39*(Assumptions!$D$37+$B$6)</f>
        <v/>
      </c>
      <c r="G41" s="40">
        <f>G18-F39*(Assumptions!$D$37+$B$6)</f>
        <v/>
      </c>
      <c r="H41" s="40">
        <f>H18-G39*(Assumptions!$D$37+$B$6)</f>
        <v/>
      </c>
      <c r="I41" s="40">
        <f>I18-H39*(Assumptions!$D$37+$B$6)</f>
        <v/>
      </c>
      <c r="J41" s="40">
        <f>J18-I39*(Assumptions!$D$37+$B$6)</f>
        <v/>
      </c>
      <c r="K41" s="40">
        <f>K18-J39*(Assumptions!$D$37+$B$6)</f>
        <v/>
      </c>
      <c r="L41" s="40">
        <f>L18-K39*(Assumptions!$D$37+$B$6)</f>
        <v/>
      </c>
    </row>
    <row r="42" ht="16" customHeight="1">
      <c r="A42" s="50" t="inlineStr">
        <is>
          <t xml:space="preserve">  TERMINAL VALUE &amp; EV SUMMARY</t>
        </is>
      </c>
      <c r="B42" s="51" t="n"/>
      <c r="C42" s="51" t="n"/>
      <c r="D42" s="51" t="n"/>
      <c r="E42" s="51" t="n"/>
      <c r="F42" s="51" t="n"/>
    </row>
    <row r="43">
      <c r="A43" s="17" t="inlineStr">
        <is>
          <t>Gordon Growth TV ($mm)</t>
        </is>
      </c>
      <c r="M43" s="40">
        <f>IF(Assumptions!$D$37+$B$6&gt;Assumptions!$D$6,M18*(1-Assumptions!$D$6/Assumptions!$D$25)/(Assumptions!$D$37+$B$6-Assumptions!$D$6),0)</f>
        <v/>
      </c>
    </row>
    <row r="44">
      <c r="A44" s="17" t="inlineStr">
        <is>
          <t>Exit Multiple TV ($mm)</t>
        </is>
      </c>
      <c r="M44" s="40">
        <f>L16*Assumptions!$D$24*$B$7</f>
        <v/>
      </c>
    </row>
    <row r="45">
      <c r="A45" s="17" t="inlineStr">
        <is>
          <t>Blended TV ($mm)</t>
        </is>
      </c>
      <c r="M45" s="40">
        <f>(M43+M44)/2</f>
        <v/>
      </c>
    </row>
    <row r="46">
      <c r="A46" s="17" t="inlineStr">
        <is>
          <t>PV of Blended TV ($mm)</t>
        </is>
      </c>
      <c r="M46" s="40">
        <f>M45*L35</f>
        <v/>
      </c>
    </row>
    <row r="48">
      <c r="A48" s="30" t="inlineStr">
        <is>
          <t>Sum PV FCFF ($mm)</t>
        </is>
      </c>
      <c r="M48" s="52">
        <f>L37</f>
        <v/>
      </c>
    </row>
    <row r="49">
      <c r="A49" s="30" t="inlineStr">
        <is>
          <t>EV Operations ($mm)</t>
        </is>
      </c>
      <c r="M49" s="52">
        <f>M48+M46</f>
        <v/>
      </c>
    </row>
    <row r="50">
      <c r="A50" s="17" t="inlineStr">
        <is>
          <t>TV % of EV</t>
        </is>
      </c>
      <c r="M50" s="20">
        <f>IF(M49&gt;0,M46/M49,0)</f>
        <v/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BULL SCENARIO  |  IBM Valuation</t>
        </is>
      </c>
    </row>
    <row r="2" ht="16" customHeight="1">
      <c r="A2" s="50" t="inlineStr">
        <is>
          <t xml:space="preserve">  SCENARIO PARAMETERS</t>
        </is>
      </c>
      <c r="B2" s="51" t="n"/>
      <c r="C2" s="51" t="n"/>
    </row>
    <row r="3">
      <c r="A3" s="55" t="inlineStr">
        <is>
          <t>Growth Multiplier</t>
        </is>
      </c>
      <c r="B3" s="56" t="n">
        <v>1.4</v>
      </c>
    </row>
    <row r="4">
      <c r="A4" s="55" t="inlineStr">
        <is>
          <t>EBIT Margin Multiplier</t>
        </is>
      </c>
      <c r="B4" s="56" t="n">
        <v>1.15</v>
      </c>
    </row>
    <row r="5">
      <c r="A5" s="55" t="inlineStr">
        <is>
          <t>Capex Multiplier</t>
        </is>
      </c>
      <c r="B5" s="56" t="n">
        <v>0.9</v>
      </c>
    </row>
    <row r="6">
      <c r="A6" s="55" t="inlineStr">
        <is>
          <t>WACC Adjustment (add)</t>
        </is>
      </c>
      <c r="B6" s="57" t="n">
        <v>-0.01</v>
      </c>
    </row>
    <row r="7">
      <c r="A7" s="55" t="inlineStr">
        <is>
          <t>Exit Multiple Multiplier</t>
        </is>
      </c>
      <c r="B7" s="56" t="n">
        <v>1.3</v>
      </c>
    </row>
    <row r="9" ht="18" customHeight="1">
      <c r="A9" s="1" t="inlineStr">
        <is>
          <t xml:space="preserve">  10-YEAR FCFF PROJECTION  ($mm)</t>
        </is>
      </c>
      <c r="B9" s="44" t="inlineStr">
        <is>
          <t>LTM</t>
        </is>
      </c>
      <c r="C9" s="44" t="inlineStr">
        <is>
          <t>Y1</t>
        </is>
      </c>
      <c r="D9" s="44" t="inlineStr">
        <is>
          <t>Y2</t>
        </is>
      </c>
      <c r="E9" s="44" t="inlineStr">
        <is>
          <t>Y3</t>
        </is>
      </c>
      <c r="F9" s="44" t="inlineStr">
        <is>
          <t>Y4</t>
        </is>
      </c>
      <c r="G9" s="44" t="inlineStr">
        <is>
          <t>Y5</t>
        </is>
      </c>
      <c r="H9" s="44" t="inlineStr">
        <is>
          <t>Y6</t>
        </is>
      </c>
      <c r="I9" s="44" t="inlineStr">
        <is>
          <t>Y7</t>
        </is>
      </c>
      <c r="J9" s="44" t="inlineStr">
        <is>
          <t>Y8</t>
        </is>
      </c>
      <c r="K9" s="44" t="inlineStr">
        <is>
          <t>Y9</t>
        </is>
      </c>
      <c r="L9" s="44" t="inlineStr">
        <is>
          <t>Y10</t>
        </is>
      </c>
      <c r="M9" s="44" t="inlineStr">
        <is>
          <t>Terminal</t>
        </is>
      </c>
      <c r="N9" s="14" t="n"/>
    </row>
    <row r="10">
      <c r="A10" s="45" t="inlineStr">
        <is>
          <t>── REVENUE ─────────────────────────────────</t>
        </is>
      </c>
    </row>
    <row r="11">
      <c r="A11" s="30" t="inlineStr">
        <is>
          <t>Revenue ($mm)</t>
        </is>
      </c>
      <c r="B11" s="46">
        <f>Assumptions!$D$3</f>
        <v/>
      </c>
      <c r="C11" s="40">
        <f>B11*(1+Assumptions!$D$4*$B$3)</f>
        <v/>
      </c>
      <c r="D11" s="40">
        <f>C11*(1+Assumptions!$D$4*$B$3)</f>
        <v/>
      </c>
      <c r="E11" s="40">
        <f>D11*(1+Assumptions!$D$4*$B$3)</f>
        <v/>
      </c>
      <c r="F11" s="40">
        <f>E11*(1+Assumptions!$D$4*$B$3)</f>
        <v/>
      </c>
      <c r="G11" s="40">
        <f>F11*(1+Assumptions!$D$4*$B$3)</f>
        <v/>
      </c>
      <c r="H11" s="40">
        <f>G11*(1+Assumptions!$D$5*$B$3)</f>
        <v/>
      </c>
      <c r="I11" s="40">
        <f>H11*(1+Assumptions!$D$5*$B$3)</f>
        <v/>
      </c>
      <c r="J11" s="40">
        <f>I11*(1+Assumptions!$D$5*$B$3)</f>
        <v/>
      </c>
      <c r="K11" s="40">
        <f>J11*(1+Assumptions!$D$5*$B$3)</f>
        <v/>
      </c>
      <c r="L11" s="40">
        <f>K11*(1+Assumptions!$D$5*$B$3)</f>
        <v/>
      </c>
      <c r="M11" s="40">
        <f>L11*(1+Assumptions!$D$6)</f>
        <v/>
      </c>
    </row>
    <row r="12">
      <c r="A12" s="17" t="inlineStr">
        <is>
          <t>Revenue Growth %</t>
        </is>
      </c>
      <c r="C12" s="20">
        <f>C11/B11-1</f>
        <v/>
      </c>
      <c r="D12" s="20">
        <f>D11/C11-1</f>
        <v/>
      </c>
      <c r="E12" s="20">
        <f>E11/D11-1</f>
        <v/>
      </c>
      <c r="F12" s="20">
        <f>F11/E11-1</f>
        <v/>
      </c>
      <c r="G12" s="20">
        <f>G11/F11-1</f>
        <v/>
      </c>
      <c r="H12" s="20">
        <f>H11/G11-1</f>
        <v/>
      </c>
      <c r="I12" s="20">
        <f>I11/H11-1</f>
        <v/>
      </c>
      <c r="J12" s="20">
        <f>J11/I11-1</f>
        <v/>
      </c>
      <c r="K12" s="20">
        <f>K11/J11-1</f>
        <v/>
      </c>
      <c r="L12" s="20">
        <f>L11/K11-1</f>
        <v/>
      </c>
      <c r="M12" s="20">
        <f>M11/L11-1</f>
        <v/>
      </c>
    </row>
    <row r="13">
      <c r="A13" s="45" t="inlineStr">
        <is>
          <t>── PROFITABILITY ────────────────────────────</t>
        </is>
      </c>
    </row>
    <row r="14">
      <c r="A14" s="17" t="inlineStr">
        <is>
          <t>EBIT Margin %</t>
        </is>
      </c>
      <c r="C14" s="20">
        <f>Assumptions!$D$8+(Assumptions!$D$9*$B$4-Assumptions!$D$8)*(COLUMN()-2)/10</f>
        <v/>
      </c>
      <c r="D14" s="20">
        <f>Assumptions!$D$8+(Assumptions!$D$9*$B$4-Assumptions!$D$8)*(COLUMN()-2)/10</f>
        <v/>
      </c>
      <c r="E14" s="20">
        <f>Assumptions!$D$8+(Assumptions!$D$9*$B$4-Assumptions!$D$8)*(COLUMN()-2)/10</f>
        <v/>
      </c>
      <c r="F14" s="20">
        <f>Assumptions!$D$8+(Assumptions!$D$9*$B$4-Assumptions!$D$8)*(COLUMN()-2)/10</f>
        <v/>
      </c>
      <c r="G14" s="20">
        <f>Assumptions!$D$8+(Assumptions!$D$9*$B$4-Assumptions!$D$8)*(COLUMN()-2)/10</f>
        <v/>
      </c>
      <c r="H14" s="20">
        <f>Assumptions!$D$8+(Assumptions!$D$9*$B$4-Assumptions!$D$8)*(COLUMN()-2)/10</f>
        <v/>
      </c>
      <c r="I14" s="20">
        <f>Assumptions!$D$8+(Assumptions!$D$9*$B$4-Assumptions!$D$8)*(COLUMN()-2)/10</f>
        <v/>
      </c>
      <c r="J14" s="20">
        <f>Assumptions!$D$8+(Assumptions!$D$9*$B$4-Assumptions!$D$8)*(COLUMN()-2)/10</f>
        <v/>
      </c>
      <c r="K14" s="20">
        <f>Assumptions!$D$8+(Assumptions!$D$9*$B$4-Assumptions!$D$8)*(COLUMN()-2)/10</f>
        <v/>
      </c>
      <c r="L14" s="20">
        <f>Assumptions!$D$8+(Assumptions!$D$9*$B$4-Assumptions!$D$8)*(COLUMN()-2)/10</f>
        <v/>
      </c>
      <c r="M14" s="20">
        <f>Assumptions!$D$9</f>
        <v/>
      </c>
    </row>
    <row r="15">
      <c r="A15" s="17" t="inlineStr">
        <is>
          <t>EBIT ($mm)</t>
        </is>
      </c>
      <c r="C15" s="40">
        <f>C11*C14</f>
        <v/>
      </c>
      <c r="D15" s="40">
        <f>D11*D14</f>
        <v/>
      </c>
      <c r="E15" s="40">
        <f>E11*E14</f>
        <v/>
      </c>
      <c r="F15" s="40">
        <f>F11*F14</f>
        <v/>
      </c>
      <c r="G15" s="40">
        <f>G11*G14</f>
        <v/>
      </c>
      <c r="H15" s="40">
        <f>H11*H14</f>
        <v/>
      </c>
      <c r="I15" s="40">
        <f>I11*I14</f>
        <v/>
      </c>
      <c r="J15" s="40">
        <f>J11*J14</f>
        <v/>
      </c>
      <c r="K15" s="40">
        <f>K11*K14</f>
        <v/>
      </c>
      <c r="L15" s="40">
        <f>L11*L14</f>
        <v/>
      </c>
      <c r="M15" s="40">
        <f>M11*M14</f>
        <v/>
      </c>
    </row>
    <row r="16">
      <c r="A16" s="17" t="inlineStr">
        <is>
          <t>EBITDA ($mm)</t>
        </is>
      </c>
      <c r="C16" s="40">
        <f>C15+C21</f>
        <v/>
      </c>
      <c r="D16" s="40">
        <f>D15+D21</f>
        <v/>
      </c>
      <c r="E16" s="40">
        <f>E15+E21</f>
        <v/>
      </c>
      <c r="F16" s="40">
        <f>F15+F21</f>
        <v/>
      </c>
      <c r="G16" s="40">
        <f>G15+G21</f>
        <v/>
      </c>
      <c r="H16" s="40">
        <f>H15+H21</f>
        <v/>
      </c>
      <c r="I16" s="40">
        <f>I15+I21</f>
        <v/>
      </c>
      <c r="J16" s="40">
        <f>J15+J21</f>
        <v/>
      </c>
      <c r="K16" s="40">
        <f>K15+K21</f>
        <v/>
      </c>
      <c r="L16" s="40">
        <f>L15+L21</f>
        <v/>
      </c>
      <c r="M16" s="40">
        <f>M15+M21</f>
        <v/>
      </c>
    </row>
    <row r="17">
      <c r="A17" s="17" t="inlineStr">
        <is>
          <t>Tax Rate %</t>
        </is>
      </c>
      <c r="C17" s="20">
        <f>Assumptions!$D$14+(Assumptions!$D$15-Assumptions!$D$14)*(COLUMN()-2)/10</f>
        <v/>
      </c>
      <c r="D17" s="20">
        <f>Assumptions!$D$14+(Assumptions!$D$15-Assumptions!$D$14)*(COLUMN()-2)/10</f>
        <v/>
      </c>
      <c r="E17" s="20">
        <f>Assumptions!$D$14+(Assumptions!$D$15-Assumptions!$D$14)*(COLUMN()-2)/10</f>
        <v/>
      </c>
      <c r="F17" s="20">
        <f>Assumptions!$D$14+(Assumptions!$D$15-Assumptions!$D$14)*(COLUMN()-2)/10</f>
        <v/>
      </c>
      <c r="G17" s="20">
        <f>Assumptions!$D$14+(Assumptions!$D$15-Assumptions!$D$14)*(COLUMN()-2)/10</f>
        <v/>
      </c>
      <c r="H17" s="20">
        <f>Assumptions!$D$14+(Assumptions!$D$15-Assumptions!$D$14)*(COLUMN()-2)/10</f>
        <v/>
      </c>
      <c r="I17" s="20">
        <f>Assumptions!$D$14+(Assumptions!$D$15-Assumptions!$D$14)*(COLUMN()-2)/10</f>
        <v/>
      </c>
      <c r="J17" s="20">
        <f>Assumptions!$D$14+(Assumptions!$D$15-Assumptions!$D$14)*(COLUMN()-2)/10</f>
        <v/>
      </c>
      <c r="K17" s="20">
        <f>Assumptions!$D$14+(Assumptions!$D$15-Assumptions!$D$14)*(COLUMN()-2)/10</f>
        <v/>
      </c>
      <c r="L17" s="20">
        <f>Assumptions!$D$14+(Assumptions!$D$15-Assumptions!$D$14)*(COLUMN()-2)/10</f>
        <v/>
      </c>
      <c r="M17" s="20">
        <f>Assumptions!$D$15</f>
        <v/>
      </c>
    </row>
    <row r="18">
      <c r="A18" s="30" t="inlineStr">
        <is>
          <t>NOPAT ($mm)</t>
        </is>
      </c>
      <c r="C18" s="40">
        <f>C15*(1-C17)</f>
        <v/>
      </c>
      <c r="D18" s="40">
        <f>D15*(1-D17)</f>
        <v/>
      </c>
      <c r="E18" s="40">
        <f>E15*(1-E17)</f>
        <v/>
      </c>
      <c r="F18" s="40">
        <f>F15*(1-F17)</f>
        <v/>
      </c>
      <c r="G18" s="40">
        <f>G15*(1-G17)</f>
        <v/>
      </c>
      <c r="H18" s="40">
        <f>H15*(1-H17)</f>
        <v/>
      </c>
      <c r="I18" s="40">
        <f>I15*(1-I17)</f>
        <v/>
      </c>
      <c r="J18" s="40">
        <f>J15*(1-J17)</f>
        <v/>
      </c>
      <c r="K18" s="40">
        <f>K15*(1-K17)</f>
        <v/>
      </c>
      <c r="L18" s="40">
        <f>L15*(1-L17)</f>
        <v/>
      </c>
      <c r="M18" s="40">
        <f>M15*(1-M17)</f>
        <v/>
      </c>
    </row>
    <row r="19">
      <c r="A19" s="45" t="inlineStr">
        <is>
          <t>── D&amp;A / CAPEX ──────────────────────────────</t>
        </is>
      </c>
    </row>
    <row r="20">
      <c r="A20" s="17" t="inlineStr">
        <is>
          <t>D&amp;A % Revenue</t>
        </is>
      </c>
      <c r="B20" s="47">
        <f>Assumptions!$D$11</f>
        <v/>
      </c>
      <c r="C20" s="33">
        <f>Assumptions!$D$11</f>
        <v/>
      </c>
      <c r="D20" s="33">
        <f>Assumptions!$D$11</f>
        <v/>
      </c>
      <c r="E20" s="33">
        <f>Assumptions!$D$11</f>
        <v/>
      </c>
      <c r="F20" s="33">
        <f>Assumptions!$D$11</f>
        <v/>
      </c>
      <c r="G20" s="33">
        <f>Assumptions!$D$11</f>
        <v/>
      </c>
      <c r="H20" s="33">
        <f>Assumptions!$D$11</f>
        <v/>
      </c>
      <c r="I20" s="33">
        <f>Assumptions!$D$11</f>
        <v/>
      </c>
      <c r="J20" s="33">
        <f>Assumptions!$D$11</f>
        <v/>
      </c>
      <c r="K20" s="33">
        <f>Assumptions!$D$11</f>
        <v/>
      </c>
      <c r="L20" s="33">
        <f>Assumptions!$D$11</f>
        <v/>
      </c>
      <c r="M20" s="33">
        <f>Assumptions!$D$11</f>
        <v/>
      </c>
    </row>
    <row r="21">
      <c r="A21" s="17" t="inlineStr">
        <is>
          <t>D&amp;A ($mm)</t>
        </is>
      </c>
      <c r="C21" s="40">
        <f>C11*C20</f>
        <v/>
      </c>
      <c r="D21" s="40">
        <f>D11*D20</f>
        <v/>
      </c>
      <c r="E21" s="40">
        <f>E11*E20</f>
        <v/>
      </c>
      <c r="F21" s="40">
        <f>F11*F20</f>
        <v/>
      </c>
      <c r="G21" s="40">
        <f>G11*G20</f>
        <v/>
      </c>
      <c r="H21" s="40">
        <f>H11*H20</f>
        <v/>
      </c>
      <c r="I21" s="40">
        <f>I11*I20</f>
        <v/>
      </c>
      <c r="J21" s="40">
        <f>J11*J20</f>
        <v/>
      </c>
      <c r="K21" s="40">
        <f>K11*K20</f>
        <v/>
      </c>
      <c r="L21" s="40">
        <f>L11*L20</f>
        <v/>
      </c>
      <c r="M21" s="40">
        <f>M11*M20</f>
        <v/>
      </c>
    </row>
    <row r="22">
      <c r="A22" s="17" t="inlineStr">
        <is>
          <t>Capex % Revenue</t>
        </is>
      </c>
      <c r="B22" s="47">
        <f>Assumptions!$D$12</f>
        <v/>
      </c>
      <c r="C22" s="33">
        <f>Assumptions!$D$12*$B$5</f>
        <v/>
      </c>
      <c r="D22" s="33">
        <f>Assumptions!$D$12*$B$5</f>
        <v/>
      </c>
      <c r="E22" s="33">
        <f>Assumptions!$D$12*$B$5</f>
        <v/>
      </c>
      <c r="F22" s="33">
        <f>Assumptions!$D$12*$B$5</f>
        <v/>
      </c>
      <c r="G22" s="33">
        <f>Assumptions!$D$12*$B$5</f>
        <v/>
      </c>
      <c r="H22" s="33">
        <f>Assumptions!$D$12*$B$5</f>
        <v/>
      </c>
      <c r="I22" s="33">
        <f>Assumptions!$D$12*$B$5</f>
        <v/>
      </c>
      <c r="J22" s="33">
        <f>Assumptions!$D$12*$B$5</f>
        <v/>
      </c>
      <c r="K22" s="33">
        <f>Assumptions!$D$12*$B$5</f>
        <v/>
      </c>
      <c r="L22" s="33">
        <f>Assumptions!$D$12*$B$5</f>
        <v/>
      </c>
    </row>
    <row r="23">
      <c r="A23" s="17" t="inlineStr">
        <is>
          <t>Capex ($mm)</t>
        </is>
      </c>
      <c r="C23" s="40">
        <f>C11*C22</f>
        <v/>
      </c>
      <c r="D23" s="40">
        <f>D11*D22</f>
        <v/>
      </c>
      <c r="E23" s="40">
        <f>E11*E22</f>
        <v/>
      </c>
      <c r="F23" s="40">
        <f>F11*F22</f>
        <v/>
      </c>
      <c r="G23" s="40">
        <f>G11*G22</f>
        <v/>
      </c>
      <c r="H23" s="40">
        <f>H11*H22</f>
        <v/>
      </c>
      <c r="I23" s="40">
        <f>I11*I22</f>
        <v/>
      </c>
      <c r="J23" s="40">
        <f>J11*J22</f>
        <v/>
      </c>
      <c r="K23" s="40">
        <f>K11*K22</f>
        <v/>
      </c>
      <c r="L23" s="40">
        <f>L11*L22</f>
        <v/>
      </c>
    </row>
    <row r="24">
      <c r="A24" s="45" t="inlineStr">
        <is>
          <t>── NWC DRIVERS ──────────────────────────────</t>
        </is>
      </c>
    </row>
    <row r="25">
      <c r="A25" s="17" t="inlineStr">
        <is>
          <t>DSO (days)</t>
        </is>
      </c>
      <c r="B25" s="48">
        <f>Assumptions!$D$17</f>
        <v/>
      </c>
      <c r="C25" s="23">
        <f>Assumptions!$D$17+(Assumptions!$D$18-Assumptions!$D$17)*(COLUMN()-2)/10</f>
        <v/>
      </c>
      <c r="D25" s="23">
        <f>Assumptions!$D$17+(Assumptions!$D$18-Assumptions!$D$17)*(COLUMN()-2)/10</f>
        <v/>
      </c>
      <c r="E25" s="23">
        <f>Assumptions!$D$17+(Assumptions!$D$18-Assumptions!$D$17)*(COLUMN()-2)/10</f>
        <v/>
      </c>
      <c r="F25" s="23">
        <f>Assumptions!$D$17+(Assumptions!$D$18-Assumptions!$D$17)*(COLUMN()-2)/10</f>
        <v/>
      </c>
      <c r="G25" s="23">
        <f>Assumptions!$D$17+(Assumptions!$D$18-Assumptions!$D$17)*(COLUMN()-2)/10</f>
        <v/>
      </c>
      <c r="H25" s="23">
        <f>Assumptions!$D$17+(Assumptions!$D$18-Assumptions!$D$17)*(COLUMN()-2)/10</f>
        <v/>
      </c>
      <c r="I25" s="23">
        <f>Assumptions!$D$17+(Assumptions!$D$18-Assumptions!$D$17)*(COLUMN()-2)/10</f>
        <v/>
      </c>
      <c r="J25" s="23">
        <f>Assumptions!$D$17+(Assumptions!$D$18-Assumptions!$D$17)*(COLUMN()-2)/10</f>
        <v/>
      </c>
      <c r="K25" s="23">
        <f>Assumptions!$D$17+(Assumptions!$D$18-Assumptions!$D$17)*(COLUMN()-2)/10</f>
        <v/>
      </c>
      <c r="L25" s="23">
        <f>Assumptions!$D$17+(Assumptions!$D$18-Assumptions!$D$17)*(COLUMN()-2)/10</f>
        <v/>
      </c>
    </row>
    <row r="26">
      <c r="A26" s="17" t="inlineStr">
        <is>
          <t>DIO (days)</t>
        </is>
      </c>
      <c r="B26" s="48">
        <f>Assumptions!$D$19</f>
        <v/>
      </c>
      <c r="C26" s="23">
        <f>Assumptions!$D$19+(Assumptions!$D$20-Assumptions!$D$19)*(COLUMN()-2)/10</f>
        <v/>
      </c>
      <c r="D26" s="23">
        <f>Assumptions!$D$19+(Assumptions!$D$20-Assumptions!$D$19)*(COLUMN()-2)/10</f>
        <v/>
      </c>
      <c r="E26" s="23">
        <f>Assumptions!$D$19+(Assumptions!$D$20-Assumptions!$D$19)*(COLUMN()-2)/10</f>
        <v/>
      </c>
      <c r="F26" s="23">
        <f>Assumptions!$D$19+(Assumptions!$D$20-Assumptions!$D$19)*(COLUMN()-2)/10</f>
        <v/>
      </c>
      <c r="G26" s="23">
        <f>Assumptions!$D$19+(Assumptions!$D$20-Assumptions!$D$19)*(COLUMN()-2)/10</f>
        <v/>
      </c>
      <c r="H26" s="23">
        <f>Assumptions!$D$19+(Assumptions!$D$20-Assumptions!$D$19)*(COLUMN()-2)/10</f>
        <v/>
      </c>
      <c r="I26" s="23">
        <f>Assumptions!$D$19+(Assumptions!$D$20-Assumptions!$D$19)*(COLUMN()-2)/10</f>
        <v/>
      </c>
      <c r="J26" s="23">
        <f>Assumptions!$D$19+(Assumptions!$D$20-Assumptions!$D$19)*(COLUMN()-2)/10</f>
        <v/>
      </c>
      <c r="K26" s="23">
        <f>Assumptions!$D$19+(Assumptions!$D$20-Assumptions!$D$19)*(COLUMN()-2)/10</f>
        <v/>
      </c>
      <c r="L26" s="23">
        <f>Assumptions!$D$19+(Assumptions!$D$20-Assumptions!$D$19)*(COLUMN()-2)/10</f>
        <v/>
      </c>
    </row>
    <row r="27">
      <c r="A27" s="17" t="inlineStr">
        <is>
          <t>DPO (days)</t>
        </is>
      </c>
      <c r="B27" s="48">
        <f>Assumptions!$D$21</f>
        <v/>
      </c>
      <c r="C27" s="23">
        <f>Assumptions!$D$21+(Assumptions!$D$22-Assumptions!$D$21)*(COLUMN()-2)/10</f>
        <v/>
      </c>
      <c r="D27" s="23">
        <f>Assumptions!$D$21+(Assumptions!$D$22-Assumptions!$D$21)*(COLUMN()-2)/10</f>
        <v/>
      </c>
      <c r="E27" s="23">
        <f>Assumptions!$D$21+(Assumptions!$D$22-Assumptions!$D$21)*(COLUMN()-2)/10</f>
        <v/>
      </c>
      <c r="F27" s="23">
        <f>Assumptions!$D$21+(Assumptions!$D$22-Assumptions!$D$21)*(COLUMN()-2)/10</f>
        <v/>
      </c>
      <c r="G27" s="23">
        <f>Assumptions!$D$21+(Assumptions!$D$22-Assumptions!$D$21)*(COLUMN()-2)/10</f>
        <v/>
      </c>
      <c r="H27" s="23">
        <f>Assumptions!$D$21+(Assumptions!$D$22-Assumptions!$D$21)*(COLUMN()-2)/10</f>
        <v/>
      </c>
      <c r="I27" s="23">
        <f>Assumptions!$D$21+(Assumptions!$D$22-Assumptions!$D$21)*(COLUMN()-2)/10</f>
        <v/>
      </c>
      <c r="J27" s="23">
        <f>Assumptions!$D$21+(Assumptions!$D$22-Assumptions!$D$21)*(COLUMN()-2)/10</f>
        <v/>
      </c>
      <c r="K27" s="23">
        <f>Assumptions!$D$21+(Assumptions!$D$22-Assumptions!$D$21)*(COLUMN()-2)/10</f>
        <v/>
      </c>
      <c r="L27" s="23">
        <f>Assumptions!$D$21+(Assumptions!$D$22-Assumptions!$D$21)*(COLUMN()-2)/10</f>
        <v/>
      </c>
    </row>
    <row r="28">
      <c r="A28" s="17" t="inlineStr">
        <is>
          <t>AR ($mm)</t>
        </is>
      </c>
      <c r="B28" s="40">
        <f>B11/365*B25</f>
        <v/>
      </c>
      <c r="C28" s="40">
        <f>C11/365*C25</f>
        <v/>
      </c>
      <c r="D28" s="40">
        <f>D11/365*D25</f>
        <v/>
      </c>
      <c r="E28" s="40">
        <f>E11/365*E25</f>
        <v/>
      </c>
      <c r="F28" s="40">
        <f>F11/365*F25</f>
        <v/>
      </c>
      <c r="G28" s="40">
        <f>G11/365*G25</f>
        <v/>
      </c>
      <c r="H28" s="40">
        <f>H11/365*H25</f>
        <v/>
      </c>
      <c r="I28" s="40">
        <f>I11/365*I25</f>
        <v/>
      </c>
      <c r="J28" s="40">
        <f>J11/365*J25</f>
        <v/>
      </c>
      <c r="K28" s="40">
        <f>K11/365*K25</f>
        <v/>
      </c>
      <c r="L28" s="40">
        <f>L11/365*L25</f>
        <v/>
      </c>
    </row>
    <row r="29">
      <c r="A29" s="17" t="inlineStr">
        <is>
          <t>Inventory ($mm)</t>
        </is>
      </c>
      <c r="B29" s="40">
        <f>B11/365*B26</f>
        <v/>
      </c>
      <c r="C29" s="40">
        <f>C11/365*C26</f>
        <v/>
      </c>
      <c r="D29" s="40">
        <f>D11/365*D26</f>
        <v/>
      </c>
      <c r="E29" s="40">
        <f>E11/365*E26</f>
        <v/>
      </c>
      <c r="F29" s="40">
        <f>F11/365*F26</f>
        <v/>
      </c>
      <c r="G29" s="40">
        <f>G11/365*G26</f>
        <v/>
      </c>
      <c r="H29" s="40">
        <f>H11/365*H26</f>
        <v/>
      </c>
      <c r="I29" s="40">
        <f>I11/365*I26</f>
        <v/>
      </c>
      <c r="J29" s="40">
        <f>J11/365*J26</f>
        <v/>
      </c>
      <c r="K29" s="40">
        <f>K11/365*K26</f>
        <v/>
      </c>
      <c r="L29" s="40">
        <f>L11/365*L26</f>
        <v/>
      </c>
    </row>
    <row r="30">
      <c r="A30" s="17" t="inlineStr">
        <is>
          <t>AP ($mm)</t>
        </is>
      </c>
      <c r="B30" s="40">
        <f>B11/365*B27</f>
        <v/>
      </c>
      <c r="C30" s="40">
        <f>C11/365*C27</f>
        <v/>
      </c>
      <c r="D30" s="40">
        <f>D11/365*D27</f>
        <v/>
      </c>
      <c r="E30" s="40">
        <f>E11/365*E27</f>
        <v/>
      </c>
      <c r="F30" s="40">
        <f>F11/365*F27</f>
        <v/>
      </c>
      <c r="G30" s="40">
        <f>G11/365*G27</f>
        <v/>
      </c>
      <c r="H30" s="40">
        <f>H11/365*H27</f>
        <v/>
      </c>
      <c r="I30" s="40">
        <f>I11/365*I27</f>
        <v/>
      </c>
      <c r="J30" s="40">
        <f>J11/365*J27</f>
        <v/>
      </c>
      <c r="K30" s="40">
        <f>K11/365*K27</f>
        <v/>
      </c>
      <c r="L30" s="40">
        <f>L11/365*L27</f>
        <v/>
      </c>
    </row>
    <row r="31">
      <c r="A31" s="17" t="inlineStr">
        <is>
          <t>NWC ($mm)</t>
        </is>
      </c>
      <c r="B31" s="40">
        <f>B28+B29-B30</f>
        <v/>
      </c>
      <c r="C31" s="40">
        <f>C28+C29-C30</f>
        <v/>
      </c>
      <c r="D31" s="40">
        <f>D28+D29-D30</f>
        <v/>
      </c>
      <c r="E31" s="40">
        <f>E28+E29-E30</f>
        <v/>
      </c>
      <c r="F31" s="40">
        <f>F28+F29-F30</f>
        <v/>
      </c>
      <c r="G31" s="40">
        <f>G28+G29-G30</f>
        <v/>
      </c>
      <c r="H31" s="40">
        <f>H28+H29-H30</f>
        <v/>
      </c>
      <c r="I31" s="40">
        <f>I28+I29-I30</f>
        <v/>
      </c>
      <c r="J31" s="40">
        <f>J28+J29-J30</f>
        <v/>
      </c>
      <c r="K31" s="40">
        <f>K28+K29-K30</f>
        <v/>
      </c>
      <c r="L31" s="40">
        <f>L28+L29-L30</f>
        <v/>
      </c>
    </row>
    <row r="32">
      <c r="A32" s="17" t="inlineStr">
        <is>
          <t>ΔNWC ($mm)</t>
        </is>
      </c>
      <c r="C32" s="40">
        <f>C31-B31</f>
        <v/>
      </c>
      <c r="D32" s="40">
        <f>D31-C31</f>
        <v/>
      </c>
      <c r="E32" s="40">
        <f>E31-D31</f>
        <v/>
      </c>
      <c r="F32" s="40">
        <f>F31-E31</f>
        <v/>
      </c>
      <c r="G32" s="40">
        <f>G31-F31</f>
        <v/>
      </c>
      <c r="H32" s="40">
        <f>H31-G31</f>
        <v/>
      </c>
      <c r="I32" s="40">
        <f>I31-H31</f>
        <v/>
      </c>
      <c r="J32" s="40">
        <f>J31-I31</f>
        <v/>
      </c>
      <c r="K32" s="40">
        <f>K31-J31</f>
        <v/>
      </c>
      <c r="L32" s="40">
        <f>L31-K31</f>
        <v/>
      </c>
    </row>
    <row r="33">
      <c r="A33" s="45" t="inlineStr">
        <is>
          <t>── FREE CASH FLOW ───────────────────────────</t>
        </is>
      </c>
    </row>
    <row r="34">
      <c r="A34" s="30" t="inlineStr">
        <is>
          <t>FCFF ($mm)</t>
        </is>
      </c>
      <c r="C34" s="40">
        <f>C18+C21-C23-C32</f>
        <v/>
      </c>
      <c r="D34" s="40">
        <f>D18+D21-D23-D32</f>
        <v/>
      </c>
      <c r="E34" s="40">
        <f>E18+E21-E23-E32</f>
        <v/>
      </c>
      <c r="F34" s="40">
        <f>F18+F21-F23-F32</f>
        <v/>
      </c>
      <c r="G34" s="40">
        <f>G18+G21-G23-G32</f>
        <v/>
      </c>
      <c r="H34" s="40">
        <f>H18+H21-H23-H32</f>
        <v/>
      </c>
      <c r="I34" s="40">
        <f>I18+I21-I23-I32</f>
        <v/>
      </c>
      <c r="J34" s="40">
        <f>J18+J21-J23-J32</f>
        <v/>
      </c>
      <c r="K34" s="40">
        <f>K18+K21-K23-K32</f>
        <v/>
      </c>
      <c r="L34" s="40">
        <f>L18+L21-L23-L32</f>
        <v/>
      </c>
    </row>
    <row r="35">
      <c r="A35" s="17" t="inlineStr">
        <is>
          <t>Discount Factor</t>
        </is>
      </c>
      <c r="C35" s="49">
        <f>1/(1+(Assumptions!$D$37+$B$6))^1</f>
        <v/>
      </c>
      <c r="D35" s="49">
        <f>1/(1+(Assumptions!$D$37+$B$6))^2</f>
        <v/>
      </c>
      <c r="E35" s="49">
        <f>1/(1+(Assumptions!$D$37+$B$6))^3</f>
        <v/>
      </c>
      <c r="F35" s="49">
        <f>1/(1+(Assumptions!$D$37+$B$6))^4</f>
        <v/>
      </c>
      <c r="G35" s="49">
        <f>1/(1+(Assumptions!$D$37+$B$6))^5</f>
        <v/>
      </c>
      <c r="H35" s="49">
        <f>1/(1+(Assumptions!$D$37+$B$6))^6</f>
        <v/>
      </c>
      <c r="I35" s="49">
        <f>1/(1+(Assumptions!$D$37+$B$6))^7</f>
        <v/>
      </c>
      <c r="J35" s="49">
        <f>1/(1+(Assumptions!$D$37+$B$6))^8</f>
        <v/>
      </c>
      <c r="K35" s="49">
        <f>1/(1+(Assumptions!$D$37+$B$6))^9</f>
        <v/>
      </c>
      <c r="L35" s="49">
        <f>1/(1+(Assumptions!$D$37+$B$6))^10</f>
        <v/>
      </c>
      <c r="M35" s="49">
        <f>1/(1+(Assumptions!$D$37+$B$6))^10</f>
        <v/>
      </c>
    </row>
    <row r="36">
      <c r="A36" s="30" t="inlineStr">
        <is>
          <t>PV FCFF ($mm)</t>
        </is>
      </c>
      <c r="C36" s="40">
        <f>C34*C35</f>
        <v/>
      </c>
      <c r="D36" s="40">
        <f>D34*D35</f>
        <v/>
      </c>
      <c r="E36" s="40">
        <f>E34*E35</f>
        <v/>
      </c>
      <c r="F36" s="40">
        <f>F34*F35</f>
        <v/>
      </c>
      <c r="G36" s="40">
        <f>G34*G35</f>
        <v/>
      </c>
      <c r="H36" s="40">
        <f>H34*H35</f>
        <v/>
      </c>
      <c r="I36" s="40">
        <f>I34*I35</f>
        <v/>
      </c>
      <c r="J36" s="40">
        <f>J34*J35</f>
        <v/>
      </c>
      <c r="K36" s="40">
        <f>K34*K35</f>
        <v/>
      </c>
      <c r="L36" s="40">
        <f>L34*L35</f>
        <v/>
      </c>
    </row>
    <row r="37">
      <c r="A37" s="17" t="inlineStr">
        <is>
          <t>Cumulative PV FCFF ($mm)</t>
        </is>
      </c>
      <c r="C37" s="40">
        <f>C36</f>
        <v/>
      </c>
      <c r="D37" s="40">
        <f>C37+D36</f>
        <v/>
      </c>
      <c r="E37" s="40">
        <f>D37+E36</f>
        <v/>
      </c>
      <c r="F37" s="40">
        <f>E37+F36</f>
        <v/>
      </c>
      <c r="G37" s="40">
        <f>F37+G36</f>
        <v/>
      </c>
      <c r="H37" s="40">
        <f>G37+H36</f>
        <v/>
      </c>
      <c r="I37" s="40">
        <f>H37+I36</f>
        <v/>
      </c>
      <c r="J37" s="40">
        <f>I37+J36</f>
        <v/>
      </c>
      <c r="K37" s="40">
        <f>J37+K36</f>
        <v/>
      </c>
      <c r="L37" s="40">
        <f>K37+L36</f>
        <v/>
      </c>
    </row>
    <row r="38">
      <c r="A38" s="45" t="inlineStr">
        <is>
          <t>── RETURNS ──────────────────────────────────</t>
        </is>
      </c>
    </row>
    <row r="39">
      <c r="A39" s="17" t="inlineStr">
        <is>
          <t>Invested Capital ($mm)</t>
        </is>
      </c>
      <c r="B39" s="46">
        <f>Assumptions!$D$41</f>
        <v/>
      </c>
      <c r="C39" s="40">
        <f>B39+C23+C32-C21</f>
        <v/>
      </c>
      <c r="D39" s="40">
        <f>C39+D23+D32-D21</f>
        <v/>
      </c>
      <c r="E39" s="40">
        <f>D39+E23+E32-E21</f>
        <v/>
      </c>
      <c r="F39" s="40">
        <f>E39+F23+F32-F21</f>
        <v/>
      </c>
      <c r="G39" s="40">
        <f>F39+G23+G32-G21</f>
        <v/>
      </c>
      <c r="H39" s="40">
        <f>G39+H23+H32-H21</f>
        <v/>
      </c>
      <c r="I39" s="40">
        <f>H39+I23+I32-I21</f>
        <v/>
      </c>
      <c r="J39" s="40">
        <f>I39+J23+J32-J21</f>
        <v/>
      </c>
      <c r="K39" s="40">
        <f>J39+K23+K32-K21</f>
        <v/>
      </c>
      <c r="L39" s="40">
        <f>K39+L23+L32-L21</f>
        <v/>
      </c>
    </row>
    <row r="40">
      <c r="A40" s="30" t="inlineStr">
        <is>
          <t>ROIC %</t>
        </is>
      </c>
      <c r="C40" s="20">
        <f>C18/B39</f>
        <v/>
      </c>
      <c r="D40" s="20">
        <f>D18/C39</f>
        <v/>
      </c>
      <c r="E40" s="20">
        <f>E18/D39</f>
        <v/>
      </c>
      <c r="F40" s="20">
        <f>F18/E39</f>
        <v/>
      </c>
      <c r="G40" s="20">
        <f>G18/F39</f>
        <v/>
      </c>
      <c r="H40" s="20">
        <f>H18/G39</f>
        <v/>
      </c>
      <c r="I40" s="20">
        <f>I18/H39</f>
        <v/>
      </c>
      <c r="J40" s="20">
        <f>J18/I39</f>
        <v/>
      </c>
      <c r="K40" s="20">
        <f>K18/J39</f>
        <v/>
      </c>
      <c r="L40" s="20">
        <f>L18/K39</f>
        <v/>
      </c>
    </row>
    <row r="41">
      <c r="A41" s="17" t="inlineStr">
        <is>
          <t>Economic Profit ($mm)</t>
        </is>
      </c>
      <c r="C41" s="40">
        <f>C18-B39*(Assumptions!$D$37+$B$6)</f>
        <v/>
      </c>
      <c r="D41" s="40">
        <f>D18-C39*(Assumptions!$D$37+$B$6)</f>
        <v/>
      </c>
      <c r="E41" s="40">
        <f>E18-D39*(Assumptions!$D$37+$B$6)</f>
        <v/>
      </c>
      <c r="F41" s="40">
        <f>F18-E39*(Assumptions!$D$37+$B$6)</f>
        <v/>
      </c>
      <c r="G41" s="40">
        <f>G18-F39*(Assumptions!$D$37+$B$6)</f>
        <v/>
      </c>
      <c r="H41" s="40">
        <f>H18-G39*(Assumptions!$D$37+$B$6)</f>
        <v/>
      </c>
      <c r="I41" s="40">
        <f>I18-H39*(Assumptions!$D$37+$B$6)</f>
        <v/>
      </c>
      <c r="J41" s="40">
        <f>J18-I39*(Assumptions!$D$37+$B$6)</f>
        <v/>
      </c>
      <c r="K41" s="40">
        <f>K18-J39*(Assumptions!$D$37+$B$6)</f>
        <v/>
      </c>
      <c r="L41" s="40">
        <f>L18-K39*(Assumptions!$D$37+$B$6)</f>
        <v/>
      </c>
    </row>
    <row r="42" ht="16" customHeight="1">
      <c r="A42" s="50" t="inlineStr">
        <is>
          <t xml:space="preserve">  TERMINAL VALUE &amp; EV SUMMARY</t>
        </is>
      </c>
      <c r="B42" s="51" t="n"/>
      <c r="C42" s="51" t="n"/>
      <c r="D42" s="51" t="n"/>
      <c r="E42" s="51" t="n"/>
      <c r="F42" s="51" t="n"/>
    </row>
    <row r="43">
      <c r="A43" s="17" t="inlineStr">
        <is>
          <t>Gordon Growth TV ($mm)</t>
        </is>
      </c>
      <c r="M43" s="40">
        <f>IF(Assumptions!$D$37+$B$6&gt;Assumptions!$D$6,M18*(1-Assumptions!$D$6/Assumptions!$D$25)/(Assumptions!$D$37+$B$6-Assumptions!$D$6),0)</f>
        <v/>
      </c>
    </row>
    <row r="44">
      <c r="A44" s="17" t="inlineStr">
        <is>
          <t>Exit Multiple TV ($mm)</t>
        </is>
      </c>
      <c r="M44" s="40">
        <f>L16*Assumptions!$D$24*$B$7</f>
        <v/>
      </c>
    </row>
    <row r="45">
      <c r="A45" s="17" t="inlineStr">
        <is>
          <t>Blended TV ($mm)</t>
        </is>
      </c>
      <c r="M45" s="40">
        <f>(M43+M44)/2</f>
        <v/>
      </c>
    </row>
    <row r="46">
      <c r="A46" s="17" t="inlineStr">
        <is>
          <t>PV of Blended TV ($mm)</t>
        </is>
      </c>
      <c r="M46" s="40">
        <f>M45*L35</f>
        <v/>
      </c>
    </row>
    <row r="48">
      <c r="A48" s="30" t="inlineStr">
        <is>
          <t>Sum PV FCFF ($mm)</t>
        </is>
      </c>
      <c r="M48" s="52">
        <f>L37</f>
        <v/>
      </c>
    </row>
    <row r="49">
      <c r="A49" s="30" t="inlineStr">
        <is>
          <t>EV Operations ($mm)</t>
        </is>
      </c>
      <c r="M49" s="52">
        <f>M48+M46</f>
        <v/>
      </c>
    </row>
    <row r="50">
      <c r="A50" s="17" t="inlineStr">
        <is>
          <t>TV % of EV</t>
        </is>
      </c>
      <c r="M50" s="20">
        <f>IF(M49&gt;0,M46/M49,0)</f>
        <v/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8" t="inlineStr">
        <is>
          <t>IBM — EQUITY BRIDGE &amp; INTRINSIC VALUE</t>
        </is>
      </c>
    </row>
    <row r="2">
      <c r="A2" s="1" t="inlineStr">
        <is>
          <t>Item</t>
        </is>
      </c>
      <c r="B2" s="13" t="inlineStr">
        <is>
          <t>Bear</t>
        </is>
      </c>
      <c r="C2" s="13" t="inlineStr">
        <is>
          <t>Base</t>
        </is>
      </c>
      <c r="D2" s="13" t="inlineStr">
        <is>
          <t>Bull</t>
        </is>
      </c>
      <c r="E2" s="13" t="inlineStr">
        <is>
          <t>Notes</t>
        </is>
      </c>
    </row>
    <row r="3">
      <c r="A3" s="17" t="inlineStr">
        <is>
          <t>Sum PV FCFF (Y1-Y10) $mm</t>
        </is>
      </c>
      <c r="B3" s="46">
        <f>DCF_Bear!M48</f>
        <v/>
      </c>
      <c r="C3" s="46">
        <f>DCF_Base!M41</f>
        <v/>
      </c>
      <c r="D3" s="46">
        <f>DCF_Bull!M48</f>
        <v/>
      </c>
    </row>
    <row r="4">
      <c r="A4" s="17" t="inlineStr">
        <is>
          <t>PV Terminal Value $mm</t>
        </is>
      </c>
      <c r="B4" s="46">
        <f>DCF_Bear!M46</f>
        <v/>
      </c>
      <c r="C4" s="46">
        <f>DCF_Base!M39</f>
        <v/>
      </c>
      <c r="D4" s="46">
        <f>DCF_Bull!M46</f>
        <v/>
      </c>
      <c r="E4" s="34" t="inlineStr">
        <is>
          <t>Blended (Gordon+Exit)/2</t>
        </is>
      </c>
    </row>
    <row r="5">
      <c r="A5" s="59" t="inlineStr">
        <is>
          <t>EV — Operations $mm</t>
        </is>
      </c>
      <c r="B5" s="60">
        <f>DCF_Bear!M49</f>
        <v/>
      </c>
      <c r="C5" s="60">
        <f>DCF_Base!M42</f>
        <v/>
      </c>
      <c r="D5" s="60">
        <f>DCF_Bull!M49</f>
        <v/>
      </c>
    </row>
    <row r="6">
      <c r="A6" s="17" t="inlineStr">
        <is>
          <t>TV % of EV</t>
        </is>
      </c>
      <c r="B6" s="36">
        <f>DCF_Bear!M50</f>
        <v/>
      </c>
      <c r="C6" s="36">
        <f>DCF_Base!M43</f>
        <v/>
      </c>
      <c r="D6" s="36">
        <f>DCF_Bull!M50</f>
        <v/>
      </c>
      <c r="E6" s="34" t="inlineStr">
        <is>
          <t>Flag if &gt;75%</t>
        </is>
      </c>
    </row>
    <row r="7">
      <c r="A7" s="17" t="inlineStr">
        <is>
          <t>(+) Non-Operating Assets $mm</t>
        </is>
      </c>
      <c r="B7" s="46">
        <f>Assumptions!$D$42</f>
        <v/>
      </c>
      <c r="C7" s="46">
        <f>Assumptions!$D$42</f>
        <v/>
      </c>
      <c r="D7" s="46">
        <f>Assumptions!$D$42</f>
        <v/>
      </c>
    </row>
    <row r="8">
      <c r="A8" s="59" t="inlineStr">
        <is>
          <t>EV — Total $mm</t>
        </is>
      </c>
      <c r="B8" s="60">
        <f>B5+B7</f>
        <v/>
      </c>
      <c r="C8" s="60">
        <f>C5+C7</f>
        <v/>
      </c>
      <c r="D8" s="60">
        <f>D5+D7</f>
        <v/>
      </c>
      <c r="E8" s="34" t="inlineStr">
        <is>
          <t>EV_ops + Non-op assets</t>
        </is>
      </c>
    </row>
    <row r="9">
      <c r="A9" s="17" t="inlineStr">
        <is>
          <t>(-) Net Debt $mm</t>
        </is>
      </c>
      <c r="B9" s="46">
        <f>Assumptions!$D$39</f>
        <v/>
      </c>
      <c r="C9" s="46">
        <f>Assumptions!$D$39</f>
        <v/>
      </c>
      <c r="D9" s="46">
        <f>Assumptions!$D$39</f>
        <v/>
      </c>
    </row>
    <row r="10">
      <c r="A10" s="17" t="inlineStr">
        <is>
          <t>(-) Minority Interest $mm</t>
        </is>
      </c>
      <c r="B10" s="46">
        <f>Assumptions!$D$43</f>
        <v/>
      </c>
      <c r="C10" s="46">
        <f>Assumptions!$D$43</f>
        <v/>
      </c>
      <c r="D10" s="46">
        <f>Assumptions!$D$43</f>
        <v/>
      </c>
    </row>
    <row r="11">
      <c r="A11" s="17" t="inlineStr">
        <is>
          <t>(-) Preferred Equity $mm</t>
        </is>
      </c>
      <c r="B11" s="46">
        <f>Assumptions!$D$44</f>
        <v/>
      </c>
      <c r="C11" s="46">
        <f>Assumptions!$D$44</f>
        <v/>
      </c>
      <c r="D11" s="46">
        <f>Assumptions!$D$44</f>
        <v/>
      </c>
    </row>
    <row r="12">
      <c r="A12" s="17" t="inlineStr">
        <is>
          <t>(-) Pension Deficit $mm</t>
        </is>
      </c>
      <c r="B12" s="46">
        <f>Assumptions!$D$45</f>
        <v/>
      </c>
      <c r="C12" s="46">
        <f>Assumptions!$D$45</f>
        <v/>
      </c>
      <c r="D12" s="46">
        <f>Assumptions!$D$45</f>
        <v/>
      </c>
    </row>
    <row r="13">
      <c r="A13" s="17" t="inlineStr">
        <is>
          <t>(-) Lease Liabilities $mm</t>
        </is>
      </c>
      <c r="B13" s="46">
        <f>Assumptions!$D$46</f>
        <v/>
      </c>
      <c r="C13" s="46">
        <f>Assumptions!$D$46</f>
        <v/>
      </c>
      <c r="D13" s="46">
        <f>Assumptions!$D$46</f>
        <v/>
      </c>
    </row>
    <row r="14">
      <c r="A14" s="17" t="inlineStr">
        <is>
          <t>(-) Options Value $mm</t>
        </is>
      </c>
      <c r="B14" s="46">
        <f>Assumptions!$D$47</f>
        <v/>
      </c>
      <c r="C14" s="46">
        <f>Assumptions!$D$47</f>
        <v/>
      </c>
      <c r="D14" s="46">
        <f>Assumptions!$D$47</f>
        <v/>
      </c>
    </row>
    <row r="15">
      <c r="A15" s="17" t="inlineStr">
        <is>
          <t>(-) Convertibles $mm</t>
        </is>
      </c>
      <c r="B15" s="46">
        <f>Assumptions!$D$48</f>
        <v/>
      </c>
      <c r="C15" s="46">
        <f>Assumptions!$D$48</f>
        <v/>
      </c>
      <c r="D15" s="46">
        <f>Assumptions!$D$48</f>
        <v/>
      </c>
    </row>
    <row r="16">
      <c r="A16" s="59" t="inlineStr">
        <is>
          <t>Equity Value $mm</t>
        </is>
      </c>
      <c r="B16" s="60">
        <f>B8-B9-B10-B11-B12-B13-B14-B15</f>
        <v/>
      </c>
      <c r="C16" s="60">
        <f>C8-C9-C10-C11-C12-C13-C14-C15</f>
        <v/>
      </c>
      <c r="D16" s="60">
        <f>D8-D9-D10-D11-D12-D13-D14-D15</f>
        <v/>
      </c>
      <c r="E16" s="34" t="inlineStr">
        <is>
          <t>EV_Total − all claims</t>
        </is>
      </c>
    </row>
    <row r="17">
      <c r="A17" s="17" t="inlineStr">
        <is>
          <t>Shares Outstanding (mm)</t>
        </is>
      </c>
      <c r="B17" s="48">
        <f>Assumptions!$D$40</f>
        <v/>
      </c>
      <c r="C17" s="48">
        <f>Assumptions!$D$40</f>
        <v/>
      </c>
      <c r="D17" s="48">
        <f>Assumptions!$D$40</f>
        <v/>
      </c>
    </row>
    <row r="18">
      <c r="A18" s="59" t="inlineStr">
        <is>
          <t>Intrinsic Value / Share</t>
        </is>
      </c>
      <c r="B18" s="61">
        <f>B16/B17</f>
        <v/>
      </c>
      <c r="C18" s="61">
        <f>C16/C17</f>
        <v/>
      </c>
      <c r="D18" s="61">
        <f>D16/D17</f>
        <v/>
      </c>
      <c r="E18" s="34" t="inlineStr">
        <is>
          <t>Equity / Shares</t>
        </is>
      </c>
    </row>
    <row r="19">
      <c r="A19" s="17" t="inlineStr">
        <is>
          <t>Market Price</t>
        </is>
      </c>
      <c r="B19" s="62" t="n">
        <v>253.33</v>
      </c>
      <c r="C19" s="62" t="n">
        <v>253.33</v>
      </c>
      <c r="D19" s="62" t="n">
        <v>253.33</v>
      </c>
      <c r="E19" s="34" t="inlineStr">
        <is>
          <t>As of 2026-03-09</t>
        </is>
      </c>
    </row>
    <row r="20">
      <c r="A20" s="59" t="inlineStr">
        <is>
          <t>Upside / (Downside) %</t>
        </is>
      </c>
      <c r="B20" s="63">
        <f>B18/B19-1</f>
        <v/>
      </c>
      <c r="C20" s="63">
        <f>C18/C19-1</f>
        <v/>
      </c>
      <c r="D20" s="63">
        <f>D18/D19-1</f>
        <v/>
      </c>
    </row>
    <row r="21" ht="16" customHeight="1">
      <c r="A21" s="50" t="inlineStr">
        <is>
          <t xml:space="preserve">  EXPECTED INTRINSIC VALUE</t>
        </is>
      </c>
      <c r="B21" s="51" t="n"/>
      <c r="C21" s="51" t="n"/>
      <c r="D21" s="51" t="n"/>
      <c r="E21" s="51" t="n"/>
    </row>
    <row r="22">
      <c r="A22" s="59" t="inlineStr">
        <is>
          <t>Expected IV / Share (probability-weighted)</t>
        </is>
      </c>
      <c r="C22" s="64">
        <f>B18*Assumptions!$D$50+C18*Assumptions!$D$51+D18*Assumptions!$D$52</f>
        <v/>
      </c>
    </row>
    <row r="23">
      <c r="A23" s="59" t="inlineStr">
        <is>
          <t>Expected Upside %</t>
        </is>
      </c>
      <c r="C23" s="65">
        <f>C22/B19-1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6C09"/>
    <outlinePr summaryBelow="1" summaryRight="1"/>
    <pageSetUpPr/>
  </sheetPr>
  <dimension ref="A1:M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8" customWidth="1" min="13" max="13"/>
  </cols>
  <sheetData>
    <row r="1">
      <c r="A1" s="103" t="inlineStr">
        <is>
          <t>OPCH - Comparable Companies Appendix</t>
        </is>
      </c>
      <c r="I1" s="104" t="n"/>
      <c r="J1" s="104" t="n"/>
      <c r="K1" s="104" t="n"/>
      <c r="L1" s="104" t="n"/>
      <c r="M1" s="104" t="n"/>
    </row>
    <row r="2">
      <c r="A2" s="105" t="inlineStr">
        <is>
          <t>Company</t>
        </is>
      </c>
      <c r="B2" s="104" t="inlineStr">
        <is>
          <t>Option Care Health, Inc.</t>
        </is>
      </c>
      <c r="C2" s="104" t="n"/>
      <c r="D2" s="105" t="inlineStr">
        <is>
          <t>As Of</t>
        </is>
      </c>
      <c r="E2" s="104" t="inlineStr">
        <is>
          <t>2026-06-07</t>
        </is>
      </c>
      <c r="F2" s="104" t="n"/>
      <c r="G2" s="104" t="n"/>
      <c r="H2" s="104" t="n"/>
      <c r="I2" s="104" t="n"/>
      <c r="J2" s="104" t="n"/>
      <c r="K2" s="104" t="n"/>
      <c r="L2" s="104" t="n"/>
      <c r="M2" s="104" t="n"/>
    </row>
    <row r="3">
      <c r="A3" s="105" t="inlineStr">
        <is>
          <t>Source File</t>
        </is>
      </c>
      <c r="B3" s="104" t="inlineStr">
        <is>
          <t>public_market_yfinance_fallback</t>
        </is>
      </c>
      <c r="C3" s="104" t="n"/>
      <c r="D3" s="105" t="inlineStr">
        <is>
          <t>Current Price</t>
        </is>
      </c>
      <c r="E3" s="104" t="n">
        <v>20.51</v>
      </c>
      <c r="F3" s="104" t="n"/>
      <c r="G3" s="104" t="n"/>
      <c r="H3" s="104" t="n"/>
      <c r="I3" s="104" t="n"/>
      <c r="J3" s="104" t="n"/>
      <c r="K3" s="104" t="n"/>
      <c r="L3" s="104" t="n"/>
      <c r="M3" s="104" t="n"/>
    </row>
    <row r="4">
      <c r="A4" s="106" t="inlineStr">
        <is>
          <t>Headline Valuation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</row>
    <row r="5">
      <c r="A5" s="107" t="inlineStr">
        <is>
          <t>Primary Metric</t>
        </is>
      </c>
      <c r="B5" s="104" t="inlineStr">
        <is>
          <t>tev_ebitda_ltm</t>
        </is>
      </c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</row>
    <row r="6">
      <c r="A6" s="107" t="inlineStr">
        <is>
          <t>Blended Base IV</t>
        </is>
      </c>
      <c r="B6" s="104" t="n">
        <v>35.6754</v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</row>
    <row r="7">
      <c r="A7" s="107" t="inlineStr">
        <is>
          <t>Bear / Base / Bull</t>
        </is>
      </c>
      <c r="B7" s="104" t="inlineStr">
        <is>
          <t>22.6583 / 32.7897 / 37.2331</t>
        </is>
      </c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</row>
    <row r="8">
      <c r="A8" s="107" t="inlineStr">
        <is>
          <t>Peer Counts (raw / clean)</t>
        </is>
      </c>
      <c r="B8" s="104" t="inlineStr">
        <is>
          <t>6 / 5</t>
        </is>
      </c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</row>
    <row r="9">
      <c r="A9" s="107" t="inlineStr">
        <is>
          <t>Similarity Method</t>
        </is>
      </c>
      <c r="B9" s="104" t="inlineStr">
        <is>
          <t>embedding_cosine</t>
        </is>
      </c>
      <c r="C9" s="104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</row>
    <row r="10">
      <c r="A10" s="107" t="inlineStr">
        <is>
          <t>Weighting Formula</t>
        </is>
      </c>
      <c r="B10" s="104" t="inlineStr">
        <is>
          <t>0.60*description_similarity + 0.40*market_cap_proximity</t>
        </is>
      </c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</row>
    <row r="11">
      <c r="A11" s="104" t="n"/>
      <c r="B11" s="104" t="n"/>
      <c r="C11" s="104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</row>
    <row r="12" ht="16" customHeight="1">
      <c r="A12" s="106" t="inlineStr">
        <is>
          <t>Valuation By Metric</t>
        </is>
      </c>
      <c r="B12" s="104" t="n"/>
      <c r="C12" s="104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</row>
    <row r="13">
      <c r="A13" s="108" t="inlineStr">
        <is>
          <t>Metric</t>
        </is>
      </c>
      <c r="B13" s="108" t="inlineStr">
        <is>
          <t>Target Multiple</t>
        </is>
      </c>
      <c r="C13" s="108" t="inlineStr">
        <is>
          <t>Peer Median</t>
        </is>
      </c>
      <c r="D13" s="108" t="inlineStr">
        <is>
          <t>Bear Multiple</t>
        </is>
      </c>
      <c r="E13" s="108" t="inlineStr">
        <is>
          <t>Base Multiple</t>
        </is>
      </c>
      <c r="F13" s="108" t="inlineStr">
        <is>
          <t>Bull Multiple</t>
        </is>
      </c>
      <c r="G13" s="108" t="inlineStr">
        <is>
          <t>Bear IV</t>
        </is>
      </c>
      <c r="H13" s="108" t="inlineStr">
        <is>
          <t>Base IV</t>
        </is>
      </c>
      <c r="I13" s="108" t="inlineStr">
        <is>
          <t>Bull IV</t>
        </is>
      </c>
      <c r="J13" s="108" t="inlineStr">
        <is>
          <t>N Raw</t>
        </is>
      </c>
      <c r="K13" s="108" t="inlineStr">
        <is>
          <t>N Clean</t>
        </is>
      </c>
      <c r="L13" s="108" t="inlineStr">
        <is>
          <t>Primary</t>
        </is>
      </c>
      <c r="M13" s="104" t="n"/>
    </row>
    <row r="14" ht="16" customHeight="1">
      <c r="A14" s="109" t="inlineStr">
        <is>
          <t>TEV / EBITDA LTM</t>
        </is>
      </c>
      <c r="B14" s="109" t="n">
        <v>10.739</v>
      </c>
      <c r="C14" s="109" t="n">
        <v>16.4145</v>
      </c>
      <c r="D14" s="109" t="n">
        <v>11.58</v>
      </c>
      <c r="E14" s="109" t="n">
        <v>15.545</v>
      </c>
      <c r="F14" s="109" t="n">
        <v>17.284</v>
      </c>
      <c r="G14" s="109" t="n">
        <v>22.6583</v>
      </c>
      <c r="H14" s="109" t="n">
        <v>32.7897</v>
      </c>
      <c r="I14" s="109" t="n">
        <v>37.2331</v>
      </c>
      <c r="J14" s="109" t="n">
        <v>6</v>
      </c>
      <c r="K14" s="109" t="n">
        <v>5</v>
      </c>
      <c r="L14" s="109" t="inlineStr">
        <is>
          <t>Yes</t>
        </is>
      </c>
      <c r="M14" s="104" t="n"/>
    </row>
    <row r="15">
      <c r="A15" s="109" t="inlineStr">
        <is>
          <t>P / E LTM</t>
        </is>
      </c>
      <c r="B15" s="109" t="n">
        <v>16.023438</v>
      </c>
      <c r="C15" s="109" t="n">
        <v>32.0756</v>
      </c>
      <c r="D15" s="109" t="n">
        <v>26.941</v>
      </c>
      <c r="E15" s="109" t="n">
        <v>30.1259</v>
      </c>
      <c r="F15" s="109" t="n">
        <v>34.0254</v>
      </c>
      <c r="G15" s="109" t="n">
        <v>34.4844</v>
      </c>
      <c r="H15" s="109" t="n">
        <v>38.5612</v>
      </c>
      <c r="I15" s="109" t="n">
        <v>43.5524</v>
      </c>
      <c r="J15" s="109" t="n">
        <v>6</v>
      </c>
      <c r="K15" s="109" t="n">
        <v>5</v>
      </c>
      <c r="L15" s="109" t="inlineStr"/>
      <c r="M15" s="104" t="n"/>
    </row>
    <row r="16">
      <c r="A16" s="104" t="n"/>
      <c r="B16" s="104" t="n"/>
      <c r="C16" s="104" t="n"/>
      <c r="D16" s="104" t="n"/>
      <c r="E16" s="104" t="n"/>
      <c r="F16" s="104" t="n"/>
      <c r="G16" s="104" t="n"/>
      <c r="H16" s="104" t="n"/>
      <c r="I16" s="104" t="n"/>
      <c r="J16" s="104" t="n"/>
      <c r="K16" s="104" t="n"/>
      <c r="L16" s="104" t="n"/>
      <c r="M16" s="104" t="n"/>
    </row>
    <row r="17">
      <c r="A17" s="106" t="inlineStr">
        <is>
          <t>Target Vs Peer Benchmarks</t>
        </is>
      </c>
      <c r="B17" s="104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</row>
    <row r="18">
      <c r="A18" s="108" t="inlineStr">
        <is>
          <t>Metric</t>
        </is>
      </c>
      <c r="B18" s="108" t="inlineStr">
        <is>
          <t>Target</t>
        </is>
      </c>
      <c r="C18" s="108" t="inlineStr">
        <is>
          <t>Peer Median</t>
        </is>
      </c>
      <c r="D18" s="108" t="inlineStr">
        <is>
          <t>Delta</t>
        </is>
      </c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</row>
    <row r="19">
      <c r="A19" s="109" t="inlineStr">
        <is>
          <t>TEV / EBITDA LTM</t>
        </is>
      </c>
      <c r="B19" s="109" t="n">
        <v>10.739</v>
      </c>
      <c r="C19" s="109" t="n">
        <v>16.4145</v>
      </c>
      <c r="D19" s="109" t="n">
        <v>-5.6755</v>
      </c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</row>
    <row r="20">
      <c r="A20" s="109" t="inlineStr">
        <is>
          <t>P / E LTM</t>
        </is>
      </c>
      <c r="B20" s="109" t="n">
        <v>16.023438</v>
      </c>
      <c r="C20" s="109" t="n">
        <v>32.0756</v>
      </c>
      <c r="D20" s="109" t="n">
        <v>-16.0522</v>
      </c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</row>
    <row r="21">
      <c r="A21" s="109" t="inlineStr">
        <is>
          <t>Revenue Growth</t>
        </is>
      </c>
      <c r="B21" s="109" t="n">
        <v>0.013</v>
      </c>
      <c r="C21" s="109" t="n"/>
      <c r="D21" s="109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</row>
    <row r="22">
      <c r="A22" s="109" t="inlineStr">
        <is>
          <t>EBIT Margin</t>
        </is>
      </c>
      <c r="B22" s="109" t="n">
        <v>0.05371</v>
      </c>
      <c r="C22" s="109" t="n"/>
      <c r="D22" s="109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</row>
    <row r="23">
      <c r="A23" s="109" t="inlineStr">
        <is>
          <t>Net Debt / EBITDA</t>
        </is>
      </c>
      <c r="B23" s="109" t="n">
        <v>2.7124</v>
      </c>
      <c r="C23" s="109" t="n"/>
      <c r="D23" s="109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</row>
    <row r="25">
      <c r="A25" s="106" t="inlineStr">
        <is>
          <t>Peer Table</t>
        </is>
      </c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</row>
    <row r="26">
      <c r="A26" s="108" t="inlineStr">
        <is>
          <t>Ticker</t>
        </is>
      </c>
      <c r="B26" s="108" t="inlineStr">
        <is>
          <t>Company</t>
        </is>
      </c>
      <c r="C26" s="108" t="inlineStr">
        <is>
          <t>Similarity Score</t>
        </is>
      </c>
      <c r="D26" s="108" t="inlineStr">
        <is>
          <t>Model Weight</t>
        </is>
      </c>
      <c r="E26" s="108" t="inlineStr">
        <is>
          <t>Revenue LTM</t>
        </is>
      </c>
      <c r="F26" s="108" t="inlineStr">
        <is>
          <t>EBITDA LTM</t>
        </is>
      </c>
      <c r="G26" s="108" t="inlineStr">
        <is>
          <t>EBIT LTM</t>
        </is>
      </c>
      <c r="H26" s="108" t="inlineStr">
        <is>
          <t>Revenue Growth</t>
        </is>
      </c>
      <c r="I26" s="108" t="inlineStr">
        <is>
          <t>EBIT Margin</t>
        </is>
      </c>
      <c r="J26" s="108" t="inlineStr">
        <is>
          <t>Net Debt / EBITDA</t>
        </is>
      </c>
      <c r="K26" s="108" t="inlineStr">
        <is>
          <t>TEV / EBITDA LTM</t>
        </is>
      </c>
      <c r="L26" s="108" t="inlineStr">
        <is>
          <t>TEV / EBIT LTM</t>
        </is>
      </c>
      <c r="M26" s="108" t="inlineStr">
        <is>
          <t>P / E LTM</t>
        </is>
      </c>
    </row>
    <row r="27">
      <c r="A27" s="110" t="inlineStr">
        <is>
          <t>UNH</t>
        </is>
      </c>
      <c r="B27" s="110" t="inlineStr">
        <is>
          <t>UNH</t>
        </is>
      </c>
      <c r="C27" s="110" t="n">
        <v>0.7682148746167612</v>
      </c>
      <c r="D27" s="110" t="n">
        <v>0.1765</v>
      </c>
      <c r="E27" s="110" t="n"/>
      <c r="F27" s="110" t="n"/>
      <c r="G27" s="110" t="n"/>
      <c r="H27" s="110" t="n"/>
      <c r="I27" s="110" t="n"/>
      <c r="J27" s="110" t="n"/>
      <c r="K27" s="110" t="n">
        <v>19.423</v>
      </c>
      <c r="L27" s="110" t="n"/>
      <c r="M27" s="110" t="n">
        <v>30.125942</v>
      </c>
    </row>
    <row r="28">
      <c r="A28" s="110" t="inlineStr">
        <is>
          <t>ABBV</t>
        </is>
      </c>
      <c r="B28" s="110" t="inlineStr">
        <is>
          <t>ABBV</t>
        </is>
      </c>
      <c r="C28" s="110" t="n">
        <v>0.7504827397047857</v>
      </c>
      <c r="D28" s="110" t="n">
        <v>0.1724</v>
      </c>
      <c r="E28" s="110" t="n"/>
      <c r="F28" s="110" t="n"/>
      <c r="G28" s="110" t="n"/>
      <c r="H28" s="110" t="n"/>
      <c r="I28" s="110" t="n"/>
      <c r="J28" s="110" t="n"/>
      <c r="K28" s="110" t="n">
        <v>15.545</v>
      </c>
      <c r="L28" s="110" t="n"/>
      <c r="M28" s="110" t="n">
        <v>110.8439</v>
      </c>
    </row>
    <row r="29">
      <c r="A29" s="110" t="inlineStr">
        <is>
          <t>PFE</t>
        </is>
      </c>
      <c r="B29" s="110" t="inlineStr">
        <is>
          <t>PFE</t>
        </is>
      </c>
      <c r="C29" s="110" t="n">
        <v>0.7230175174738462</v>
      </c>
      <c r="D29" s="110" t="n">
        <v>0.1661</v>
      </c>
      <c r="E29" s="110" t="n"/>
      <c r="F29" s="110" t="n"/>
      <c r="G29" s="110" t="n"/>
      <c r="H29" s="110" t="n"/>
      <c r="I29" s="110" t="n"/>
      <c r="J29" s="110" t="n"/>
      <c r="K29" s="110" t="n">
        <v>7.87</v>
      </c>
      <c r="L29" s="110" t="n"/>
      <c r="M29" s="110" t="n">
        <v>19.877865</v>
      </c>
    </row>
    <row r="30">
      <c r="A30" s="110" t="inlineStr">
        <is>
          <t>JNJ</t>
        </is>
      </c>
      <c r="B30" s="110" t="inlineStr">
        <is>
          <t>JNJ</t>
        </is>
      </c>
      <c r="C30" s="110" t="n">
        <v>0.7071032977299839</v>
      </c>
      <c r="D30" s="110" t="n">
        <v>0.1624</v>
      </c>
      <c r="E30" s="110" t="n"/>
      <c r="F30" s="110" t="n"/>
      <c r="G30" s="110" t="n"/>
      <c r="H30" s="110" t="n"/>
      <c r="I30" s="110" t="n"/>
      <c r="J30" s="110" t="n"/>
      <c r="K30" s="110" t="n">
        <v>17.284</v>
      </c>
      <c r="L30" s="110" t="n"/>
      <c r="M30" s="110" t="n">
        <v>26.940971</v>
      </c>
    </row>
    <row r="31">
      <c r="A31" s="110" t="inlineStr">
        <is>
          <t>MRK</t>
        </is>
      </c>
      <c r="B31" s="110" t="inlineStr">
        <is>
          <t>MRK</t>
        </is>
      </c>
      <c r="C31" s="110" t="n">
        <v>0.7065916952570109</v>
      </c>
      <c r="D31" s="110" t="n">
        <v>0.1623</v>
      </c>
      <c r="E31" s="110" t="n"/>
      <c r="F31" s="110" t="n"/>
      <c r="G31" s="110" t="n"/>
      <c r="H31" s="110" t="n"/>
      <c r="I31" s="110" t="n"/>
      <c r="J31" s="110" t="n"/>
      <c r="K31" s="110" t="n">
        <v>11.58</v>
      </c>
      <c r="L31" s="110" t="n"/>
      <c r="M31" s="110" t="n">
        <v>34.025352</v>
      </c>
    </row>
    <row r="32">
      <c r="A32" s="110" t="inlineStr">
        <is>
          <t>LLY</t>
        </is>
      </c>
      <c r="B32" s="110" t="inlineStr">
        <is>
          <t>LLY</t>
        </is>
      </c>
      <c r="C32" s="110" t="n">
        <v>0.6973952199950741</v>
      </c>
      <c r="D32" s="110" t="n">
        <v>0.1602</v>
      </c>
      <c r="E32" s="110" t="n"/>
      <c r="F32" s="110" t="n"/>
      <c r="G32" s="110" t="n"/>
      <c r="H32" s="110" t="n"/>
      <c r="I32" s="110" t="n"/>
      <c r="J32" s="110" t="n"/>
      <c r="K32" s="110" t="n">
        <v>28.911</v>
      </c>
      <c r="L32" s="110" t="n"/>
      <c r="M32" s="110" t="n">
        <v>40.164005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03" t="inlineStr">
        <is>
          <t>OPCH - Comps Diagnostics</t>
        </is>
      </c>
    </row>
    <row r="2">
      <c r="A2" s="104" t="n"/>
      <c r="B2" s="104" t="n"/>
      <c r="C2" s="104" t="n"/>
      <c r="D2" s="104" t="n"/>
      <c r="E2" s="104" t="n"/>
      <c r="F2" s="104" t="n"/>
    </row>
    <row r="3">
      <c r="A3" s="104" t="n"/>
      <c r="B3" s="104" t="n"/>
      <c r="C3" s="104" t="n"/>
      <c r="D3" s="104" t="n"/>
      <c r="E3" s="104" t="n"/>
      <c r="F3" s="104" t="n"/>
    </row>
    <row r="4">
      <c r="A4" s="106" t="inlineStr">
        <is>
          <t>Audit Flags</t>
        </is>
      </c>
      <c r="B4" s="104" t="n"/>
      <c r="C4" s="104" t="n"/>
      <c r="D4" s="104" t="n"/>
      <c r="E4" s="104" t="n"/>
      <c r="F4" s="104" t="n"/>
    </row>
    <row r="5">
      <c r="A5" s="104" t="inlineStr">
        <is>
          <t>No CIQ comps detail available; using public market yfinance fallback comps</t>
        </is>
      </c>
      <c r="B5" s="104" t="n"/>
      <c r="C5" s="104" t="n"/>
      <c r="D5" s="104" t="n"/>
      <c r="E5" s="104" t="n"/>
      <c r="F5" s="104" t="n"/>
    </row>
    <row r="6">
      <c r="A6" s="104" t="inlineStr">
        <is>
          <t>Outliers removed from tev_ebitda_ltm: LLY</t>
        </is>
      </c>
      <c r="B6" s="104" t="n"/>
      <c r="C6" s="104" t="n"/>
      <c r="D6" s="104" t="n"/>
      <c r="E6" s="104" t="n"/>
      <c r="F6" s="104" t="n"/>
    </row>
    <row r="7">
      <c r="A7" s="104" t="inlineStr">
        <is>
          <t>Peer set cleaned from 6 to 5</t>
        </is>
      </c>
      <c r="B7" s="104" t="n"/>
      <c r="C7" s="104" t="n"/>
      <c r="D7" s="104" t="n"/>
      <c r="E7" s="104" t="n"/>
      <c r="F7" s="104" t="n"/>
    </row>
    <row r="8">
      <c r="A8" s="104" t="n"/>
      <c r="B8" s="104" t="n"/>
      <c r="C8" s="104" t="n"/>
      <c r="D8" s="104" t="n"/>
      <c r="E8" s="104" t="n"/>
      <c r="F8" s="104" t="n"/>
    </row>
    <row r="9">
      <c r="A9" s="105" t="inlineStr">
        <is>
          <t>Notes</t>
        </is>
      </c>
      <c r="B9" s="104" t="inlineStr">
        <is>
          <t>primary=tev_ebitda_ltm; 2 metrics computed; 5/6 peers after IQR cleaning</t>
        </is>
      </c>
      <c r="C9" s="104" t="n"/>
      <c r="D9" s="104" t="n"/>
      <c r="E9" s="104" t="n"/>
      <c r="F9" s="104" t="n"/>
    </row>
    <row r="10">
      <c r="A10" s="104" t="n"/>
      <c r="B10" s="104" t="n"/>
      <c r="C10" s="104" t="n"/>
      <c r="D10" s="104" t="n"/>
      <c r="E10" s="104" t="n"/>
      <c r="F10" s="104" t="n"/>
    </row>
    <row r="11">
      <c r="A11" s="106" t="inlineStr">
        <is>
          <t>Metric Status</t>
        </is>
      </c>
      <c r="B11" s="104" t="n"/>
      <c r="C11" s="104" t="n"/>
      <c r="D11" s="104" t="n"/>
      <c r="E11" s="104" t="n"/>
      <c r="F11" s="104" t="n"/>
    </row>
    <row r="12">
      <c r="A12" s="108" t="inlineStr">
        <is>
          <t>Ticker</t>
        </is>
      </c>
      <c r="B12" s="108" t="inlineStr">
        <is>
          <t>Company</t>
        </is>
      </c>
      <c r="C12" s="108" t="inlineStr">
        <is>
          <t>Metric</t>
        </is>
      </c>
      <c r="D12" s="108" t="inlineStr">
        <is>
          <t>Label</t>
        </is>
      </c>
      <c r="E12" s="108" t="inlineStr">
        <is>
          <t>Raw Multiple</t>
        </is>
      </c>
      <c r="F12" s="108" t="inlineStr">
        <is>
          <t>Status</t>
        </is>
      </c>
    </row>
    <row r="13">
      <c r="A13" s="109" t="inlineStr">
        <is>
          <t>UNH</t>
        </is>
      </c>
      <c r="B13" s="109" t="inlineStr">
        <is>
          <t>UNH</t>
        </is>
      </c>
      <c r="C13" s="109" t="inlineStr">
        <is>
          <t>tev_ebitda_ltm</t>
        </is>
      </c>
      <c r="D13" s="109" t="inlineStr">
        <is>
          <t>TEV / EBITDA LTM</t>
        </is>
      </c>
      <c r="E13" s="109" t="n">
        <v>19.423</v>
      </c>
      <c r="F13" s="109" t="inlineStr">
        <is>
          <t>included</t>
        </is>
      </c>
    </row>
    <row r="14">
      <c r="A14" s="109" t="inlineStr">
        <is>
          <t>ABBV</t>
        </is>
      </c>
      <c r="B14" s="109" t="inlineStr">
        <is>
          <t>ABBV</t>
        </is>
      </c>
      <c r="C14" s="109" t="inlineStr">
        <is>
          <t>tev_ebitda_ltm</t>
        </is>
      </c>
      <c r="D14" s="109" t="inlineStr">
        <is>
          <t>TEV / EBITDA LTM</t>
        </is>
      </c>
      <c r="E14" s="109" t="n">
        <v>15.545</v>
      </c>
      <c r="F14" s="109" t="inlineStr">
        <is>
          <t>included</t>
        </is>
      </c>
    </row>
    <row r="15">
      <c r="A15" s="109" t="inlineStr">
        <is>
          <t>PFE</t>
        </is>
      </c>
      <c r="B15" s="109" t="inlineStr">
        <is>
          <t>PFE</t>
        </is>
      </c>
      <c r="C15" s="109" t="inlineStr">
        <is>
          <t>tev_ebitda_ltm</t>
        </is>
      </c>
      <c r="D15" s="109" t="inlineStr">
        <is>
          <t>TEV / EBITDA LTM</t>
        </is>
      </c>
      <c r="E15" s="109" t="n">
        <v>7.87</v>
      </c>
      <c r="F15" s="109" t="inlineStr">
        <is>
          <t>included</t>
        </is>
      </c>
    </row>
    <row r="16">
      <c r="A16" s="109" t="inlineStr">
        <is>
          <t>JNJ</t>
        </is>
      </c>
      <c r="B16" s="109" t="inlineStr">
        <is>
          <t>JNJ</t>
        </is>
      </c>
      <c r="C16" s="109" t="inlineStr">
        <is>
          <t>tev_ebitda_ltm</t>
        </is>
      </c>
      <c r="D16" s="109" t="inlineStr">
        <is>
          <t>TEV / EBITDA LTM</t>
        </is>
      </c>
      <c r="E16" s="109" t="n">
        <v>17.284</v>
      </c>
      <c r="F16" s="109" t="inlineStr">
        <is>
          <t>included</t>
        </is>
      </c>
    </row>
    <row r="17">
      <c r="A17" s="109" t="inlineStr">
        <is>
          <t>MRK</t>
        </is>
      </c>
      <c r="B17" s="109" t="inlineStr">
        <is>
          <t>MRK</t>
        </is>
      </c>
      <c r="C17" s="109" t="inlineStr">
        <is>
          <t>tev_ebitda_ltm</t>
        </is>
      </c>
      <c r="D17" s="109" t="inlineStr">
        <is>
          <t>TEV / EBITDA LTM</t>
        </is>
      </c>
      <c r="E17" s="109" t="n">
        <v>11.58</v>
      </c>
      <c r="F17" s="109" t="inlineStr">
        <is>
          <t>included</t>
        </is>
      </c>
    </row>
    <row r="18">
      <c r="A18" s="109" t="inlineStr">
        <is>
          <t>LLY</t>
        </is>
      </c>
      <c r="B18" s="109" t="inlineStr">
        <is>
          <t>LLY</t>
        </is>
      </c>
      <c r="C18" s="109" t="inlineStr">
        <is>
          <t>tev_ebitda_ltm</t>
        </is>
      </c>
      <c r="D18" s="109" t="inlineStr">
        <is>
          <t>TEV / EBITDA LTM</t>
        </is>
      </c>
      <c r="E18" s="109" t="n">
        <v>28.911</v>
      </c>
      <c r="F18" s="109" t="inlineStr">
        <is>
          <t>outlier_removed</t>
        </is>
      </c>
    </row>
    <row r="19">
      <c r="A19" s="109" t="inlineStr">
        <is>
          <t>UNH</t>
        </is>
      </c>
      <c r="B19" s="109" t="inlineStr">
        <is>
          <t>UNH</t>
        </is>
      </c>
      <c r="C19" s="109" t="inlineStr">
        <is>
          <t>pe_ltm</t>
        </is>
      </c>
      <c r="D19" s="109" t="inlineStr">
        <is>
          <t>P / E LTM</t>
        </is>
      </c>
      <c r="E19" s="109" t="n">
        <v>30.125942</v>
      </c>
      <c r="F19" s="109" t="inlineStr">
        <is>
          <t>included</t>
        </is>
      </c>
    </row>
    <row r="20">
      <c r="A20" s="109" t="inlineStr">
        <is>
          <t>ABBV</t>
        </is>
      </c>
      <c r="B20" s="109" t="inlineStr">
        <is>
          <t>ABBV</t>
        </is>
      </c>
      <c r="C20" s="109" t="inlineStr">
        <is>
          <t>pe_ltm</t>
        </is>
      </c>
      <c r="D20" s="109" t="inlineStr">
        <is>
          <t>P / E LTM</t>
        </is>
      </c>
      <c r="E20" s="109" t="n">
        <v>110.8439</v>
      </c>
      <c r="F20" s="109" t="inlineStr">
        <is>
          <t>outlier_removed</t>
        </is>
      </c>
    </row>
    <row r="21">
      <c r="A21" s="109" t="inlineStr">
        <is>
          <t>PFE</t>
        </is>
      </c>
      <c r="B21" s="109" t="inlineStr">
        <is>
          <t>PFE</t>
        </is>
      </c>
      <c r="C21" s="109" t="inlineStr">
        <is>
          <t>pe_ltm</t>
        </is>
      </c>
      <c r="D21" s="109" t="inlineStr">
        <is>
          <t>P / E LTM</t>
        </is>
      </c>
      <c r="E21" s="109" t="n">
        <v>19.877865</v>
      </c>
      <c r="F21" s="109" t="inlineStr">
        <is>
          <t>included</t>
        </is>
      </c>
    </row>
    <row r="22">
      <c r="A22" s="109" t="inlineStr">
        <is>
          <t>JNJ</t>
        </is>
      </c>
      <c r="B22" s="109" t="inlineStr">
        <is>
          <t>JNJ</t>
        </is>
      </c>
      <c r="C22" s="109" t="inlineStr">
        <is>
          <t>pe_ltm</t>
        </is>
      </c>
      <c r="D22" s="109" t="inlineStr">
        <is>
          <t>P / E LTM</t>
        </is>
      </c>
      <c r="E22" s="109" t="n">
        <v>26.940971</v>
      </c>
      <c r="F22" s="109" t="inlineStr">
        <is>
          <t>included</t>
        </is>
      </c>
    </row>
    <row r="23">
      <c r="A23" s="109" t="inlineStr">
        <is>
          <t>MRK</t>
        </is>
      </c>
      <c r="B23" s="109" t="inlineStr">
        <is>
          <t>MRK</t>
        </is>
      </c>
      <c r="C23" s="109" t="inlineStr">
        <is>
          <t>pe_ltm</t>
        </is>
      </c>
      <c r="D23" s="109" t="inlineStr">
        <is>
          <t>P / E LTM</t>
        </is>
      </c>
      <c r="E23" s="109" t="n">
        <v>34.025352</v>
      </c>
      <c r="F23" s="109" t="inlineStr">
        <is>
          <t>included</t>
        </is>
      </c>
    </row>
    <row r="24">
      <c r="A24" s="109" t="inlineStr">
        <is>
          <t>LLY</t>
        </is>
      </c>
      <c r="B24" s="109" t="inlineStr">
        <is>
          <t>LLY</t>
        </is>
      </c>
      <c r="C24" s="109" t="inlineStr">
        <is>
          <t>pe_ltm</t>
        </is>
      </c>
      <c r="D24" s="109" t="inlineStr">
        <is>
          <t>P / E LTM</t>
        </is>
      </c>
      <c r="E24" s="109" t="n">
        <v>40.164005</v>
      </c>
      <c r="F24" s="109" t="inlineStr">
        <is>
          <t>included</t>
        </is>
      </c>
    </row>
    <row r="26">
      <c r="A26" s="111" t="inlineStr">
        <is>
          <t>Football Field</t>
        </is>
      </c>
    </row>
    <row r="27">
      <c r="A27" s="108" t="inlineStr">
        <is>
          <t>Label</t>
        </is>
      </c>
      <c r="B27" s="108" t="inlineStr">
        <is>
          <t>Bear</t>
        </is>
      </c>
      <c r="C27" s="108" t="inlineStr">
        <is>
          <t>Base</t>
        </is>
      </c>
      <c r="D27" s="108" t="inlineStr">
        <is>
          <t>Bull</t>
        </is>
      </c>
    </row>
    <row r="28">
      <c r="A28" s="110" t="inlineStr">
        <is>
          <t>TEV / EBITDA LTM</t>
        </is>
      </c>
      <c r="B28" s="110" t="n">
        <v>22.6583</v>
      </c>
      <c r="C28" s="110" t="n">
        <v>32.7897</v>
      </c>
      <c r="D28" s="110" t="n">
        <v>37.2331</v>
      </c>
    </row>
    <row r="29">
      <c r="A29" s="110" t="inlineStr">
        <is>
          <t>P / E LTM</t>
        </is>
      </c>
      <c r="B29" s="110" t="n">
        <v>34.4844</v>
      </c>
      <c r="C29" s="110" t="n">
        <v>38.5612</v>
      </c>
      <c r="D29" s="110" t="n">
        <v>43.5524</v>
      </c>
    </row>
    <row r="31">
      <c r="A31" s="111" t="inlineStr">
        <is>
          <t>Historical Multiples Summary</t>
        </is>
      </c>
    </row>
    <row r="32">
      <c r="A32" s="108" t="inlineStr">
        <is>
          <t>Metric</t>
        </is>
      </c>
      <c r="B32" s="108" t="inlineStr">
        <is>
          <t>Current</t>
        </is>
      </c>
      <c r="C32" s="108" t="inlineStr">
        <is>
          <t>Median</t>
        </is>
      </c>
      <c r="D32" s="108" t="inlineStr">
        <is>
          <t>P25</t>
        </is>
      </c>
      <c r="E32" s="108" t="inlineStr">
        <is>
          <t>P75</t>
        </is>
      </c>
      <c r="F32" s="108" t="inlineStr">
        <is>
          <t>Current Percentile</t>
        </is>
      </c>
    </row>
    <row r="33">
      <c r="A33" s="110" t="inlineStr">
        <is>
          <t>pe_trailing</t>
        </is>
      </c>
      <c r="B33" s="110" t="n">
        <v>16.0234</v>
      </c>
      <c r="C33" s="110" t="n">
        <v>23.2969</v>
      </c>
      <c r="D33" s="110" t="n"/>
      <c r="E33" s="110" t="n"/>
      <c r="F33" s="110" t="n">
        <v>0.0151</v>
      </c>
    </row>
    <row r="34">
      <c r="A34" s="110" t="inlineStr">
        <is>
          <t>ev_ebitda</t>
        </is>
      </c>
      <c r="B34" s="110" t="n">
        <v>10.739</v>
      </c>
      <c r="C34" s="110" t="n">
        <v>14.3825</v>
      </c>
      <c r="D34" s="110" t="n"/>
      <c r="E34" s="110" t="n"/>
      <c r="F34" s="110" t="n">
        <v>0.0151</v>
      </c>
    </row>
    <row r="35">
      <c r="A35" s="110" t="inlineStr">
        <is>
          <t>ev_revenue</t>
        </is>
      </c>
      <c r="B35" s="110" t="n">
        <v>0.76</v>
      </c>
      <c r="C35" s="110" t="n">
        <v>1.0178</v>
      </c>
      <c r="D35" s="110" t="n"/>
      <c r="E35" s="110" t="n"/>
      <c r="F35" s="110" t="n">
        <v>0.0151</v>
      </c>
    </row>
    <row r="36">
      <c r="A36" s="110" t="inlineStr">
        <is>
          <t>price_to_book</t>
        </is>
      </c>
      <c r="B36" s="110" t="n">
        <v>2.3832</v>
      </c>
      <c r="C36" s="110" t="n">
        <v>3.465</v>
      </c>
      <c r="D36" s="110" t="n"/>
      <c r="E36" s="110" t="n"/>
      <c r="F36" s="110" t="n">
        <v>0.0151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81BD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3" t="inlineStr">
        <is>
          <t>IBM — SENSITIVITY ANALYSIS  |  IV / Share vs WACC × Terminal Growth</t>
        </is>
      </c>
    </row>
    <row r="2" ht="16" customHeight="1">
      <c r="A2" s="1" t="inlineStr">
        <is>
          <t xml:space="preserve">  IV/Share ($) — WACC (rows) × Terminal Growth (cols)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3">
      <c r="A3" s="82" t="inlineStr">
        <is>
          <t>WACC \ Term. g</t>
        </is>
      </c>
      <c r="B3" s="83" t="n">
        <v>0.015</v>
      </c>
      <c r="C3" s="83" t="n">
        <v>0.02</v>
      </c>
      <c r="D3" s="83" t="n">
        <v>0.025</v>
      </c>
      <c r="E3" s="83" t="n">
        <v>0.03</v>
      </c>
      <c r="F3" s="84" t="n">
        <v>0.035</v>
      </c>
      <c r="G3" s="83" t="n">
        <v>0.04</v>
      </c>
      <c r="H3" s="83" t="n">
        <v>0.04500000000000001</v>
      </c>
      <c r="I3" s="83" t="n">
        <v>0.05</v>
      </c>
      <c r="J3" s="83" t="n">
        <v>0.05500000000000001</v>
      </c>
    </row>
    <row r="4">
      <c r="A4" s="85" t="n">
        <v>0.05043</v>
      </c>
      <c r="B4" s="86" t="n">
        <v>380.03</v>
      </c>
      <c r="C4" s="86" t="n">
        <v>421.19</v>
      </c>
      <c r="D4" s="86" t="n">
        <v>478.37</v>
      </c>
      <c r="E4" s="86" t="n">
        <v>563.34</v>
      </c>
      <c r="F4" s="86" t="n">
        <v>703.1</v>
      </c>
      <c r="G4" s="86" t="n">
        <v>976.46</v>
      </c>
      <c r="H4" s="86" t="n">
        <v>1752.47</v>
      </c>
      <c r="I4" s="86" t="n">
        <v>20565.41</v>
      </c>
      <c r="J4" s="87" t="n">
        <v>55.18</v>
      </c>
    </row>
    <row r="5">
      <c r="A5" s="85" t="n">
        <v>0.05543000000000001</v>
      </c>
      <c r="B5" s="86" t="n">
        <v>323.99</v>
      </c>
      <c r="C5" s="86" t="n">
        <v>352.3</v>
      </c>
      <c r="D5" s="86" t="n">
        <v>389.78</v>
      </c>
      <c r="E5" s="86" t="n">
        <v>441.83</v>
      </c>
      <c r="F5" s="86" t="n">
        <v>519.1799999999999</v>
      </c>
      <c r="G5" s="86" t="n">
        <v>646.38</v>
      </c>
      <c r="H5" s="86" t="n">
        <v>895.17</v>
      </c>
      <c r="I5" s="86" t="n">
        <v>1601.39</v>
      </c>
      <c r="J5" s="86" t="n">
        <v>18722.08</v>
      </c>
    </row>
    <row r="6">
      <c r="A6" s="85" t="n">
        <v>0.06043</v>
      </c>
      <c r="B6" s="88" t="n">
        <v>280.4</v>
      </c>
      <c r="C6" s="88" t="n">
        <v>300.54</v>
      </c>
      <c r="D6" s="86" t="n">
        <v>326.25</v>
      </c>
      <c r="E6" s="86" t="n">
        <v>360.29</v>
      </c>
      <c r="F6" s="86" t="n">
        <v>407.56</v>
      </c>
      <c r="G6" s="86" t="n">
        <v>477.78</v>
      </c>
      <c r="H6" s="86" t="n">
        <v>593.26</v>
      </c>
      <c r="I6" s="86" t="n">
        <v>819.1</v>
      </c>
      <c r="J6" s="86" t="n">
        <v>1460.15</v>
      </c>
    </row>
    <row r="7">
      <c r="A7" s="85" t="n">
        <v>0.06543</v>
      </c>
      <c r="B7" s="88" t="n">
        <v>245.55</v>
      </c>
      <c r="C7" s="88" t="n">
        <v>260.25</v>
      </c>
      <c r="D7" s="88" t="n">
        <v>278.5</v>
      </c>
      <c r="E7" s="88" t="n">
        <v>301.78</v>
      </c>
      <c r="F7" s="86" t="n">
        <v>332.61</v>
      </c>
      <c r="G7" s="86" t="n">
        <v>375.41</v>
      </c>
      <c r="H7" s="86" t="n">
        <v>438.98</v>
      </c>
      <c r="I7" s="86" t="n">
        <v>543.52</v>
      </c>
      <c r="J7" s="86" t="n">
        <v>747.9299999999999</v>
      </c>
    </row>
    <row r="8">
      <c r="A8" s="84" t="n">
        <v>0.07043000000000001</v>
      </c>
      <c r="B8" s="87" t="n">
        <v>217.08</v>
      </c>
      <c r="C8" s="87" t="n">
        <v>228.02</v>
      </c>
      <c r="D8" s="88" t="n">
        <v>241.3</v>
      </c>
      <c r="E8" s="88" t="n">
        <v>257.78</v>
      </c>
      <c r="F8" s="89" t="n">
        <v>278.8</v>
      </c>
      <c r="G8" s="86" t="n">
        <v>306.63</v>
      </c>
      <c r="H8" s="86" t="n">
        <v>345.25</v>
      </c>
      <c r="I8" s="86" t="n">
        <v>402.62</v>
      </c>
      <c r="J8" s="86" t="n">
        <v>496.93</v>
      </c>
    </row>
    <row r="9">
      <c r="A9" s="85" t="n">
        <v>0.07543000000000001</v>
      </c>
      <c r="B9" s="87" t="n">
        <v>193.39</v>
      </c>
      <c r="C9" s="87" t="n">
        <v>201.67</v>
      </c>
      <c r="D9" s="87" t="n">
        <v>211.52</v>
      </c>
      <c r="E9" s="87" t="n">
        <v>223.48</v>
      </c>
      <c r="F9" s="87" t="n">
        <v>238.3</v>
      </c>
      <c r="G9" s="88" t="n">
        <v>257.22</v>
      </c>
      <c r="H9" s="88" t="n">
        <v>282.24</v>
      </c>
      <c r="I9" s="86" t="n">
        <v>316.97</v>
      </c>
      <c r="J9" s="86" t="n">
        <v>368.54</v>
      </c>
    </row>
    <row r="10">
      <c r="A10" s="85" t="n">
        <v>0.08043</v>
      </c>
      <c r="B10" s="87" t="n">
        <v>173.39</v>
      </c>
      <c r="C10" s="87" t="n">
        <v>179.73</v>
      </c>
      <c r="D10" s="87" t="n">
        <v>187.16</v>
      </c>
      <c r="E10" s="87" t="n">
        <v>196</v>
      </c>
      <c r="F10" s="87" t="n">
        <v>206.71</v>
      </c>
      <c r="G10" s="87" t="n">
        <v>220</v>
      </c>
      <c r="H10" s="87" t="n">
        <v>236.94</v>
      </c>
      <c r="I10" s="88" t="n">
        <v>259.35</v>
      </c>
      <c r="J10" s="88" t="n">
        <v>290.45</v>
      </c>
    </row>
    <row r="11">
      <c r="A11" s="85" t="n">
        <v>0.08543000000000001</v>
      </c>
      <c r="B11" s="87" t="n">
        <v>156.29</v>
      </c>
      <c r="C11" s="87" t="n">
        <v>161.19</v>
      </c>
      <c r="D11" s="87" t="n">
        <v>166.86</v>
      </c>
      <c r="E11" s="87" t="n">
        <v>173.49</v>
      </c>
      <c r="F11" s="87" t="n">
        <v>181.38</v>
      </c>
      <c r="G11" s="87" t="n">
        <v>190.94</v>
      </c>
      <c r="H11" s="87" t="n">
        <v>202.79</v>
      </c>
      <c r="I11" s="87" t="n">
        <v>217.9</v>
      </c>
      <c r="J11" s="87" t="n">
        <v>237.88</v>
      </c>
    </row>
    <row r="12">
      <c r="A12" s="85" t="n">
        <v>0.09043000000000001</v>
      </c>
      <c r="B12" s="87" t="n">
        <v>141.51</v>
      </c>
      <c r="C12" s="87" t="n">
        <v>145.33</v>
      </c>
      <c r="D12" s="87" t="n">
        <v>149.69</v>
      </c>
      <c r="E12" s="87" t="n">
        <v>154.73</v>
      </c>
      <c r="F12" s="87" t="n">
        <v>160.63</v>
      </c>
      <c r="G12" s="87" t="n">
        <v>167.63</v>
      </c>
      <c r="H12" s="87" t="n">
        <v>176.11</v>
      </c>
      <c r="I12" s="87" t="n">
        <v>186.62</v>
      </c>
      <c r="J12" s="87" t="n">
        <v>200.02</v>
      </c>
    </row>
    <row r="14">
      <c r="A14" s="90" t="inlineStr">
        <is>
          <t>Price = $253.33  |  Green = IV &gt; Price+20%  |  Yellow = within 5%  |  Red = IV &lt; Price-5%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58" t="inlineStr">
        <is>
          <t>IBM — QUALITY OF EARNINGS SIGNALS</t>
        </is>
      </c>
    </row>
    <row r="2">
      <c r="A2" s="91" t="inlineStr">
        <is>
          <t>QoE Composite Score: 3/5  |  Flag: AMBER  |  As of 2026-03-09</t>
        </is>
      </c>
    </row>
    <row r="3">
      <c r="A3" s="1" t="inlineStr">
        <is>
          <t>Signal</t>
        </is>
      </c>
      <c r="B3" s="13" t="inlineStr">
        <is>
          <t>Value</t>
        </is>
      </c>
      <c r="C3" s="13" t="inlineStr">
        <is>
          <t>Score</t>
        </is>
      </c>
      <c r="D3" s="13" t="inlineStr">
        <is>
          <t>Threshold</t>
        </is>
      </c>
      <c r="E3" s="13" t="inlineStr">
        <is>
          <t>Interpretation</t>
        </is>
      </c>
    </row>
    <row r="4">
      <c r="A4" s="17" t="inlineStr">
        <is>
          <t>Sloan Accruals Ratio</t>
        </is>
      </c>
      <c r="B4" s="57" t="n">
        <v>0.045</v>
      </c>
      <c r="C4" s="92" t="inlineStr">
        <is>
          <t>AMBER</t>
        </is>
      </c>
      <c r="D4" s="34" t="inlineStr">
        <is>
          <t>&lt;5% green / &gt;10% red</t>
        </is>
      </c>
      <c r="E4" s="93" t="inlineStr">
        <is>
          <t>Earnings quality (lower = better)</t>
        </is>
      </c>
    </row>
    <row r="5">
      <c r="A5" s="17" t="inlineStr">
        <is>
          <t>Cash Conversion (CFO/NOPAT)</t>
        </is>
      </c>
      <c r="B5" s="57" t="n">
        <v>0.82</v>
      </c>
      <c r="C5" s="92" t="inlineStr">
        <is>
          <t>AMBER</t>
        </is>
      </c>
      <c r="D5" s="34" t="inlineStr">
        <is>
          <t>&gt;90% green / &lt;70% red</t>
        </is>
      </c>
      <c r="E5" s="93" t="inlineStr">
        <is>
          <t>Cash backing for earnings</t>
        </is>
      </c>
    </row>
    <row r="6">
      <c r="A6" s="17" t="inlineStr">
        <is>
          <t>DSO Drift (vs 3Y baseline)</t>
        </is>
      </c>
      <c r="B6" s="94" t="n">
        <v>0</v>
      </c>
      <c r="C6" s="95" t="inlineStr">
        <is>
          <t>GREEN</t>
        </is>
      </c>
      <c r="D6" s="34" t="inlineStr">
        <is>
          <t>&lt;3d green / &gt;7d red</t>
        </is>
      </c>
      <c r="E6" s="93" t="inlineStr">
        <is>
          <t>AR quality; negative = improving</t>
        </is>
      </c>
    </row>
    <row r="7">
      <c r="A7" s="17" t="inlineStr">
        <is>
          <t>Capex/D&amp;A Ratio</t>
        </is>
      </c>
      <c r="B7" s="94" t="n">
        <v>0</v>
      </c>
      <c r="C7" s="95" t="inlineStr">
        <is>
          <t>GREEN</t>
        </is>
      </c>
      <c r="D7" s="34" t="inlineStr">
        <is>
          <t>&lt;1.5x green / &gt;2.5x red</t>
        </is>
      </c>
      <c r="E7" s="93" t="inlineStr">
        <is>
          <t>Maintenance vs growth capex</t>
        </is>
      </c>
    </row>
    <row r="8">
      <c r="A8" s="17" t="inlineStr">
        <is>
          <t>DIO Drift</t>
        </is>
      </c>
      <c r="B8" s="57" t="n">
        <v>0</v>
      </c>
      <c r="C8" s="95" t="inlineStr">
        <is>
          <t>GREEN</t>
        </is>
      </c>
      <c r="D8" s="34" t="inlineStr">
        <is>
          <t>&lt;5d green / &gt;10d red</t>
        </is>
      </c>
      <c r="E8" s="93" t="inlineStr">
        <is>
          <t>Inventory build-up check</t>
        </is>
      </c>
    </row>
    <row r="9">
      <c r="A9" s="17" t="inlineStr">
        <is>
          <t>Revenue recognition flag</t>
        </is>
      </c>
      <c r="B9" s="94" t="inlineStr">
        <is>
          <t>N/A</t>
        </is>
      </c>
      <c r="C9" s="95" t="inlineStr">
        <is>
          <t>GREEN</t>
        </is>
      </c>
      <c r="D9" s="34" t="inlineStr">
        <is>
          <t>N/A</t>
        </is>
      </c>
      <c r="E9" s="93" t="inlineStr">
        <is>
          <t>No restatements flagged</t>
        </is>
      </c>
    </row>
    <row r="10">
      <c r="A10" s="17" t="inlineStr">
        <is>
          <t>Auditor flag</t>
        </is>
      </c>
      <c r="B10" s="94" t="inlineStr">
        <is>
          <t>None</t>
        </is>
      </c>
      <c r="C10" s="95" t="inlineStr">
        <is>
          <t>GREEN</t>
        </is>
      </c>
      <c r="D10" s="34" t="inlineStr">
        <is>
          <t>N/A</t>
        </is>
      </c>
      <c r="E10" s="93" t="inlineStr">
        <is>
          <t>Clean Big-4 opinion</t>
        </is>
      </c>
    </row>
    <row r="13" ht="16" customHeight="1">
      <c r="A13" s="1" t="inlineStr">
        <is>
          <t xml:space="preserve">  NWC BASELINE DETAIL</t>
        </is>
      </c>
      <c r="B13" s="14" t="n"/>
      <c r="C13" s="14" t="n"/>
      <c r="D13" s="14" t="n"/>
      <c r="E13" s="14" t="n"/>
    </row>
    <row r="14">
      <c r="A14" s="17" t="inlineStr">
        <is>
          <t>DSO — Current</t>
        </is>
      </c>
      <c r="B14" s="21" t="n">
        <v>47</v>
      </c>
    </row>
    <row r="15">
      <c r="A15" s="17" t="inlineStr">
        <is>
          <t>DSO — 3Y Baseline</t>
        </is>
      </c>
      <c r="B15" s="21" t="n">
        <v>0</v>
      </c>
    </row>
    <row r="16">
      <c r="A16" s="17" t="inlineStr">
        <is>
          <t>DSO — Drift</t>
        </is>
      </c>
      <c r="B16" s="96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7" t="inlineStr">
        <is>
          <t>IBM — VALUATION SUMMARY  |  2026-03-09</t>
        </is>
      </c>
    </row>
    <row r="2" ht="16" customHeight="1">
      <c r="A2" s="1" t="inlineStr">
        <is>
          <t xml:space="preserve">  MARKET DATA</t>
        </is>
      </c>
      <c r="B2" s="14" t="n"/>
      <c r="C2" s="14" t="n"/>
      <c r="D2" s="14" t="n"/>
      <c r="E2" s="14" t="n"/>
    </row>
    <row r="3">
      <c r="A3" s="17" t="inlineStr">
        <is>
          <t>Price</t>
        </is>
      </c>
      <c r="B3" s="62" t="n">
        <v>253.33</v>
      </c>
    </row>
    <row r="4">
      <c r="A4" s="17" t="inlineStr">
        <is>
          <t>Market Cap ($mm)</t>
        </is>
      </c>
      <c r="B4" s="38" t="n">
        <v>237632</v>
      </c>
    </row>
    <row r="5">
      <c r="A5" s="17" t="inlineStr">
        <is>
          <t>Enterprise Value ($mm)</t>
        </is>
      </c>
      <c r="B5" s="38" t="n">
        <v>293093</v>
      </c>
    </row>
    <row r="6">
      <c r="A6" s="17" t="inlineStr">
        <is>
          <t>P/E (Trailing)</t>
        </is>
      </c>
      <c r="B6" s="21" t="n">
        <v>22.761005</v>
      </c>
    </row>
    <row r="7">
      <c r="A7" s="17" t="inlineStr">
        <is>
          <t>P/E (Forward)</t>
        </is>
      </c>
      <c r="B7" s="21" t="n">
        <v>18.879555</v>
      </c>
    </row>
    <row r="8">
      <c r="A8" s="17" t="inlineStr">
        <is>
          <t>EV/EBITDA</t>
        </is>
      </c>
      <c r="B8" s="21" t="n">
        <v>18.184</v>
      </c>
    </row>
    <row r="9">
      <c r="A9" s="17" t="inlineStr">
        <is>
          <t>Analyst Target</t>
        </is>
      </c>
      <c r="B9" s="62" t="n">
        <v>318.3437</v>
      </c>
    </row>
    <row r="10">
      <c r="A10" s="17" t="inlineStr">
        <is>
          <t>Analyst Rec.</t>
        </is>
      </c>
      <c r="B10" s="98" t="inlineStr">
        <is>
          <t>buy</t>
        </is>
      </c>
    </row>
    <row r="11">
      <c r="A11" s="17" t="inlineStr">
        <is>
          <t># Analysts</t>
        </is>
      </c>
      <c r="B11" s="38" t="n">
        <v>19</v>
      </c>
    </row>
    <row r="13" ht="16" customHeight="1">
      <c r="A13" s="1" t="inlineStr">
        <is>
          <t xml:space="preserve">  INTRINSIC VALUE SUMMARY</t>
        </is>
      </c>
      <c r="B13" s="14" t="n"/>
      <c r="C13" s="14" t="n"/>
      <c r="D13" s="14" t="n"/>
      <c r="E13" s="14" t="n"/>
    </row>
    <row r="14">
      <c r="B14" s="99" t="inlineStr">
        <is>
          <t>Bear</t>
        </is>
      </c>
      <c r="C14" s="99" t="inlineStr">
        <is>
          <t>Base</t>
        </is>
      </c>
      <c r="D14" s="99" t="inlineStr">
        <is>
          <t>Bull</t>
        </is>
      </c>
    </row>
    <row r="15">
      <c r="A15" s="30" t="inlineStr">
        <is>
          <t>Intrinsic Value / Share</t>
        </is>
      </c>
      <c r="B15" s="61">
        <f>Equity_Bridge!B18</f>
        <v/>
      </c>
      <c r="C15" s="61">
        <f>Equity_Bridge!C18</f>
        <v/>
      </c>
      <c r="D15" s="61">
        <f>Equity_Bridge!D18</f>
        <v/>
      </c>
    </row>
    <row r="16">
      <c r="A16" s="30" t="inlineStr">
        <is>
          <t>Upside / (Downside)</t>
        </is>
      </c>
      <c r="B16" s="63">
        <f>Equity_Bridge!B20</f>
        <v/>
      </c>
      <c r="C16" s="63">
        <f>Equity_Bridge!C20</f>
        <v/>
      </c>
      <c r="D16" s="63">
        <f>Equity_Bridge!D20</f>
        <v/>
      </c>
    </row>
    <row r="17">
      <c r="A17" s="30" t="inlineStr">
        <is>
          <t>Scenario Probability</t>
        </is>
      </c>
      <c r="B17" s="63">
        <f>Assumptions!$D$50</f>
        <v/>
      </c>
      <c r="C17" s="63">
        <f>Assumptions!$D$51</f>
        <v/>
      </c>
      <c r="D17" s="63">
        <f>Assumptions!$D$52</f>
        <v/>
      </c>
    </row>
    <row r="18">
      <c r="A18" s="59" t="inlineStr">
        <is>
          <t>Expected IV / Share</t>
        </is>
      </c>
      <c r="B18" s="61">
        <f>Equity_Bridge!C22</f>
        <v/>
      </c>
    </row>
    <row r="19">
      <c r="A19" s="59" t="inlineStr">
        <is>
          <t>Expected Upside</t>
        </is>
      </c>
      <c r="B19" s="63">
        <f>Equity_Bridge!C23</f>
        <v/>
      </c>
    </row>
    <row r="21" ht="16" customHeight="1">
      <c r="A21" s="1" t="inlineStr">
        <is>
          <t xml:space="preserve">  WACC SUMMARY</t>
        </is>
      </c>
      <c r="B21" s="14" t="n"/>
      <c r="C21" s="14" t="n"/>
      <c r="D21" s="14" t="n"/>
      <c r="E21" s="14" t="n"/>
    </row>
    <row r="22">
      <c r="A22" s="17" t="inlineStr">
        <is>
          <t>WACC</t>
        </is>
      </c>
      <c r="B22" s="47">
        <f>Assumptions!$D$37</f>
        <v/>
      </c>
    </row>
    <row r="23">
      <c r="A23" s="17" t="inlineStr">
        <is>
          <t>Cost of Equity</t>
        </is>
      </c>
      <c r="B23" s="47">
        <f>Assumptions!$D$31</f>
        <v/>
      </c>
    </row>
    <row r="24">
      <c r="A24" s="17" t="inlineStr">
        <is>
          <t>Cost of Debt (at)</t>
        </is>
      </c>
      <c r="B24" s="47">
        <f>Assumptions!$D$34</f>
        <v/>
      </c>
    </row>
    <row r="25">
      <c r="A25" s="17" t="inlineStr">
        <is>
          <t>Beta (Re-levered)</t>
        </is>
      </c>
      <c r="B25" s="100">
        <f>Assumptions!$D$29</f>
        <v/>
      </c>
    </row>
    <row r="26">
      <c r="A26" s="17" t="inlineStr">
        <is>
          <t>Equity Weight</t>
        </is>
      </c>
      <c r="B26" s="36">
        <f>Assumptions!$D$35</f>
        <v/>
      </c>
    </row>
    <row r="28" ht="16" customHeight="1">
      <c r="A28" s="1" t="inlineStr">
        <is>
          <t xml:space="preserve">  QoE FLAGS</t>
        </is>
      </c>
      <c r="B28" s="14" t="n"/>
      <c r="C28" s="14" t="n"/>
      <c r="D28" s="14" t="n"/>
      <c r="E28" s="14" t="n"/>
    </row>
    <row r="29">
      <c r="A29" s="17" t="inlineStr">
        <is>
          <t>QoE Score</t>
        </is>
      </c>
      <c r="B29" s="101" t="n">
        <v>3</v>
      </c>
    </row>
    <row r="30">
      <c r="A30" s="17" t="inlineStr">
        <is>
          <t>QoE Flag</t>
        </is>
      </c>
      <c r="B30" s="98" t="inlineStr">
        <is>
          <t>AMBER</t>
        </is>
      </c>
    </row>
    <row r="31">
      <c r="A31" s="17" t="inlineStr">
        <is>
          <t>Sloan Accruals Ratio</t>
        </is>
      </c>
      <c r="B31" s="57" t="n">
        <v>0.045</v>
      </c>
    </row>
    <row r="32">
      <c r="A32" s="17" t="inlineStr">
        <is>
          <t>Cash Conversion</t>
        </is>
      </c>
      <c r="B32" s="18" t="n">
        <v>0.82</v>
      </c>
    </row>
    <row r="33">
      <c r="A33" s="17" t="inlineStr">
        <is>
          <t>DSO Drift (days)</t>
        </is>
      </c>
      <c r="B33" s="102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2026-03-09T23:24:38Z</dcterms:created>
  <dcterms:modified xmlns:dcterms="http://purl.org/dc/terms/" xmlns:xsi="http://www.w3.org/2001/XMLSchema-instance" xsi:type="dcterms:W3CDTF">2026-06-06T23:17:11Z</dcterms:modified>
</cp:coreProperties>
</file>