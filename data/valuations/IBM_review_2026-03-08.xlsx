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Assumptions" sheetId="2" state="visible" r:id="rId2"/>
    <sheet xmlns:r="http://schemas.openxmlformats.org/officeDocument/2006/relationships" name="QoE Signals" sheetId="3" state="visible" r:id="rId3"/>
    <sheet xmlns:r="http://schemas.openxmlformats.org/officeDocument/2006/relationships" name="Year-by-Year Foreca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.00"/>
    <numFmt numFmtId="165" formatCode="+0.0%;(0.0%);-"/>
    <numFmt numFmtId="166" formatCode="0.0%"/>
    <numFmt numFmtId="167" formatCode="+0.0pp;(0.0pp);-"/>
    <numFmt numFmtId="168" formatCode="$#,##0.0"/>
    <numFmt numFmtId="169" formatCode="($#,##0.0);$#,##0.0;-"/>
    <numFmt numFmtId="170" formatCode="#,##0.0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70C0"/>
      <sz val="10"/>
    </font>
    <font>
      <name val="Calibri"/>
      <color rgb="00C00000"/>
      <sz val="10"/>
    </font>
    <font>
      <name val="Calibri"/>
      <color rgb="00375623"/>
      <sz val="10"/>
    </font>
    <font>
      <name val="Calibri"/>
      <b val="1"/>
      <color rgb="00000000"/>
      <sz val="10"/>
    </font>
    <font>
      <name val="Calibri"/>
      <b val="1"/>
      <color rgb="00C00000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i val="1"/>
      <color rgb="00595959"/>
      <sz val="8"/>
    </font>
    <font>
      <name val="Calibri"/>
      <color rgb="00595959"/>
      <sz val="9"/>
    </font>
    <font>
      <name val="Calibri"/>
      <color rgb="00C00000"/>
      <sz val="9"/>
    </font>
    <font>
      <name val="Calibri"/>
      <b val="1"/>
      <color rgb="007F4B00"/>
      <sz val="12"/>
    </font>
    <font>
      <name val="Calibri"/>
      <b val="1"/>
      <color rgb="00375623"/>
      <sz val="10"/>
    </font>
    <font>
      <name val="Calibri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left" vertical="center" indent="1"/>
    </xf>
    <xf numFmtId="0" fontId="3" fillId="3" borderId="2" applyAlignment="1" pivotButton="0" quotePrefix="0" xfId="0">
      <alignment horizontal="left" vertical="center" indent="1"/>
    </xf>
    <xf numFmtId="0" fontId="4" fillId="3" borderId="2" applyAlignment="1" pivotButton="0" quotePrefix="0" xfId="0">
      <alignment horizontal="right" vertical="center"/>
    </xf>
    <xf numFmtId="0" fontId="0" fillId="3" borderId="2" pivotButton="0" quotePrefix="0" xfId="0"/>
    <xf numFmtId="0" fontId="3" fillId="4" borderId="2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right" vertical="center"/>
    </xf>
    <xf numFmtId="0" fontId="0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indent="1"/>
    </xf>
    <xf numFmtId="9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right" vertical="center"/>
    </xf>
    <xf numFmtId="165" fontId="5" fillId="6" borderId="2" applyAlignment="1" pivotButton="0" quotePrefix="0" xfId="0">
      <alignment horizontal="right" vertical="center"/>
    </xf>
    <xf numFmtId="0" fontId="0" fillId="6" borderId="2" pivotButton="0" quotePrefix="0" xfId="0"/>
    <xf numFmtId="0" fontId="3" fillId="7" borderId="2" applyAlignment="1" pivotButton="0" quotePrefix="0" xfId="0">
      <alignment horizontal="left" vertical="center" indent="1"/>
    </xf>
    <xf numFmtId="9" fontId="3" fillId="7" borderId="2" applyAlignment="1" pivotButton="0" quotePrefix="0" xfId="0">
      <alignment horizontal="center" vertical="center"/>
    </xf>
    <xf numFmtId="164" fontId="3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0" fillId="7" borderId="2" pivotButton="0" quotePrefix="0" xfId="0"/>
    <xf numFmtId="0" fontId="3" fillId="8" borderId="2" applyAlignment="1" pivotButton="0" quotePrefix="0" xfId="0">
      <alignment horizontal="left" vertical="center" indent="1"/>
    </xf>
    <xf numFmtId="9" fontId="3" fillId="8" borderId="2" applyAlignment="1" pivotButton="0" quotePrefix="0" xfId="0">
      <alignment horizontal="center" vertical="center"/>
    </xf>
    <xf numFmtId="164" fontId="3" fillId="8" borderId="2" applyAlignment="1" pivotButton="0" quotePrefix="0" xfId="0">
      <alignment horizontal="right" vertical="center"/>
    </xf>
    <xf numFmtId="165" fontId="6" fillId="8" borderId="2" applyAlignment="1" pivotButton="0" quotePrefix="0" xfId="0">
      <alignment horizontal="right" vertical="center"/>
    </xf>
    <xf numFmtId="0" fontId="0" fillId="8" borderId="2" pivotButton="0" quotePrefix="0" xfId="0"/>
    <xf numFmtId="0" fontId="7" fillId="9" borderId="2" applyAlignment="1" pivotButton="0" quotePrefix="0" xfId="0">
      <alignment horizontal="left" vertical="center" indent="1"/>
    </xf>
    <xf numFmtId="49" fontId="7" fillId="9" borderId="2" applyAlignment="1" pivotButton="0" quotePrefix="0" xfId="0">
      <alignment horizontal="center" vertical="center"/>
    </xf>
    <xf numFmtId="164" fontId="7" fillId="9" borderId="2" applyAlignment="1" pivotButton="0" quotePrefix="0" xfId="0">
      <alignment horizontal="right" vertical="center"/>
    </xf>
    <xf numFmtId="165" fontId="8" fillId="9" borderId="2" applyAlignment="1" pivotButton="0" quotePrefix="0" xfId="0">
      <alignment horizontal="right" vertical="center"/>
    </xf>
    <xf numFmtId="0" fontId="0" fillId="9" borderId="2" pivotButton="0" quotePrefix="0" xfId="0"/>
    <xf numFmtId="0" fontId="0" fillId="5" borderId="2" pivotButton="0" quotePrefix="0" xfId="0"/>
    <xf numFmtId="164" fontId="3" fillId="4" borderId="2" applyAlignment="1" pivotButton="0" quotePrefix="0" xfId="0">
      <alignment horizontal="right" vertical="center"/>
    </xf>
    <xf numFmtId="165" fontId="5" fillId="4" borderId="2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165" fontId="5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left" vertical="center" wrapText="1" indent="1"/>
    </xf>
    <xf numFmtId="166" fontId="4" fillId="4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 wrapText="1" indent="1"/>
    </xf>
    <xf numFmtId="167" fontId="4" fillId="3" borderId="2" applyAlignment="1" pivotButton="0" quotePrefix="0" xfId="0">
      <alignment horizontal="right" vertical="center"/>
    </xf>
    <xf numFmtId="0" fontId="10" fillId="3" borderId="2" applyAlignment="1" pivotButton="0" quotePrefix="0" xfId="0">
      <alignment horizontal="right" vertical="center"/>
    </xf>
    <xf numFmtId="0" fontId="3" fillId="10" borderId="2" applyAlignment="1" pivotButton="0" quotePrefix="0" xfId="0">
      <alignment horizontal="left" vertical="center" indent="1"/>
    </xf>
    <xf numFmtId="0" fontId="10" fillId="10" borderId="2" applyAlignment="1" pivotButton="0" quotePrefix="0" xfId="0">
      <alignment horizontal="right" vertical="center"/>
    </xf>
    <xf numFmtId="0" fontId="9" fillId="10" borderId="2" applyAlignment="1" pivotButton="0" quotePrefix="0" xfId="0">
      <alignment horizontal="left" vertical="center" wrapText="1" indent="1"/>
    </xf>
    <xf numFmtId="0" fontId="10" fillId="8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center"/>
    </xf>
    <xf numFmtId="0" fontId="12" fillId="4" borderId="2" applyAlignment="1" pivotButton="0" quotePrefix="0" xfId="0">
      <alignment horizontal="left" vertical="center" wrapText="1" indent="1"/>
    </xf>
    <xf numFmtId="0" fontId="12" fillId="3" borderId="2" applyAlignment="1" pivotButton="0" quotePrefix="0" xfId="0">
      <alignment horizontal="left" vertical="center" wrapText="1" indent="1"/>
    </xf>
    <xf numFmtId="0" fontId="4" fillId="11" borderId="2" applyAlignment="1" pivotButton="0" quotePrefix="0" xfId="0">
      <alignment horizontal="right" vertical="center"/>
    </xf>
    <xf numFmtId="0" fontId="12" fillId="11" borderId="2" applyAlignment="1" pivotButton="0" quotePrefix="0" xfId="0">
      <alignment horizontal="left" vertical="center" wrapText="1" indent="1"/>
    </xf>
    <xf numFmtId="0" fontId="13" fillId="11" borderId="2" applyAlignment="1" pivotButton="0" quotePrefix="0" xfId="0">
      <alignment horizontal="left" vertical="center" wrapText="1" indent="1"/>
    </xf>
    <xf numFmtId="0" fontId="14" fillId="12" borderId="1" applyAlignment="1" pivotButton="0" quotePrefix="0" xfId="0">
      <alignment horizontal="left" vertical="center" indent="2"/>
    </xf>
    <xf numFmtId="0" fontId="15" fillId="8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indent="1"/>
    </xf>
    <xf numFmtId="0" fontId="7" fillId="3" borderId="2" applyAlignment="1" pivotButton="0" quotePrefix="0" xfId="0">
      <alignment horizontal="left" vertical="center" indent="1"/>
    </xf>
    <xf numFmtId="0" fontId="16" fillId="4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168" fontId="16" fillId="4" borderId="2" applyAlignment="1" pivotButton="0" quotePrefix="0" xfId="0">
      <alignment horizontal="right" vertical="center"/>
    </xf>
    <xf numFmtId="166" fontId="16" fillId="3" borderId="2" applyAlignment="1" pivotButton="0" quotePrefix="0" xfId="0">
      <alignment horizontal="right" vertical="center"/>
    </xf>
    <xf numFmtId="168" fontId="16" fillId="3" borderId="2" applyAlignment="1" pivotButton="0" quotePrefix="0" xfId="0">
      <alignment horizontal="right" vertical="center"/>
    </xf>
    <xf numFmtId="168" fontId="3" fillId="3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 indent="1"/>
    </xf>
    <xf numFmtId="168" fontId="7" fillId="7" borderId="2" applyAlignment="1" pivotButton="0" quotePrefix="0" xfId="0">
      <alignment horizontal="right" vertical="center"/>
    </xf>
    <xf numFmtId="169" fontId="5" fillId="3" borderId="2" applyAlignment="1" pivotButton="0" quotePrefix="0" xfId="0">
      <alignment horizontal="right" vertical="center"/>
    </xf>
    <xf numFmtId="170" fontId="3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FCFF — 10-Year Base Case</a:t>
            </a:r>
          </a:p>
        </rich>
      </tx>
    </title>
    <plotArea>
      <lineChart>
        <grouping val="standard"/>
        <ser>
          <idx val="0"/>
          <order val="0"/>
          <tx>
            <v>Revenue ($B)</v>
          </tx>
          <spPr>
            <a:ln xmlns:a="http://schemas.openxmlformats.org/drawingml/2006/main" w="20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Forecast'!$B$3</f>
            </numRef>
          </val>
        </ser>
        <ser>
          <idx val="1"/>
          <order val="1"/>
          <tx>
            <v>FCFF ($B)</v>
          </tx>
          <spPr>
            <a:ln xmlns:a="http://schemas.openxmlformats.org/drawingml/2006/main" w="20000">
              <a:solidFill>
                <a:srgbClr val="37562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Forecast'!$C$3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Forecast'!$D$3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Forecast'!$E$3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Forecast'!$F$3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Forecast'!$G$3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Forecast'!$H$3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Forecast'!$I$3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Forecast'!$J$3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Forecast'!$K$3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Forecast'!$B$9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Forecast'!$C$9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Forecast'!$D$9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Forecast'!$E$9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Forecast'!$F$9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Forecast'!$G$9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Forecast'!$H$9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Forecast'!$I$9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Forecast'!$J$9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'Year-by-Year Forecast'!$K$9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($B)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20" customWidth="1" min="5" max="5"/>
  </cols>
  <sheetData>
    <row r="1" ht="22" customHeight="1">
      <c r="A1" s="1" t="inlineStr">
        <is>
          <t>IBM  —  DCF Review  |  2026-03-08</t>
        </is>
      </c>
    </row>
    <row r="2" ht="6" customHeight="1"/>
    <row r="3">
      <c r="A3" s="2" t="inlineStr">
        <is>
          <t>MARKET DATA</t>
        </is>
      </c>
    </row>
    <row r="4">
      <c r="A4" s="3" t="inlineStr">
        <is>
          <t>Price</t>
        </is>
      </c>
      <c r="B4" s="4" t="inlineStr">
        <is>
          <t>$258.85</t>
        </is>
      </c>
      <c r="C4" s="5" t="n"/>
      <c r="D4" s="5" t="n"/>
      <c r="E4" s="5" t="n"/>
    </row>
    <row r="5">
      <c r="A5" s="6" t="inlineStr">
        <is>
          <t>Market Cap</t>
        </is>
      </c>
      <c r="B5" s="7" t="inlineStr">
        <is>
          <t>$242.8B</t>
        </is>
      </c>
      <c r="C5" s="8" t="n"/>
      <c r="D5" s="8" t="n"/>
      <c r="E5" s="8" t="n"/>
    </row>
    <row r="6">
      <c r="A6" s="3" t="inlineStr">
        <is>
          <t>EV</t>
        </is>
      </c>
      <c r="B6" s="4" t="inlineStr">
        <is>
          <t>$293.1B</t>
        </is>
      </c>
      <c r="C6" s="5" t="n"/>
      <c r="D6" s="5" t="n"/>
      <c r="E6" s="5" t="n"/>
    </row>
    <row r="7">
      <c r="A7" s="6" t="inlineStr">
        <is>
          <t>Revenue (TTM)</t>
        </is>
      </c>
      <c r="B7" s="7" t="inlineStr">
        <is>
          <t>$66.8B</t>
        </is>
      </c>
      <c r="C7" s="8" t="n"/>
      <c r="D7" s="8" t="n"/>
      <c r="E7" s="8" t="n"/>
    </row>
    <row r="8">
      <c r="A8" s="3" t="inlineStr">
        <is>
          <t>Net Debt</t>
        </is>
      </c>
      <c r="B8" s="4" t="inlineStr">
        <is>
          <t>$51.0B</t>
        </is>
      </c>
      <c r="C8" s="5" t="n"/>
      <c r="D8" s="5" t="n"/>
      <c r="E8" s="5" t="n"/>
    </row>
    <row r="9">
      <c r="A9" s="6" t="inlineStr">
        <is>
          <t>Sector</t>
        </is>
      </c>
      <c r="B9" s="7" t="inlineStr">
        <is>
          <t>Technology</t>
        </is>
      </c>
      <c r="C9" s="8" t="n"/>
      <c r="D9" s="8" t="n"/>
      <c r="E9" s="8" t="n"/>
    </row>
    <row r="11">
      <c r="A11" s="2" t="inlineStr">
        <is>
          <t>VALUATION SCENARIOS</t>
        </is>
      </c>
    </row>
    <row r="12">
      <c r="A12" s="9" t="inlineStr">
        <is>
          <t>Scenario</t>
        </is>
      </c>
      <c r="B12" s="9" t="inlineStr">
        <is>
          <t>Probability</t>
        </is>
      </c>
      <c r="C12" s="9" t="inlineStr">
        <is>
          <t>Intrinsic Value</t>
        </is>
      </c>
      <c r="D12" s="9" t="inlineStr">
        <is>
          <t>vs Price</t>
        </is>
      </c>
      <c r="E12" s="9" t="inlineStr"/>
    </row>
    <row r="13">
      <c r="A13" s="10" t="inlineStr">
        <is>
          <t>Bear</t>
        </is>
      </c>
      <c r="B13" s="11" t="n">
        <v>0.2</v>
      </c>
      <c r="C13" s="12" t="n">
        <v>126.32</v>
      </c>
      <c r="D13" s="13" t="n">
        <v>-0.512</v>
      </c>
      <c r="E13" s="14" t="n"/>
    </row>
    <row r="14">
      <c r="A14" s="15" t="inlineStr">
        <is>
          <t>Base</t>
        </is>
      </c>
      <c r="B14" s="16" t="n">
        <v>0.6</v>
      </c>
      <c r="C14" s="17" t="n">
        <v>227.09</v>
      </c>
      <c r="D14" s="18" t="n">
        <v>-0.123</v>
      </c>
      <c r="E14" s="19" t="n"/>
    </row>
    <row r="15">
      <c r="A15" s="20" t="inlineStr">
        <is>
          <t>Bull</t>
        </is>
      </c>
      <c r="B15" s="21" t="n">
        <v>0.2</v>
      </c>
      <c r="C15" s="22" t="n">
        <v>474.14</v>
      </c>
      <c r="D15" s="23" t="n">
        <v>0.832</v>
      </c>
      <c r="E15" s="24" t="n"/>
    </row>
    <row r="16">
      <c r="A16" s="25" t="inlineStr">
        <is>
          <t>Expected (prob-wtd)</t>
        </is>
      </c>
      <c r="B16" s="26" t="inlineStr">
        <is>
          <t>—</t>
        </is>
      </c>
      <c r="C16" s="27" t="n">
        <v>256.35</v>
      </c>
      <c r="D16" s="28" t="n">
        <v>-0.001</v>
      </c>
      <c r="E16" s="29" t="n"/>
    </row>
    <row r="18">
      <c r="A18" s="2" t="inlineStr">
        <is>
          <t>CROSS-CHECK METHODS</t>
        </is>
      </c>
    </row>
    <row r="19">
      <c r="A19" s="9" t="inlineStr">
        <is>
          <t>Method</t>
        </is>
      </c>
      <c r="C19" s="9" t="inlineStr">
        <is>
          <t>IV / Share</t>
        </is>
      </c>
      <c r="D19" s="9" t="inlineStr">
        <is>
          <t>vs Price</t>
        </is>
      </c>
      <c r="E19" s="30" t="n"/>
    </row>
    <row r="20">
      <c r="A20" s="6" t="inlineStr">
        <is>
          <t>DCF base (blended terminal)</t>
        </is>
      </c>
      <c r="C20" s="31" t="n">
        <v>227.09</v>
      </c>
      <c r="D20" s="32" t="n">
        <v>-0.123</v>
      </c>
      <c r="E20" s="8" t="n"/>
    </row>
    <row r="21">
      <c r="A21" s="3" t="inlineStr">
        <is>
          <t xml:space="preserve">  ↳ Gordon Growth component</t>
        </is>
      </c>
      <c r="C21" s="33" t="n">
        <v>280.2</v>
      </c>
      <c r="D21" s="34" t="n">
        <v>0.082</v>
      </c>
      <c r="E21" s="5" t="n"/>
    </row>
    <row r="22">
      <c r="A22" s="6" t="inlineStr">
        <is>
          <t xml:space="preserve">  ↳ Exit Multiple component</t>
        </is>
      </c>
      <c r="C22" s="31" t="n">
        <v>147.43</v>
      </c>
      <c r="D22" s="32" t="n">
        <v>-0.431</v>
      </c>
      <c r="E22" s="8" t="n"/>
    </row>
    <row r="23">
      <c r="A23" s="3" t="inlineStr">
        <is>
          <t>Economic Profit model</t>
        </is>
      </c>
      <c r="C23" s="33" t="n">
        <v>324.36</v>
      </c>
      <c r="D23" s="34" t="n">
        <v>0.253</v>
      </c>
      <c r="E23" s="5" t="n"/>
    </row>
    <row r="24">
      <c r="A24" s="6" t="inlineStr">
        <is>
          <t>FCFE model</t>
        </is>
      </c>
      <c r="C24" s="31" t="n">
        <v>273.15</v>
      </c>
      <c r="D24" s="35" t="n">
        <v>0.055</v>
      </c>
      <c r="E24" s="8" t="n"/>
    </row>
    <row r="25">
      <c r="A25" s="3" t="inlineStr">
        <is>
          <t>Comps — EV/EBITDA</t>
        </is>
      </c>
      <c r="C25" s="33" t="n">
        <v>156.08</v>
      </c>
      <c r="D25" s="36" t="n">
        <v>-0.397</v>
      </c>
      <c r="E25" s="5" t="n"/>
    </row>
    <row r="26">
      <c r="A26" s="6" t="inlineStr">
        <is>
          <t>Comps — P/E</t>
        </is>
      </c>
      <c r="C26" s="31" t="n">
        <v>198.15</v>
      </c>
      <c r="D26" s="32" t="n">
        <v>-0.235</v>
      </c>
      <c r="E26" s="8" t="n"/>
    </row>
    <row r="27">
      <c r="A27" s="3" t="inlineStr">
        <is>
          <t>Analyst consensus target</t>
        </is>
      </c>
      <c r="C27" s="33" t="n">
        <v>321.95</v>
      </c>
      <c r="D27" s="34" t="n">
        <v>0.244</v>
      </c>
      <c r="E27" s="5" t="n"/>
    </row>
    <row r="29">
      <c r="A29" s="2" t="inlineStr">
        <is>
          <t>REVERSE DCF</t>
        </is>
      </c>
    </row>
    <row r="30">
      <c r="A30" s="3" t="inlineStr">
        <is>
          <t>Implied growth at market price ($258.85)</t>
        </is>
      </c>
      <c r="B30" s="37" t="n">
        <v>0.081</v>
      </c>
      <c r="C30" s="38" t="inlineStr">
        <is>
          <t>Source: Alpha Pod reverse DCF binary search</t>
        </is>
      </c>
    </row>
    <row r="31">
      <c r="A31" s="6" t="inlineStr">
        <is>
          <t>Consensus near-term growth (FY1)</t>
        </is>
      </c>
      <c r="B31" s="39" t="n">
        <v>0.066</v>
      </c>
      <c r="C31" s="40" t="inlineStr">
        <is>
          <t>Source: CIQ consensus estimate (total_revenue_cy_1)</t>
        </is>
      </c>
    </row>
    <row r="32">
      <c r="A32" s="3" t="inlineStr">
        <is>
          <t>Implied premium over consensus</t>
        </is>
      </c>
      <c r="B32" s="41" t="n">
        <v>0.015</v>
      </c>
      <c r="C32" s="38" t="inlineStr">
        <is>
          <t>Market embedding ~150bp outperformance vs consensus</t>
        </is>
      </c>
    </row>
    <row r="34">
      <c r="A34" s="2" t="inlineStr">
        <is>
          <t>KEY DIAGNOSTICS</t>
        </is>
      </c>
    </row>
    <row r="35">
      <c r="A35" s="3" t="inlineStr">
        <is>
          <t>TV % of EV</t>
        </is>
      </c>
      <c r="B35" s="42" t="inlineStr">
        <is>
          <t>68.5%</t>
        </is>
      </c>
      <c r="C35" s="38" t="inlineStr">
        <is>
          <t>✓  Below 75% warning threshold</t>
        </is>
      </c>
    </row>
    <row r="36">
      <c r="A36" s="43" t="inlineStr">
        <is>
          <t>DCF – EP gap</t>
        </is>
      </c>
      <c r="B36" s="44" t="inlineStr">
        <is>
          <t>36.3%</t>
        </is>
      </c>
      <c r="C36" s="45" t="inlineStr">
        <is>
          <t>⚠  Large; driven by margin expansion 12.5%→20% + 15% RONIC</t>
        </is>
      </c>
    </row>
    <row r="37">
      <c r="A37" s="3" t="inlineStr">
        <is>
          <t>WACC</t>
        </is>
      </c>
      <c r="B37" s="42" t="inlineStr">
        <is>
          <t>7.06%</t>
        </is>
      </c>
      <c r="C37" s="38" t="inlineStr">
        <is>
          <t>CAPM; β=0.71 relevered, Ke=8.03%; Rf=4.5%, ERP=5.0%</t>
        </is>
      </c>
    </row>
    <row r="38">
      <c r="A38" s="3" t="inlineStr">
        <is>
          <t>Beta (relevered)</t>
        </is>
      </c>
      <c r="B38" s="42" t="inlineStr">
        <is>
          <t>0.71</t>
        </is>
      </c>
      <c r="C38" s="38" t="inlineStr">
        <is>
          <t>Hamada unlever/relever; self-beta used</t>
        </is>
      </c>
    </row>
    <row r="39">
      <c r="A39" s="20" t="inlineStr">
        <is>
          <t>All health flags</t>
        </is>
      </c>
      <c r="B39" s="46" t="inlineStr">
        <is>
          <t>PASS</t>
        </is>
      </c>
      <c r="C39" s="47" t="inlineStr">
        <is>
          <t>TV extreme, growth guardrail, RONIC guardrail: all clear ✓</t>
        </is>
      </c>
    </row>
    <row r="42">
      <c r="A42" s="48" t="inlineStr">
        <is>
          <t>Generated by Alpha Pod pipeline  |  Data: CIQ + yfinance  |  2026-03-08</t>
        </is>
      </c>
    </row>
  </sheetData>
  <mergeCells count="24">
    <mergeCell ref="A34:E34"/>
    <mergeCell ref="A24:B24"/>
    <mergeCell ref="C31:E31"/>
    <mergeCell ref="A11:E11"/>
    <mergeCell ref="A1:E1"/>
    <mergeCell ref="C36:E36"/>
    <mergeCell ref="A25:B25"/>
    <mergeCell ref="C39:E39"/>
    <mergeCell ref="A27:B27"/>
    <mergeCell ref="A18:E18"/>
    <mergeCell ref="C32:E32"/>
    <mergeCell ref="A3:E3"/>
    <mergeCell ref="C38:E38"/>
    <mergeCell ref="A26:B26"/>
    <mergeCell ref="A21:B21"/>
    <mergeCell ref="C37:E37"/>
    <mergeCell ref="A42:E42"/>
    <mergeCell ref="A23:B23"/>
    <mergeCell ref="C30:E30"/>
    <mergeCell ref="A22:B22"/>
    <mergeCell ref="A20:B20"/>
    <mergeCell ref="A29:E29"/>
    <mergeCell ref="A19:B19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3" customWidth="1" min="2" max="2"/>
    <col width="9" customWidth="1" min="3" max="3"/>
    <col width="24" customWidth="1" min="4" max="4"/>
    <col width="44" customWidth="1" min="5" max="5"/>
  </cols>
  <sheetData>
    <row r="1" ht="22" customHeight="1">
      <c r="A1" s="1" t="inlineStr">
        <is>
          <t>IBM  —  DCF Assumptions with Source Lineage  |  2026-03-08</t>
        </is>
      </c>
    </row>
    <row r="2" ht="6" customHeight="1"/>
    <row r="3">
      <c r="A3" s="2" t="inlineStr">
        <is>
          <t>REVENUE &amp; GROWTH</t>
        </is>
      </c>
    </row>
    <row r="4">
      <c r="A4" s="9" t="inlineStr">
        <is>
          <t>Driver</t>
        </is>
      </c>
      <c r="B4" s="9" t="inlineStr">
        <is>
          <t>Value</t>
        </is>
      </c>
      <c r="C4" s="9" t="inlineStr">
        <is>
          <t>Unit</t>
        </is>
      </c>
      <c r="D4" s="9" t="inlineStr">
        <is>
          <t>Source</t>
        </is>
      </c>
      <c r="E4" s="9" t="inlineStr">
        <is>
          <t>Notes / Audit</t>
        </is>
      </c>
    </row>
    <row r="5">
      <c r="A5" s="6" t="inlineStr">
        <is>
          <t>Revenue base</t>
        </is>
      </c>
      <c r="B5" s="7" t="n">
        <v>66799</v>
      </c>
      <c r="C5" s="49" t="inlineStr">
        <is>
          <t>$M</t>
        </is>
      </c>
      <c r="D5" s="49" t="inlineStr">
        <is>
          <t>CIQ TTM</t>
        </is>
      </c>
      <c r="E5" s="49" t="inlineStr">
        <is>
          <t>As of 2025-12-31  |  Source: ciq_valuation_snapshot.revenue_mm</t>
        </is>
      </c>
    </row>
    <row r="6">
      <c r="A6" s="3" t="inlineStr">
        <is>
          <t>Near-term growth (Yr 1-5)</t>
        </is>
      </c>
      <c r="B6" s="4" t="inlineStr">
        <is>
          <t>6.6%</t>
        </is>
      </c>
      <c r="C6" s="50" t="inlineStr">
        <is>
          <t>%</t>
        </is>
      </c>
      <c r="D6" s="50" t="inlineStr">
        <is>
          <t>ciq_consensus</t>
        </is>
      </c>
      <c r="E6" s="50" t="inlineStr">
        <is>
          <t>FY1 $71.2B vs TTM $66.8B  |  Source: ciq_comps_snapshot total_revenue_cy_1 (is_target=1)</t>
        </is>
      </c>
    </row>
    <row r="7">
      <c r="A7" s="6" t="inlineStr">
        <is>
          <t>Mid-term growth (Yr 6-10)</t>
        </is>
      </c>
      <c r="B7" s="7" t="inlineStr">
        <is>
          <t>4.6%</t>
        </is>
      </c>
      <c r="C7" s="49" t="inlineStr">
        <is>
          <t>%</t>
        </is>
      </c>
      <c r="D7" s="49" t="inlineStr">
        <is>
          <t>derived</t>
        </is>
      </c>
      <c r="E7" s="49" t="inlineStr">
        <is>
          <t>0.70× fade ratio  |  Technology sector SECTOR_DEFAULTS growth_fade_ratio</t>
        </is>
      </c>
    </row>
    <row r="8">
      <c r="A8" s="3" t="inlineStr">
        <is>
          <t>Terminal growth</t>
        </is>
      </c>
      <c r="B8" s="4" t="inlineStr">
        <is>
          <t>3.5%</t>
        </is>
      </c>
      <c r="C8" s="50" t="inlineStr">
        <is>
          <t>%</t>
        </is>
      </c>
      <c r="D8" s="50" t="inlineStr">
        <is>
          <t>default</t>
        </is>
      </c>
      <c r="E8" s="50" t="inlineStr">
        <is>
          <t>Technology sector SECTOR_DEFAULTS terminal_growth</t>
        </is>
      </c>
    </row>
    <row r="10">
      <c r="A10" s="2" t="inlineStr">
        <is>
          <t>PROFITABILITY</t>
        </is>
      </c>
    </row>
    <row r="11">
      <c r="A11" s="9" t="inlineStr">
        <is>
          <t>Driver</t>
        </is>
      </c>
      <c r="B11" s="9" t="inlineStr">
        <is>
          <t>Value</t>
        </is>
      </c>
      <c r="C11" s="9" t="inlineStr">
        <is>
          <t>Unit</t>
        </is>
      </c>
      <c r="D11" s="9" t="inlineStr">
        <is>
          <t>Source</t>
        </is>
      </c>
      <c r="E11" s="9" t="inlineStr">
        <is>
          <t>Notes / Audit</t>
        </is>
      </c>
    </row>
    <row r="12">
      <c r="A12" s="6" t="inlineStr">
        <is>
          <t>EBIT margin — start</t>
        </is>
      </c>
      <c r="B12" s="7" t="inlineStr">
        <is>
          <t>12.5%</t>
        </is>
      </c>
      <c r="C12" s="49" t="inlineStr">
        <is>
          <t>%</t>
        </is>
      </c>
      <c r="D12" s="49" t="inlineStr">
        <is>
          <t>CIQ TTM</t>
        </is>
      </c>
      <c r="E12" s="49" t="inlineStr">
        <is>
          <t>3yr avg operating margin  |  Source: ciq_valuation_snapshot.op_margin_avg_3yr</t>
        </is>
      </c>
    </row>
    <row r="13">
      <c r="A13" s="3" t="inlineStr">
        <is>
          <t>EBIT margin — target (Yr 10)</t>
        </is>
      </c>
      <c r="B13" s="51" t="inlineStr">
        <is>
          <t>20.0%</t>
        </is>
      </c>
      <c r="C13" s="52" t="inlineStr">
        <is>
          <t>%</t>
        </is>
      </c>
      <c r="D13" s="52" t="inlineStr">
        <is>
          <t>sector default</t>
        </is>
      </c>
      <c r="E13" s="53" t="inlineStr">
        <is>
          <t>⚠  LARGE STRETCH from 12.5%.  Verify AI/cloud mix-shift thesis before use.</t>
        </is>
      </c>
    </row>
    <row r="14">
      <c r="A14" s="6" t="inlineStr">
        <is>
          <t>Tax rate — start</t>
        </is>
      </c>
      <c r="B14" s="7" t="inlineStr">
        <is>
          <t>14.7%</t>
        </is>
      </c>
      <c r="C14" s="49" t="inlineStr">
        <is>
          <t>%</t>
        </is>
      </c>
      <c r="D14" s="49" t="inlineStr">
        <is>
          <t>CIQ</t>
        </is>
      </c>
      <c r="E14" s="49" t="inlineStr">
        <is>
          <t>Effective tax rate  |  Source: ciq_valuation_snapshot.effective_tax_rate</t>
        </is>
      </c>
    </row>
    <row r="15">
      <c r="A15" s="3" t="inlineStr">
        <is>
          <t>Tax rate — target</t>
        </is>
      </c>
      <c r="B15" s="4" t="inlineStr">
        <is>
          <t>15.0%</t>
        </is>
      </c>
      <c r="C15" s="50" t="inlineStr">
        <is>
          <t>%</t>
        </is>
      </c>
      <c r="D15" s="50" t="inlineStr">
        <is>
          <t>company ETR</t>
        </is>
      </c>
      <c r="E15" s="50" t="inlineStr">
        <is>
          <t>bounded(14.7%, min=15%, max=30%)  |  Company's own rate as convergence target</t>
        </is>
      </c>
    </row>
    <row r="17">
      <c r="A17" s="2" t="inlineStr">
        <is>
          <t>CAPITAL STRUCTURE &amp; EXIT</t>
        </is>
      </c>
    </row>
    <row r="18">
      <c r="A18" s="9" t="inlineStr">
        <is>
          <t>Driver</t>
        </is>
      </c>
      <c r="B18" s="9" t="inlineStr">
        <is>
          <t>Value</t>
        </is>
      </c>
      <c r="C18" s="9" t="inlineStr">
        <is>
          <t>Unit</t>
        </is>
      </c>
      <c r="D18" s="9" t="inlineStr">
        <is>
          <t>Source</t>
        </is>
      </c>
      <c r="E18" s="9" t="inlineStr">
        <is>
          <t>Notes / Audit</t>
        </is>
      </c>
    </row>
    <row r="19">
      <c r="A19" s="6" t="inlineStr">
        <is>
          <t>Capex % of revenue</t>
        </is>
      </c>
      <c r="B19" s="7" t="inlineStr">
        <is>
          <t>1.61%</t>
        </is>
      </c>
      <c r="C19" s="49" t="inlineStr">
        <is>
          <t>%</t>
        </is>
      </c>
      <c r="D19" s="49" t="inlineStr">
        <is>
          <t>CIQ avg</t>
        </is>
      </c>
      <c r="E19" s="49" t="inlineStr">
        <is>
          <t>3yr avg  |  Source: ciq_valuation_snapshot.capex_pct_avg_3yr</t>
        </is>
      </c>
    </row>
    <row r="20">
      <c r="A20" s="3" t="inlineStr">
        <is>
          <t>D&amp;A % of revenue</t>
        </is>
      </c>
      <c r="B20" s="4" t="inlineStr">
        <is>
          <t>1.13%</t>
        </is>
      </c>
      <c r="C20" s="50" t="inlineStr">
        <is>
          <t>%</t>
        </is>
      </c>
      <c r="D20" s="50" t="inlineStr">
        <is>
          <t>CIQ avg</t>
        </is>
      </c>
      <c r="E20" s="50" t="inlineStr">
        <is>
          <t>3yr avg  |  Source: ciq_valuation_snapshot.da_pct_avg_3yr</t>
        </is>
      </c>
    </row>
    <row r="21">
      <c r="A21" s="6" t="inlineStr">
        <is>
          <t>Net debt</t>
        </is>
      </c>
      <c r="B21" s="7" t="inlineStr">
        <is>
          <t>$51,020M</t>
        </is>
      </c>
      <c r="C21" s="49" t="inlineStr">
        <is>
          <t>$M</t>
        </is>
      </c>
      <c r="D21" s="49" t="inlineStr">
        <is>
          <t>CIQ</t>
        </is>
      </c>
      <c r="E21" s="49" t="inlineStr">
        <is>
          <t>Debt $64,607M less cash $13,587M  |  Source: ciq_valuation_snapshot</t>
        </is>
      </c>
    </row>
    <row r="22">
      <c r="A22" s="3" t="inlineStr">
        <is>
          <t>Exit multiple</t>
        </is>
      </c>
      <c r="B22" s="4" t="inlineStr">
        <is>
          <t>7.89×</t>
        </is>
      </c>
      <c r="C22" s="50" t="inlineStr">
        <is>
          <t>EV/EBITDA</t>
        </is>
      </c>
      <c r="D22" s="50" t="inlineStr">
        <is>
          <t>ciq_comps_tev_ebitda_fwd</t>
        </is>
      </c>
      <c r="E22" s="50" t="inlineStr">
        <is>
          <t>Forward peer median  |  Peers: ORCL ACN HPE MSFT CTSH DXC HON EPAM NTAP</t>
        </is>
      </c>
    </row>
    <row r="23">
      <c r="A23" s="6" t="inlineStr">
        <is>
          <t>WACC</t>
        </is>
      </c>
      <c r="B23" s="7" t="inlineStr">
        <is>
          <t>7.06%</t>
        </is>
      </c>
      <c r="C23" s="49" t="inlineStr">
        <is>
          <t>%</t>
        </is>
      </c>
      <c r="D23" s="49" t="inlineStr">
        <is>
          <t>yfinance_capm</t>
        </is>
      </c>
      <c r="E23" s="49" t="inlineStr">
        <is>
          <t>Rf=4.5% ERP=5.0%  |  Source: config/config.yaml wacc_params</t>
        </is>
      </c>
    </row>
    <row r="24">
      <c r="A24" s="3" t="inlineStr">
        <is>
          <t>Shares outstanding</t>
        </is>
      </c>
      <c r="B24" s="4" t="inlineStr">
        <is>
          <t>948.7M</t>
        </is>
      </c>
      <c r="C24" s="50" t="inlineStr">
        <is>
          <t>shares</t>
        </is>
      </c>
      <c r="D24" s="50" t="inlineStr">
        <is>
          <t>CIQ</t>
        </is>
      </c>
      <c r="E24" s="50" t="inlineStr">
        <is>
          <t>Source: ciq_valuation_snapshot.shares_out_mm</t>
        </is>
      </c>
    </row>
    <row r="26">
      <c r="A26" s="2" t="inlineStr">
        <is>
          <t>WORKING CAPITAL (DSO / DIO / DPO)</t>
        </is>
      </c>
    </row>
    <row r="27">
      <c r="A27" s="9" t="inlineStr">
        <is>
          <t>Driver</t>
        </is>
      </c>
      <c r="B27" s="9" t="inlineStr">
        <is>
          <t>Start</t>
        </is>
      </c>
      <c r="C27" s="9" t="inlineStr">
        <is>
          <t>Target (Yr 10)</t>
        </is>
      </c>
      <c r="D27" s="9" t="inlineStr">
        <is>
          <t>Source</t>
        </is>
      </c>
      <c r="E27" s="9" t="inlineStr">
        <is>
          <t>Notes</t>
        </is>
      </c>
    </row>
    <row r="28">
      <c r="A28" s="6" t="inlineStr">
        <is>
          <t>DSO — Days Sales Outstanding</t>
        </is>
      </c>
      <c r="B28" s="7" t="inlineStr">
        <is>
          <t>47.0 days</t>
        </is>
      </c>
      <c r="C28" s="7" t="inlineStr">
        <is>
          <t>45.6 days</t>
        </is>
      </c>
      <c r="D28" s="40" t="inlineStr">
        <is>
          <t>CIQ / 70-30 blend</t>
        </is>
      </c>
      <c r="E28" s="40" t="inlineStr">
        <is>
          <t>Baseline CIQ 2024: 42.6d  |  Target = 70%×sector(45d) + 30%×company start</t>
        </is>
      </c>
    </row>
    <row r="29">
      <c r="A29" s="3" t="inlineStr">
        <is>
          <t>DIO — Days Inventory Outstanding</t>
        </is>
      </c>
      <c r="B29" s="4" t="inlineStr">
        <is>
          <t>6.7 days</t>
        </is>
      </c>
      <c r="C29" s="4" t="inlineStr">
        <is>
          <t>26.5 days</t>
        </is>
      </c>
      <c r="D29" s="38" t="inlineStr">
        <is>
          <t>CIQ / 70-30 blend</t>
        </is>
      </c>
      <c r="E29" s="38" t="inlineStr">
        <is>
          <t>⚠  IBM is services-heavy; sector DIO default may overstate target — review</t>
        </is>
      </c>
    </row>
    <row r="30">
      <c r="A30" s="6" t="inlineStr">
        <is>
          <t>DPO — Days Payable Outstanding</t>
        </is>
      </c>
      <c r="B30" s="7" t="inlineStr">
        <is>
          <t>26.0 days</t>
        </is>
      </c>
      <c r="C30" s="7" t="inlineStr">
        <is>
          <t>34.4 days</t>
        </is>
      </c>
      <c r="D30" s="40" t="inlineStr">
        <is>
          <t>CIQ / 70-30 blend</t>
        </is>
      </c>
      <c r="E30" s="40" t="inlineStr">
        <is>
          <t>Baseline CIQ 2024: 23.7d  |  Target = 70%×sector(38d) + 30%×company start</t>
        </is>
      </c>
    </row>
    <row r="33">
      <c r="A33" s="48" t="inlineStr">
        <is>
          <t>Generated by Alpha Pod pipeline  |  Data: CIQ + yfinance  |  2026-03-08</t>
        </is>
      </c>
    </row>
  </sheetData>
  <mergeCells count="6">
    <mergeCell ref="A26:E26"/>
    <mergeCell ref="A10:E10"/>
    <mergeCell ref="A33:E33"/>
    <mergeCell ref="A1:E1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6" customWidth="1" min="4" max="4"/>
    <col width="14" customWidth="1" min="5" max="5"/>
    <col width="48" customWidth="1" min="6" max="6"/>
  </cols>
  <sheetData>
    <row r="1" ht="22" customHeight="1">
      <c r="A1" s="1" t="inlineStr">
        <is>
          <t>IBM  —  Quality of Earnings Signals  |  2026-03-08</t>
        </is>
      </c>
    </row>
    <row r="2" ht="6" customHeight="1"/>
    <row r="3" ht="24" customHeight="1">
      <c r="A3" s="54" t="inlineStr">
        <is>
          <t>QoE Composite Score:  3 / 5  —  AMBER  |  LLM Layer: NOT RUN (set ANTHROPIC_API_KEY to enable)</t>
        </is>
      </c>
    </row>
    <row r="5">
      <c r="A5" s="2" t="inlineStr">
        <is>
          <t>SIGNAL DETAIL</t>
        </is>
      </c>
    </row>
    <row r="6">
      <c r="A6" s="9" t="inlineStr">
        <is>
          <t>Signal</t>
        </is>
      </c>
      <c r="B6" s="9" t="inlineStr">
        <is>
          <t>Score</t>
        </is>
      </c>
      <c r="C6" s="9" t="inlineStr">
        <is>
          <t>Value</t>
        </is>
      </c>
      <c r="D6" s="9" t="inlineStr">
        <is>
          <t>Thresh — Amber</t>
        </is>
      </c>
      <c r="E6" s="9" t="inlineStr">
        <is>
          <t>Thresh — Red</t>
        </is>
      </c>
      <c r="F6" s="9" t="inlineStr">
        <is>
          <t>Notes</t>
        </is>
      </c>
    </row>
    <row r="7" ht="30" customHeight="1">
      <c r="A7" s="20" t="inlineStr">
        <is>
          <t>Sloan Accruals Ratio</t>
        </is>
      </c>
      <c r="B7" s="55" t="inlineStr">
        <is>
          <t>GREEN</t>
        </is>
      </c>
      <c r="C7" s="56" t="inlineStr">
        <is>
          <t>−3.9%</t>
        </is>
      </c>
      <c r="D7" s="56" t="inlineStr">
        <is>
          <t>8.0%</t>
        </is>
      </c>
      <c r="E7" s="56" t="inlineStr">
        <is>
          <t>15.0%</t>
        </is>
      </c>
      <c r="F7" s="47" t="inlineStr">
        <is>
          <t>Negative = cash earnings exceed accrual earnings. Strong quality signal. Tech sector thresholds applied.</t>
        </is>
      </c>
    </row>
    <row r="8" ht="30" customHeight="1">
      <c r="A8" s="20" t="inlineStr">
        <is>
          <t>Cash Conversion (CFFO/EBITDA)</t>
        </is>
      </c>
      <c r="B8" s="55" t="inlineStr">
        <is>
          <t>GREEN</t>
        </is>
      </c>
      <c r="C8" s="56" t="inlineStr">
        <is>
          <t>105%</t>
        </is>
      </c>
      <c r="D8" s="56" t="inlineStr">
        <is>
          <t>65%</t>
        </is>
      </c>
      <c r="E8" s="56" t="inlineStr">
        <is>
          <t>&lt;65%</t>
        </is>
      </c>
      <c r="F8" s="47" t="inlineStr">
        <is>
          <t>CFFO well above EBITDA. No working capital drag on cash conversion.</t>
        </is>
      </c>
    </row>
    <row r="9" ht="30" customHeight="1">
      <c r="A9" s="20" t="inlineStr">
        <is>
          <t>DSO Drift</t>
        </is>
      </c>
      <c r="B9" s="55" t="inlineStr">
        <is>
          <t>GREEN</t>
        </is>
      </c>
      <c r="C9" s="56" t="inlineStr">
        <is>
          <t>+4.4d</t>
        </is>
      </c>
      <c r="D9" s="56" t="inlineStr">
        <is>
          <t>5d</t>
        </is>
      </c>
      <c r="E9" s="56" t="inlineStr">
        <is>
          <t>15d</t>
        </is>
      </c>
      <c r="F9" s="47" t="inlineStr">
        <is>
          <t>Current DSO 47.0d vs CIQ 1yr baseline 42.6d. Just below amber threshold. Monitor.</t>
        </is>
      </c>
    </row>
    <row r="10" ht="30" customHeight="1">
      <c r="A10" s="20" t="inlineStr">
        <is>
          <t>DIO Drift</t>
        </is>
      </c>
      <c r="B10" s="55" t="inlineStr">
        <is>
          <t>GREEN</t>
        </is>
      </c>
      <c r="C10" s="56" t="inlineStr">
        <is>
          <t>−0.9d</t>
        </is>
      </c>
      <c r="D10" s="56" t="inlineStr">
        <is>
          <t>5d</t>
        </is>
      </c>
      <c r="E10" s="56" t="inlineStr">
        <is>
          <t>15d</t>
        </is>
      </c>
      <c r="F10" s="47" t="inlineStr">
        <is>
          <t>DIO improving. IBM is largely services/software — DIO naturally low.</t>
        </is>
      </c>
    </row>
    <row r="11" ht="30" customHeight="1">
      <c r="A11" s="20" t="inlineStr">
        <is>
          <t>DPO Drift</t>
        </is>
      </c>
      <c r="B11" s="55" t="inlineStr">
        <is>
          <t>GREEN</t>
        </is>
      </c>
      <c r="C11" s="56" t="inlineStr">
        <is>
          <t>+2.3d</t>
        </is>
      </c>
      <c r="D11" s="56" t="inlineStr">
        <is>
          <t>5d</t>
        </is>
      </c>
      <c r="E11" s="56" t="inlineStr">
        <is>
          <t>15d</t>
        </is>
      </c>
      <c r="F11" s="47" t="inlineStr">
        <is>
          <t>Minor payables stretch vs CIQ 1yr baseline 23.7d. Within normal range.</t>
        </is>
      </c>
    </row>
    <row r="12" ht="30" customHeight="1">
      <c r="A12" s="10" t="inlineStr">
        <is>
          <t>Capex / D&amp;A Ratio</t>
        </is>
      </c>
      <c r="B12" s="57" t="inlineStr">
        <is>
          <t>RED</t>
        </is>
      </c>
      <c r="C12" s="58" t="inlineStr">
        <is>
          <t>0.35×</t>
        </is>
      </c>
      <c r="D12" s="58" t="inlineStr">
        <is>
          <t>0.70×</t>
        </is>
      </c>
      <c r="E12" s="58" t="inlineStr">
        <is>
          <t>&lt;0.70×</t>
        </is>
      </c>
      <c r="F12" s="59" t="inlineStr">
        <is>
          <t>⚠  Capex $1.1B vs D&amp;A inflated by acquired intangible amortisation (HashiCorp, Apptio). LLM layer needed to assess 10-K explanation before treating as quality concern.</t>
        </is>
      </c>
    </row>
    <row r="14">
      <c r="A14" s="2" t="inlineStr">
        <is>
          <t>PM NOTES</t>
        </is>
      </c>
    </row>
    <row r="15" ht="45" customHeight="1">
      <c r="A15" s="60" t="inlineStr">
        <is>
          <t>Capex/D&amp;A flag</t>
        </is>
      </c>
      <c r="B15" s="40" t="inlineStr">
        <is>
          <t>IBM's capex ($1.1B) falls far below D&amp;A because post-acquisition intangible amortisation inflates D&amp;A — structurally common for software acquirers. HashiCorp ($6.4B, 2024) and Apptio are the primary drivers. Run QoEAgent with ANTHROPIC_API_KEY to verify management 10-K explanation before treating this as a quality concern.</t>
        </is>
      </c>
    </row>
    <row r="16" ht="45" customHeight="1">
      <c r="A16" s="61" t="inlineStr">
        <is>
          <t>EBIT normalization</t>
        </is>
      </c>
      <c r="B16" s="38" t="inlineStr">
        <is>
          <t>LLM layer NOT run. No EBIT adjustments applied. Reported EBIT used as-is in the DCF. To enable: set ANTHROPIC_API_KEY env var, then run QoEAgent.analyze('IBM', reported_ebit=&lt;value&gt;).</t>
        </is>
      </c>
    </row>
    <row r="17" ht="45" customHeight="1">
      <c r="A17" s="60" t="inlineStr">
        <is>
          <t>Next steps</t>
        </is>
      </c>
      <c r="B17" s="40" t="inlineStr">
        <is>
          <t>If Capex/D&amp;A is confirmed as intangible amortisation artefact: score moves to 4/5 GREEN. Recommend running full LLM layer and reviewing EBIT margin target (20%) before finalising DCF.</t>
        </is>
      </c>
    </row>
    <row r="19">
      <c r="A19" s="2" t="inlineStr">
        <is>
          <t>NWC BASELINE DATA (CIQ HISTORY)</t>
        </is>
      </c>
    </row>
    <row r="20">
      <c r="A20" s="9" t="inlineStr">
        <is>
          <t>Period</t>
        </is>
      </c>
      <c r="B20" s="9" t="inlineStr">
        <is>
          <t>DSO (days)</t>
        </is>
      </c>
      <c r="C20" s="9" t="inlineStr">
        <is>
          <t>DIO (days)</t>
        </is>
      </c>
      <c r="D20" s="9" t="inlineStr">
        <is>
          <t>DPO (days)</t>
        </is>
      </c>
      <c r="E20" s="9" t="inlineStr"/>
      <c r="F20" s="9" t="inlineStr"/>
    </row>
    <row r="21">
      <c r="A21" s="6" t="inlineStr">
        <is>
          <t>2025-12-31 (current)</t>
        </is>
      </c>
      <c r="B21" s="62" t="n">
        <v>47</v>
      </c>
      <c r="C21" s="62" t="n">
        <v>6.7</v>
      </c>
      <c r="D21" s="62" t="n">
        <v>26</v>
      </c>
      <c r="E21" s="8" t="n"/>
      <c r="F21" s="8" t="n"/>
    </row>
    <row r="22">
      <c r="A22" s="3" t="inlineStr">
        <is>
          <t>2024-12-31 (baseline)</t>
        </is>
      </c>
      <c r="B22" s="63" t="n">
        <v>42.6</v>
      </c>
      <c r="C22" s="63" t="n">
        <v>7.6</v>
      </c>
      <c r="D22" s="63" t="n">
        <v>23.7</v>
      </c>
      <c r="E22" s="5" t="n"/>
      <c r="F22" s="5" t="n"/>
    </row>
    <row r="23">
      <c r="A23" s="60" t="inlineStr">
        <is>
          <t>Drift</t>
        </is>
      </c>
      <c r="B23" s="64" t="inlineStr">
        <is>
          <t>+4.4</t>
        </is>
      </c>
      <c r="C23" s="64" t="inlineStr">
        <is>
          <t>−0.9</t>
        </is>
      </c>
      <c r="D23" s="64" t="inlineStr">
        <is>
          <t>+2.3</t>
        </is>
      </c>
      <c r="E23" s="8" t="n"/>
      <c r="F23" s="8" t="n"/>
    </row>
    <row r="26">
      <c r="A26" s="48" t="inlineStr">
        <is>
          <t>Generated by Alpha Pod pipeline  |  Data: CIQ + yfinance  |  2026-03-08</t>
        </is>
      </c>
    </row>
  </sheetData>
  <mergeCells count="9">
    <mergeCell ref="B16:F16"/>
    <mergeCell ref="A14:F14"/>
    <mergeCell ref="B15:F15"/>
    <mergeCell ref="A19:F19"/>
    <mergeCell ref="A1:F1"/>
    <mergeCell ref="A5:F5"/>
    <mergeCell ref="A26:F26"/>
    <mergeCell ref="A3:F3"/>
    <mergeCell ref="B17:F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0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0" customWidth="1" min="9" max="9"/>
    <col width="14" customWidth="1" min="10" max="10"/>
  </cols>
  <sheetData>
    <row r="1" ht="22" customHeight="1">
      <c r="A1" s="1" t="inlineStr">
        <is>
          <t>IBM  —  Base Case 10-Year Projection  |  2026-03-08</t>
        </is>
      </c>
    </row>
    <row r="2" ht="6" customHeight="1"/>
    <row r="3">
      <c r="A3" s="9" t="inlineStr">
        <is>
          <t>Driver</t>
        </is>
      </c>
      <c r="B3" s="9" t="inlineStr">
        <is>
          <t>Yr 1</t>
        </is>
      </c>
      <c r="C3" s="9" t="inlineStr">
        <is>
          <t>Yr 2</t>
        </is>
      </c>
      <c r="D3" s="9" t="inlineStr">
        <is>
          <t>Yr 3</t>
        </is>
      </c>
      <c r="E3" s="9" t="inlineStr">
        <is>
          <t>Yr 4</t>
        </is>
      </c>
      <c r="F3" s="9" t="inlineStr">
        <is>
          <t>Yr 5</t>
        </is>
      </c>
      <c r="G3" s="9" t="inlineStr">
        <is>
          <t>Yr 6</t>
        </is>
      </c>
      <c r="H3" s="9" t="inlineStr">
        <is>
          <t>Yr 7</t>
        </is>
      </c>
      <c r="I3" s="9" t="inlineStr">
        <is>
          <t>Yr 8</t>
        </is>
      </c>
      <c r="J3" s="9" t="inlineStr">
        <is>
          <t>Yr 9</t>
        </is>
      </c>
      <c r="K3" s="9" t="inlineStr">
        <is>
          <t>Yr 10</t>
        </is>
      </c>
    </row>
    <row r="4">
      <c r="A4" s="6" t="inlineStr">
        <is>
          <t>Revenue ($B)</t>
        </is>
      </c>
      <c r="B4" s="65" t="n">
        <v>71.2</v>
      </c>
      <c r="C4" s="65" t="n">
        <v>75.90000000000001</v>
      </c>
      <c r="D4" s="65" t="n">
        <v>80.90000000000001</v>
      </c>
      <c r="E4" s="65" t="n">
        <v>85.90000000000001</v>
      </c>
      <c r="F4" s="65" t="n">
        <v>91.09999999999999</v>
      </c>
      <c r="G4" s="65" t="n">
        <v>96.3</v>
      </c>
      <c r="H4" s="65" t="n">
        <v>101.6</v>
      </c>
      <c r="I4" s="65" t="n">
        <v>106.8</v>
      </c>
      <c r="J4" s="65" t="n">
        <v>112</v>
      </c>
      <c r="K4" s="65" t="n">
        <v>117.2</v>
      </c>
    </row>
    <row r="5">
      <c r="A5" s="3" t="inlineStr">
        <is>
          <t>Revenue growth</t>
        </is>
      </c>
      <c r="B5" s="66" t="n">
        <v>0.066</v>
      </c>
      <c r="C5" s="66" t="n">
        <v>0.066</v>
      </c>
      <c r="D5" s="66" t="n">
        <v>0.066</v>
      </c>
      <c r="E5" s="66" t="n">
        <v>0.063</v>
      </c>
      <c r="F5" s="66" t="n">
        <v>0.06</v>
      </c>
      <c r="G5" s="66" t="n">
        <v>0.057</v>
      </c>
      <c r="H5" s="66" t="n">
        <v>0.054</v>
      </c>
      <c r="I5" s="66" t="n">
        <v>0.052</v>
      </c>
      <c r="J5" s="66" t="n">
        <v>0.049</v>
      </c>
      <c r="K5" s="66" t="n">
        <v>0.046</v>
      </c>
    </row>
    <row r="6">
      <c r="A6" s="6" t="inlineStr">
        <is>
          <t>EBIT ($B)</t>
        </is>
      </c>
      <c r="B6" s="65" t="n">
        <v>8.9</v>
      </c>
      <c r="C6" s="65" t="n">
        <v>10.1</v>
      </c>
      <c r="D6" s="65" t="n">
        <v>11.5</v>
      </c>
      <c r="E6" s="65" t="n">
        <v>12.9</v>
      </c>
      <c r="F6" s="65" t="n">
        <v>14.4</v>
      </c>
      <c r="G6" s="65" t="n">
        <v>16.1</v>
      </c>
      <c r="H6" s="65" t="n">
        <v>17.8</v>
      </c>
      <c r="I6" s="65" t="n">
        <v>19.6</v>
      </c>
      <c r="J6" s="65" t="n">
        <v>21.5</v>
      </c>
      <c r="K6" s="65" t="n">
        <v>23.4</v>
      </c>
    </row>
    <row r="7">
      <c r="A7" s="3" t="inlineStr">
        <is>
          <t>EBIT margin</t>
        </is>
      </c>
      <c r="B7" s="66" t="n">
        <v>0.125</v>
      </c>
      <c r="C7" s="66" t="n">
        <v>0.134</v>
      </c>
      <c r="D7" s="66" t="n">
        <v>0.142</v>
      </c>
      <c r="E7" s="66" t="n">
        <v>0.15</v>
      </c>
      <c r="F7" s="66" t="n">
        <v>0.159</v>
      </c>
      <c r="G7" s="66" t="n">
        <v>0.167</v>
      </c>
      <c r="H7" s="66" t="n">
        <v>0.175</v>
      </c>
      <c r="I7" s="66" t="n">
        <v>0.183</v>
      </c>
      <c r="J7" s="66" t="n">
        <v>0.192</v>
      </c>
      <c r="K7" s="66" t="n">
        <v>0.2</v>
      </c>
    </row>
    <row r="8">
      <c r="A8" s="6" t="inlineStr">
        <is>
          <t>NOPAT ($B)</t>
        </is>
      </c>
      <c r="B8" s="65" t="n">
        <v>7.6</v>
      </c>
      <c r="C8" s="65" t="n">
        <v>8.6</v>
      </c>
      <c r="D8" s="65" t="n">
        <v>9.800000000000001</v>
      </c>
      <c r="E8" s="65" t="n">
        <v>11</v>
      </c>
      <c r="F8" s="65" t="n">
        <v>12.3</v>
      </c>
      <c r="G8" s="65" t="n">
        <v>13.7</v>
      </c>
      <c r="H8" s="65" t="n">
        <v>15.1</v>
      </c>
      <c r="I8" s="65" t="n">
        <v>16.7</v>
      </c>
      <c r="J8" s="65" t="n">
        <v>18.3</v>
      </c>
      <c r="K8" s="65" t="n">
        <v>19.9</v>
      </c>
    </row>
    <row r="9">
      <c r="A9" s="3" t="inlineStr">
        <is>
          <t>FCFF ($B)</t>
        </is>
      </c>
      <c r="B9" s="67" t="n">
        <v>6.9</v>
      </c>
      <c r="C9" s="67" t="n">
        <v>7.7</v>
      </c>
      <c r="D9" s="67" t="n">
        <v>8.800000000000001</v>
      </c>
      <c r="E9" s="67" t="n">
        <v>9.9</v>
      </c>
      <c r="F9" s="67" t="n">
        <v>11.2</v>
      </c>
      <c r="G9" s="67" t="n">
        <v>12.5</v>
      </c>
      <c r="H9" s="67" t="n">
        <v>13.9</v>
      </c>
      <c r="I9" s="67" t="n">
        <v>15.4</v>
      </c>
      <c r="J9" s="67" t="n">
        <v>16.9</v>
      </c>
      <c r="K9" s="67" t="n">
        <v>18.5</v>
      </c>
    </row>
    <row r="10">
      <c r="A10" s="6" t="inlineStr">
        <is>
          <t>PV FCFF ($B)</t>
        </is>
      </c>
      <c r="B10" s="65" t="n">
        <v>6.5</v>
      </c>
      <c r="C10" s="65" t="n">
        <v>6.7</v>
      </c>
      <c r="D10" s="65" t="n">
        <v>7.1</v>
      </c>
      <c r="E10" s="65" t="n">
        <v>7.5</v>
      </c>
      <c r="F10" s="65" t="n">
        <v>7.9</v>
      </c>
      <c r="G10" s="65" t="n">
        <v>8.300000000000001</v>
      </c>
      <c r="H10" s="65" t="n">
        <v>8.6</v>
      </c>
      <c r="I10" s="65" t="n">
        <v>8.9</v>
      </c>
      <c r="J10" s="65" t="n">
        <v>9.1</v>
      </c>
      <c r="K10" s="65" t="n">
        <v>9.4</v>
      </c>
    </row>
    <row r="11">
      <c r="A11" s="3" t="inlineStr">
        <is>
          <t>ROIC</t>
        </is>
      </c>
      <c r="B11" s="66" t="n">
        <v>0.182</v>
      </c>
      <c r="C11" s="66" t="n">
        <v>0.204</v>
      </c>
      <c r="D11" s="66" t="n">
        <v>0.226</v>
      </c>
      <c r="E11" s="66" t="n">
        <v>0.248</v>
      </c>
      <c r="F11" s="66" t="n">
        <v>0.27</v>
      </c>
      <c r="G11" s="66" t="n">
        <v>0.293</v>
      </c>
      <c r="H11" s="66" t="n">
        <v>0.317</v>
      </c>
      <c r="I11" s="66" t="n">
        <v>0.34</v>
      </c>
      <c r="J11" s="66" t="n">
        <v>0.362</v>
      </c>
      <c r="K11" s="66" t="n">
        <v>0.385</v>
      </c>
    </row>
    <row r="12">
      <c r="A12" s="6" t="inlineStr">
        <is>
          <t>Inv. Capital ($B)</t>
        </is>
      </c>
      <c r="B12" s="65" t="n">
        <v>42.4</v>
      </c>
      <c r="C12" s="65" t="n">
        <v>43.4</v>
      </c>
      <c r="D12" s="65" t="n">
        <v>44.4</v>
      </c>
      <c r="E12" s="65" t="n">
        <v>45.5</v>
      </c>
      <c r="F12" s="65" t="n">
        <v>46.6</v>
      </c>
      <c r="G12" s="65" t="n">
        <v>47.8</v>
      </c>
      <c r="H12" s="65" t="n">
        <v>49.1</v>
      </c>
      <c r="I12" s="65" t="n">
        <v>50.4</v>
      </c>
      <c r="J12" s="65" t="n">
        <v>51.8</v>
      </c>
      <c r="K12" s="65" t="n">
        <v>53.2</v>
      </c>
    </row>
    <row r="14">
      <c r="A14" s="2" t="inlineStr">
        <is>
          <t>EV → EQUITY BRIDGE (Base Case)</t>
        </is>
      </c>
    </row>
    <row r="15">
      <c r="A15" s="3" t="inlineStr">
        <is>
          <t>Sum PV of FCFF (Yr 1-10)</t>
        </is>
      </c>
      <c r="B15" s="68" t="n">
        <v>79.7</v>
      </c>
      <c r="C15" s="5" t="n"/>
      <c r="D15" s="5" t="n"/>
    </row>
    <row r="16">
      <c r="A16" s="3" t="inlineStr">
        <is>
          <t>PV Terminal Value (blended)</t>
        </is>
      </c>
      <c r="B16" s="68" t="n">
        <v>174.1</v>
      </c>
      <c r="C16" s="5" t="n"/>
      <c r="D16" s="5" t="n"/>
    </row>
    <row r="17">
      <c r="A17" s="69" t="inlineStr">
        <is>
          <t>Enterprise Value (operations)</t>
        </is>
      </c>
      <c r="B17" s="70" t="n">
        <v>254.2</v>
      </c>
      <c r="C17" s="19" t="n"/>
      <c r="D17" s="19" t="n"/>
    </row>
    <row r="18">
      <c r="A18" s="3" t="inlineStr">
        <is>
          <t>Less: Net Debt</t>
        </is>
      </c>
      <c r="B18" s="71" t="n">
        <v>-51</v>
      </c>
      <c r="C18" s="5" t="n"/>
      <c r="D18" s="5" t="n"/>
    </row>
    <row r="19">
      <c r="A19" s="3" t="inlineStr">
        <is>
          <t>Plus: Non-operating assets</t>
        </is>
      </c>
      <c r="B19" s="68" t="n">
        <v>12.3</v>
      </c>
      <c r="C19" s="5" t="n"/>
      <c r="D19" s="5" t="n"/>
    </row>
    <row r="20">
      <c r="A20" s="69" t="inlineStr">
        <is>
          <t>Equity Value</t>
        </is>
      </c>
      <c r="B20" s="70" t="n">
        <v>215.4</v>
      </c>
      <c r="C20" s="19" t="n"/>
      <c r="D20" s="19" t="n"/>
    </row>
    <row r="21">
      <c r="A21" s="3" t="inlineStr">
        <is>
          <t>Shares outstanding (M)</t>
        </is>
      </c>
      <c r="B21" s="72" t="n">
        <v>948.7</v>
      </c>
      <c r="C21" s="5" t="n"/>
      <c r="D21" s="5" t="n"/>
    </row>
    <row r="22">
      <c r="A22" s="25" t="inlineStr">
        <is>
          <t>Intrinsic Value per Share</t>
        </is>
      </c>
      <c r="B22" s="27" t="n">
        <v>227.09</v>
      </c>
      <c r="C22" s="29" t="n"/>
      <c r="D22" s="29" t="n"/>
    </row>
    <row r="49">
      <c r="A49" s="48" t="inlineStr">
        <is>
          <t>Generated by Alpha Pod pipeline  |  Data: CIQ + yfinance  |  2026-03-08</t>
        </is>
      </c>
    </row>
  </sheetData>
  <mergeCells count="3">
    <mergeCell ref="A1:J1"/>
    <mergeCell ref="A14:D14"/>
    <mergeCell ref="A49:J4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2026-03-09T09:15:06Z</dcterms:created>
  <dcterms:modified xmlns:dcterms="http://purl.org/dc/terms/" xmlns:xsi="http://www.w3.org/2001/XMLSchema-instance" xsi:type="dcterms:W3CDTF">2026-03-09T09:15:06Z</dcterms:modified>
</cp:coreProperties>
</file>