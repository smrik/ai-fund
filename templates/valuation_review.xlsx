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Data" sheetId="3" state="visible" r:id="rId3"/>
    <sheet xmlns:r="http://schemas.openxmlformats.org/officeDocument/2006/relationships" name="Overrides" sheetId="4" state="visible" r:id="rId4"/>
    <sheet xmlns:r="http://schemas.openxmlformats.org/officeDocument/2006/relationships" name="Mode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2F5496"/>
      <sz val="16"/>
    </font>
    <font>
      <b val="1"/>
      <sz val="13"/>
    </font>
    <font>
      <name val="Calibri"/>
      <b val="1"/>
      <color rgb="00FFFFFF"/>
      <sz val="11"/>
    </font>
    <font>
      <i val="1"/>
      <color rgb="00999999"/>
    </font>
    <font>
      <name val="Calibri"/>
      <sz val="10"/>
    </font>
    <font>
      <name val="Calibri"/>
      <i val="1"/>
      <color rgb="004472C4"/>
      <sz val="10"/>
    </font>
    <font>
      <i val="1"/>
      <color rgb="00999999"/>
      <sz val="9"/>
    </font>
    <font>
      <color rgb="00808080"/>
      <sz val="10"/>
    </font>
    <font>
      <b val="1"/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FC000"/>
        <bgColor rgb="00FFC000"/>
      </patternFill>
    </fill>
    <fill>
      <patternFill patternType="solid">
        <fgColor rgb="00FFF2CC"/>
        <bgColor rgb="00FFF2CC"/>
      </patternFill>
    </fill>
    <fill>
      <patternFill patternType="solid">
        <fgColor rgb="0000B050"/>
        <bgColor rgb="0000B050"/>
      </patternFill>
    </fill>
    <fill>
      <patternFill patternType="solid">
        <fgColor rgb="00D6DCE4"/>
        <bgColor rgb="00D6D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8" fillId="0" borderId="0" pivotButton="0" quotePrefix="0" xfId="0"/>
    <xf numFmtId="0" fontId="9" fillId="6" borderId="0" pivotButton="0" quotePrefix="0" xfId="0"/>
    <xf numFmtId="0" fontId="10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3" fillId="3" borderId="0" applyAlignment="1" pivotButton="0" quotePrefix="0" xfId="0">
      <alignment horizontal="center" wrapText="1"/>
    </xf>
    <xf numFmtId="0" fontId="5" fillId="4" borderId="0" pivotButton="0" quotePrefix="0" xfId="0"/>
    <xf numFmtId="0" fontId="0" fillId="4" borderId="0" pivotButton="0" quotePrefix="0" xfId="0"/>
    <xf numFmtId="0" fontId="3" fillId="5" borderId="0" applyAlignment="1" pivotButton="0" quotePrefix="0" xfId="0">
      <alignment horizontal="center" wrapText="1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dxfs count="3">
    <dxf>
      <fill>
        <patternFill>
          <fgColor rgb="00E2EFDA"/>
          <bgColor rgb="00E2EFDA"/>
        </patternFill>
      </fill>
    </dxf>
    <dxf>
      <fill>
        <patternFill>
          <fgColor rgb="00C6EFCE"/>
          <bgColor rgb="00C6EFCE"/>
        </patternFill>
      </fill>
    </dxf>
    <dxf>
      <fill>
        <patternFill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ALPHA POD — Valuation Review Template</t>
        </is>
      </c>
    </row>
    <row r="2">
      <c r="A2" t="inlineStr"/>
    </row>
    <row r="3">
      <c r="A3" s="2" t="inlineStr">
        <is>
          <t>SETUP (one-time)</t>
        </is>
      </c>
    </row>
    <row r="4">
      <c r="A4" t="inlineStr">
        <is>
          <t>1. In Excel: Data → Get Data → From Text/CSV</t>
        </is>
      </c>
    </row>
    <row r="5">
      <c r="A5" t="inlineStr">
        <is>
          <t>2. Navigate to: ai-fund/data/valuations/latest.csv</t>
        </is>
      </c>
    </row>
    <row r="6">
      <c r="A6" t="inlineStr">
        <is>
          <t>3. Click 'Load To...' → select 'Table' and 'Existing worksheet'</t>
        </is>
      </c>
    </row>
    <row r="7">
      <c r="A7" t="inlineStr">
        <is>
          <t>4. Place at cell A1 on the 'Data' sheet</t>
        </is>
      </c>
    </row>
    <row r="8">
      <c r="A8" t="inlineStr">
        <is>
          <t>5. Done! The Data sheet now auto-refreshes from Python output</t>
        </is>
      </c>
    </row>
    <row r="9">
      <c r="A9" t="inlineStr"/>
    </row>
    <row r="10">
      <c r="A10" s="2" t="inlineStr">
        <is>
          <t>DAILY WORKFLOW</t>
        </is>
      </c>
    </row>
    <row r="11">
      <c r="A11" t="inlineStr">
        <is>
          <t>1. Run:  python -m src.valuation.batch_runner</t>
        </is>
      </c>
    </row>
    <row r="12">
      <c r="A12" t="inlineStr">
        <is>
          <t>2. Open this workbook → Data → Refresh All (Ctrl+Alt+F5)</t>
        </is>
      </c>
    </row>
    <row r="13">
      <c r="A13" t="inlineStr">
        <is>
          <t>3. Review the Dashboard tab — sorted by upside</t>
        </is>
      </c>
    </row>
    <row r="14">
      <c r="A14" t="inlineStr">
        <is>
          <t>4. To adjust assumptions: go to Overrides tab, enter your values</t>
        </is>
      </c>
    </row>
    <row r="15">
      <c r="A15" t="inlineStr">
        <is>
          <t>5. Model tab auto-merges Python defaults with your overrides</t>
        </is>
      </c>
    </row>
    <row r="16">
      <c r="A16" t="inlineStr"/>
    </row>
    <row r="17">
      <c r="A17" s="2" t="inlineStr">
        <is>
          <t>OVERRIDE RULES</t>
        </is>
      </c>
    </row>
    <row r="18">
      <c r="A18" t="inlineStr">
        <is>
          <t>• Leave a cell blank in Overrides = use Python default</t>
        </is>
      </c>
    </row>
    <row r="19">
      <c r="A19" t="inlineStr">
        <is>
          <t>• Enter a value in Overrides = your value takes priority</t>
        </is>
      </c>
    </row>
    <row r="20">
      <c r="A20" t="inlineStr">
        <is>
          <t>• Add a reason so you remember why you changed it</t>
        </is>
      </c>
    </row>
    <row r="21">
      <c r="A21" t="inlineStr">
        <is>
          <t>• Overrides persist across refreshes — Python never touches this 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1" t="inlineStr">
        <is>
          <t>ALPHA POD — Valuation Dashboard</t>
        </is>
      </c>
    </row>
    <row r="2">
      <c r="A2" s="3">
        <f>TEXT(NOW(), "YYYY-MM-DD HH:MM")</f>
        <v/>
      </c>
    </row>
    <row r="4">
      <c r="A4" s="4" t="inlineStr">
        <is>
          <t>QUICK STATS</t>
        </is>
      </c>
    </row>
    <row r="5">
      <c r="A5" s="5" t="inlineStr">
        <is>
          <t>Total Valued:</t>
        </is>
      </c>
      <c r="B5">
        <f>COUNTA(Data!A:A)-1</f>
        <v/>
      </c>
    </row>
    <row r="6">
      <c r="A6" s="5" t="inlineStr">
        <is>
          <t>Avg Upside (base):</t>
        </is>
      </c>
      <c r="B6">
        <f>AVERAGE(Data!AB:AB)</f>
        <v/>
      </c>
    </row>
    <row r="7">
      <c r="A7" s="5" t="inlineStr">
        <is>
          <t>Median WACC:</t>
        </is>
      </c>
      <c r="B7">
        <f>MEDIAN(Data!R:R)</f>
        <v/>
      </c>
    </row>
    <row r="8">
      <c r="A8" s="5" t="inlineStr">
        <is>
          <t>Names &gt; 20% upside:</t>
        </is>
      </c>
      <c r="B8">
        <f>COUNTIF(Data!AB:AB,"&gt;20")</f>
        <v/>
      </c>
    </row>
    <row r="9">
      <c r="A9" s="5" t="inlineStr">
        <is>
          <t>Names &gt; 50% upside:</t>
        </is>
      </c>
      <c r="B9">
        <f>COUNTIF(Data!AB:AB,"&gt;50")</f>
        <v/>
      </c>
    </row>
    <row r="12">
      <c r="A12" s="4" t="inlineStr">
        <is>
          <t>SECTOR BREAKDOWN</t>
        </is>
      </c>
    </row>
    <row r="13">
      <c r="A13" s="5" t="inlineStr">
        <is>
          <t>Sector</t>
        </is>
      </c>
      <c r="B13" s="5" t="inlineStr">
        <is>
          <t>Count</t>
        </is>
      </c>
      <c r="C13" s="5" t="inlineStr">
        <is>
          <t>Avg Upside</t>
        </is>
      </c>
    </row>
    <row r="14">
      <c r="A14" t="inlineStr">
        <is>
          <t>Technology</t>
        </is>
      </c>
      <c r="B14">
        <f>COUNTIF(Data!C:C,"Technology")</f>
        <v/>
      </c>
      <c r="C14">
        <f>IFERROR(AVERAGEIF(Data!C:C,"Technology",Data!AB:AB),"-")</f>
        <v/>
      </c>
    </row>
    <row r="15">
      <c r="A15" t="inlineStr">
        <is>
          <t>Healthcare</t>
        </is>
      </c>
      <c r="B15">
        <f>COUNTIF(Data!C:C,"Healthcare")</f>
        <v/>
      </c>
      <c r="C15">
        <f>IFERROR(AVERAGEIF(Data!C:C,"Healthcare",Data!AB:AB),"-")</f>
        <v/>
      </c>
    </row>
    <row r="16">
      <c r="A16" t="inlineStr">
        <is>
          <t>Industrials</t>
        </is>
      </c>
      <c r="B16">
        <f>COUNTIF(Data!C:C,"Industrials")</f>
        <v/>
      </c>
      <c r="C16">
        <f>IFERROR(AVERAGEIF(Data!C:C,"Industrials",Data!AB:AB),"-")</f>
        <v/>
      </c>
    </row>
    <row r="17">
      <c r="A17" t="inlineStr">
        <is>
          <t>Consumer Cyclical</t>
        </is>
      </c>
      <c r="B17">
        <f>COUNTIF(Data!C:C,"Consumer Cyclical")</f>
        <v/>
      </c>
      <c r="C17">
        <f>IFERROR(AVERAGEIF(Data!C:C,"Consumer Cyclical",Data!AB:AB),"-")</f>
        <v/>
      </c>
    </row>
    <row r="18">
      <c r="A18" t="inlineStr">
        <is>
          <t>Consumer Defensive</t>
        </is>
      </c>
      <c r="B18">
        <f>COUNTIF(Data!C:C,"Consumer Defensive")</f>
        <v/>
      </c>
      <c r="C18">
        <f>IFERROR(AVERAGEIF(Data!C:C,"Consumer Defensive",Data!AB:AB),"-")</f>
        <v/>
      </c>
    </row>
    <row r="19">
      <c r="A19" t="inlineStr">
        <is>
          <t>Energy</t>
        </is>
      </c>
      <c r="B19">
        <f>COUNTIF(Data!C:C,"Energy")</f>
        <v/>
      </c>
      <c r="C19">
        <f>IFERROR(AVERAGEIF(Data!C:C,"Energy",Data!AB:AB),"-")</f>
        <v/>
      </c>
    </row>
    <row r="20">
      <c r="A20" t="inlineStr">
        <is>
          <t>Basic Materials</t>
        </is>
      </c>
      <c r="B20">
        <f>COUNTIF(Data!C:C,"Basic Materials")</f>
        <v/>
      </c>
      <c r="C20">
        <f>IFERROR(AVERAGEIF(Data!C:C,"Basic Materials",Data!AB:AB),"-")</f>
        <v/>
      </c>
    </row>
    <row r="21">
      <c r="A21" t="inlineStr">
        <is>
          <t>Communication Services</t>
        </is>
      </c>
      <c r="B21">
        <f>COUNTIF(Data!C:C,"Communication Services")</f>
        <v/>
      </c>
      <c r="C21">
        <f>IFERROR(AVERAGEIF(Data!C:C,"Communication Services",Data!AB:AB),"-")</f>
        <v/>
      </c>
    </row>
    <row r="24">
      <c r="A24" s="4" t="inlineStr">
        <is>
          <t>HOW TO USE</t>
        </is>
      </c>
    </row>
    <row r="25">
      <c r="A25" t="inlineStr">
        <is>
          <t>1. Run batch_runner → Ctrl+Alt+F5 to refresh</t>
        </is>
      </c>
    </row>
    <row r="26">
      <c r="A26" t="inlineStr">
        <is>
          <t>2. Review this Dashboard for overview</t>
        </is>
      </c>
    </row>
    <row r="27">
      <c r="A27" t="inlineStr">
        <is>
          <t>3. Overrides tab to adjust assumptions for specific tickers</t>
        </is>
      </c>
    </row>
    <row r="28">
      <c r="A28" t="inlineStr">
        <is>
          <t>4. Model tab shows merged output (Python default + your overrides)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08080"/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ticker</t>
        </is>
      </c>
      <c r="B1" s="6" t="inlineStr">
        <is>
          <t>company_name</t>
        </is>
      </c>
      <c r="C1" s="6" t="inlineStr">
        <is>
          <t>sector</t>
        </is>
      </c>
      <c r="D1" s="6" t="inlineStr">
        <is>
          <t>industry</t>
        </is>
      </c>
      <c r="E1" s="6" t="inlineStr">
        <is>
          <t>price</t>
        </is>
      </c>
      <c r="F1" s="6" t="inlineStr">
        <is>
          <t>market_cap_mm</t>
        </is>
      </c>
      <c r="G1" s="6" t="inlineStr">
        <is>
          <t>ev_mm</t>
        </is>
      </c>
      <c r="H1" s="6" t="inlineStr">
        <is>
          <t>pe_trailing</t>
        </is>
      </c>
      <c r="I1" s="6" t="inlineStr">
        <is>
          <t>pe_forward</t>
        </is>
      </c>
      <c r="J1" s="6" t="inlineStr">
        <is>
          <t>ev_ebitda</t>
        </is>
      </c>
      <c r="K1" s="6" t="inlineStr">
        <is>
          <t>revenue_mm</t>
        </is>
      </c>
      <c r="L1" s="6" t="inlineStr">
        <is>
          <t>op_margin</t>
        </is>
      </c>
      <c r="M1" s="6" t="inlineStr">
        <is>
          <t>profit_margin</t>
        </is>
      </c>
      <c r="N1" s="6" t="inlineStr">
        <is>
          <t>rev_growth</t>
        </is>
      </c>
      <c r="O1" s="6" t="inlineStr">
        <is>
          <t>fcf_mm</t>
        </is>
      </c>
      <c r="P1" s="6" t="inlineStr">
        <is>
          <t>net_debt_mm</t>
        </is>
      </c>
      <c r="Q1" s="6" t="inlineStr">
        <is>
          <t>beta_raw</t>
        </is>
      </c>
      <c r="R1" s="6" t="inlineStr">
        <is>
          <t>wacc</t>
        </is>
      </c>
      <c r="S1" s="6" t="inlineStr">
        <is>
          <t>cost_of_equity</t>
        </is>
      </c>
      <c r="T1" s="6" t="inlineStr">
        <is>
          <t>beta_relevered</t>
        </is>
      </c>
      <c r="U1" s="6" t="inlineStr">
        <is>
          <t>beta_unlevered</t>
        </is>
      </c>
      <c r="V1" s="6" t="inlineStr">
        <is>
          <t>size_premium</t>
        </is>
      </c>
      <c r="W1" s="6" t="inlineStr">
        <is>
          <t>equity_weight</t>
        </is>
      </c>
      <c r="X1" s="6" t="inlineStr">
        <is>
          <t>peers_used</t>
        </is>
      </c>
      <c r="Y1" s="6" t="inlineStr">
        <is>
          <t>iv_bear</t>
        </is>
      </c>
      <c r="Z1" s="6" t="inlineStr">
        <is>
          <t>iv_base</t>
        </is>
      </c>
      <c r="AA1" s="6" t="inlineStr">
        <is>
          <t>iv_bull</t>
        </is>
      </c>
      <c r="AB1" s="6" t="inlineStr">
        <is>
          <t>upside_base_pct</t>
        </is>
      </c>
      <c r="AC1" s="6" t="inlineStr">
        <is>
          <t>upside_bear_pct</t>
        </is>
      </c>
      <c r="AD1" s="6" t="inlineStr">
        <is>
          <t>upside_bull_pct</t>
        </is>
      </c>
      <c r="AE1" s="6" t="inlineStr">
        <is>
          <t>margin_of_safety</t>
        </is>
      </c>
      <c r="AF1" s="6" t="inlineStr">
        <is>
          <t>growth_near</t>
        </is>
      </c>
      <c r="AG1" s="6" t="inlineStr">
        <is>
          <t>growth_mid</t>
        </is>
      </c>
      <c r="AH1" s="6" t="inlineStr">
        <is>
          <t>ebit_margin_used</t>
        </is>
      </c>
      <c r="AI1" s="6" t="inlineStr">
        <is>
          <t>exit_multiple_used</t>
        </is>
      </c>
      <c r="AJ1" s="6" t="inlineStr">
        <is>
          <t>tv_pct_of_ev</t>
        </is>
      </c>
      <c r="AK1" s="6" t="inlineStr">
        <is>
          <t>analyst_target</t>
        </is>
      </c>
      <c r="AL1" s="6" t="inlineStr">
        <is>
          <t>analyst_recommendation</t>
        </is>
      </c>
      <c r="AM1" s="6" t="inlineStr">
        <is>
          <t>num_analysts</t>
        </is>
      </c>
    </row>
    <row r="2">
      <c r="A2" s="7" t="inlineStr">
        <is>
          <t>← Power Query loads data here. Data → Refresh All to update.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2" customWidth="1" min="5" max="5"/>
    <col width="16" customWidth="1" min="6" max="6"/>
    <col width="40" customWidth="1" min="7" max="7"/>
  </cols>
  <sheetData>
    <row r="1" ht="30" customHeight="1">
      <c r="A1" s="8" t="inlineStr">
        <is>
          <t>Ticker</t>
        </is>
      </c>
      <c r="B1" s="8" t="inlineStr">
        <is>
          <t>growth_near (%)</t>
        </is>
      </c>
      <c r="C1" s="8" t="inlineStr">
        <is>
          <t>growth_mid (%)</t>
        </is>
      </c>
      <c r="D1" s="8" t="inlineStr">
        <is>
          <t>ebit_margin (%)</t>
        </is>
      </c>
      <c r="E1" s="8" t="inlineStr">
        <is>
          <t>wacc (%)</t>
        </is>
      </c>
      <c r="F1" s="8" t="inlineStr">
        <is>
          <t>exit_multiple (x)</t>
        </is>
      </c>
      <c r="G1" s="8" t="inlineStr">
        <is>
          <t>Reason</t>
        </is>
      </c>
    </row>
    <row r="2">
      <c r="A2" s="9" t="inlineStr">
        <is>
          <t>HALO</t>
        </is>
      </c>
      <c r="B2" s="9" t="n">
        <v>12</v>
      </c>
      <c r="C2" s="9" t="n">
        <v>8</v>
      </c>
      <c r="D2" s="9" t="n"/>
      <c r="E2" s="9" t="n"/>
      <c r="F2" s="9" t="n"/>
      <c r="G2" s="9" t="inlineStr">
        <is>
          <t>Cap growth — drug patent cliff in 2030</t>
        </is>
      </c>
    </row>
    <row r="3">
      <c r="A3" s="9" t="inlineStr">
        <is>
          <t>LYFT</t>
        </is>
      </c>
      <c r="B3" s="9" t="n"/>
      <c r="C3" s="9" t="n"/>
      <c r="D3" s="9" t="n"/>
      <c r="E3" s="9" t="n"/>
      <c r="F3" s="9" t="n">
        <v>25</v>
      </c>
      <c r="G3" s="9" t="inlineStr">
        <is>
          <t>SaaS-like unit economics justify higher multiple</t>
        </is>
      </c>
    </row>
    <row r="4">
      <c r="A4" s="9" t="inlineStr"/>
      <c r="B4" s="9" t="n"/>
      <c r="C4" s="9" t="n"/>
      <c r="D4" s="9" t="n"/>
      <c r="E4" s="9" t="n"/>
      <c r="F4" s="9" t="n"/>
      <c r="G4" s="9" t="inlineStr"/>
    </row>
    <row r="5">
      <c r="A5" s="10" t="n"/>
      <c r="B5" s="10" t="n"/>
      <c r="C5" s="10" t="n"/>
      <c r="D5" s="10" t="n"/>
      <c r="E5" s="10" t="n"/>
      <c r="F5" s="10" t="n"/>
      <c r="G5" s="10" t="n"/>
    </row>
    <row r="6">
      <c r="A6" s="10" t="n"/>
      <c r="B6" s="10" t="n"/>
      <c r="C6" s="10" t="n"/>
      <c r="D6" s="10" t="n"/>
      <c r="E6" s="10" t="n"/>
      <c r="F6" s="10" t="n"/>
      <c r="G6" s="10" t="n"/>
    </row>
    <row r="7">
      <c r="A7" s="10" t="n"/>
      <c r="B7" s="10" t="n"/>
      <c r="C7" s="10" t="n"/>
      <c r="D7" s="10" t="n"/>
      <c r="E7" s="10" t="n"/>
      <c r="F7" s="10" t="n"/>
      <c r="G7" s="10" t="n"/>
    </row>
    <row r="8">
      <c r="A8" s="10" t="n"/>
      <c r="B8" s="10" t="n"/>
      <c r="C8" s="10" t="n"/>
      <c r="D8" s="10" t="n"/>
      <c r="E8" s="10" t="n"/>
      <c r="F8" s="10" t="n"/>
      <c r="G8" s="10" t="n"/>
    </row>
    <row r="9">
      <c r="A9" s="10" t="n"/>
      <c r="B9" s="10" t="n"/>
      <c r="C9" s="10" t="n"/>
      <c r="D9" s="10" t="n"/>
      <c r="E9" s="10" t="n"/>
      <c r="F9" s="10" t="n"/>
      <c r="G9" s="10" t="n"/>
    </row>
    <row r="10">
      <c r="A10" s="10" t="n"/>
      <c r="B10" s="10" t="n"/>
      <c r="C10" s="10" t="n"/>
      <c r="D10" s="10" t="n"/>
      <c r="E10" s="10" t="n"/>
      <c r="F10" s="10" t="n"/>
      <c r="G10" s="10" t="n"/>
    </row>
    <row r="11">
      <c r="A11" s="10" t="n"/>
      <c r="B11" s="10" t="n"/>
      <c r="C11" s="10" t="n"/>
      <c r="D11" s="10" t="n"/>
      <c r="E11" s="10" t="n"/>
      <c r="F11" s="10" t="n"/>
      <c r="G11" s="10" t="n"/>
    </row>
    <row r="12">
      <c r="A12" s="10" t="n"/>
      <c r="B12" s="10" t="n"/>
      <c r="C12" s="10" t="n"/>
      <c r="D12" s="10" t="n"/>
      <c r="E12" s="10" t="n"/>
      <c r="F12" s="10" t="n"/>
      <c r="G12" s="10" t="n"/>
    </row>
    <row r="13">
      <c r="A13" s="10" t="n"/>
      <c r="B13" s="10" t="n"/>
      <c r="C13" s="10" t="n"/>
      <c r="D13" s="10" t="n"/>
      <c r="E13" s="10" t="n"/>
      <c r="F13" s="10" t="n"/>
      <c r="G13" s="10" t="n"/>
    </row>
    <row r="14">
      <c r="A14" s="10" t="n"/>
      <c r="B14" s="10" t="n"/>
      <c r="C14" s="10" t="n"/>
      <c r="D14" s="10" t="n"/>
      <c r="E14" s="10" t="n"/>
      <c r="F14" s="10" t="n"/>
      <c r="G14" s="10" t="n"/>
    </row>
    <row r="15">
      <c r="A15" s="10" t="n"/>
      <c r="B15" s="10" t="n"/>
      <c r="C15" s="10" t="n"/>
      <c r="D15" s="10" t="n"/>
      <c r="E15" s="10" t="n"/>
      <c r="F15" s="10" t="n"/>
      <c r="G15" s="10" t="n"/>
    </row>
    <row r="16">
      <c r="A16" s="10" t="n"/>
      <c r="B16" s="10" t="n"/>
      <c r="C16" s="10" t="n"/>
      <c r="D16" s="10" t="n"/>
      <c r="E16" s="10" t="n"/>
      <c r="F16" s="10" t="n"/>
      <c r="G16" s="10" t="n"/>
    </row>
    <row r="17">
      <c r="A17" s="10" t="n"/>
      <c r="B17" s="10" t="n"/>
      <c r="C17" s="10" t="n"/>
      <c r="D17" s="10" t="n"/>
      <c r="E17" s="10" t="n"/>
      <c r="F17" s="10" t="n"/>
      <c r="G17" s="10" t="n"/>
    </row>
    <row r="18">
      <c r="A18" s="10" t="n"/>
      <c r="B18" s="10" t="n"/>
      <c r="C18" s="10" t="n"/>
      <c r="D18" s="10" t="n"/>
      <c r="E18" s="10" t="n"/>
      <c r="F18" s="10" t="n"/>
      <c r="G18" s="10" t="n"/>
    </row>
    <row r="19">
      <c r="A19" s="10" t="n"/>
      <c r="B19" s="10" t="n"/>
      <c r="C19" s="10" t="n"/>
      <c r="D19" s="10" t="n"/>
      <c r="E19" s="10" t="n"/>
      <c r="F19" s="10" t="n"/>
      <c r="G19" s="10" t="n"/>
    </row>
    <row r="20">
      <c r="A20" s="10" t="n"/>
      <c r="B20" s="10" t="n"/>
      <c r="C20" s="10" t="n"/>
      <c r="D20" s="10" t="n"/>
      <c r="E20" s="10" t="n"/>
      <c r="F20" s="10" t="n"/>
      <c r="G20" s="10" t="n"/>
    </row>
    <row r="21">
      <c r="A21" s="10" t="n"/>
      <c r="B21" s="10" t="n"/>
      <c r="C21" s="10" t="n"/>
      <c r="D21" s="10" t="n"/>
      <c r="E21" s="10" t="n"/>
      <c r="F21" s="10" t="n"/>
      <c r="G21" s="10" t="n"/>
    </row>
    <row r="22">
      <c r="A22" s="10" t="n"/>
      <c r="B22" s="10" t="n"/>
      <c r="C22" s="10" t="n"/>
      <c r="D22" s="10" t="n"/>
      <c r="E22" s="10" t="n"/>
      <c r="F22" s="10" t="n"/>
      <c r="G22" s="10" t="n"/>
    </row>
    <row r="23">
      <c r="A23" s="10" t="n"/>
      <c r="B23" s="10" t="n"/>
      <c r="C23" s="10" t="n"/>
      <c r="D23" s="10" t="n"/>
      <c r="E23" s="10" t="n"/>
      <c r="F23" s="10" t="n"/>
      <c r="G23" s="10" t="n"/>
    </row>
    <row r="24">
      <c r="A24" s="10" t="n"/>
      <c r="B24" s="10" t="n"/>
      <c r="C24" s="10" t="n"/>
      <c r="D24" s="10" t="n"/>
      <c r="E24" s="10" t="n"/>
      <c r="F24" s="10" t="n"/>
      <c r="G24" s="10" t="n"/>
    </row>
    <row r="25">
      <c r="A25" s="10" t="n"/>
      <c r="B25" s="10" t="n"/>
      <c r="C25" s="10" t="n"/>
      <c r="D25" s="10" t="n"/>
      <c r="E25" s="10" t="n"/>
      <c r="F25" s="10" t="n"/>
      <c r="G25" s="10" t="n"/>
    </row>
    <row r="26">
      <c r="A26" s="10" t="n"/>
      <c r="B26" s="10" t="n"/>
      <c r="C26" s="10" t="n"/>
      <c r="D26" s="10" t="n"/>
      <c r="E26" s="10" t="n"/>
      <c r="F26" s="10" t="n"/>
      <c r="G26" s="10" t="n"/>
    </row>
    <row r="27">
      <c r="A27" s="10" t="n"/>
      <c r="B27" s="10" t="n"/>
      <c r="C27" s="10" t="n"/>
      <c r="D27" s="10" t="n"/>
      <c r="E27" s="10" t="n"/>
      <c r="F27" s="10" t="n"/>
      <c r="G27" s="10" t="n"/>
    </row>
    <row r="28">
      <c r="A28" s="10" t="n"/>
      <c r="B28" s="10" t="n"/>
      <c r="C28" s="10" t="n"/>
      <c r="D28" s="10" t="n"/>
      <c r="E28" s="10" t="n"/>
      <c r="F28" s="10" t="n"/>
      <c r="G28" s="10" t="n"/>
    </row>
    <row r="29">
      <c r="A29" s="10" t="n"/>
      <c r="B29" s="10" t="n"/>
      <c r="C29" s="10" t="n"/>
      <c r="D29" s="10" t="n"/>
      <c r="E29" s="10" t="n"/>
      <c r="F29" s="10" t="n"/>
      <c r="G29" s="10" t="n"/>
    </row>
    <row r="30">
      <c r="A30" s="10" t="n"/>
      <c r="B30" s="10" t="n"/>
      <c r="C30" s="10" t="n"/>
      <c r="D30" s="10" t="n"/>
      <c r="E30" s="10" t="n"/>
      <c r="F30" s="10" t="n"/>
      <c r="G30" s="10" t="n"/>
    </row>
    <row r="31">
      <c r="A31" s="10" t="n"/>
      <c r="B31" s="10" t="n"/>
      <c r="C31" s="10" t="n"/>
      <c r="D31" s="10" t="n"/>
      <c r="E31" s="10" t="n"/>
      <c r="F31" s="10" t="n"/>
      <c r="G31" s="10" t="n"/>
    </row>
    <row r="32">
      <c r="A32" s="10" t="n"/>
      <c r="B32" s="10" t="n"/>
      <c r="C32" s="10" t="n"/>
      <c r="D32" s="10" t="n"/>
      <c r="E32" s="10" t="n"/>
      <c r="F32" s="10" t="n"/>
      <c r="G32" s="10" t="n"/>
    </row>
    <row r="33">
      <c r="A33" s="10" t="n"/>
      <c r="B33" s="10" t="n"/>
      <c r="C33" s="10" t="n"/>
      <c r="D33" s="10" t="n"/>
      <c r="E33" s="10" t="n"/>
      <c r="F33" s="10" t="n"/>
      <c r="G33" s="10" t="n"/>
    </row>
    <row r="34">
      <c r="A34" s="10" t="n"/>
      <c r="B34" s="10" t="n"/>
      <c r="C34" s="10" t="n"/>
      <c r="D34" s="10" t="n"/>
      <c r="E34" s="10" t="n"/>
      <c r="F34" s="10" t="n"/>
      <c r="G34" s="10" t="n"/>
    </row>
    <row r="35">
      <c r="A35" s="10" t="n"/>
      <c r="B35" s="10" t="n"/>
      <c r="C35" s="10" t="n"/>
      <c r="D35" s="10" t="n"/>
      <c r="E35" s="10" t="n"/>
      <c r="F35" s="10" t="n"/>
      <c r="G35" s="10" t="n"/>
    </row>
    <row r="36">
      <c r="A36" s="10" t="n"/>
      <c r="B36" s="10" t="n"/>
      <c r="C36" s="10" t="n"/>
      <c r="D36" s="10" t="n"/>
      <c r="E36" s="10" t="n"/>
      <c r="F36" s="10" t="n"/>
      <c r="G36" s="10" t="n"/>
    </row>
    <row r="37">
      <c r="A37" s="10" t="n"/>
      <c r="B37" s="10" t="n"/>
      <c r="C37" s="10" t="n"/>
      <c r="D37" s="10" t="n"/>
      <c r="E37" s="10" t="n"/>
      <c r="F37" s="10" t="n"/>
      <c r="G37" s="10" t="n"/>
    </row>
    <row r="38">
      <c r="A38" s="10" t="n"/>
      <c r="B38" s="10" t="n"/>
      <c r="C38" s="10" t="n"/>
      <c r="D38" s="10" t="n"/>
      <c r="E38" s="10" t="n"/>
      <c r="F38" s="10" t="n"/>
      <c r="G38" s="10" t="n"/>
    </row>
    <row r="39">
      <c r="A39" s="10" t="n"/>
      <c r="B39" s="10" t="n"/>
      <c r="C39" s="10" t="n"/>
      <c r="D39" s="10" t="n"/>
      <c r="E39" s="10" t="n"/>
      <c r="F39" s="10" t="n"/>
      <c r="G39" s="10" t="n"/>
    </row>
    <row r="40">
      <c r="A40" s="10" t="n"/>
      <c r="B40" s="10" t="n"/>
      <c r="C40" s="10" t="n"/>
      <c r="D40" s="10" t="n"/>
      <c r="E40" s="10" t="n"/>
      <c r="F40" s="10" t="n"/>
      <c r="G40" s="10" t="n"/>
    </row>
    <row r="41">
      <c r="A41" s="10" t="n"/>
      <c r="B41" s="10" t="n"/>
      <c r="C41" s="10" t="n"/>
      <c r="D41" s="10" t="n"/>
      <c r="E41" s="10" t="n"/>
      <c r="F41" s="10" t="n"/>
      <c r="G41" s="10" t="n"/>
    </row>
    <row r="42">
      <c r="A42" s="10" t="n"/>
      <c r="B42" s="10" t="n"/>
      <c r="C42" s="10" t="n"/>
      <c r="D42" s="10" t="n"/>
      <c r="E42" s="10" t="n"/>
      <c r="F42" s="10" t="n"/>
      <c r="G42" s="10" t="n"/>
    </row>
    <row r="43">
      <c r="A43" s="10" t="n"/>
      <c r="B43" s="10" t="n"/>
      <c r="C43" s="10" t="n"/>
      <c r="D43" s="10" t="n"/>
      <c r="E43" s="10" t="n"/>
      <c r="F43" s="10" t="n"/>
      <c r="G43" s="10" t="n"/>
    </row>
    <row r="44">
      <c r="A44" s="10" t="n"/>
      <c r="B44" s="10" t="n"/>
      <c r="C44" s="10" t="n"/>
      <c r="D44" s="10" t="n"/>
      <c r="E44" s="10" t="n"/>
      <c r="F44" s="10" t="n"/>
      <c r="G44" s="10" t="n"/>
    </row>
    <row r="45">
      <c r="A45" s="10" t="n"/>
      <c r="B45" s="10" t="n"/>
      <c r="C45" s="10" t="n"/>
      <c r="D45" s="10" t="n"/>
      <c r="E45" s="10" t="n"/>
      <c r="F45" s="10" t="n"/>
      <c r="G45" s="10" t="n"/>
    </row>
    <row r="46">
      <c r="A46" s="10" t="n"/>
      <c r="B46" s="10" t="n"/>
      <c r="C46" s="10" t="n"/>
      <c r="D46" s="10" t="n"/>
      <c r="E46" s="10" t="n"/>
      <c r="F46" s="10" t="n"/>
      <c r="G46" s="10" t="n"/>
    </row>
    <row r="47">
      <c r="A47" s="10" t="n"/>
      <c r="B47" s="10" t="n"/>
      <c r="C47" s="10" t="n"/>
      <c r="D47" s="10" t="n"/>
      <c r="E47" s="10" t="n"/>
      <c r="F47" s="10" t="n"/>
      <c r="G47" s="10" t="n"/>
    </row>
    <row r="48">
      <c r="A48" s="10" t="n"/>
      <c r="B48" s="10" t="n"/>
      <c r="C48" s="10" t="n"/>
      <c r="D48" s="10" t="n"/>
      <c r="E48" s="10" t="n"/>
      <c r="F48" s="10" t="n"/>
      <c r="G48" s="10" t="n"/>
    </row>
    <row r="49">
      <c r="A49" s="10" t="n"/>
      <c r="B49" s="10" t="n"/>
      <c r="C49" s="10" t="n"/>
      <c r="D49" s="10" t="n"/>
      <c r="E49" s="10" t="n"/>
      <c r="F49" s="10" t="n"/>
      <c r="G49" s="1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B050"/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8" customWidth="1" min="3" max="3"/>
    <col width="10" customWidth="1" min="4" max="4"/>
    <col width="14" customWidth="1" min="5" max="5"/>
    <col width="14" customWidth="1" min="6" max="6"/>
    <col width="14" customWidth="1" min="7" max="7"/>
    <col width="10" customWidth="1" min="8" max="8"/>
    <col width="14" customWidth="1" min="9" max="9"/>
    <col width="10" customWidth="1" min="10" max="10"/>
    <col width="10" customWidth="1" min="11" max="11"/>
    <col width="10" customWidth="1" min="12" max="12"/>
    <col width="14" customWidth="1" min="13" max="13"/>
    <col width="16" customWidth="1" min="14" max="14"/>
    <col width="10" customWidth="1" min="15" max="15"/>
  </cols>
  <sheetData>
    <row r="1" ht="30" customHeight="1">
      <c r="A1" s="11" t="inlineStr">
        <is>
          <t>Ticker</t>
        </is>
      </c>
      <c r="B1" s="11" t="inlineStr">
        <is>
          <t>Company</t>
        </is>
      </c>
      <c r="C1" s="11" t="inlineStr">
        <is>
          <t>Sector</t>
        </is>
      </c>
      <c r="D1" s="11" t="inlineStr">
        <is>
          <t>Price</t>
        </is>
      </c>
      <c r="E1" s="11" t="inlineStr">
        <is>
          <t>Growth Near (%)</t>
        </is>
      </c>
      <c r="F1" s="11" t="inlineStr">
        <is>
          <t>Growth Mid (%)</t>
        </is>
      </c>
      <c r="G1" s="11" t="inlineStr">
        <is>
          <t>EBIT Margin (%)</t>
        </is>
      </c>
      <c r="H1" s="11" t="inlineStr">
        <is>
          <t>WACC (%)</t>
        </is>
      </c>
      <c r="I1" s="11" t="inlineStr">
        <is>
          <t>Exit Multiple (x)</t>
        </is>
      </c>
      <c r="J1" s="11" t="inlineStr">
        <is>
          <t>IV Bear</t>
        </is>
      </c>
      <c r="K1" s="11" t="inlineStr">
        <is>
          <t>IV Base</t>
        </is>
      </c>
      <c r="L1" s="11" t="inlineStr">
        <is>
          <t>IV Bull</t>
        </is>
      </c>
      <c r="M1" s="11" t="inlineStr">
        <is>
          <t>Upside Base (%)</t>
        </is>
      </c>
      <c r="N1" s="11" t="inlineStr">
        <is>
          <t>Margin of Safety (%)</t>
        </is>
      </c>
      <c r="O1" s="11" t="inlineStr">
        <is>
          <t>Source</t>
        </is>
      </c>
    </row>
    <row r="2">
      <c r="A2" s="12">
        <f>Data!A2</f>
        <v/>
      </c>
      <c r="B2" s="12">
        <f>Data!B2</f>
        <v/>
      </c>
      <c r="C2" s="12">
        <f>Data!C2</f>
        <v/>
      </c>
      <c r="D2" s="12">
        <f>Data!E2</f>
        <v/>
      </c>
      <c r="E2" s="12">
        <f>IFERROR(VLOOKUP(A2,Overrides!A:G,2,0), Data!AF2)</f>
        <v/>
      </c>
      <c r="F2" s="12">
        <f>IFERROR(VLOOKUP(A2,Overrides!A:G,3,0), Data!AG2)</f>
        <v/>
      </c>
      <c r="G2" s="12">
        <f>IFERROR(VLOOKUP(A2,Overrides!A:G,4,0), Data!AH2)</f>
        <v/>
      </c>
      <c r="H2" s="12">
        <f>IFERROR(VLOOKUP(A2,Overrides!A:G,5,0), Data!R2)</f>
        <v/>
      </c>
      <c r="I2" s="12">
        <f>IFERROR(VLOOKUP(A2,Overrides!A:G,6,0), Data!AI2)</f>
        <v/>
      </c>
      <c r="J2" s="12">
        <f>Data!Y2</f>
        <v/>
      </c>
      <c r="K2" s="12">
        <f>Data!Z2</f>
        <v/>
      </c>
      <c r="L2" s="12">
        <f>Data!AA2</f>
        <v/>
      </c>
      <c r="M2" s="12">
        <f>Data!AB2</f>
        <v/>
      </c>
      <c r="N2" s="12">
        <f>Data!AE2</f>
        <v/>
      </c>
      <c r="O2" s="12">
        <f>IF(ISNA(VLOOKUP(A2,Overrides!A:G,2,0)),"Default","Override")</f>
        <v/>
      </c>
    </row>
    <row r="3">
      <c r="A3" s="7" t="inlineStr">
        <is>
          <t>← Fill formulas referencing Data + Overrides sheets</t>
        </is>
      </c>
    </row>
    <row r="4">
      <c r="A4" s="13" t="inlineStr">
        <is>
          <t>FORMULA GUIDE: Row 2 has template formulas. After Power Query loads data into the Data sheet, adjust column references to match, then copy row 2 down for all tickers.</t>
        </is>
      </c>
    </row>
  </sheetData>
  <mergeCells count="1">
    <mergeCell ref="A4:O4"/>
  </mergeCells>
  <conditionalFormatting sqref="O2:O500">
    <cfRule type="cellIs" priority="1" operator="equal" dxfId="0">
      <formula>"Override"</formula>
    </cfRule>
  </conditionalFormatting>
  <conditionalFormatting sqref="M2:M500">
    <cfRule type="cellIs" priority="2" operator="greaterThan" dxfId="1">
      <formula>20</formula>
    </cfRule>
    <cfRule type="cellIs" priority="3" operator="lessThan" dxfId="2">
      <formula>-20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2026-03-06T16:07:28Z</dcterms:created>
  <dcterms:modified xmlns:dcterms="http://purl.org/dc/terms/" xmlns:xsi="http://www.w3.org/2001/XMLSchema-instance" xsi:type="dcterms:W3CDTF">2026-03-06T16:07:28Z</dcterms:modified>
</cp:coreProperties>
</file>