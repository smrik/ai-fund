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03-Finance\ai-fund\templates\"/>
    </mc:Choice>
  </mc:AlternateContent>
  <xr:revisionPtr revIDLastSave="0" documentId="13_ncr:1_{1C397B75-0363-4F75-8331-B88A69BFBC05}" xr6:coauthVersionLast="47" xr6:coauthVersionMax="47" xr10:uidLastSave="{00000000-0000-0000-0000-000000000000}"/>
  <bookViews>
    <workbookView xWindow="-30960" yWindow="2460" windowWidth="28800" windowHeight="15345" firstSheet="5" activeTab="9" autoFilterDateGrouping="0" xr2:uid="{00000000-000D-0000-FFFF-FFFF00000000}"/>
    <workbookView xWindow="-120" yWindow="-120" windowWidth="38640" windowHeight="21120" activeTab="11" xr2:uid="{D8A12887-04E6-4A63-B45F-C674FBC93FC0}"/>
  </bookViews>
  <sheets>
    <sheet name="Cover" sheetId="2" r:id="rId1"/>
    <sheet name="Assumptions" sheetId="3" r:id="rId2"/>
    <sheet name="DCF_Base" sheetId="4" r:id="rId3"/>
    <sheet name="DCF_Bear" sheetId="5" r:id="rId4"/>
    <sheet name="DCF_Bull" sheetId="6" r:id="rId5"/>
    <sheet name="Equity_Bridge" sheetId="7" r:id="rId6"/>
    <sheet name="Comps" sheetId="8" r:id="rId7"/>
    <sheet name="Sensitivity" sheetId="9" r:id="rId8"/>
    <sheet name="QoE" sheetId="10" r:id="rId9"/>
    <sheet name="Output" sheetId="11" r:id="rId10"/>
    <sheet name="Config" sheetId="1" r:id="rId11"/>
    <sheet name="_Data" sheetId="18" r:id="rId12"/>
  </sheets>
  <definedNames>
    <definedName name="as_of_date">Cover!$C$8</definedName>
    <definedName name="ExternalData_3" localSheetId="11" hidden="1">_Data!$A$1:$B$27</definedName>
    <definedName name="ExternalData_4" localSheetId="11" hidden="1">_Data!$A$29:$B$38</definedName>
    <definedName name="ExternalData_5" localSheetId="11" hidden="1">_Data!$A$40:$C$44</definedName>
    <definedName name="ExternalData_6" localSheetId="11" hidden="1">_Data!$A$46:$B$54</definedName>
    <definedName name="ExternalData_7" localSheetId="11" hidden="1">_Data!$A$56:$J$64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  <definedName name="Ticker">Cover!$B$2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ickerJSON_86a02458-f85e-4ece-bfe4-1a117851fe57" name="TickerJSON" connection="Query - TickerJSON"/>
          <x15:modelTable id="Value_c3a883f4-400d-4e7d-9039-fcefa9b90be6" name="Value" connection="Query - Value"/>
          <x15:modelTable id="Value  2_7418ba99-db93-44e4-91a3-d51260e58d4f" name="Value  2" connection="Query - Valu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1" l="1"/>
  <c r="C8" i="2"/>
  <c r="A1" i="10"/>
  <c r="A1" i="9"/>
  <c r="A1" i="8"/>
  <c r="A1" i="7"/>
  <c r="A1" i="6"/>
  <c r="A1" i="5"/>
  <c r="A1" i="4"/>
  <c r="B2" i="2"/>
  <c r="C7" i="2"/>
  <c r="B5" i="2"/>
  <c r="B3" i="11"/>
  <c r="B4" i="11"/>
  <c r="B5" i="11"/>
  <c r="B6" i="11"/>
  <c r="B7" i="11"/>
  <c r="B8" i="11"/>
  <c r="B9" i="11"/>
  <c r="B10" i="11"/>
  <c r="B22" i="11"/>
  <c r="J12" i="8"/>
  <c r="K12" i="8"/>
  <c r="L12" i="8"/>
  <c r="M12" i="8"/>
  <c r="B10" i="7"/>
  <c r="C10" i="7"/>
  <c r="D10" i="7"/>
  <c r="D12" i="7"/>
  <c r="C15" i="7"/>
  <c r="D15" i="7"/>
  <c r="B19" i="7"/>
  <c r="C19" i="7"/>
  <c r="D19" i="7"/>
  <c r="E35" i="6"/>
  <c r="F35" i="6"/>
  <c r="G35" i="6"/>
  <c r="K35" i="6"/>
  <c r="B39" i="6"/>
  <c r="C35" i="5"/>
  <c r="D35" i="5"/>
  <c r="G35" i="5"/>
  <c r="H35" i="5"/>
  <c r="L35" i="5"/>
  <c r="M35" i="5"/>
  <c r="B39" i="5"/>
  <c r="D28" i="4"/>
  <c r="E28" i="4"/>
  <c r="I28" i="4"/>
  <c r="J28" i="4"/>
  <c r="K28" i="4"/>
  <c r="L28" i="4"/>
  <c r="M28" i="4"/>
  <c r="B32" i="4"/>
  <c r="B3" i="3"/>
  <c r="D3" i="3" s="1"/>
  <c r="B4" i="3"/>
  <c r="D4" i="3" s="1"/>
  <c r="B5" i="3"/>
  <c r="D5" i="3" s="1"/>
  <c r="B6" i="3"/>
  <c r="D6" i="3" s="1"/>
  <c r="B8" i="3"/>
  <c r="D8" i="3" s="1"/>
  <c r="B9" i="3"/>
  <c r="D9" i="3"/>
  <c r="M7" i="4" s="1"/>
  <c r="B11" i="3"/>
  <c r="D11" i="3" s="1"/>
  <c r="H20" i="5" s="1"/>
  <c r="B12" i="3"/>
  <c r="D12" i="3" s="1"/>
  <c r="H15" i="4" s="1"/>
  <c r="B14" i="3"/>
  <c r="D14" i="3" s="1"/>
  <c r="B15" i="3"/>
  <c r="D15" i="3" s="1"/>
  <c r="M17" i="6" s="1"/>
  <c r="B17" i="3"/>
  <c r="D17" i="3" s="1"/>
  <c r="B25" i="5" s="1"/>
  <c r="B18" i="3"/>
  <c r="D18" i="3" s="1"/>
  <c r="I18" i="4" s="1"/>
  <c r="B19" i="3"/>
  <c r="D19" i="3" s="1"/>
  <c r="B20" i="3"/>
  <c r="D20" i="3" s="1"/>
  <c r="B21" i="3"/>
  <c r="D21" i="3" s="1"/>
  <c r="B27" i="5" s="1"/>
  <c r="B22" i="3"/>
  <c r="D22" i="3" s="1"/>
  <c r="B24" i="3"/>
  <c r="D24" i="3" s="1"/>
  <c r="B25" i="3"/>
  <c r="D25" i="3" s="1"/>
  <c r="D27" i="3"/>
  <c r="D28" i="3"/>
  <c r="B29" i="3"/>
  <c r="D29" i="3" s="1"/>
  <c r="B25" i="11" s="1"/>
  <c r="B30" i="3"/>
  <c r="D30" i="3" s="1"/>
  <c r="B31" i="3"/>
  <c r="D32" i="3"/>
  <c r="E33" i="3"/>
  <c r="B35" i="3"/>
  <c r="D35" i="3" s="1"/>
  <c r="B26" i="11" s="1"/>
  <c r="B36" i="3"/>
  <c r="D36" i="3" s="1"/>
  <c r="D37" i="3"/>
  <c r="H35" i="6" s="1"/>
  <c r="B39" i="3"/>
  <c r="D39" i="3" s="1"/>
  <c r="B40" i="3"/>
  <c r="D40" i="3" s="1"/>
  <c r="D41" i="3"/>
  <c r="B42" i="3"/>
  <c r="D42" i="3" s="1"/>
  <c r="C7" i="7" s="1"/>
  <c r="D43" i="3"/>
  <c r="D44" i="3"/>
  <c r="D45" i="3"/>
  <c r="D46" i="3"/>
  <c r="D13" i="7" s="1"/>
  <c r="D47" i="3"/>
  <c r="D14" i="7" s="1"/>
  <c r="D48" i="3"/>
  <c r="B15" i="7" s="1"/>
  <c r="B50" i="3"/>
  <c r="D50" i="3" s="1"/>
  <c r="B17" i="11" s="1"/>
  <c r="B51" i="3"/>
  <c r="D51" i="3" s="1"/>
  <c r="C17" i="11" s="1"/>
  <c r="B52" i="3"/>
  <c r="D52" i="3"/>
  <c r="D17" i="11" s="1"/>
  <c r="C9" i="2"/>
  <c r="C10" i="2"/>
  <c r="C11" i="2"/>
  <c r="D7" i="7" l="1"/>
  <c r="L14" i="5"/>
  <c r="K20" i="4"/>
  <c r="H22" i="6"/>
  <c r="K14" i="5"/>
  <c r="E14" i="5"/>
  <c r="G22" i="6"/>
  <c r="L22" i="5"/>
  <c r="J14" i="5"/>
  <c r="L7" i="4"/>
  <c r="F22" i="6"/>
  <c r="I7" i="4"/>
  <c r="H7" i="4"/>
  <c r="L10" i="4"/>
  <c r="C17" i="6"/>
  <c r="C17" i="5"/>
  <c r="D33" i="3"/>
  <c r="D34" i="3" s="1"/>
  <c r="B24" i="11" s="1"/>
  <c r="F17" i="5"/>
  <c r="I17" i="6"/>
  <c r="K10" i="4"/>
  <c r="C9" i="7"/>
  <c r="D9" i="7"/>
  <c r="B9" i="7"/>
  <c r="M14" i="6"/>
  <c r="K27" i="5"/>
  <c r="H14" i="6"/>
  <c r="J7" i="4"/>
  <c r="D14" i="6"/>
  <c r="C14" i="6"/>
  <c r="E20" i="4"/>
  <c r="E22" i="5"/>
  <c r="L27" i="5"/>
  <c r="C20" i="4"/>
  <c r="G7" i="4"/>
  <c r="D53" i="3"/>
  <c r="M10" i="4"/>
  <c r="M14" i="5"/>
  <c r="B11" i="6"/>
  <c r="B16" i="8"/>
  <c r="C16" i="8" s="1"/>
  <c r="D16" i="8" s="1"/>
  <c r="E16" i="8" s="1"/>
  <c r="B11" i="5"/>
  <c r="B4" i="4"/>
  <c r="B17" i="8"/>
  <c r="C17" i="8" s="1"/>
  <c r="D17" i="8" s="1"/>
  <c r="E17" i="8" s="1"/>
  <c r="D17" i="7"/>
  <c r="B17" i="7"/>
  <c r="C17" i="7"/>
  <c r="L19" i="4"/>
  <c r="B26" i="6"/>
  <c r="C26" i="6"/>
  <c r="G26" i="6"/>
  <c r="D26" i="5"/>
  <c r="H26" i="6"/>
  <c r="E26" i="5"/>
  <c r="B19" i="4"/>
  <c r="I26" i="6"/>
  <c r="K26" i="6"/>
  <c r="H26" i="5"/>
  <c r="E19" i="4"/>
  <c r="J26" i="5"/>
  <c r="G19" i="4"/>
  <c r="K26" i="5"/>
  <c r="H19" i="4"/>
  <c r="L26" i="6"/>
  <c r="I26" i="5"/>
  <c r="F19" i="4"/>
  <c r="J26" i="6"/>
  <c r="C26" i="5"/>
  <c r="B26" i="5"/>
  <c r="F26" i="5"/>
  <c r="G26" i="5"/>
  <c r="C19" i="4"/>
  <c r="L26" i="5"/>
  <c r="D19" i="4"/>
  <c r="I19" i="4"/>
  <c r="J19" i="4"/>
  <c r="D26" i="6"/>
  <c r="K19" i="4"/>
  <c r="E26" i="6"/>
  <c r="F26" i="6"/>
  <c r="C27" i="6"/>
  <c r="G27" i="5"/>
  <c r="D20" i="4"/>
  <c r="F27" i="5"/>
  <c r="E27" i="5"/>
  <c r="G25" i="6"/>
  <c r="D25" i="6"/>
  <c r="B25" i="6"/>
  <c r="I20" i="6"/>
  <c r="M13" i="4"/>
  <c r="K18" i="4"/>
  <c r="L13" i="4"/>
  <c r="J18" i="4"/>
  <c r="M20" i="5"/>
  <c r="E20" i="6"/>
  <c r="E25" i="6"/>
  <c r="C25" i="5"/>
  <c r="F25" i="6"/>
  <c r="D25" i="5"/>
  <c r="B18" i="4"/>
  <c r="J25" i="6"/>
  <c r="H25" i="5"/>
  <c r="F18" i="4"/>
  <c r="K25" i="6"/>
  <c r="I25" i="5"/>
  <c r="G18" i="4"/>
  <c r="L25" i="6"/>
  <c r="J25" i="5"/>
  <c r="H18" i="4"/>
  <c r="H25" i="6"/>
  <c r="E25" i="5"/>
  <c r="K25" i="5"/>
  <c r="I25" i="6"/>
  <c r="F25" i="5"/>
  <c r="C18" i="4"/>
  <c r="G25" i="5"/>
  <c r="D18" i="4"/>
  <c r="E18" i="4"/>
  <c r="L18" i="4"/>
  <c r="C25" i="6"/>
  <c r="L25" i="5"/>
  <c r="D31" i="3"/>
  <c r="B23" i="11" s="1"/>
  <c r="G13" i="4"/>
  <c r="F13" i="4"/>
  <c r="D22" i="6"/>
  <c r="B22" i="5"/>
  <c r="E22" i="6"/>
  <c r="C22" i="5"/>
  <c r="I22" i="6"/>
  <c r="G22" i="5"/>
  <c r="E15" i="4"/>
  <c r="J22" i="6"/>
  <c r="H22" i="5"/>
  <c r="F15" i="4"/>
  <c r="K22" i="6"/>
  <c r="I22" i="5"/>
  <c r="G15" i="4"/>
  <c r="B22" i="6"/>
  <c r="C22" i="6"/>
  <c r="L22" i="6"/>
  <c r="F22" i="5"/>
  <c r="C15" i="4"/>
  <c r="J22" i="5"/>
  <c r="D15" i="4"/>
  <c r="J15" i="4"/>
  <c r="K15" i="4"/>
  <c r="L15" i="4"/>
  <c r="I15" i="4"/>
  <c r="G20" i="5"/>
  <c r="H20" i="6"/>
  <c r="B13" i="4"/>
  <c r="H13" i="4"/>
  <c r="I20" i="5"/>
  <c r="J20" i="6"/>
  <c r="C20" i="6"/>
  <c r="L20" i="6"/>
  <c r="K20" i="5"/>
  <c r="J13" i="4"/>
  <c r="C20" i="5"/>
  <c r="B20" i="6"/>
  <c r="D20" i="6"/>
  <c r="M20" i="6"/>
  <c r="L20" i="5"/>
  <c r="K13" i="4"/>
  <c r="F20" i="6"/>
  <c r="E20" i="5"/>
  <c r="G20" i="6"/>
  <c r="F20" i="5"/>
  <c r="E13" i="4"/>
  <c r="K20" i="6"/>
  <c r="J20" i="5"/>
  <c r="I13" i="4"/>
  <c r="D13" i="4"/>
  <c r="B15" i="4"/>
  <c r="C13" i="4"/>
  <c r="K22" i="5"/>
  <c r="D20" i="5"/>
  <c r="H27" i="6"/>
  <c r="I27" i="6"/>
  <c r="G27" i="6"/>
  <c r="B11" i="7"/>
  <c r="C11" i="7"/>
  <c r="D11" i="7"/>
  <c r="D22" i="5"/>
  <c r="D27" i="6"/>
  <c r="E14" i="6"/>
  <c r="F14" i="6"/>
  <c r="C14" i="5"/>
  <c r="G14" i="6"/>
  <c r="D14" i="5"/>
  <c r="I14" i="6"/>
  <c r="F14" i="5"/>
  <c r="C7" i="4"/>
  <c r="I14" i="5"/>
  <c r="F7" i="4"/>
  <c r="J14" i="6"/>
  <c r="G14" i="5"/>
  <c r="D7" i="4"/>
  <c r="K14" i="6"/>
  <c r="H14" i="5"/>
  <c r="E7" i="4"/>
  <c r="L14" i="6"/>
  <c r="K7" i="4"/>
  <c r="I20" i="4"/>
  <c r="B20" i="5"/>
  <c r="F17" i="6"/>
  <c r="D17" i="5"/>
  <c r="G17" i="6"/>
  <c r="E17" i="5"/>
  <c r="C10" i="4"/>
  <c r="K17" i="6"/>
  <c r="I17" i="5"/>
  <c r="G10" i="4"/>
  <c r="L17" i="6"/>
  <c r="J17" i="5"/>
  <c r="H10" i="4"/>
  <c r="K17" i="5"/>
  <c r="I10" i="4"/>
  <c r="G28" i="4"/>
  <c r="E10" i="4"/>
  <c r="J35" i="5"/>
  <c r="H17" i="5"/>
  <c r="M35" i="6"/>
  <c r="C13" i="7"/>
  <c r="J10" i="4"/>
  <c r="M17" i="5"/>
  <c r="C14" i="7"/>
  <c r="B14" i="7"/>
  <c r="H28" i="4"/>
  <c r="F10" i="4"/>
  <c r="K35" i="5"/>
  <c r="L17" i="5"/>
  <c r="B27" i="6"/>
  <c r="B12" i="7"/>
  <c r="C12" i="7"/>
  <c r="F28" i="4"/>
  <c r="D10" i="4"/>
  <c r="I35" i="5"/>
  <c r="G17" i="5"/>
  <c r="L35" i="6"/>
  <c r="J17" i="6"/>
  <c r="B13" i="7"/>
  <c r="J35" i="6"/>
  <c r="H17" i="6"/>
  <c r="C15" i="8"/>
  <c r="D15" i="8" s="1"/>
  <c r="E15" i="8" s="1"/>
  <c r="B7" i="7"/>
  <c r="C28" i="4"/>
  <c r="F35" i="5"/>
  <c r="I35" i="6"/>
  <c r="E17" i="6"/>
  <c r="E35" i="5"/>
  <c r="D17" i="6"/>
  <c r="C35" i="6"/>
  <c r="D35" i="6"/>
  <c r="L20" i="4"/>
  <c r="E27" i="6"/>
  <c r="C27" i="5"/>
  <c r="F27" i="6"/>
  <c r="D27" i="5"/>
  <c r="B20" i="4"/>
  <c r="J27" i="6"/>
  <c r="H27" i="5"/>
  <c r="F20" i="4"/>
  <c r="K27" i="6"/>
  <c r="I27" i="5"/>
  <c r="G20" i="4"/>
  <c r="L27" i="6"/>
  <c r="J27" i="5"/>
  <c r="H20" i="4"/>
  <c r="J20" i="4"/>
  <c r="B22" i="4" l="1"/>
  <c r="B21" i="4"/>
  <c r="C4" i="4"/>
  <c r="B23" i="4"/>
  <c r="B28" i="5"/>
  <c r="B29" i="5"/>
  <c r="C11" i="5"/>
  <c r="B30" i="5"/>
  <c r="B29" i="6"/>
  <c r="B30" i="6"/>
  <c r="B28" i="6"/>
  <c r="B31" i="6" s="1"/>
  <c r="C11" i="6"/>
  <c r="C21" i="6" l="1"/>
  <c r="C23" i="6"/>
  <c r="C29" i="6"/>
  <c r="D11" i="6"/>
  <c r="C12" i="6"/>
  <c r="C28" i="6"/>
  <c r="C15" i="6"/>
  <c r="C30" i="6"/>
  <c r="C5" i="4"/>
  <c r="C8" i="4"/>
  <c r="C14" i="4"/>
  <c r="C22" i="4"/>
  <c r="C16" i="4"/>
  <c r="C21" i="4"/>
  <c r="C23" i="4"/>
  <c r="D4" i="4"/>
  <c r="C29" i="5"/>
  <c r="C28" i="5"/>
  <c r="C12" i="5"/>
  <c r="C23" i="5"/>
  <c r="D11" i="5"/>
  <c r="C15" i="5"/>
  <c r="C21" i="5"/>
  <c r="C30" i="5"/>
  <c r="B31" i="5"/>
  <c r="B24" i="4"/>
  <c r="C31" i="5" l="1"/>
  <c r="C32" i="5" s="1"/>
  <c r="C39" i="5"/>
  <c r="C16" i="5"/>
  <c r="C18" i="5"/>
  <c r="D12" i="5"/>
  <c r="D15" i="5"/>
  <c r="D29" i="5"/>
  <c r="D28" i="5"/>
  <c r="D21" i="5"/>
  <c r="D23" i="5"/>
  <c r="D30" i="5"/>
  <c r="E11" i="5"/>
  <c r="D23" i="4"/>
  <c r="D22" i="4"/>
  <c r="D8" i="4"/>
  <c r="D21" i="4"/>
  <c r="D14" i="4"/>
  <c r="D16" i="4"/>
  <c r="E4" i="4"/>
  <c r="D5" i="4"/>
  <c r="C24" i="4"/>
  <c r="C25" i="4" s="1"/>
  <c r="C32" i="4" s="1"/>
  <c r="C9" i="4"/>
  <c r="C11" i="4"/>
  <c r="C16" i="6"/>
  <c r="C18" i="6"/>
  <c r="C31" i="6"/>
  <c r="C32" i="6" s="1"/>
  <c r="D12" i="6"/>
  <c r="D23" i="6"/>
  <c r="E11" i="6"/>
  <c r="D28" i="6"/>
  <c r="D15" i="6"/>
  <c r="D21" i="6"/>
  <c r="D29" i="6"/>
  <c r="D30" i="6"/>
  <c r="C39" i="6"/>
  <c r="E8" i="4" l="1"/>
  <c r="E23" i="4"/>
  <c r="E14" i="4"/>
  <c r="F4" i="4"/>
  <c r="E21" i="4"/>
  <c r="E5" i="4"/>
  <c r="E22" i="4"/>
  <c r="E16" i="4"/>
  <c r="D18" i="6"/>
  <c r="D16" i="6"/>
  <c r="D9" i="4"/>
  <c r="D11" i="4"/>
  <c r="C40" i="5"/>
  <c r="C34" i="5"/>
  <c r="C36" i="5" s="1"/>
  <c r="C37" i="5" s="1"/>
  <c r="C41" i="5"/>
  <c r="D24" i="4"/>
  <c r="D25" i="4" s="1"/>
  <c r="D32" i="4" s="1"/>
  <c r="D39" i="6"/>
  <c r="E12" i="5"/>
  <c r="E15" i="5"/>
  <c r="E28" i="5"/>
  <c r="E23" i="5"/>
  <c r="E29" i="5"/>
  <c r="E21" i="5"/>
  <c r="E30" i="5"/>
  <c r="F11" i="5"/>
  <c r="D31" i="6"/>
  <c r="D32" i="6" s="1"/>
  <c r="E29" i="6"/>
  <c r="E28" i="6"/>
  <c r="E12" i="6"/>
  <c r="E21" i="6"/>
  <c r="F11" i="6"/>
  <c r="E23" i="6"/>
  <c r="E15" i="6"/>
  <c r="E30" i="6"/>
  <c r="D31" i="5"/>
  <c r="D32" i="5" s="1"/>
  <c r="D39" i="5" s="1"/>
  <c r="D16" i="5"/>
  <c r="D18" i="5"/>
  <c r="C41" i="6"/>
  <c r="C34" i="6"/>
  <c r="C36" i="6" s="1"/>
  <c r="C37" i="6" s="1"/>
  <c r="C40" i="6"/>
  <c r="C27" i="4"/>
  <c r="C29" i="4" s="1"/>
  <c r="C30" i="4" s="1"/>
  <c r="C33" i="4"/>
  <c r="C34" i="4"/>
  <c r="E31" i="5" l="1"/>
  <c r="E32" i="5" s="1"/>
  <c r="D27" i="4"/>
  <c r="D29" i="4" s="1"/>
  <c r="D34" i="4"/>
  <c r="D33" i="4"/>
  <c r="E16" i="6"/>
  <c r="E18" i="6"/>
  <c r="D40" i="6"/>
  <c r="D41" i="6"/>
  <c r="D34" i="6"/>
  <c r="D36" i="6" s="1"/>
  <c r="D37" i="6" s="1"/>
  <c r="D30" i="4"/>
  <c r="E39" i="5"/>
  <c r="F14" i="4"/>
  <c r="F22" i="4"/>
  <c r="F8" i="4"/>
  <c r="F23" i="4"/>
  <c r="F21" i="4"/>
  <c r="F16" i="4"/>
  <c r="G4" i="4"/>
  <c r="F5" i="4"/>
  <c r="E9" i="4"/>
  <c r="E11" i="4"/>
  <c r="E16" i="5"/>
  <c r="E18" i="5"/>
  <c r="D40" i="5"/>
  <c r="D34" i="5"/>
  <c r="D36" i="5" s="1"/>
  <c r="D37" i="5" s="1"/>
  <c r="D41" i="5"/>
  <c r="F12" i="6"/>
  <c r="F15" i="6"/>
  <c r="F29" i="6"/>
  <c r="F28" i="6"/>
  <c r="F23" i="6"/>
  <c r="G11" i="6"/>
  <c r="F21" i="6"/>
  <c r="F30" i="6"/>
  <c r="E31" i="6"/>
  <c r="E32" i="6" s="1"/>
  <c r="E39" i="6" s="1"/>
  <c r="E24" i="4"/>
  <c r="E25" i="4" s="1"/>
  <c r="E32" i="4" s="1"/>
  <c r="F12" i="5"/>
  <c r="F21" i="5"/>
  <c r="F29" i="5"/>
  <c r="F23" i="5"/>
  <c r="F28" i="5"/>
  <c r="G11" i="5"/>
  <c r="F30" i="5"/>
  <c r="F15" i="5"/>
  <c r="F31" i="5" l="1"/>
  <c r="F32" i="5" s="1"/>
  <c r="F39" i="5" s="1"/>
  <c r="G5" i="4"/>
  <c r="G8" i="4"/>
  <c r="G22" i="4"/>
  <c r="G23" i="4"/>
  <c r="G21" i="4"/>
  <c r="H4" i="4"/>
  <c r="G14" i="4"/>
  <c r="G16" i="4"/>
  <c r="F24" i="4"/>
  <c r="F25" i="4" s="1"/>
  <c r="F32" i="4" s="1"/>
  <c r="F31" i="6"/>
  <c r="F32" i="6" s="1"/>
  <c r="F39" i="6" s="1"/>
  <c r="E34" i="5"/>
  <c r="E36" i="5" s="1"/>
  <c r="E37" i="5" s="1"/>
  <c r="E41" i="5"/>
  <c r="E40" i="5"/>
  <c r="F16" i="5"/>
  <c r="F18" i="5"/>
  <c r="F9" i="4"/>
  <c r="F11" i="4"/>
  <c r="G12" i="6"/>
  <c r="G15" i="6"/>
  <c r="G28" i="6"/>
  <c r="G29" i="6"/>
  <c r="G21" i="6"/>
  <c r="G23" i="6"/>
  <c r="G30" i="6"/>
  <c r="H11" i="6"/>
  <c r="F16" i="6"/>
  <c r="F18" i="6"/>
  <c r="E40" i="6"/>
  <c r="E41" i="6"/>
  <c r="E34" i="6"/>
  <c r="E36" i="6" s="1"/>
  <c r="E37" i="6" s="1"/>
  <c r="G21" i="5"/>
  <c r="G30" i="5"/>
  <c r="G29" i="5"/>
  <c r="G15" i="5"/>
  <c r="G28" i="5"/>
  <c r="G23" i="5"/>
  <c r="G12" i="5"/>
  <c r="H11" i="5"/>
  <c r="E27" i="4"/>
  <c r="E29" i="4" s="1"/>
  <c r="E30" i="4" s="1"/>
  <c r="E34" i="4"/>
  <c r="E33" i="4"/>
  <c r="G24" i="4" l="1"/>
  <c r="G31" i="5"/>
  <c r="G32" i="5" s="1"/>
  <c r="G39" i="5" s="1"/>
  <c r="F40" i="6"/>
  <c r="F34" i="6"/>
  <c r="F36" i="6" s="1"/>
  <c r="F37" i="6" s="1"/>
  <c r="F41" i="6"/>
  <c r="G18" i="5"/>
  <c r="G16" i="5"/>
  <c r="H5" i="4"/>
  <c r="H8" i="4"/>
  <c r="H14" i="4"/>
  <c r="H22" i="4"/>
  <c r="I4" i="4"/>
  <c r="H16" i="4"/>
  <c r="H21" i="4"/>
  <c r="H23" i="4"/>
  <c r="H28" i="6"/>
  <c r="H12" i="6"/>
  <c r="H23" i="6"/>
  <c r="H21" i="6"/>
  <c r="H29" i="6"/>
  <c r="H15" i="6"/>
  <c r="H30" i="6"/>
  <c r="I11" i="6"/>
  <c r="H29" i="5"/>
  <c r="H15" i="5"/>
  <c r="H30" i="5"/>
  <c r="I11" i="5"/>
  <c r="H28" i="5"/>
  <c r="H31" i="5" s="1"/>
  <c r="H23" i="5"/>
  <c r="H21" i="5"/>
  <c r="H12" i="5"/>
  <c r="F34" i="5"/>
  <c r="F36" i="5" s="1"/>
  <c r="F37" i="5" s="1"/>
  <c r="F41" i="5"/>
  <c r="F40" i="5"/>
  <c r="G25" i="4"/>
  <c r="G32" i="4" s="1"/>
  <c r="G11" i="4"/>
  <c r="G9" i="4"/>
  <c r="G31" i="6"/>
  <c r="G32" i="6" s="1"/>
  <c r="G39" i="6" s="1"/>
  <c r="G16" i="6"/>
  <c r="G18" i="6"/>
  <c r="F27" i="4"/>
  <c r="F29" i="4" s="1"/>
  <c r="F30" i="4" s="1"/>
  <c r="F33" i="4"/>
  <c r="F34" i="4"/>
  <c r="H32" i="5" l="1"/>
  <c r="H31" i="6"/>
  <c r="G34" i="4"/>
  <c r="G33" i="4"/>
  <c r="G27" i="4"/>
  <c r="G29" i="4" s="1"/>
  <c r="G30" i="4" s="1"/>
  <c r="H9" i="4"/>
  <c r="H11" i="4"/>
  <c r="I12" i="5"/>
  <c r="I15" i="5"/>
  <c r="I29" i="5"/>
  <c r="I21" i="5"/>
  <c r="I30" i="5"/>
  <c r="I28" i="5"/>
  <c r="I23" i="5"/>
  <c r="J11" i="5"/>
  <c r="H16" i="5"/>
  <c r="H18" i="5"/>
  <c r="I21" i="6"/>
  <c r="I12" i="6"/>
  <c r="I29" i="6"/>
  <c r="I23" i="6"/>
  <c r="I28" i="6"/>
  <c r="I15" i="6"/>
  <c r="I30" i="6"/>
  <c r="J11" i="6"/>
  <c r="H24" i="4"/>
  <c r="H25" i="4" s="1"/>
  <c r="H32" i="4" s="1"/>
  <c r="H18" i="6"/>
  <c r="H16" i="6"/>
  <c r="G34" i="6"/>
  <c r="G36" i="6" s="1"/>
  <c r="G37" i="6" s="1"/>
  <c r="G41" i="6"/>
  <c r="G40" i="6"/>
  <c r="H32" i="6"/>
  <c r="H39" i="6" s="1"/>
  <c r="I5" i="4"/>
  <c r="I8" i="4"/>
  <c r="J4" i="4"/>
  <c r="I23" i="4"/>
  <c r="I21" i="4"/>
  <c r="I14" i="4"/>
  <c r="I22" i="4"/>
  <c r="I16" i="4"/>
  <c r="G34" i="5"/>
  <c r="G36" i="5" s="1"/>
  <c r="G37" i="5" s="1"/>
  <c r="G41" i="5"/>
  <c r="G40" i="5"/>
  <c r="H39" i="5"/>
  <c r="I31" i="5" l="1"/>
  <c r="I32" i="5" s="1"/>
  <c r="J12" i="5"/>
  <c r="J15" i="5"/>
  <c r="J29" i="5"/>
  <c r="J30" i="5"/>
  <c r="J28" i="5"/>
  <c r="J23" i="5"/>
  <c r="J21" i="5"/>
  <c r="K11" i="5"/>
  <c r="J8" i="4"/>
  <c r="J14" i="4"/>
  <c r="K4" i="4"/>
  <c r="J5" i="4"/>
  <c r="J21" i="4"/>
  <c r="J16" i="4"/>
  <c r="J22" i="4"/>
  <c r="J23" i="4"/>
  <c r="H34" i="4"/>
  <c r="H27" i="4"/>
  <c r="H29" i="4" s="1"/>
  <c r="H30" i="4" s="1"/>
  <c r="H33" i="4"/>
  <c r="H34" i="5"/>
  <c r="H36" i="5" s="1"/>
  <c r="H37" i="5" s="1"/>
  <c r="H41" i="5"/>
  <c r="H40" i="5"/>
  <c r="I24" i="4"/>
  <c r="I25" i="4" s="1"/>
  <c r="I32" i="4" s="1"/>
  <c r="I11" i="4"/>
  <c r="I9" i="4"/>
  <c r="I16" i="5"/>
  <c r="I18" i="5"/>
  <c r="H34" i="6"/>
  <c r="H36" i="6" s="1"/>
  <c r="H37" i="6" s="1"/>
  <c r="H41" i="6"/>
  <c r="H40" i="6"/>
  <c r="J29" i="6"/>
  <c r="J30" i="6"/>
  <c r="J12" i="6"/>
  <c r="J23" i="6"/>
  <c r="J28" i="6"/>
  <c r="J15" i="6"/>
  <c r="J21" i="6"/>
  <c r="K11" i="6"/>
  <c r="I39" i="5"/>
  <c r="I16" i="6"/>
  <c r="I18" i="6"/>
  <c r="I31" i="6"/>
  <c r="I32" i="6" s="1"/>
  <c r="I39" i="6" s="1"/>
  <c r="J31" i="6" l="1"/>
  <c r="J32" i="6" s="1"/>
  <c r="J39" i="6" s="1"/>
  <c r="K12" i="6"/>
  <c r="K15" i="6"/>
  <c r="K29" i="6"/>
  <c r="K30" i="6"/>
  <c r="L11" i="6"/>
  <c r="K28" i="6"/>
  <c r="K31" i="6" s="1"/>
  <c r="K32" i="6" s="1"/>
  <c r="K23" i="6"/>
  <c r="K21" i="6"/>
  <c r="J24" i="4"/>
  <c r="J25" i="4" s="1"/>
  <c r="J32" i="4" s="1"/>
  <c r="K12" i="5"/>
  <c r="K15" i="5"/>
  <c r="L11" i="5"/>
  <c r="K21" i="5"/>
  <c r="K23" i="5"/>
  <c r="K28" i="5"/>
  <c r="K29" i="5"/>
  <c r="K30" i="5"/>
  <c r="J39" i="5"/>
  <c r="K16" i="4"/>
  <c r="K8" i="4"/>
  <c r="L4" i="4"/>
  <c r="K23" i="4"/>
  <c r="K5" i="4"/>
  <c r="K21" i="4"/>
  <c r="K14" i="4"/>
  <c r="K22" i="4"/>
  <c r="I27" i="4"/>
  <c r="I29" i="4" s="1"/>
  <c r="I33" i="4"/>
  <c r="I34" i="4"/>
  <c r="J18" i="6"/>
  <c r="J16" i="6"/>
  <c r="J9" i="4"/>
  <c r="J11" i="4"/>
  <c r="I41" i="5"/>
  <c r="I34" i="5"/>
  <c r="I36" i="5" s="1"/>
  <c r="I37" i="5" s="1"/>
  <c r="I40" i="5"/>
  <c r="J31" i="5"/>
  <c r="J32" i="5" s="1"/>
  <c r="J18" i="5"/>
  <c r="J16" i="5"/>
  <c r="I30" i="4"/>
  <c r="I34" i="6"/>
  <c r="I36" i="6" s="1"/>
  <c r="I37" i="6" s="1"/>
  <c r="I40" i="6"/>
  <c r="I41" i="6"/>
  <c r="K31" i="5" l="1"/>
  <c r="K32" i="5" s="1"/>
  <c r="K39" i="5" s="1"/>
  <c r="K39" i="6"/>
  <c r="J41" i="5"/>
  <c r="J34" i="5"/>
  <c r="J36" i="5" s="1"/>
  <c r="J37" i="5" s="1"/>
  <c r="J40" i="5"/>
  <c r="K16" i="5"/>
  <c r="K18" i="5"/>
  <c r="M4" i="4"/>
  <c r="L16" i="4"/>
  <c r="L21" i="4"/>
  <c r="L23" i="4"/>
  <c r="L14" i="4"/>
  <c r="L22" i="4"/>
  <c r="L8" i="4"/>
  <c r="L5" i="4"/>
  <c r="J30" i="4"/>
  <c r="M11" i="5"/>
  <c r="L15" i="5"/>
  <c r="L28" i="5"/>
  <c r="L29" i="5"/>
  <c r="L23" i="5"/>
  <c r="L30" i="5"/>
  <c r="L21" i="5"/>
  <c r="L12" i="5"/>
  <c r="J27" i="4"/>
  <c r="J29" i="4" s="1"/>
  <c r="J34" i="4"/>
  <c r="J33" i="4"/>
  <c r="K18" i="6"/>
  <c r="K16" i="6"/>
  <c r="K9" i="4"/>
  <c r="K11" i="4"/>
  <c r="J34" i="6"/>
  <c r="J36" i="6" s="1"/>
  <c r="J37" i="6" s="1"/>
  <c r="J41" i="6"/>
  <c r="J40" i="6"/>
  <c r="L12" i="6"/>
  <c r="L15" i="6"/>
  <c r="L29" i="6"/>
  <c r="L21" i="6"/>
  <c r="L30" i="6"/>
  <c r="L28" i="6"/>
  <c r="L23" i="6"/>
  <c r="M11" i="6"/>
  <c r="K24" i="4"/>
  <c r="K25" i="4" s="1"/>
  <c r="K32" i="4" s="1"/>
  <c r="L31" i="6" l="1"/>
  <c r="L32" i="6" s="1"/>
  <c r="L39" i="6" s="1"/>
  <c r="L18" i="5"/>
  <c r="L16" i="5"/>
  <c r="M44" i="5" s="1"/>
  <c r="L9" i="4"/>
  <c r="M37" i="4" s="1"/>
  <c r="L11" i="4"/>
  <c r="K34" i="4"/>
  <c r="K27" i="4"/>
  <c r="K29" i="4" s="1"/>
  <c r="K30" i="4" s="1"/>
  <c r="K33" i="4"/>
  <c r="L39" i="5"/>
  <c r="M15" i="5"/>
  <c r="M12" i="5"/>
  <c r="M21" i="5"/>
  <c r="L16" i="6"/>
  <c r="M44" i="6" s="1"/>
  <c r="L18" i="6"/>
  <c r="L24" i="4"/>
  <c r="L25" i="4" s="1"/>
  <c r="L32" i="4" s="1"/>
  <c r="M8" i="4"/>
  <c r="M5" i="4"/>
  <c r="M14" i="4"/>
  <c r="K41" i="6"/>
  <c r="K34" i="6"/>
  <c r="K36" i="6" s="1"/>
  <c r="K37" i="6" s="1"/>
  <c r="K40" i="6"/>
  <c r="M12" i="6"/>
  <c r="M15" i="6"/>
  <c r="M21" i="6"/>
  <c r="L31" i="5"/>
  <c r="L32" i="5" s="1"/>
  <c r="K34" i="5"/>
  <c r="K36" i="5" s="1"/>
  <c r="K37" i="5" s="1"/>
  <c r="K40" i="5"/>
  <c r="K41" i="5"/>
  <c r="M18" i="6" l="1"/>
  <c r="M43" i="6" s="1"/>
  <c r="M45" i="6" s="1"/>
  <c r="M46" i="6" s="1"/>
  <c r="D4" i="7" s="1"/>
  <c r="M16" i="6"/>
  <c r="M9" i="4"/>
  <c r="M11" i="4"/>
  <c r="M36" i="4" s="1"/>
  <c r="M38" i="4" s="1"/>
  <c r="M39" i="4" s="1"/>
  <c r="C4" i="7" s="1"/>
  <c r="L41" i="6"/>
  <c r="L34" i="6"/>
  <c r="L36" i="6" s="1"/>
  <c r="L37" i="6" s="1"/>
  <c r="M48" i="6" s="1"/>
  <c r="L40" i="6"/>
  <c r="M18" i="5"/>
  <c r="M43" i="5" s="1"/>
  <c r="M45" i="5" s="1"/>
  <c r="M46" i="5" s="1"/>
  <c r="B4" i="7" s="1"/>
  <c r="M16" i="5"/>
  <c r="L34" i="4"/>
  <c r="L27" i="4"/>
  <c r="L29" i="4" s="1"/>
  <c r="L30" i="4" s="1"/>
  <c r="M41" i="4" s="1"/>
  <c r="L33" i="4"/>
  <c r="L34" i="5"/>
  <c r="L36" i="5" s="1"/>
  <c r="L37" i="5" s="1"/>
  <c r="M48" i="5" s="1"/>
  <c r="L40" i="5"/>
  <c r="L41" i="5"/>
  <c r="B3" i="7" l="1"/>
  <c r="M49" i="5"/>
  <c r="C3" i="7"/>
  <c r="M42" i="4"/>
  <c r="M49" i="6"/>
  <c r="D3" i="7"/>
  <c r="M50" i="6" l="1"/>
  <c r="D6" i="7" s="1"/>
  <c r="D5" i="7"/>
  <c r="D8" i="7" s="1"/>
  <c r="D16" i="7" s="1"/>
  <c r="D18" i="7" s="1"/>
  <c r="M43" i="4"/>
  <c r="C6" i="7" s="1"/>
  <c r="C5" i="7"/>
  <c r="C8" i="7" s="1"/>
  <c r="C16" i="7" s="1"/>
  <c r="C18" i="7" s="1"/>
  <c r="B5" i="7"/>
  <c r="B8" i="7" s="1"/>
  <c r="B16" i="7" s="1"/>
  <c r="B18" i="7" s="1"/>
  <c r="M50" i="5"/>
  <c r="B6" i="7" s="1"/>
  <c r="C22" i="7" l="1"/>
  <c r="B20" i="7"/>
  <c r="B16" i="11" s="1"/>
  <c r="B15" i="11"/>
  <c r="D20" i="7"/>
  <c r="D16" i="11" s="1"/>
  <c r="D15" i="11"/>
  <c r="C20" i="7"/>
  <c r="C16" i="11" s="1"/>
  <c r="C15" i="11"/>
  <c r="C23" i="7" l="1"/>
  <c r="B19" i="11" s="1"/>
  <c r="B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19D64-177A-4599-AF8D-C0AA8F64C13A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&quot;&quot;" command="SELECT * FROM [Assumptions]"/>
  </connection>
  <connection id="2" xr16:uid="{D9AD871A-E2A5-474C-BE13-80E35FB984B6}" keepAlive="1" name="Query - Comps" description="Connection to the 'Comps' query in the workbook." type="5" refreshedVersion="8" background="1" saveData="1">
    <dbPr connection="Provider=Microsoft.Mashup.OleDb.1;Data Source=$Workbook$;Location=Comps;Extended Properties=&quot;&quot;" command="SELECT * FROM [Comps]"/>
  </connection>
  <connection id="3" xr16:uid="{49E079CB-B436-4DF0-B4CB-1C387E4258C4}" keepAlive="1" name="Query - MarketData" description="Connection to the 'MarketData' query in the workbook." type="5" refreshedVersion="8" background="1" saveData="1">
    <dbPr connection="Provider=Microsoft.Mashup.OleDb.1;Data Source=$Workbook$;Location=MarketData;Extended Properties=&quot;&quot;" command="SELECT * FROM [MarketData]"/>
  </connection>
  <connection id="4" xr16:uid="{A07BD0A9-35FE-4808-B609-55326530AFD2}" keepAlive="1" name="Query - Scenarios" description="Connection to the 'Scenarios' query in the workbook." type="5" refreshedVersion="8" background="1" saveData="1">
    <dbPr connection="Provider=Microsoft.Mashup.OleDb.1;Data Source=$Workbook$;Location=Scenarios;Extended Properties=&quot;&quot;" command="SELECT * FROM [Scenarios]"/>
  </connection>
  <connection id="5" xr16:uid="{B46160DB-62D6-4434-88C9-1D87F0906EC6}" name="Query - TickerJSON" description="Connection to the 'TickerJSON' query in the workbook." type="100" refreshedVersion="8" minRefreshableVersion="5">
    <extLst>
      <ext xmlns:x15="http://schemas.microsoft.com/office/spreadsheetml/2010/11/main" uri="{DE250136-89BD-433C-8126-D09CA5730AF9}">
        <x15:connection id="cb8c0192-129a-41a0-99a6-592db5add9a3"/>
      </ext>
    </extLst>
  </connection>
  <connection id="6" xr16:uid="{985037A6-6C1A-46ED-986F-E8346B02019F}" name="Query - Value" description="Connection to the 'Value' query in the workbook." type="100" refreshedVersion="8" minRefreshableVersion="5">
    <extLst>
      <ext xmlns:x15="http://schemas.microsoft.com/office/spreadsheetml/2010/11/main" uri="{DE250136-89BD-433C-8126-D09CA5730AF9}">
        <x15:connection id="80829b83-d134-46b3-9233-e8ad4071d98c">
          <x15:oledbPr connection="Provider=Microsoft.Mashup.OleDb.1;Data Source=$Workbook$;Location=Value;Extended Properties=&quot;&quot;">
            <x15:dbTables>
              <x15:dbTable name="Value"/>
            </x15:dbTables>
          </x15:oledbPr>
        </x15:connection>
      </ext>
    </extLst>
  </connection>
  <connection id="7" xr16:uid="{EC021121-BF21-4709-95FF-DDDEFFF1D42D}" name="Query - Value (2)" description="Connection to the 'Value (2)' query in the workbook." type="100" refreshedVersion="8" minRefreshableVersion="5">
    <extLst>
      <ext xmlns:x15="http://schemas.microsoft.com/office/spreadsheetml/2010/11/main" uri="{DE250136-89BD-433C-8126-D09CA5730AF9}">
        <x15:connection id="2c3db378-6c4b-429b-8e22-185506710a8e">
          <x15:oledbPr connection="Provider=Microsoft.Mashup.OleDb.1;Data Source=$Workbook$;Location=&quot;Value (2)&quot;;Extended Properties=&quot;&quot;">
            <x15:dbTables>
              <x15:dbTable name="Value (2)"/>
            </x15:dbTables>
          </x15:oledbPr>
        </x15:connection>
      </ext>
    </extLst>
  </connection>
  <connection id="8" xr16:uid="{1C759125-3DDE-45BE-967A-7538F86FD962}" keepAlive="1" name="Query - WACC" description="Connection to the 'WACC' query in the workbook." type="5" refreshedVersion="8" background="1" saveData="1">
    <dbPr connection="Provider=Microsoft.Mashup.OleDb.1;Data Source=$Workbook$;Location=WACC;Extended Properties=&quot;&quot;" command="SELECT * FROM [WACC]"/>
  </connection>
  <connection id="9" xr16:uid="{E828FADD-783B-4E05-978C-C285857048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<sst xmlns="http://schemas.openxmlformats.org/spreadsheetml/2006/main" count="569" uniqueCount="383">
  <si>
    <t>EQUITY VALUATION MODEL</t>
  </si>
  <si>
    <t>Sector</t>
  </si>
  <si>
    <t>As of</t>
  </si>
  <si>
    <t>Price</t>
  </si>
  <si>
    <t>EV ($mm)</t>
  </si>
  <si>
    <t>Shares</t>
  </si>
  <si>
    <t>Model</t>
  </si>
  <si>
    <t>DCF Bear / Base / Bull + Comps + EP cross-check</t>
  </si>
  <si>
    <t>Sheet Guide</t>
  </si>
  <si>
    <t xml:space="preserve">  Assumptions  — All inputs with JSON baseline + PM override column (yellow)</t>
  </si>
  <si>
    <t xml:space="preserve">  DCF_Base     — 10-year FCFF projection, live formulas, Base scenario</t>
  </si>
  <si>
    <t xml:space="preserve">  DCF_Bear     — Bear scenario (growth ×0.6, margin ×0.75, WACC +200bp)</t>
  </si>
  <si>
    <t xml:space="preserve">  DCF_Bull     — Bull scenario (growth ×1.4, margin ×1.15, WACC -100bp)</t>
  </si>
  <si>
    <t xml:space="preserve">  Equity_Bridge— Enterprise → Equity value, IV per share, expected IV</t>
  </si>
  <si>
    <t xml:space="preserve">  Comps        — Peer multiples table, live medians, exclude toggle</t>
  </si>
  <si>
    <t xml:space="preserve">  Sensitivity  — IV grid: WACC × terminal growth (±200bp each)</t>
  </si>
  <si>
    <t xml:space="preserve">  QoE          — Quality of Earnings signals (Sloan, cash conv, NWC drift)</t>
  </si>
  <si>
    <t xml:space="preserve">  Output       — Summary dashboard with colour-coded upside flags</t>
  </si>
  <si>
    <t>Override pattern: Col B = JSON baseline (blue)  |  Col C = PM override (yellow, type here)  |  Col D = Active (formula: =IF(C="",B,C))</t>
  </si>
  <si>
    <t>Press F9 to recalculate all formulas after editing.</t>
  </si>
  <si>
    <t>Setting</t>
  </si>
  <si>
    <t>Value</t>
  </si>
  <si>
    <t>json_path</t>
  </si>
  <si>
    <t>Instructions:</t>
  </si>
  <si>
    <t>1. Change B2 to point at a different ticker (e.g. ORCL_latest.json)</t>
  </si>
  <si>
    <t>2. Data → Refresh All  (Ctrl+Alt+F5)</t>
  </si>
  <si>
    <t>3. All Assumptions Col B values update from the new JSON.</t>
  </si>
  <si>
    <t>4. The path must match what batch_runner --json last wrote.</t>
  </si>
  <si>
    <t>Driver</t>
  </si>
  <si>
    <t>JSON Baseline</t>
  </si>
  <si>
    <t>PM Override</t>
  </si>
  <si>
    <t>Active</t>
  </si>
  <si>
    <t>Source</t>
  </si>
  <si>
    <t xml:space="preserve">  MARKET DATA</t>
  </si>
  <si>
    <t>← Type override here (yellow cells)</t>
  </si>
  <si>
    <t xml:space="preserve">  DCF GROWTH DRIVERS</t>
  </si>
  <si>
    <t>CIQ</t>
  </si>
  <si>
    <t>Revenue Growth — Near (Y1–Y5)</t>
  </si>
  <si>
    <t>CIQ consensus</t>
  </si>
  <si>
    <t>Revenue Growth — Mid (Y6–Y10)</t>
  </si>
  <si>
    <t>CIQ consensus blend</t>
  </si>
  <si>
    <t>Terminal Revenue Growth</t>
  </si>
  <si>
    <t>GDP anchor</t>
  </si>
  <si>
    <t xml:space="preserve">  MARGIN DRIVERS</t>
  </si>
  <si>
    <t>EBIT Margin — Start</t>
  </si>
  <si>
    <t>CIQ LTM</t>
  </si>
  <si>
    <t>EBIT Margin — Target (Y10)</t>
  </si>
  <si>
    <t>Sector median</t>
  </si>
  <si>
    <t xml:space="preserve">  D&amp;A / CAPEX</t>
  </si>
  <si>
    <t>D&amp;A % Revenue</t>
  </si>
  <si>
    <t>Capex % Revenue</t>
  </si>
  <si>
    <t xml:space="preserve">  TAX</t>
  </si>
  <si>
    <t>Effective Tax Rate — Start</t>
  </si>
  <si>
    <t>Effective Tax Rate — Target</t>
  </si>
  <si>
    <t>Company guidance</t>
  </si>
  <si>
    <t xml:space="preserve">  WORKING CAPITAL DRIVERS</t>
  </si>
  <si>
    <t>DSO Start (days)</t>
  </si>
  <si>
    <t>DSO Target (days)</t>
  </si>
  <si>
    <t>DIO Start (days)</t>
  </si>
  <si>
    <t>DIO Target (days)</t>
  </si>
  <si>
    <t>DPO Start (days)</t>
  </si>
  <si>
    <t>DPO Target (days)</t>
  </si>
  <si>
    <t xml:space="preserve">  TERMINAL VALUE</t>
  </si>
  <si>
    <t>Exit Multiple (EV/EBITDA)</t>
  </si>
  <si>
    <t>Forward comps</t>
  </si>
  <si>
    <t>RONIC Terminal</t>
  </si>
  <si>
    <t>ROIC estimate</t>
  </si>
  <si>
    <t xml:space="preserve">  WACC BUILD-UP</t>
  </si>
  <si>
    <t>Risk-Free Rate</t>
  </si>
  <si>
    <t>10Y UST</t>
  </si>
  <si>
    <t>Equity Risk Premium</t>
  </si>
  <si>
    <t>Damodaran</t>
  </si>
  <si>
    <t>Beta (re-levered)</t>
  </si>
  <si>
    <t>Hamada / peers</t>
  </si>
  <si>
    <t>Size Premium</t>
  </si>
  <si>
    <t>Duff &amp; Phelps</t>
  </si>
  <si>
    <t>Cost of Equity (Ke)</t>
  </si>
  <si>
    <t>CAPM: Rf + β×ERP + size premium</t>
  </si>
  <si>
    <t>Cost of Debt (pre-tax)</t>
  </si>
  <si>
    <t>Interest expense / total debt (CIQ)</t>
  </si>
  <si>
    <t>Tax Rate (for Kd)</t>
  </si>
  <si>
    <t>Cost of Debt after-tax (Kd)</t>
  </si>
  <si>
    <t>Kd × (1 - tax)</t>
  </si>
  <si>
    <t>Equity Weight</t>
  </si>
  <si>
    <t>Market cap / TEV</t>
  </si>
  <si>
    <t>Debt Weight</t>
  </si>
  <si>
    <t>Net debt / TEV</t>
  </si>
  <si>
    <t>WACC</t>
  </si>
  <si>
    <t>JSON baseline (batch_runner) — override C37 to adjust</t>
  </si>
  <si>
    <t xml:space="preserve">  EQUITY BRIDGE ITEMS ($mm)</t>
  </si>
  <si>
    <t>Net Debt ($mm)</t>
  </si>
  <si>
    <t>CIQ balance sheet</t>
  </si>
  <si>
    <t>Shares Outstanding (mm)</t>
  </si>
  <si>
    <t>Invested Capital ($mm)</t>
  </si>
  <si>
    <t>Non-Operating Assets ($mm)</t>
  </si>
  <si>
    <t>Minority Interest ($mm)</t>
  </si>
  <si>
    <t>Preferred Equity ($mm)</t>
  </si>
  <si>
    <t>Pension Deficit ($mm)</t>
  </si>
  <si>
    <t>Lease Liabilities ($mm)</t>
  </si>
  <si>
    <t>Options Value ($mm)</t>
  </si>
  <si>
    <t>Convertibles ($mm)</t>
  </si>
  <si>
    <t xml:space="preserve">  SCENARIO PROBABILITIES</t>
  </si>
  <si>
    <t>P(Bear)</t>
  </si>
  <si>
    <t>PM judgment</t>
  </si>
  <si>
    <t>P(Base)</t>
  </si>
  <si>
    <t>P(Bull)</t>
  </si>
  <si>
    <t>Sum of probs</t>
  </si>
  <si>
    <t xml:space="preserve">  10-YEAR FCFF PROJECTION  ($mm)</t>
  </si>
  <si>
    <t>LTM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</si>
  <si>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</si>
  <si>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</si>
  <si>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</si>
  <si>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</si>
  <si>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</si>
  <si>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</si>
  <si>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</si>
  <si>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</si>
  <si>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</si>
  <si>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</si>
  <si>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Terminal</t>
  </si>
  <si>
    <t>── REVENUE ─────────────────────────────────</t>
  </si>
  <si>
    <t>Revenue ($mm)</t>
  </si>
  <si>
    <t>Revenue Growth %</t>
  </si>
  <si>
    <t>── PROFITABILITY ────────────────────────────</t>
  </si>
  <si>
    <t>EBIT Margin %</t>
  </si>
  <si>
    <t>EBIT ($mm)</t>
  </si>
  <si>
    <t>EBITDA ($mm)</t>
  </si>
  <si>
    <t>Tax Rate %</t>
  </si>
  <si>
    <t>NOPAT ($mm)</t>
  </si>
  <si>
    <t>── D&amp;A / CAPEX ──────────────────────────────</t>
  </si>
  <si>
    <t>D&amp;A ($mm)</t>
  </si>
  <si>
    <t>Capex ($mm)</t>
  </si>
  <si>
    <t>── NWC DRIVERS ──────────────────────────────</t>
  </si>
  <si>
    <t>DSO (days)</t>
  </si>
  <si>
    <t>DIO (days)</t>
  </si>
  <si>
    <t>DPO (days)</t>
  </si>
  <si>
    <t>AR ($mm)</t>
  </si>
  <si>
    <t>Inventory ($mm)</t>
  </si>
  <si>
    <t>AP ($mm)</t>
  </si>
  <si>
    <t>NWC ($mm)</t>
  </si>
  <si>
    <t>ΔNWC ($mm)</t>
  </si>
  <si>
    <t>── FREE CASH FLOW ───────────────────────────</t>
  </si>
  <si>
    <t>FCFF ($mm)</t>
  </si>
  <si>
    <t>Discount Factor</t>
  </si>
  <si>
    <t>PV FCFF ($mm)</t>
  </si>
  <si>
    <t>Cumulative PV FCFF ($mm)</t>
  </si>
  <si>
    <t>── RETURNS ──────────────────────────────────</t>
  </si>
  <si>
    <t>ROIC %</t>
  </si>
  <si>
    <t>Economic Profit ($mm)</t>
  </si>
  <si>
    <t xml:space="preserve">  TERMINAL VALUE &amp; EV SUMMARY</t>
  </si>
  <si>
    <t>Gordon Growth TV ($mm)</t>
  </si>
  <si>
    <t>Exit Multiple TV ($mm)</t>
  </si>
  <si>
    <t>Blended TV ($mm)</t>
  </si>
  <si>
    <t>PV of Blended TV ($mm)</t>
  </si>
  <si>
    <t>Sum PV FCFF ($mm)</t>
  </si>
  <si>
    <t>EV Operations ($mm)</t>
  </si>
  <si>
    <t>TV % of EV</t>
  </si>
  <si>
    <t xml:space="preserve">  SCENARIO PARAMETERS</t>
  </si>
  <si>
    <t>Growth Multiplier</t>
  </si>
  <si>
    <t>EBIT Margin Multiplier</t>
  </si>
  <si>
    <t>Capex Multiplier</t>
  </si>
  <si>
    <t>WACC Adjustment (add)</t>
  </si>
  <si>
    <t>Exit Multiple Multiplier</t>
  </si>
  <si>
    <t>Item</t>
  </si>
  <si>
    <t>Bear</t>
  </si>
  <si>
    <t>Base</t>
  </si>
  <si>
    <t>Bull</t>
  </si>
  <si>
    <t>Notes</t>
  </si>
  <si>
    <t>Sum PV FCFF (Y1-Y10) $mm</t>
  </si>
  <si>
    <t>PV Terminal Value $mm</t>
  </si>
  <si>
    <t>Blended (Gordon+Exit)/2</t>
  </si>
  <si>
    <t>EV — Operations $mm</t>
  </si>
  <si>
    <t>Flag if &gt;75%</t>
  </si>
  <si>
    <t>(+) Non-Operating Assets $mm</t>
  </si>
  <si>
    <t>EV — Total $mm</t>
  </si>
  <si>
    <t>EV_ops + Non-op assets</t>
  </si>
  <si>
    <t>(-) Net Debt $mm</t>
  </si>
  <si>
    <t>(-) Minority Interest $mm</t>
  </si>
  <si>
    <t>(-) Preferred Equity $mm</t>
  </si>
  <si>
    <t>(-) Pension Deficit $mm</t>
  </si>
  <si>
    <t>(-) Lease Liabilities $mm</t>
  </si>
  <si>
    <t>(-) Options Value $mm</t>
  </si>
  <si>
    <t>(-) Convertibles $mm</t>
  </si>
  <si>
    <t>Equity Value $mm</t>
  </si>
  <si>
    <t>EV_Total − all claims</t>
  </si>
  <si>
    <t>Intrinsic Value / Share</t>
  </si>
  <si>
    <t>Equity / Shares</t>
  </si>
  <si>
    <t>Market Price</t>
  </si>
  <si>
    <t>As of 2026-03-09</t>
  </si>
  <si>
    <t>Upside / (Downside) %</t>
  </si>
  <si>
    <t xml:space="preserve">  EXPECTED INTRINSIC VALUE</t>
  </si>
  <si>
    <t>Expected IV / Share (probability-weighted)</t>
  </si>
  <si>
    <t>Expected Upside %</t>
  </si>
  <si>
    <t>Excl.</t>
  </si>
  <si>
    <t>Ticker</t>
  </si>
  <si>
    <t>Company</t>
  </si>
  <si>
    <t>MCap $mm</t>
  </si>
  <si>
    <t>TEV $mm</t>
  </si>
  <si>
    <t>Revenue $mm</t>
  </si>
  <si>
    <t>EBITDA $mm</t>
  </si>
  <si>
    <t>EBIT $mm</t>
  </si>
  <si>
    <t>EPS</t>
  </si>
  <si>
    <t>EV/EBITDA LTM</t>
  </si>
  <si>
    <t>EV/EBITDA Fwd</t>
  </si>
  <si>
    <t>EV/EBIT</t>
  </si>
  <si>
    <t>P/E</t>
  </si>
  <si>
    <t>IBM</t>
  </si>
  <si>
    <t>International Business Machines Corporation</t>
  </si>
  <si>
    <t>ORCL</t>
  </si>
  <si>
    <t>ACN</t>
  </si>
  <si>
    <t>HPE</t>
  </si>
  <si>
    <t>CTSH</t>
  </si>
  <si>
    <t>SNX</t>
  </si>
  <si>
    <t>MSFT</t>
  </si>
  <si>
    <t>DXC</t>
  </si>
  <si>
    <t>HON</t>
  </si>
  <si>
    <t xml:space="preserve">  MEDIAN (excluding "x" peers)</t>
  </si>
  <si>
    <t xml:space="preserve">  IMPLIED INTRINSIC VALUE (Comps)</t>
  </si>
  <si>
    <t>TEV ($mm)</t>
  </si>
  <si>
    <t>Equity ($mm)</t>
  </si>
  <si>
    <t>IV/Share</t>
  </si>
  <si>
    <t>Upside %</t>
  </si>
  <si>
    <t>EV/EBITDA LTM approach</t>
  </si>
  <si>
    <t>EV/EBIT LTM approach</t>
  </si>
  <si>
    <t>P/E approach</t>
  </si>
  <si>
    <t xml:space="preserve">  IV/Share ($) — WACC (rows) × Terminal Growth (cols)</t>
  </si>
  <si>
    <t>WACC \ Term. g</t>
  </si>
  <si>
    <t>Price = $253.33  |  Green = IV &gt; Price+20%  |  Yellow = within 5%  |  Red = IV &lt; Price-5%</t>
  </si>
  <si>
    <t>QoE Composite Score: 3/5  |  Flag: AMBER  |  As of 2026-03-09</t>
  </si>
  <si>
    <t>Signal</t>
  </si>
  <si>
    <t>Score</t>
  </si>
  <si>
    <t>Threshold</t>
  </si>
  <si>
    <t>Interpretation</t>
  </si>
  <si>
    <t>Sloan Accruals Ratio</t>
  </si>
  <si>
    <t>AMBER</t>
  </si>
  <si>
    <t>&lt;5% green / &gt;10% red</t>
  </si>
  <si>
    <t>Earnings quality (lower = better)</t>
  </si>
  <si>
    <t>Cash Conversion (CFO/NOPAT)</t>
  </si>
  <si>
    <t>&gt;90% green / &lt;70% red</t>
  </si>
  <si>
    <t>Cash backing for earnings</t>
  </si>
  <si>
    <t>DSO Drift (vs 3Y baseline)</t>
  </si>
  <si>
    <t>GREEN</t>
  </si>
  <si>
    <t>&lt;3d green / &gt;7d red</t>
  </si>
  <si>
    <t>AR quality; negative = improving</t>
  </si>
  <si>
    <t>Capex/D&amp;A Ratio</t>
  </si>
  <si>
    <t>&lt;1.5x green / &gt;2.5x red</t>
  </si>
  <si>
    <t>Maintenance vs growth capex</t>
  </si>
  <si>
    <t>DIO Drift</t>
  </si>
  <si>
    <t>&lt;5d green / &gt;10d red</t>
  </si>
  <si>
    <t>Inventory build-up check</t>
  </si>
  <si>
    <t>Revenue recognition flag</t>
  </si>
  <si>
    <t>N/A</t>
  </si>
  <si>
    <t>No restatements flagged</t>
  </si>
  <si>
    <t>Auditor flag</t>
  </si>
  <si>
    <t>None</t>
  </si>
  <si>
    <t>Clean Big-4 opinion</t>
  </si>
  <si>
    <t xml:space="preserve">  NWC BASELINE DETAIL</t>
  </si>
  <si>
    <t>DSO — Current</t>
  </si>
  <si>
    <t>DSO — 3Y Baseline</t>
  </si>
  <si>
    <t>DSO — Drift</t>
  </si>
  <si>
    <t>Market Cap ($mm)</t>
  </si>
  <si>
    <t>Enterprise Value ($mm)</t>
  </si>
  <si>
    <t>P/E (Trailing)</t>
  </si>
  <si>
    <t>P/E (Forward)</t>
  </si>
  <si>
    <t>EV/EBITDA</t>
  </si>
  <si>
    <t>Analyst Target</t>
  </si>
  <si>
    <t>Analyst Rec.</t>
  </si>
  <si>
    <t># Analysts</t>
  </si>
  <si>
    <t xml:space="preserve">  INTRINSIC VALUE SUMMARY</t>
  </si>
  <si>
    <t>Upside / (Downside)</t>
  </si>
  <si>
    <t>Scenario Probability</t>
  </si>
  <si>
    <t>Expected IV / Share</t>
  </si>
  <si>
    <t>Expected Upside</t>
  </si>
  <si>
    <t xml:space="preserve">  WACC SUMMARY</t>
  </si>
  <si>
    <t>Cost of Equity</t>
  </si>
  <si>
    <t>Cost of Debt (at)</t>
  </si>
  <si>
    <t>Beta (Re-levered)</t>
  </si>
  <si>
    <t xml:space="preserve">  QoE FLAGS</t>
  </si>
  <si>
    <t>QoE Score</t>
  </si>
  <si>
    <t>QoE Flag</t>
  </si>
  <si>
    <t>Cash Conversion</t>
  </si>
  <si>
    <t>DSO Drift (days)</t>
  </si>
  <si>
    <t>ticker</t>
  </si>
  <si>
    <t>wacc</t>
  </si>
  <si>
    <t>Key</t>
  </si>
  <si>
    <t>revenue_mm</t>
  </si>
  <si>
    <t>growth_near</t>
  </si>
  <si>
    <t>growth_mid</t>
  </si>
  <si>
    <t>growth_terminal</t>
  </si>
  <si>
    <t>ebit_margin_start</t>
  </si>
  <si>
    <t>ebit_margin_target</t>
  </si>
  <si>
    <t>capex_pct</t>
  </si>
  <si>
    <t>da_pct</t>
  </si>
  <si>
    <t>tax_rate_start</t>
  </si>
  <si>
    <t>tax_rate_target</t>
  </si>
  <si>
    <t>dso_start</t>
  </si>
  <si>
    <t>dso_target</t>
  </si>
  <si>
    <t>dio_start</t>
  </si>
  <si>
    <t>dio_target</t>
  </si>
  <si>
    <t>dpo_start</t>
  </si>
  <si>
    <t>dpo_target</t>
  </si>
  <si>
    <t>exit_multiple</t>
  </si>
  <si>
    <t>ronic_terminal</t>
  </si>
  <si>
    <t>net_debt_mm</t>
  </si>
  <si>
    <t>shares_outstanding_mm</t>
  </si>
  <si>
    <t>non_op_assets_mm</t>
  </si>
  <si>
    <t>pension_deficit_mm</t>
  </si>
  <si>
    <t>lease_liabilities_mm</t>
  </si>
  <si>
    <t>prob_bear</t>
  </si>
  <si>
    <t>prob_base</t>
  </si>
  <si>
    <t>prob_bull</t>
  </si>
  <si>
    <t>kd</t>
  </si>
  <si>
    <t>rf</t>
  </si>
  <si>
    <t>erp</t>
  </si>
  <si>
    <t>ke</t>
  </si>
  <si>
    <t>beta_rel</t>
  </si>
  <si>
    <t>size_prem</t>
  </si>
  <si>
    <t>eq_wt</t>
  </si>
  <si>
    <t>debt_wt</t>
  </si>
  <si>
    <t>Scenario</t>
  </si>
  <si>
    <t>IV</t>
  </si>
  <si>
    <t>Upside_pct</t>
  </si>
  <si>
    <t>Expected</t>
  </si>
  <si>
    <t>price</t>
  </si>
  <si>
    <t>market_cap_mm</t>
  </si>
  <si>
    <t>ev_mm</t>
  </si>
  <si>
    <t>pe_trailing</t>
  </si>
  <si>
    <t>pe_forward</t>
  </si>
  <si>
    <t>ev_ebitda</t>
  </si>
  <si>
    <t>analyst_target</t>
  </si>
  <si>
    <t>analyst_rec</t>
  </si>
  <si>
    <t>name</t>
  </si>
  <si>
    <t>tev_mm</t>
  </si>
  <si>
    <t>revenue_ltm_mm</t>
  </si>
  <si>
    <t>ebitda_ltm_mm</t>
  </si>
  <si>
    <t>eps_ltm</t>
  </si>
  <si>
    <t>tev_ebitda_ltm</t>
  </si>
  <si>
    <t>tev_ebitda_fwd</t>
  </si>
  <si>
    <t>pe_ltm</t>
  </si>
  <si>
    <t>C:\Projects\03-Finance\ai-fund\data\valuations\json\BAH_latest.json</t>
  </si>
  <si>
    <t>hold</t>
  </si>
  <si>
    <t>CACI</t>
  </si>
  <si>
    <t>LDOS</t>
  </si>
  <si>
    <t>SAIC</t>
  </si>
  <si>
    <t>AMTM</t>
  </si>
  <si>
    <t>PSN</t>
  </si>
  <si>
    <t>KBR</t>
  </si>
  <si>
    <t>FCN</t>
  </si>
  <si>
    <t>ICFI</t>
  </si>
  <si>
    <t>Name</t>
  </si>
  <si>
    <t>$schema_version</t>
  </si>
  <si>
    <t>1.0</t>
  </si>
  <si>
    <t>generated_at</t>
  </si>
  <si>
    <t>2026-06-14T19:49:23</t>
  </si>
  <si>
    <t>BAH</t>
  </si>
  <si>
    <t>company_name</t>
  </si>
  <si>
    <t>Booz Allen Hamilton Holding Corporation</t>
  </si>
  <si>
    <t>sector</t>
  </si>
  <si>
    <t>Industrials</t>
  </si>
  <si>
    <t>industry</t>
  </si>
  <si>
    <t>Consulting Services</t>
  </si>
  <si>
    <t>market</t>
  </si>
  <si>
    <t>[Record]</t>
  </si>
  <si>
    <t>assumptions</t>
  </si>
  <si>
    <t>valuation</t>
  </si>
  <si>
    <t>scenarios</t>
  </si>
  <si>
    <t>terminal</t>
  </si>
  <si>
    <t>health_flags</t>
  </si>
  <si>
    <t>forecast_bridge</t>
  </si>
  <si>
    <t>[List]</t>
  </si>
  <si>
    <t>source_lineage</t>
  </si>
  <si>
    <t>ciq_lineage</t>
  </si>
  <si>
    <t>story_profile</t>
  </si>
  <si>
    <t>story_adjustments</t>
  </si>
  <si>
    <t>default_resolution</t>
  </si>
  <si>
    <t>scenario_policy</t>
  </si>
  <si>
    <t>context_scenarios</t>
  </si>
  <si>
    <t>driver_consensus</t>
  </si>
  <si>
    <t>assumption_register</t>
  </si>
  <si>
    <t>assumption_register_summary</t>
  </si>
  <si>
    <t>drivers_raw</t>
  </si>
  <si>
    <t>comps_detail</t>
  </si>
  <si>
    <t>comps_analysis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</si>
</sst>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  <numFmt numFmtId="171" formatCode="dd\ mmm\ yyyy"/>
  </numFmts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70C0"/>
      <name val="Calibri"/>
    </font>
    <font>
      <b/>
      <sz val="9"/>
      <color rgb="FF000000"/>
      <name val="Calibri"/>
    </font>
    <font>
      <i/>
      <sz val="9"/>
      <color rgb="FF595959"/>
      <name val="Calibri"/>
    </font>
    <font>
      <b/>
      <sz val="20"/>
      <color rgb="FF1F3864"/>
      <name val="Calibri"/>
    </font>
    <font>
      <sz val="14"/>
      <color rgb="FF0070C0"/>
      <name val="Calibri"/>
    </font>
    <font>
      <sz val="9"/>
      <color rgb="FF000000"/>
      <name val="Calibri"/>
    </font>
    <font>
      <i/>
      <sz val="9"/>
      <color rgb="FF000000"/>
      <name val="Calibri"/>
    </font>
    <font>
      <i/>
      <sz val="9"/>
      <color rgb="FFFFC000"/>
      <name val="Calibri"/>
    </font>
    <font>
      <sz val="10"/>
      <color rgb="FF000000"/>
      <name val="Calibri"/>
    </font>
    <font>
      <sz val="10"/>
      <color rgb="FF375623"/>
      <name val="Calibri"/>
    </font>
    <font>
      <b/>
      <sz val="12"/>
      <color rgb="FF1F3864"/>
      <name val="Calibri"/>
    </font>
    <font>
      <i/>
      <sz val="8"/>
      <color rgb="FF888888"/>
      <name val="Calibri"/>
    </font>
    <font>
      <b/>
      <sz val="13"/>
      <color rgb="FF1F3864"/>
      <name val="Calibri"/>
    </font>
    <font>
      <b/>
      <sz val="10"/>
      <color rgb="FF375623"/>
      <name val="Calibri"/>
    </font>
    <font>
      <b/>
      <sz val="10"/>
      <color rgb="FF0070C0"/>
      <name val="Calibri"/>
    </font>
    <font>
      <sz val="10"/>
      <color rgb="FF1E4620"/>
      <name val="Calibri"/>
    </font>
    <font>
      <b/>
      <sz val="11"/>
      <color rgb="FF000000"/>
      <name val="Calibri"/>
    </font>
    <font>
      <b/>
      <sz val="14"/>
      <color rgb="FF1F386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/>
    <xf numFmtId="0" fontId="11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/>
    </xf>
    <xf numFmtId="164" fontId="0" fillId="3" borderId="0" xfId="0" applyNumberFormat="1" applyFill="1"/>
    <xf numFmtId="164" fontId="11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0" fillId="3" borderId="0" xfId="0" applyNumberFormat="1" applyFill="1"/>
    <xf numFmtId="165" fontId="11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0" fillId="3" borderId="0" xfId="0" applyNumberFormat="1" applyFill="1"/>
    <xf numFmtId="166" fontId="11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0" fillId="3" borderId="0" xfId="0" applyNumberFormat="1" applyFill="1"/>
    <xf numFmtId="4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0" fontId="3" fillId="0" borderId="0" xfId="0" applyNumberFormat="1" applyFont="1"/>
    <xf numFmtId="10" fontId="0" fillId="3" borderId="0" xfId="0" applyNumberFormat="1" applyFill="1"/>
    <xf numFmtId="10" fontId="11" fillId="0" borderId="0" xfId="0" applyNumberFormat="1" applyFont="1" applyAlignment="1">
      <alignment horizontal="right" vertical="center"/>
    </xf>
    <xf numFmtId="0" fontId="8" fillId="0" borderId="0" xfId="0" applyFont="1"/>
    <xf numFmtId="0" fontId="11" fillId="0" borderId="0" xfId="0" applyFont="1" applyAlignment="1">
      <alignment horizontal="left" vertical="center" indent="2"/>
    </xf>
    <xf numFmtId="164" fontId="1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0" fillId="3" borderId="0" xfId="0" applyNumberFormat="1" applyFill="1"/>
    <xf numFmtId="3" fontId="11" fillId="0" borderId="0" xfId="0" applyNumberFormat="1" applyFont="1" applyAlignment="1">
      <alignment horizontal="right" vertical="center"/>
    </xf>
    <xf numFmtId="0" fontId="9" fillId="0" borderId="0" xfId="0" applyFont="1"/>
    <xf numFmtId="164" fontId="8" fillId="0" borderId="0" xfId="0" applyNumberFormat="1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4" fillId="0" borderId="0" xfId="0" applyFont="1"/>
    <xf numFmtId="3" fontId="12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3" fontId="2" fillId="0" borderId="0" xfId="0" applyNumberFormat="1" applyFont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/>
    <xf numFmtId="0" fontId="11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0" xfId="0" applyNumberFormat="1" applyFont="1" applyFill="1" applyAlignment="1">
      <alignment horizontal="right" vertical="center"/>
    </xf>
    <xf numFmtId="3" fontId="17" fillId="4" borderId="0" xfId="0" applyNumberFormat="1" applyFont="1" applyFill="1" applyAlignment="1">
      <alignment horizontal="right" vertical="center"/>
    </xf>
    <xf numFmtId="166" fontId="17" fillId="4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3" fontId="11" fillId="7" borderId="0" xfId="0" applyNumberFormat="1" applyFont="1" applyFill="1" applyAlignment="1">
      <alignment horizontal="right" vertical="center"/>
    </xf>
    <xf numFmtId="2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3" fontId="11" fillId="8" borderId="0" xfId="0" applyNumberFormat="1" applyFont="1" applyFill="1" applyAlignment="1">
      <alignment horizontal="right" vertical="center"/>
    </xf>
    <xf numFmtId="2" fontId="11" fillId="8" borderId="0" xfId="0" applyNumberFormat="1" applyFont="1" applyFill="1" applyAlignment="1">
      <alignment horizontal="right" vertical="center"/>
    </xf>
    <xf numFmtId="166" fontId="11" fillId="8" borderId="0" xfId="0" applyNumberFormat="1" applyFont="1" applyFill="1" applyAlignment="1">
      <alignment horizontal="right" vertical="center"/>
    </xf>
    <xf numFmtId="166" fontId="1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8" fontId="18" fillId="9" borderId="0" xfId="0" applyNumberFormat="1" applyFont="1" applyFill="1" applyAlignment="1">
      <alignment horizontal="center" vertical="center"/>
    </xf>
    <xf numFmtId="168" fontId="0" fillId="10" borderId="0" xfId="0" applyNumberFormat="1" applyFill="1" applyAlignment="1">
      <alignment horizontal="center" vertical="center"/>
    </xf>
    <xf numFmtId="168" fontId="0" fillId="11" borderId="0" xfId="0" applyNumberFormat="1" applyFill="1" applyAlignment="1">
      <alignment horizontal="center" vertical="center"/>
    </xf>
    <xf numFmtId="168" fontId="2" fillId="11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5" fillId="0" borderId="0" xfId="0" applyFont="1"/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8B61104-DE4A-4BED-A552-1D7171BA9087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3804B16F-8A61-4A31-8522-4559AEB951A9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40D535B-B0F4-4505-A2AA-5642EF9A4858}" autoFormatId="16" applyNumberFormats="0" applyBorderFormats="0" applyFontFormats="0" applyPatternFormats="0" applyAlignmentFormats="0" applyWidthHeightFormats="0">
  <queryTableRefresh nextId="4">
    <queryTableFields count="3">
      <queryTableField id="1" name="Scenario" tableColumnId="1"/>
      <queryTableField id="2" name="IV" tableColumnId="2"/>
      <queryTableField id="3" name="Upside_p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A6949CE-5640-4E84-A7D6-80134BB110FD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FAB62F2-0B30-4396-9050-61A3E9131844}" autoFormatId="16" applyNumberFormats="0" applyBorderFormats="0" applyFontFormats="0" applyPatternFormats="0" applyAlignmentFormats="0" applyWidthHeightFormats="0">
  <queryTableRefresh nextId="11">
    <queryTableFields count="10">
      <queryTableField id="1" name="ticker" tableColumnId="1"/>
      <queryTableField id="2" name="name" tableColumnId="2"/>
      <queryTableField id="3" name="market_cap_mm" tableColumnId="3"/>
      <queryTableField id="4" name="tev_mm" tableColumnId="4"/>
      <queryTableField id="5" name="revenue_ltm_mm" tableColumnId="5"/>
      <queryTableField id="6" name="ebitda_ltm_mm" tableColumnId="6"/>
      <queryTableField id="7" name="eps_ltm" tableColumnId="7"/>
      <queryTableField id="8" name="tev_ebitda_ltm" tableColumnId="8"/>
      <queryTableField id="9" name="tev_ebitda_fwd" tableColumnId="9"/>
      <queryTableField id="10" name="pe_lt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FDCFF4-FAD6-496B-94AB-101D3AA7B88E}" name="Assumptions_1" displayName="Assumptions_1" ref="A1:B27" tableType="queryTable" totalsRowShown="0">
  <autoFilter ref="A1:B27" xr:uid="{CDFDCFF4-FAD6-496B-94AB-101D3AA7B88E}"/>
  <tableColumns count="2">
    <tableColumn id="1" xr3:uid="{28877FE8-D5CC-4DFB-A804-AB8A2BB7AA59}" uniqueName="1" name="Key" queryTableFieldId="1"/>
    <tableColumn id="2" xr3:uid="{A6E2F21A-30E9-46ED-9F2F-95605BEB889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7C1E1-CFE3-45E1-A5E8-4624588747A6}" name="WACC" displayName="WACC" ref="A29:B38" tableType="queryTable" totalsRowShown="0">
  <autoFilter ref="A29:B38" xr:uid="{3177C1E1-CFE3-45E1-A5E8-4624588747A6}"/>
  <tableColumns count="2">
    <tableColumn id="1" xr3:uid="{D7E75620-BF9E-46B2-BE24-270FE23D36CF}" uniqueName="1" name="Key" queryTableFieldId="1"/>
    <tableColumn id="2" xr3:uid="{F4178B42-BC32-4243-BD0B-57134E7B72D0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5EF68-573D-45A9-A65D-95649BCAF94C}" name="Scenarios" displayName="Scenarios" ref="A40:C44" tableType="queryTable" totalsRowShown="0">
  <autoFilter ref="A40:C44" xr:uid="{FB05EF68-573D-45A9-A65D-95649BCAF94C}"/>
  <tableColumns count="3">
    <tableColumn id="1" xr3:uid="{75FA52A9-4B00-44AB-BBC7-54204E325C65}" uniqueName="1" name="Scenario" queryTableFieldId="1"/>
    <tableColumn id="2" xr3:uid="{547E2CC5-586A-4668-9608-76247E115717}" uniqueName="2" name="IV" queryTableFieldId="2"/>
    <tableColumn id="3" xr3:uid="{B59829BB-41BA-467B-8E17-FF7C3C65592C}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0DD5FB-236C-4264-BA57-76FBB9C69B0A}" name="MarketData" displayName="MarketData" ref="A46:B54" tableType="queryTable" totalsRowShown="0">
  <autoFilter ref="A46:B54" xr:uid="{BC0DD5FB-236C-4264-BA57-76FBB9C69B0A}"/>
  <tableColumns count="2">
    <tableColumn id="1" xr3:uid="{3DCC9032-4945-458B-8DF7-68CE9D4D9B7A}" uniqueName="1" name="Key" queryTableFieldId="1"/>
    <tableColumn id="2" xr3:uid="{BF3B15EE-C88F-4873-804C-A90D5C724447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9886BE-9EC3-4191-8AA3-2B0B4A1A0A54}" name="Comps" displayName="Comps" ref="A56:J64" tableType="queryTable" totalsRowShown="0">
  <autoFilter ref="A56:J64" xr:uid="{469886BE-9EC3-4191-8AA3-2B0B4A1A0A54}"/>
  <tableColumns count="10">
    <tableColumn id="1" xr3:uid="{6889B1CA-9C7B-4B66-891C-A051E9234662}" uniqueName="1" name="ticker" queryTableFieldId="1"/>
    <tableColumn id="2" xr3:uid="{A4290F7E-01FA-49B6-AB32-6AA8CD6FBC7B}" uniqueName="2" name="name" queryTableFieldId="2"/>
    <tableColumn id="3" xr3:uid="{5B67B2B6-DEF0-474F-9C89-0FE23532F9A6}" uniqueName="3" name="market_cap_mm" queryTableFieldId="3"/>
    <tableColumn id="4" xr3:uid="{76B51D2C-16CA-496F-93D4-3472800C4FAE}" uniqueName="4" name="tev_mm" queryTableFieldId="4"/>
    <tableColumn id="5" xr3:uid="{C0733292-528E-4F80-A315-42C7569E86D9}" uniqueName="5" name="revenue_ltm_mm" queryTableFieldId="5"/>
    <tableColumn id="6" xr3:uid="{D036CDF9-8AAC-4226-AC04-8678F856953B}" uniqueName="6" name="ebitda_ltm_mm" queryTableFieldId="6"/>
    <tableColumn id="7" xr3:uid="{B0075EC9-C2C5-4CC8-876A-A53D972F5989}" uniqueName="7" name="eps_ltm" queryTableFieldId="7"/>
    <tableColumn id="8" xr3:uid="{25371538-AF4E-4928-B8CA-057CDB355DCD}" uniqueName="8" name="tev_ebitda_ltm" queryTableFieldId="8"/>
    <tableColumn id="9" xr3:uid="{AA81921D-4102-4214-8386-9325837A14C3}" uniqueName="9" name="tev_ebitda_fwd" queryTableFieldId="9"/>
    <tableColumn id="10" xr3:uid="{AF52AAEB-C638-40A9-A729-6803C91F2B19}" uniqueName="10" name="pe_ltm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A1BD5-D4CD-436F-AAC5-ABA1FC2F7EC8}" name="TickerJSON__2" displayName="TickerJSON__2" ref="D1:E28" totalsRowShown="0">
  <autoFilter ref="D1:E28" xr:uid="{E43A1BD5-D4CD-436F-AAC5-ABA1FC2F7EC8}"/>
  <tableColumns count="2">
    <tableColumn id="1" xr3:uid="{515DB46F-4D0A-46FC-BEA8-E251295C4F80}" name="Name"/>
    <tableColumn id="2" xr3:uid="{F8B38580-FCB5-46AE-BEA5-765C65050F52}" name="Valu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C26"/>
  <sheetViews>
    <sheetView showOutlineSymbols="0" showWhiteSpace="0" workbookViewId="0">
      <selection activeCell="C8" sqref="C8"/>
    </sheetView>
    <sheetView workbookViewId="1"/>
  </sheetViews>
  <sheetFormatPr defaultRowHeight="15" x14ac:dyDescent="0.25"/>
  <cols>
    <col min="1" max="1" width="4" customWidth="1"/>
    <col min="2" max="2" width="40" customWidth="1"/>
    <col min="3" max="3" width="30" customWidth="1"/>
  </cols>
  <sheetData>
    <row r="2" spans="2:3" x14ac:dyDescent="0.25">
      <c r="B2" t="str">
        <f>_Data!E4</f>
        <v>BAH</v>
      </c>
    </row>
    <row r="4" spans="2:3" ht="36" customHeight="1" x14ac:dyDescent="0.25">
      <c r="B4" s="97" t="s">
        <v>0</v>
      </c>
      <c r="C4" s="96"/>
    </row>
    <row r="5" spans="2:3" ht="21.95" customHeight="1" x14ac:dyDescent="0.25">
      <c r="B5" s="95" t="str">
        <f>_Data!E4 &amp; " - " &amp; _Data!E5</f>
        <v>BAH - Booz Allen Hamilton Holding Corporation</v>
      </c>
      <c r="C5" s="96"/>
    </row>
    <row r="7" spans="2:3" x14ac:dyDescent="0.25">
      <c r="B7" s="2" t="s">
        <v>1</v>
      </c>
      <c r="C7" s="5" t="str">
        <f>_Data!E6</f>
        <v>Industrials</v>
      </c>
    </row>
    <row r="8" spans="2:3" x14ac:dyDescent="0.25">
      <c r="B8" s="2" t="s">
        <v>2</v>
      </c>
      <c r="C8" s="103">
        <f>DATEVALUE(_xlfn.TEXTBEFORE(_Data!E3, "T"))</f>
        <v>46187</v>
      </c>
    </row>
    <row r="9" spans="2:3" x14ac:dyDescent="0.25">
      <c r="B9" s="2" t="s">
        <v>3</v>
      </c>
      <c r="C9" s="5">
        <f>Price</f>
        <v>77.41</v>
      </c>
    </row>
    <row r="10" spans="2:3" x14ac:dyDescent="0.25">
      <c r="B10" s="2" t="s">
        <v>4</v>
      </c>
      <c r="C10" s="5">
        <f>_Data!B49</f>
        <v>12664</v>
      </c>
    </row>
    <row r="11" spans="2:3" x14ac:dyDescent="0.25">
      <c r="B11" s="2" t="s">
        <v>5</v>
      </c>
      <c r="C11" s="5">
        <f>_Data!B21</f>
        <v>122.375</v>
      </c>
    </row>
    <row r="12" spans="2:3" x14ac:dyDescent="0.25">
      <c r="B12" s="2" t="s">
        <v>6</v>
      </c>
      <c r="C12" s="5" t="s">
        <v>7</v>
      </c>
    </row>
    <row r="14" spans="2:3" ht="14.1" customHeight="1" x14ac:dyDescent="0.25">
      <c r="B14" s="6" t="s">
        <v>8</v>
      </c>
    </row>
    <row r="15" spans="2:3" x14ac:dyDescent="0.25">
      <c r="B15" s="7" t="s">
        <v>9</v>
      </c>
    </row>
    <row r="16" spans="2:3" x14ac:dyDescent="0.25">
      <c r="B16" s="7" t="s">
        <v>10</v>
      </c>
    </row>
    <row r="17" spans="2:2" x14ac:dyDescent="0.25">
      <c r="B17" s="7" t="s">
        <v>11</v>
      </c>
    </row>
    <row r="18" spans="2:2" x14ac:dyDescent="0.25">
      <c r="B18" s="7" t="s">
        <v>12</v>
      </c>
    </row>
    <row r="19" spans="2:2" x14ac:dyDescent="0.25">
      <c r="B19" s="7" t="s">
        <v>13</v>
      </c>
    </row>
    <row r="20" spans="2:2" x14ac:dyDescent="0.25">
      <c r="B20" s="7" t="s">
        <v>14</v>
      </c>
    </row>
    <row r="21" spans="2:2" x14ac:dyDescent="0.25">
      <c r="B21" s="7" t="s">
        <v>15</v>
      </c>
    </row>
    <row r="22" spans="2:2" x14ac:dyDescent="0.25">
      <c r="B22" s="7" t="s">
        <v>16</v>
      </c>
    </row>
    <row r="23" spans="2:2" x14ac:dyDescent="0.25">
      <c r="B23" s="7" t="s">
        <v>17</v>
      </c>
    </row>
    <row r="25" spans="2:2" ht="14.1" customHeight="1" x14ac:dyDescent="0.25">
      <c r="B25" s="8" t="s">
        <v>18</v>
      </c>
    </row>
    <row r="26" spans="2:2" x14ac:dyDescent="0.25">
      <c r="B26" s="9" t="s">
        <v>19</v>
      </c>
    </row>
  </sheetData>
  <mergeCells count="2"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E53"/>
  <sheetViews>
    <sheetView showOutlineSymbols="0" showWhiteSpace="0" workbookViewId="0">
      <selection activeCell="A2" sqref="A2"/>
    </sheetView>
    <sheetView workbookViewId="1"/>
  </sheetViews>
  <sheetFormatPr defaultRowHeight="15" x14ac:dyDescent="0.25"/>
  <cols>
    <col min="1" max="1" width="30" customWidth="1"/>
    <col min="2" max="4" width="15" customWidth="1"/>
    <col min="5" max="5" width="22" customWidth="1"/>
  </cols>
  <sheetData>
    <row r="1" spans="1:5" ht="32.1" customHeigh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 ht="15.95" customHeight="1" x14ac:dyDescent="0.25">
      <c r="A2" s="1" t="s">
        <v>33</v>
      </c>
      <c r="B2" s="11"/>
      <c r="C2" s="1" t="s">
        <v>34</v>
      </c>
      <c r="D2" s="11"/>
      <c r="E2" s="11"/>
    </row>
    <row r="3" spans="1:5" ht="15.95" customHeight="1" x14ac:dyDescent="0.25">
      <c r="A3" s="1" t="s">
        <v>35</v>
      </c>
      <c r="B3" s="12">
        <f>_Data!B2</f>
        <v>11217</v>
      </c>
      <c r="C3" s="13"/>
      <c r="D3" s="12">
        <f>IF(C3="",B3,C3)</f>
        <v>11217</v>
      </c>
      <c r="E3" s="1" t="s">
        <v>36</v>
      </c>
    </row>
    <row r="4" spans="1:5" x14ac:dyDescent="0.25">
      <c r="A4" s="14" t="s">
        <v>37</v>
      </c>
      <c r="B4" s="15">
        <f>_Data!B3</f>
        <v>2.4725167156994356E-3</v>
      </c>
      <c r="C4" s="16"/>
      <c r="D4" s="17">
        <f>IF(C4="",B4,C4)</f>
        <v>2.4725167156994356E-3</v>
      </c>
      <c r="E4" s="7" t="s">
        <v>38</v>
      </c>
    </row>
    <row r="5" spans="1:5" x14ac:dyDescent="0.25">
      <c r="A5" s="14" t="s">
        <v>39</v>
      </c>
      <c r="B5" s="15">
        <f>_Data!B4</f>
        <v>1.3598841936346897E-3</v>
      </c>
      <c r="C5" s="16"/>
      <c r="D5" s="17">
        <f>IF(C5="",B5,C5)</f>
        <v>1.3598841936346897E-3</v>
      </c>
      <c r="E5" s="7" t="s">
        <v>40</v>
      </c>
    </row>
    <row r="6" spans="1:5" x14ac:dyDescent="0.25">
      <c r="A6" s="14" t="s">
        <v>41</v>
      </c>
      <c r="B6" s="15">
        <f>_Data!B5</f>
        <v>2.5000000000000001E-2</v>
      </c>
      <c r="C6" s="16"/>
      <c r="D6" s="17">
        <f>IF(C6="",B6,C6)</f>
        <v>2.5000000000000001E-2</v>
      </c>
      <c r="E6" s="7" t="s">
        <v>42</v>
      </c>
    </row>
    <row r="7" spans="1:5" ht="15.95" customHeight="1" x14ac:dyDescent="0.25">
      <c r="A7" s="1" t="s">
        <v>43</v>
      </c>
      <c r="B7" s="11"/>
      <c r="C7" s="11"/>
      <c r="D7" s="11"/>
      <c r="E7" s="11"/>
    </row>
    <row r="8" spans="1:5" x14ac:dyDescent="0.25">
      <c r="A8" s="14" t="s">
        <v>44</v>
      </c>
      <c r="B8" s="15">
        <f>_Data!B6</f>
        <v>9.8363684363219239E-2</v>
      </c>
      <c r="C8" s="16"/>
      <c r="D8" s="17">
        <f>IF(C8="",B8,C8)</f>
        <v>9.8363684363219239E-2</v>
      </c>
      <c r="E8" s="7" t="s">
        <v>45</v>
      </c>
    </row>
    <row r="9" spans="1:5" x14ac:dyDescent="0.25">
      <c r="A9" s="14" t="s">
        <v>46</v>
      </c>
      <c r="B9" s="15">
        <f>_Data!B7</f>
        <v>0.11418184218160962</v>
      </c>
      <c r="C9" s="16"/>
      <c r="D9" s="17">
        <f>IF(C9="",B9,C9)</f>
        <v>0.11418184218160962</v>
      </c>
      <c r="E9" s="7" t="s">
        <v>47</v>
      </c>
    </row>
    <row r="10" spans="1:5" ht="15.95" customHeight="1" x14ac:dyDescent="0.25">
      <c r="A10" s="1" t="s">
        <v>48</v>
      </c>
      <c r="B10" s="11"/>
      <c r="C10" s="11"/>
      <c r="D10" s="11"/>
      <c r="E10" s="11"/>
    </row>
    <row r="11" spans="1:5" x14ac:dyDescent="0.25">
      <c r="A11" s="14" t="s">
        <v>49</v>
      </c>
      <c r="B11" s="15">
        <f>_Data!B9</f>
        <v>1.4562066365591405E-2</v>
      </c>
      <c r="C11" s="16"/>
      <c r="D11" s="17">
        <f>IF(C11="",B11,C11)</f>
        <v>1.4562066365591405E-2</v>
      </c>
      <c r="E11" s="7" t="s">
        <v>45</v>
      </c>
    </row>
    <row r="12" spans="1:5" x14ac:dyDescent="0.25">
      <c r="A12" s="14" t="s">
        <v>50</v>
      </c>
      <c r="B12" s="15">
        <f>_Data!B8</f>
        <v>0.01</v>
      </c>
      <c r="C12" s="16"/>
      <c r="D12" s="17">
        <f>IF(C12="",B12,C12)</f>
        <v>0.01</v>
      </c>
      <c r="E12" s="7" t="s">
        <v>45</v>
      </c>
    </row>
    <row r="13" spans="1:5" ht="15.95" customHeight="1" x14ac:dyDescent="0.25">
      <c r="A13" s="1" t="s">
        <v>51</v>
      </c>
      <c r="B13" s="11"/>
      <c r="C13" s="11"/>
      <c r="D13" s="11"/>
      <c r="E13" s="11"/>
    </row>
    <row r="14" spans="1:5" x14ac:dyDescent="0.25">
      <c r="A14" s="14" t="s">
        <v>52</v>
      </c>
      <c r="B14" s="15">
        <f>_Data!B10</f>
        <v>0.20564843605761052</v>
      </c>
      <c r="C14" s="16"/>
      <c r="D14" s="17">
        <f>IF(C14="",B14,C14)</f>
        <v>0.20564843605761052</v>
      </c>
      <c r="E14" s="7" t="s">
        <v>45</v>
      </c>
    </row>
    <row r="15" spans="1:5" x14ac:dyDescent="0.25">
      <c r="A15" s="14" t="s">
        <v>53</v>
      </c>
      <c r="B15" s="15">
        <f>_Data!B11</f>
        <v>0.20564843605761052</v>
      </c>
      <c r="C15" s="16"/>
      <c r="D15" s="17">
        <f>IF(C15="",B15,C15)</f>
        <v>0.20564843605761052</v>
      </c>
      <c r="E15" s="7" t="s">
        <v>54</v>
      </c>
    </row>
    <row r="16" spans="1:5" ht="15.95" customHeight="1" x14ac:dyDescent="0.25">
      <c r="A16" s="1" t="s">
        <v>55</v>
      </c>
      <c r="B16" s="11"/>
      <c r="C16" s="11"/>
      <c r="D16" s="11"/>
      <c r="E16" s="11"/>
    </row>
    <row r="17" spans="1:5" x14ac:dyDescent="0.25">
      <c r="A17" s="14" t="s">
        <v>56</v>
      </c>
      <c r="B17" s="18">
        <f>_Data!B12</f>
        <v>67.099999999999994</v>
      </c>
      <c r="C17" s="19"/>
      <c r="D17" s="20">
        <f t="shared" ref="D17:D22" si="0">IF(C17="",B17,C17)</f>
        <v>67.099999999999994</v>
      </c>
      <c r="E17" s="7" t="s">
        <v>45</v>
      </c>
    </row>
    <row r="18" spans="1:5" x14ac:dyDescent="0.25">
      <c r="A18" s="14" t="s">
        <v>57</v>
      </c>
      <c r="B18" s="18">
        <f>_Data!B13</f>
        <v>58.629999999999995</v>
      </c>
      <c r="C18" s="19"/>
      <c r="D18" s="20">
        <f t="shared" si="0"/>
        <v>58.629999999999995</v>
      </c>
      <c r="E18" s="7" t="s">
        <v>47</v>
      </c>
    </row>
    <row r="19" spans="1:5" x14ac:dyDescent="0.25">
      <c r="A19" s="14" t="s">
        <v>58</v>
      </c>
      <c r="B19" s="18">
        <f>_Data!B14</f>
        <v>5</v>
      </c>
      <c r="C19" s="19"/>
      <c r="D19" s="20">
        <f t="shared" si="0"/>
        <v>5</v>
      </c>
      <c r="E19" s="7" t="s">
        <v>45</v>
      </c>
    </row>
    <row r="20" spans="1:5" x14ac:dyDescent="0.25">
      <c r="A20" s="14" t="s">
        <v>59</v>
      </c>
      <c r="B20" s="18">
        <f>_Data!B15</f>
        <v>43.5</v>
      </c>
      <c r="C20" s="19"/>
      <c r="D20" s="20">
        <f t="shared" si="0"/>
        <v>43.5</v>
      </c>
      <c r="E20" s="7" t="s">
        <v>47</v>
      </c>
    </row>
    <row r="21" spans="1:5" x14ac:dyDescent="0.25">
      <c r="A21" s="14" t="s">
        <v>60</v>
      </c>
      <c r="B21" s="18">
        <f>_Data!B16</f>
        <v>19.3</v>
      </c>
      <c r="C21" s="19"/>
      <c r="D21" s="20">
        <f t="shared" si="0"/>
        <v>19.3</v>
      </c>
      <c r="E21" s="7" t="s">
        <v>45</v>
      </c>
    </row>
    <row r="22" spans="1:5" x14ac:dyDescent="0.25">
      <c r="A22" s="14" t="s">
        <v>61</v>
      </c>
      <c r="B22" s="18">
        <f>_Data!B17</f>
        <v>40.79</v>
      </c>
      <c r="C22" s="19"/>
      <c r="D22" s="20">
        <f t="shared" si="0"/>
        <v>40.79</v>
      </c>
      <c r="E22" s="7" t="s">
        <v>47</v>
      </c>
    </row>
    <row r="23" spans="1:5" ht="15.95" customHeight="1" x14ac:dyDescent="0.25">
      <c r="A23" s="1" t="s">
        <v>62</v>
      </c>
      <c r="B23" s="11"/>
      <c r="C23" s="11"/>
      <c r="D23" s="11"/>
      <c r="E23" s="11"/>
    </row>
    <row r="24" spans="1:5" x14ac:dyDescent="0.25">
      <c r="A24" s="14" t="s">
        <v>63</v>
      </c>
      <c r="B24" s="21">
        <f>_Data!B18</f>
        <v>8.5172399999999993</v>
      </c>
      <c r="C24" s="22"/>
      <c r="D24" s="23">
        <f>IF(C24="",B24,C24)</f>
        <v>8.5172399999999993</v>
      </c>
      <c r="E24" s="7" t="s">
        <v>64</v>
      </c>
    </row>
    <row r="25" spans="1:5" x14ac:dyDescent="0.25">
      <c r="A25" s="14" t="s">
        <v>65</v>
      </c>
      <c r="B25" s="15">
        <f>_Data!B19</f>
        <v>0.11</v>
      </c>
      <c r="C25" s="16"/>
      <c r="D25" s="17">
        <f>IF(C25="",B25,C25)</f>
        <v>0.11</v>
      </c>
      <c r="E25" s="7" t="s">
        <v>66</v>
      </c>
    </row>
    <row r="26" spans="1:5" ht="15.95" customHeight="1" x14ac:dyDescent="0.25">
      <c r="A26" s="1" t="s">
        <v>67</v>
      </c>
      <c r="B26" s="11"/>
      <c r="C26" s="11"/>
      <c r="D26" s="11"/>
      <c r="E26" s="11"/>
    </row>
    <row r="27" spans="1:5" x14ac:dyDescent="0.25">
      <c r="A27" s="14" t="s">
        <v>68</v>
      </c>
      <c r="B27" s="15">
        <v>4.4999999999999998E-2</v>
      </c>
      <c r="C27" s="16"/>
      <c r="D27" s="17">
        <f>IF(C27="",B27,C27)</f>
        <v>4.4999999999999998E-2</v>
      </c>
      <c r="E27" s="7" t="s">
        <v>69</v>
      </c>
    </row>
    <row r="28" spans="1:5" x14ac:dyDescent="0.25">
      <c r="A28" s="14" t="s">
        <v>70</v>
      </c>
      <c r="B28" s="15">
        <v>0.05</v>
      </c>
      <c r="C28" s="16"/>
      <c r="D28" s="17">
        <f>IF(C28="",B28,C28)</f>
        <v>0.05</v>
      </c>
      <c r="E28" s="7" t="s">
        <v>71</v>
      </c>
    </row>
    <row r="29" spans="1:5" x14ac:dyDescent="0.25">
      <c r="A29" s="14" t="s">
        <v>72</v>
      </c>
      <c r="B29" s="24">
        <f>_Data!B35</f>
        <v>0.27</v>
      </c>
      <c r="C29" s="25"/>
      <c r="D29" s="26">
        <f>IF(C29="",B29,C29)</f>
        <v>0.27</v>
      </c>
      <c r="E29" s="7" t="s">
        <v>73</v>
      </c>
    </row>
    <row r="30" spans="1:5" x14ac:dyDescent="0.25">
      <c r="A30" s="14" t="s">
        <v>74</v>
      </c>
      <c r="B30" s="15">
        <f>_Data!B36</f>
        <v>0.6</v>
      </c>
      <c r="C30" s="16"/>
      <c r="D30" s="17">
        <f>IF(C30="",B30,C30)</f>
        <v>0.6</v>
      </c>
      <c r="E30" s="7" t="s">
        <v>75</v>
      </c>
    </row>
    <row r="31" spans="1:5" x14ac:dyDescent="0.25">
      <c r="A31" s="27" t="s">
        <v>76</v>
      </c>
      <c r="B31" s="28">
        <f>WACC[[#This Row],[Value]]</f>
        <v>7.4630000000000002E-2</v>
      </c>
      <c r="C31" s="29"/>
      <c r="D31" s="30">
        <f>IF(C31="",D27+D29*D28+D30,C31)</f>
        <v>0.65849999999999997</v>
      </c>
      <c r="E31" s="31" t="s">
        <v>77</v>
      </c>
    </row>
    <row r="32" spans="1:5" x14ac:dyDescent="0.25">
      <c r="A32" s="14" t="s">
        <v>78</v>
      </c>
      <c r="B32" s="15">
        <v>2.7804686786482229E-2</v>
      </c>
      <c r="C32" s="16"/>
      <c r="D32" s="17">
        <f>IF(C32="",B32,C32)</f>
        <v>2.7804686786482229E-2</v>
      </c>
      <c r="E32" s="7" t="s">
        <v>79</v>
      </c>
    </row>
    <row r="33" spans="1:5" x14ac:dyDescent="0.25">
      <c r="A33" s="32" t="s">
        <v>80</v>
      </c>
      <c r="D33" s="33">
        <f>D14</f>
        <v>0.20564843605761052</v>
      </c>
      <c r="E33" s="31" t="e">
        <f>Assumptions D14</f>
        <v>#NAME?</v>
      </c>
    </row>
    <row r="34" spans="1:5" x14ac:dyDescent="0.25">
      <c r="A34" s="27" t="s">
        <v>81</v>
      </c>
      <c r="B34" s="28">
        <v>2.3705963302752351E-2</v>
      </c>
      <c r="C34" s="29"/>
      <c r="D34" s="30">
        <f>IF(C34="",D32*(1-D33),C34)</f>
        <v>2.208669643377045E-2</v>
      </c>
      <c r="E34" s="31" t="s">
        <v>82</v>
      </c>
    </row>
    <row r="35" spans="1:5" x14ac:dyDescent="0.25">
      <c r="A35" s="14" t="s">
        <v>83</v>
      </c>
      <c r="B35" s="15">
        <f>_Data!B37</f>
        <v>0.73229999999999995</v>
      </c>
      <c r="C35" s="16"/>
      <c r="D35" s="17">
        <f>IF(C35="",B35,C35)</f>
        <v>0.73229999999999995</v>
      </c>
      <c r="E35" s="7" t="s">
        <v>84</v>
      </c>
    </row>
    <row r="36" spans="1:5" x14ac:dyDescent="0.25">
      <c r="A36" s="14" t="s">
        <v>85</v>
      </c>
      <c r="B36" s="15">
        <f>_Data!B38</f>
        <v>0.26770000000000005</v>
      </c>
      <c r="C36" s="16"/>
      <c r="D36" s="17">
        <f>IF(C36="",B36,C36)</f>
        <v>0.26770000000000005</v>
      </c>
      <c r="E36" s="7" t="s">
        <v>86</v>
      </c>
    </row>
    <row r="37" spans="1:5" x14ac:dyDescent="0.25">
      <c r="A37" s="27" t="s">
        <v>87</v>
      </c>
      <c r="B37" s="28">
        <v>7.0430000000000006E-2</v>
      </c>
      <c r="C37" s="29"/>
      <c r="D37" s="34">
        <f>IF(C37="",B37,C37)</f>
        <v>7.0430000000000006E-2</v>
      </c>
      <c r="E37" s="31" t="s">
        <v>88</v>
      </c>
    </row>
    <row r="38" spans="1:5" ht="15.95" customHeight="1" x14ac:dyDescent="0.25">
      <c r="A38" s="1" t="s">
        <v>89</v>
      </c>
      <c r="B38" s="11"/>
      <c r="C38" s="11"/>
      <c r="D38" s="11"/>
      <c r="E38" s="11"/>
    </row>
    <row r="39" spans="1:5" x14ac:dyDescent="0.25">
      <c r="A39" s="14" t="s">
        <v>90</v>
      </c>
      <c r="B39" s="35">
        <f>_Data!B20</f>
        <v>3394</v>
      </c>
      <c r="C39" s="36"/>
      <c r="D39" s="37">
        <f t="shared" ref="D39:D48" si="1">IF(C39="",B39,C39)</f>
        <v>3394</v>
      </c>
      <c r="E39" s="7" t="s">
        <v>91</v>
      </c>
    </row>
    <row r="40" spans="1:5" x14ac:dyDescent="0.25">
      <c r="A40" s="14" t="s">
        <v>92</v>
      </c>
      <c r="B40" s="18">
        <f>_Data!B21</f>
        <v>122.375</v>
      </c>
      <c r="C40" s="19"/>
      <c r="D40" s="20">
        <f t="shared" si="1"/>
        <v>122.375</v>
      </c>
      <c r="E40" s="7" t="s">
        <v>36</v>
      </c>
    </row>
    <row r="41" spans="1:5" x14ac:dyDescent="0.25">
      <c r="A41" s="14" t="s">
        <v>93</v>
      </c>
      <c r="B41" s="35">
        <v>41749.375</v>
      </c>
      <c r="C41" s="36"/>
      <c r="D41" s="37">
        <f t="shared" si="1"/>
        <v>41749.375</v>
      </c>
      <c r="E41" s="7" t="s">
        <v>36</v>
      </c>
    </row>
    <row r="42" spans="1:5" x14ac:dyDescent="0.25">
      <c r="A42" s="14" t="s">
        <v>94</v>
      </c>
      <c r="B42" s="35">
        <f>_Data!B22</f>
        <v>503.66</v>
      </c>
      <c r="C42" s="36"/>
      <c r="D42" s="37">
        <f t="shared" si="1"/>
        <v>503.66</v>
      </c>
      <c r="E42" s="7" t="s">
        <v>36</v>
      </c>
    </row>
    <row r="43" spans="1:5" x14ac:dyDescent="0.25">
      <c r="A43" s="14" t="s">
        <v>95</v>
      </c>
      <c r="B43" s="35">
        <v>0</v>
      </c>
      <c r="C43" s="36"/>
      <c r="D43" s="37">
        <f t="shared" si="1"/>
        <v>0</v>
      </c>
      <c r="E43" s="7" t="s">
        <v>36</v>
      </c>
    </row>
    <row r="44" spans="1:5" x14ac:dyDescent="0.25">
      <c r="A44" s="14" t="s">
        <v>96</v>
      </c>
      <c r="B44" s="35">
        <v>0</v>
      </c>
      <c r="C44" s="36"/>
      <c r="D44" s="37">
        <f t="shared" si="1"/>
        <v>0</v>
      </c>
      <c r="E44" s="7" t="s">
        <v>36</v>
      </c>
    </row>
    <row r="45" spans="1:5" x14ac:dyDescent="0.25">
      <c r="A45" s="14" t="s">
        <v>97</v>
      </c>
      <c r="B45" s="35">
        <v>0</v>
      </c>
      <c r="C45" s="36"/>
      <c r="D45" s="37">
        <f t="shared" si="1"/>
        <v>0</v>
      </c>
      <c r="E45" s="7" t="s">
        <v>36</v>
      </c>
    </row>
    <row r="46" spans="1:5" x14ac:dyDescent="0.25">
      <c r="A46" s="14" t="s">
        <v>98</v>
      </c>
      <c r="B46" s="35">
        <v>0</v>
      </c>
      <c r="C46" s="36"/>
      <c r="D46" s="37">
        <f t="shared" si="1"/>
        <v>0</v>
      </c>
      <c r="E46" s="7" t="s">
        <v>36</v>
      </c>
    </row>
    <row r="47" spans="1:5" x14ac:dyDescent="0.25">
      <c r="A47" s="14" t="s">
        <v>99</v>
      </c>
      <c r="B47" s="35">
        <v>0</v>
      </c>
      <c r="C47" s="36"/>
      <c r="D47" s="37">
        <f t="shared" si="1"/>
        <v>0</v>
      </c>
      <c r="E47" s="7" t="s">
        <v>36</v>
      </c>
    </row>
    <row r="48" spans="1:5" x14ac:dyDescent="0.25">
      <c r="A48" s="14" t="s">
        <v>100</v>
      </c>
      <c r="B48" s="35">
        <v>0</v>
      </c>
      <c r="C48" s="36"/>
      <c r="D48" s="37">
        <f t="shared" si="1"/>
        <v>0</v>
      </c>
      <c r="E48" s="7" t="s">
        <v>36</v>
      </c>
    </row>
    <row r="49" spans="1:5" ht="15.95" customHeight="1" x14ac:dyDescent="0.25">
      <c r="A49" s="1" t="s">
        <v>101</v>
      </c>
      <c r="B49" s="11"/>
      <c r="C49" s="11"/>
      <c r="D49" s="11"/>
      <c r="E49" s="11"/>
    </row>
    <row r="50" spans="1:5" x14ac:dyDescent="0.25">
      <c r="A50" s="14" t="s">
        <v>102</v>
      </c>
      <c r="B50" s="15">
        <f>_Data!B25</f>
        <v>0.2</v>
      </c>
      <c r="C50" s="16"/>
      <c r="D50" s="17">
        <f>IF(C50="",B50,C50)</f>
        <v>0.2</v>
      </c>
      <c r="E50" s="7" t="s">
        <v>103</v>
      </c>
    </row>
    <row r="51" spans="1:5" x14ac:dyDescent="0.25">
      <c r="A51" s="14" t="s">
        <v>104</v>
      </c>
      <c r="B51" s="15">
        <f>_Data!B26</f>
        <v>0.6</v>
      </c>
      <c r="C51" s="16"/>
      <c r="D51" s="17">
        <f>IF(C51="",B51,C51)</f>
        <v>0.6</v>
      </c>
      <c r="E51" s="7" t="s">
        <v>103</v>
      </c>
    </row>
    <row r="52" spans="1:5" x14ac:dyDescent="0.25">
      <c r="A52" s="14" t="s">
        <v>105</v>
      </c>
      <c r="B52" s="15">
        <f>_Data!B27</f>
        <v>0.2</v>
      </c>
      <c r="C52" s="16"/>
      <c r="D52" s="17">
        <f>IF(C52="",B52,C52)</f>
        <v>0.2</v>
      </c>
      <c r="E52" s="7" t="s">
        <v>103</v>
      </c>
    </row>
    <row r="53" spans="1:5" x14ac:dyDescent="0.25">
      <c r="A53" s="38" t="s">
        <v>106</v>
      </c>
      <c r="D53" s="39">
        <f>D50+D51+D52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5732"/>
  </sheetPr>
  <dimension ref="A1:N43"/>
  <sheetViews>
    <sheetView showOutlineSymbols="0" showWhiteSpace="0" workbookViewId="0">
      <selection sqref="A1:M1"/>
    </sheetView>
    <sheetView workbookViewId="1">
      <selection sqref="A1:M1"/>
    </sheetView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tr">
        <f>Ticker&amp;" — BASE SCENARIO  | "&amp;Ticker&amp;" Valuation"</f>
        <v>BAH — BASE SCENARIO  | BAH Valuation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8" customHeight="1" x14ac:dyDescent="0.25">
      <c r="A2" s="1" t="s">
        <v>107</v>
      </c>
      <c r="B2" s="40" t="s">
        <v>108</v>
      </c>
      <c r="C2" s="40" t="s">
        <v>109</v>
      </c>
      <c r="D2" s="40" t="s">
        <v>110</v>
      </c>
      <c r="E2" s="40" t="s">
        <v>111</v>
      </c>
      <c r="F2" s="40" t="s">
        <v>112</v>
      </c>
      <c r="G2" s="40" t="s">
        <v>113</v>
      </c>
      <c r="H2" s="40" t="s">
        <v>114</v>
      </c>
      <c r="I2" s="40" t="s">
        <v>115</v>
      </c>
      <c r="J2" s="40" t="s">
        <v>116</v>
      </c>
      <c r="K2" s="40" t="s">
        <v>117</v>
      </c>
      <c r="L2" s="40" t="s">
        <v>118</v>
      </c>
      <c r="M2" s="40" t="s">
        <v>119</v>
      </c>
      <c r="N2" s="11"/>
    </row>
    <row r="3" spans="1:14" x14ac:dyDescent="0.25">
      <c r="A3" s="41" t="s">
        <v>120</v>
      </c>
    </row>
    <row r="4" spans="1:14" x14ac:dyDescent="0.25">
      <c r="A4" s="27" t="s">
        <v>121</v>
      </c>
      <c r="B4" s="42">
        <f>Assumptions!$D$3</f>
        <v>11217</v>
      </c>
      <c r="C4" s="37">
        <f>B4*(1+Assumptions!$D$4)</f>
        <v>11244.73422</v>
      </c>
      <c r="D4" s="37">
        <f>C4*(1+Assumptions!$D$4)</f>
        <v>11272.537013322548</v>
      </c>
      <c r="E4" s="37">
        <f>D4*(1+Assumptions!$D$4)</f>
        <v>11300.408549516327</v>
      </c>
      <c r="F4" s="37">
        <f>E4*(1+Assumptions!$D$4)</f>
        <v>11328.348998549238</v>
      </c>
      <c r="G4" s="37">
        <f>F4*(1+Assumptions!$D$4)</f>
        <v>11356.358530809428</v>
      </c>
      <c r="H4" s="37">
        <f>G4*(1+Assumptions!$D$5)</f>
        <v>11371.801863272723</v>
      </c>
      <c r="I4" s="37">
        <f>H4*(1+Assumptions!$D$5)</f>
        <v>11387.266196879733</v>
      </c>
      <c r="J4" s="37">
        <f>I4*(1+Assumptions!$D$5)</f>
        <v>11402.751560189579</v>
      </c>
      <c r="K4" s="37">
        <f>J4*(1+Assumptions!$D$5)</f>
        <v>11418.257981800223</v>
      </c>
      <c r="L4" s="37">
        <f>K4*(1+Assumptions!$D$5)</f>
        <v>11433.785490348517</v>
      </c>
      <c r="M4" s="37">
        <f>L4*(1+Assumptions!$D$6)</f>
        <v>11719.630127607228</v>
      </c>
    </row>
    <row r="5" spans="1:14" x14ac:dyDescent="0.25">
      <c r="A5" s="14" t="s">
        <v>122</v>
      </c>
      <c r="C5" s="17">
        <f t="shared" ref="C5:M5" si="0">C4/B4-1</f>
        <v>2.4725167156993688E-3</v>
      </c>
      <c r="D5" s="17">
        <f t="shared" si="0"/>
        <v>2.4725167156993688E-3</v>
      </c>
      <c r="E5" s="17">
        <f t="shared" si="0"/>
        <v>2.4725167156993688E-3</v>
      </c>
      <c r="F5" s="17">
        <f t="shared" si="0"/>
        <v>2.4725167156993688E-3</v>
      </c>
      <c r="G5" s="17">
        <f t="shared" si="0"/>
        <v>2.4725167156993688E-3</v>
      </c>
      <c r="H5" s="17">
        <f t="shared" si="0"/>
        <v>1.3598841936346417E-3</v>
      </c>
      <c r="I5" s="17">
        <f t="shared" si="0"/>
        <v>1.3598841936346417E-3</v>
      </c>
      <c r="J5" s="17">
        <f t="shared" si="0"/>
        <v>1.3598841936346417E-3</v>
      </c>
      <c r="K5" s="17">
        <f t="shared" si="0"/>
        <v>1.3598841936346417E-3</v>
      </c>
      <c r="L5" s="17">
        <f t="shared" si="0"/>
        <v>1.3598841936346417E-3</v>
      </c>
      <c r="M5" s="17">
        <f t="shared" si="0"/>
        <v>2.4999999999999911E-2</v>
      </c>
    </row>
    <row r="6" spans="1:14" x14ac:dyDescent="0.25">
      <c r="A6" s="41" t="s">
        <v>123</v>
      </c>
    </row>
    <row r="7" spans="1:14" x14ac:dyDescent="0.25">
      <c r="A7" s="14" t="s">
        <v>124</v>
      </c>
      <c r="C7" s="17">
        <f>Assumptions!$D$8+(Assumptions!$D$9-Assumptions!$D$8)*(COLUMN()-2)/10</f>
        <v>9.9945500145058278E-2</v>
      </c>
      <c r="D7" s="17">
        <f>Assumptions!$D$8+(Assumptions!$D$9-Assumptions!$D$8)*(COLUMN()-2)/10</f>
        <v>0.10152731592689732</v>
      </c>
      <c r="E7" s="17">
        <f>Assumptions!$D$8+(Assumptions!$D$9-Assumptions!$D$8)*(COLUMN()-2)/10</f>
        <v>0.10310913170873635</v>
      </c>
      <c r="F7" s="17">
        <f>Assumptions!$D$8+(Assumptions!$D$9-Assumptions!$D$8)*(COLUMN()-2)/10</f>
        <v>0.10469094749057539</v>
      </c>
      <c r="G7" s="17">
        <f>Assumptions!$D$8+(Assumptions!$D$9-Assumptions!$D$8)*(COLUMN()-2)/10</f>
        <v>0.10627276327241443</v>
      </c>
      <c r="H7" s="17">
        <f>Assumptions!$D$8+(Assumptions!$D$9-Assumptions!$D$8)*(COLUMN()-2)/10</f>
        <v>0.10785457905425347</v>
      </c>
      <c r="I7" s="17">
        <f>Assumptions!$D$8+(Assumptions!$D$9-Assumptions!$D$8)*(COLUMN()-2)/10</f>
        <v>0.10943639483609251</v>
      </c>
      <c r="J7" s="17">
        <f>Assumptions!$D$8+(Assumptions!$D$9-Assumptions!$D$8)*(COLUMN()-2)/10</f>
        <v>0.11101821061793155</v>
      </c>
      <c r="K7" s="17">
        <f>Assumptions!$D$8+(Assumptions!$D$9-Assumptions!$D$8)*(COLUMN()-2)/10</f>
        <v>0.11260002639977058</v>
      </c>
      <c r="L7" s="17">
        <f>Assumptions!$D$8+(Assumptions!$D$9-Assumptions!$D$8)*(COLUMN()-2)/10</f>
        <v>0.11418184218160962</v>
      </c>
      <c r="M7" s="17">
        <f>Assumptions!$D$9</f>
        <v>0.11418184218160962</v>
      </c>
    </row>
    <row r="8" spans="1:14" x14ac:dyDescent="0.25">
      <c r="A8" s="14" t="s">
        <v>125</v>
      </c>
      <c r="C8" s="37">
        <f t="shared" ref="C8:M8" si="1">C4*C7</f>
        <v>1123.8605856161519</v>
      </c>
      <c r="D8" s="37">
        <f t="shared" si="1"/>
        <v>1144.4704266492417</v>
      </c>
      <c r="E8" s="37">
        <f t="shared" si="1"/>
        <v>1165.1753134946093</v>
      </c>
      <c r="F8" s="37">
        <f t="shared" si="1"/>
        <v>1185.9755901620306</v>
      </c>
      <c r="G8" s="37">
        <f t="shared" si="1"/>
        <v>1206.8716017813745</v>
      </c>
      <c r="H8" s="37">
        <f t="shared" si="1"/>
        <v>1226.5009030516549</v>
      </c>
      <c r="I8" s="37">
        <f t="shared" si="1"/>
        <v>1246.1813596254199</v>
      </c>
      <c r="J8" s="37">
        <f t="shared" si="1"/>
        <v>1265.9130743330743</v>
      </c>
      <c r="K8" s="37">
        <f t="shared" si="1"/>
        <v>1285.6961501900962</v>
      </c>
      <c r="L8" s="37">
        <f t="shared" si="1"/>
        <v>1305.5306903973524</v>
      </c>
      <c r="M8" s="37">
        <f t="shared" si="1"/>
        <v>1338.168957657286</v>
      </c>
    </row>
    <row r="9" spans="1:14" x14ac:dyDescent="0.25">
      <c r="A9" s="14" t="s">
        <v>126</v>
      </c>
      <c r="C9" s="37">
        <f t="shared" ref="C9:M9" si="2">C8+C14</f>
        <v>1287.6071515912286</v>
      </c>
      <c r="D9" s="37">
        <f t="shared" si="2"/>
        <v>1308.6218587458302</v>
      </c>
      <c r="E9" s="37">
        <f t="shared" si="2"/>
        <v>1329.7326127509625</v>
      </c>
      <c r="F9" s="37">
        <f t="shared" si="2"/>
        <v>1350.9397600914856</v>
      </c>
      <c r="G9" s="37">
        <f t="shared" si="2"/>
        <v>1372.2436483784713</v>
      </c>
      <c r="H9" s="37">
        <f t="shared" si="2"/>
        <v>1392.0978364809882</v>
      </c>
      <c r="I9" s="37">
        <f t="shared" si="2"/>
        <v>1412.0034857070382</v>
      </c>
      <c r="J9" s="37">
        <f t="shared" si="2"/>
        <v>1431.9606993029058</v>
      </c>
      <c r="K9" s="37">
        <f t="shared" si="2"/>
        <v>1451.9695807005148</v>
      </c>
      <c r="L9" s="37">
        <f t="shared" si="2"/>
        <v>1472.0302335177435</v>
      </c>
      <c r="M9" s="37">
        <f t="shared" si="2"/>
        <v>1508.8309893556868</v>
      </c>
    </row>
    <row r="10" spans="1:14" x14ac:dyDescent="0.25">
      <c r="A10" s="14" t="s">
        <v>127</v>
      </c>
      <c r="C10" s="17">
        <f>Assumptions!$D$14+(Assumptions!$D$15-Assumptions!$D$14)*(COLUMN()-2)/10</f>
        <v>0.20564843605761052</v>
      </c>
      <c r="D10" s="17">
        <f>Assumptions!$D$14+(Assumptions!$D$15-Assumptions!$D$14)*(COLUMN()-2)/10</f>
        <v>0.20564843605761052</v>
      </c>
      <c r="E10" s="17">
        <f>Assumptions!$D$14+(Assumptions!$D$15-Assumptions!$D$14)*(COLUMN()-2)/10</f>
        <v>0.20564843605761052</v>
      </c>
      <c r="F10" s="17">
        <f>Assumptions!$D$14+(Assumptions!$D$15-Assumptions!$D$14)*(COLUMN()-2)/10</f>
        <v>0.20564843605761052</v>
      </c>
      <c r="G10" s="17">
        <f>Assumptions!$D$14+(Assumptions!$D$15-Assumptions!$D$14)*(COLUMN()-2)/10</f>
        <v>0.20564843605761052</v>
      </c>
      <c r="H10" s="17">
        <f>Assumptions!$D$14+(Assumptions!$D$15-Assumptions!$D$14)*(COLUMN()-2)/10</f>
        <v>0.20564843605761052</v>
      </c>
      <c r="I10" s="17">
        <f>Assumptions!$D$14+(Assumptions!$D$15-Assumptions!$D$14)*(COLUMN()-2)/10</f>
        <v>0.20564843605761052</v>
      </c>
      <c r="J10" s="17">
        <f>Assumptions!$D$14+(Assumptions!$D$15-Assumptions!$D$14)*(COLUMN()-2)/10</f>
        <v>0.20564843605761052</v>
      </c>
      <c r="K10" s="17">
        <f>Assumptions!$D$14+(Assumptions!$D$15-Assumptions!$D$14)*(COLUMN()-2)/10</f>
        <v>0.20564843605761052</v>
      </c>
      <c r="L10" s="17">
        <f>Assumptions!$D$14+(Assumptions!$D$15-Assumptions!$D$14)*(COLUMN()-2)/10</f>
        <v>0.20564843605761052</v>
      </c>
      <c r="M10" s="17">
        <f>Assumptions!$D$15</f>
        <v>0.20564843605761052</v>
      </c>
    </row>
    <row r="11" spans="1:14" x14ac:dyDescent="0.25">
      <c r="A11" s="27" t="s">
        <v>128</v>
      </c>
      <c r="C11" s="37">
        <f t="shared" ref="C11:M11" si="3">C8*(1-C10)</f>
        <v>892.74041383739996</v>
      </c>
      <c r="D11" s="37">
        <f t="shared" si="3"/>
        <v>909.11187329463894</v>
      </c>
      <c r="E11" s="37">
        <f t="shared" si="3"/>
        <v>925.55883254150683</v>
      </c>
      <c r="F11" s="37">
        <f t="shared" si="3"/>
        <v>942.08156484270739</v>
      </c>
      <c r="G11" s="37">
        <f t="shared" si="3"/>
        <v>958.68034435269146</v>
      </c>
      <c r="H11" s="37">
        <f t="shared" si="3"/>
        <v>974.27291051583506</v>
      </c>
      <c r="I11" s="37">
        <f t="shared" si="3"/>
        <v>989.90611197430553</v>
      </c>
      <c r="J11" s="37">
        <f t="shared" si="3"/>
        <v>1005.5800304115959</v>
      </c>
      <c r="K11" s="37">
        <f t="shared" si="3"/>
        <v>1021.2947476582121</v>
      </c>
      <c r="L11" s="37">
        <f t="shared" si="3"/>
        <v>1037.0503456919243</v>
      </c>
      <c r="M11" s="37">
        <f t="shared" si="3"/>
        <v>1062.9766043342222</v>
      </c>
    </row>
    <row r="12" spans="1:14" x14ac:dyDescent="0.25">
      <c r="A12" s="41" t="s">
        <v>129</v>
      </c>
    </row>
    <row r="13" spans="1:14" x14ac:dyDescent="0.25">
      <c r="A13" s="14" t="s">
        <v>49</v>
      </c>
      <c r="B13" s="43">
        <f>Assumptions!$D$11</f>
        <v>1.4562066365591405E-2</v>
      </c>
      <c r="C13" s="30">
        <f>Assumptions!$D$11</f>
        <v>1.4562066365591405E-2</v>
      </c>
      <c r="D13" s="30">
        <f>Assumptions!$D$11</f>
        <v>1.4562066365591405E-2</v>
      </c>
      <c r="E13" s="30">
        <f>Assumptions!$D$11</f>
        <v>1.4562066365591405E-2</v>
      </c>
      <c r="F13" s="30">
        <f>Assumptions!$D$11</f>
        <v>1.4562066365591405E-2</v>
      </c>
      <c r="G13" s="30">
        <f>Assumptions!$D$11</f>
        <v>1.4562066365591405E-2</v>
      </c>
      <c r="H13" s="30">
        <f>Assumptions!$D$11</f>
        <v>1.4562066365591405E-2</v>
      </c>
      <c r="I13" s="30">
        <f>Assumptions!$D$11</f>
        <v>1.4562066365591405E-2</v>
      </c>
      <c r="J13" s="30">
        <f>Assumptions!$D$11</f>
        <v>1.4562066365591405E-2</v>
      </c>
      <c r="K13" s="30">
        <f>Assumptions!$D$11</f>
        <v>1.4562066365591405E-2</v>
      </c>
      <c r="L13" s="30">
        <f>Assumptions!$D$11</f>
        <v>1.4562066365591405E-2</v>
      </c>
      <c r="M13" s="30">
        <f>Assumptions!$D$11</f>
        <v>1.4562066365591405E-2</v>
      </c>
    </row>
    <row r="14" spans="1:14" x14ac:dyDescent="0.25">
      <c r="A14" s="14" t="s">
        <v>130</v>
      </c>
      <c r="C14" s="37">
        <f t="shared" ref="C14:M14" si="4">C4*C13</f>
        <v>163.74656597507669</v>
      </c>
      <c r="D14" s="37">
        <f t="shared" si="4"/>
        <v>164.15143209658845</v>
      </c>
      <c r="E14" s="37">
        <f t="shared" si="4"/>
        <v>164.55729925635325</v>
      </c>
      <c r="F14" s="37">
        <f t="shared" si="4"/>
        <v>164.96416992945493</v>
      </c>
      <c r="G14" s="37">
        <f t="shared" si="4"/>
        <v>165.37204659709698</v>
      </c>
      <c r="H14" s="37">
        <f t="shared" si="4"/>
        <v>165.5969334293334</v>
      </c>
      <c r="I14" s="37">
        <f t="shared" si="4"/>
        <v>165.82212608161831</v>
      </c>
      <c r="J14" s="37">
        <f t="shared" si="4"/>
        <v>166.04762496983159</v>
      </c>
      <c r="K14" s="37">
        <f t="shared" si="4"/>
        <v>166.27343051041862</v>
      </c>
      <c r="L14" s="37">
        <f t="shared" si="4"/>
        <v>166.49954312039117</v>
      </c>
      <c r="M14" s="37">
        <f t="shared" si="4"/>
        <v>170.66203169840091</v>
      </c>
    </row>
    <row r="15" spans="1:14" x14ac:dyDescent="0.25">
      <c r="A15" s="14" t="s">
        <v>50</v>
      </c>
      <c r="B15" s="43">
        <f>Assumptions!$D$12</f>
        <v>0.01</v>
      </c>
      <c r="C15" s="30">
        <f>Assumptions!$D$12</f>
        <v>0.01</v>
      </c>
      <c r="D15" s="30">
        <f>Assumptions!$D$12</f>
        <v>0.01</v>
      </c>
      <c r="E15" s="30">
        <f>Assumptions!$D$12</f>
        <v>0.01</v>
      </c>
      <c r="F15" s="30">
        <f>Assumptions!$D$12</f>
        <v>0.01</v>
      </c>
      <c r="G15" s="30">
        <f>Assumptions!$D$12</f>
        <v>0.01</v>
      </c>
      <c r="H15" s="30">
        <f>Assumptions!$D$12</f>
        <v>0.01</v>
      </c>
      <c r="I15" s="30">
        <f>Assumptions!$D$12</f>
        <v>0.01</v>
      </c>
      <c r="J15" s="30">
        <f>Assumptions!$D$12</f>
        <v>0.01</v>
      </c>
      <c r="K15" s="30">
        <f>Assumptions!$D$12</f>
        <v>0.01</v>
      </c>
      <c r="L15" s="30">
        <f>Assumptions!$D$12</f>
        <v>0.01</v>
      </c>
    </row>
    <row r="16" spans="1:14" x14ac:dyDescent="0.25">
      <c r="A16" s="14" t="s">
        <v>131</v>
      </c>
      <c r="C16" s="37">
        <f t="shared" ref="C16:L16" si="5">C4*C15</f>
        <v>112.44734220000001</v>
      </c>
      <c r="D16" s="37">
        <f t="shared" si="5"/>
        <v>112.72537013322548</v>
      </c>
      <c r="E16" s="37">
        <f t="shared" si="5"/>
        <v>113.00408549516328</v>
      </c>
      <c r="F16" s="37">
        <f t="shared" si="5"/>
        <v>113.28348998549238</v>
      </c>
      <c r="G16" s="37">
        <f t="shared" si="5"/>
        <v>113.56358530809428</v>
      </c>
      <c r="H16" s="37">
        <f t="shared" si="5"/>
        <v>113.71801863272724</v>
      </c>
      <c r="I16" s="37">
        <f t="shared" si="5"/>
        <v>113.87266196879733</v>
      </c>
      <c r="J16" s="37">
        <f t="shared" si="5"/>
        <v>114.0275156018958</v>
      </c>
      <c r="K16" s="37">
        <f t="shared" si="5"/>
        <v>114.18257981800224</v>
      </c>
      <c r="L16" s="37">
        <f t="shared" si="5"/>
        <v>114.33785490348517</v>
      </c>
    </row>
    <row r="17" spans="1:13" x14ac:dyDescent="0.25">
      <c r="A17" s="41" t="s">
        <v>132</v>
      </c>
    </row>
    <row r="18" spans="1:13" x14ac:dyDescent="0.25">
      <c r="A18" s="14" t="s">
        <v>133</v>
      </c>
      <c r="B18" s="44">
        <f>Assumptions!$D$17</f>
        <v>67.099999999999994</v>
      </c>
      <c r="C18" s="20">
        <f>Assumptions!$D$17+(Assumptions!$D$18-Assumptions!$D$17)*(COLUMN()-2)/10</f>
        <v>66.253</v>
      </c>
      <c r="D18" s="20">
        <f>Assumptions!$D$17+(Assumptions!$D$18-Assumptions!$D$17)*(COLUMN()-2)/10</f>
        <v>65.405999999999992</v>
      </c>
      <c r="E18" s="20">
        <f>Assumptions!$D$17+(Assumptions!$D$18-Assumptions!$D$17)*(COLUMN()-2)/10</f>
        <v>64.558999999999997</v>
      </c>
      <c r="F18" s="20">
        <f>Assumptions!$D$17+(Assumptions!$D$18-Assumptions!$D$17)*(COLUMN()-2)/10</f>
        <v>63.711999999999996</v>
      </c>
      <c r="G18" s="20">
        <f>Assumptions!$D$17+(Assumptions!$D$18-Assumptions!$D$17)*(COLUMN()-2)/10</f>
        <v>62.864999999999995</v>
      </c>
      <c r="H18" s="20">
        <f>Assumptions!$D$17+(Assumptions!$D$18-Assumptions!$D$17)*(COLUMN()-2)/10</f>
        <v>62.017999999999994</v>
      </c>
      <c r="I18" s="20">
        <f>Assumptions!$D$17+(Assumptions!$D$18-Assumptions!$D$17)*(COLUMN()-2)/10</f>
        <v>61.170999999999992</v>
      </c>
      <c r="J18" s="20">
        <f>Assumptions!$D$17+(Assumptions!$D$18-Assumptions!$D$17)*(COLUMN()-2)/10</f>
        <v>60.323999999999998</v>
      </c>
      <c r="K18" s="20">
        <f>Assumptions!$D$17+(Assumptions!$D$18-Assumptions!$D$17)*(COLUMN()-2)/10</f>
        <v>59.476999999999997</v>
      </c>
      <c r="L18" s="20">
        <f>Assumptions!$D$17+(Assumptions!$D$18-Assumptions!$D$17)*(COLUMN()-2)/10</f>
        <v>58.629999999999995</v>
      </c>
    </row>
    <row r="19" spans="1:13" x14ac:dyDescent="0.25">
      <c r="A19" s="14" t="s">
        <v>134</v>
      </c>
      <c r="B19" s="44">
        <f>Assumptions!$D$19</f>
        <v>5</v>
      </c>
      <c r="C19" s="20">
        <f>Assumptions!$D$19+(Assumptions!$D$20-Assumptions!$D$19)*(COLUMN()-2)/10</f>
        <v>8.85</v>
      </c>
      <c r="D19" s="20">
        <f>Assumptions!$D$19+(Assumptions!$D$20-Assumptions!$D$19)*(COLUMN()-2)/10</f>
        <v>12.7</v>
      </c>
      <c r="E19" s="20">
        <f>Assumptions!$D$19+(Assumptions!$D$20-Assumptions!$D$19)*(COLUMN()-2)/10</f>
        <v>16.55</v>
      </c>
      <c r="F19" s="20">
        <f>Assumptions!$D$19+(Assumptions!$D$20-Assumptions!$D$19)*(COLUMN()-2)/10</f>
        <v>20.399999999999999</v>
      </c>
      <c r="G19" s="20">
        <f>Assumptions!$D$19+(Assumptions!$D$20-Assumptions!$D$19)*(COLUMN()-2)/10</f>
        <v>24.25</v>
      </c>
      <c r="H19" s="20">
        <f>Assumptions!$D$19+(Assumptions!$D$20-Assumptions!$D$19)*(COLUMN()-2)/10</f>
        <v>28.1</v>
      </c>
      <c r="I19" s="20">
        <f>Assumptions!$D$19+(Assumptions!$D$20-Assumptions!$D$19)*(COLUMN()-2)/10</f>
        <v>31.95</v>
      </c>
      <c r="J19" s="20">
        <f>Assumptions!$D$19+(Assumptions!$D$20-Assumptions!$D$19)*(COLUMN()-2)/10</f>
        <v>35.799999999999997</v>
      </c>
      <c r="K19" s="20">
        <f>Assumptions!$D$19+(Assumptions!$D$20-Assumptions!$D$19)*(COLUMN()-2)/10</f>
        <v>39.65</v>
      </c>
      <c r="L19" s="20">
        <f>Assumptions!$D$19+(Assumptions!$D$20-Assumptions!$D$19)*(COLUMN()-2)/10</f>
        <v>43.5</v>
      </c>
    </row>
    <row r="20" spans="1:13" x14ac:dyDescent="0.25">
      <c r="A20" s="14" t="s">
        <v>135</v>
      </c>
      <c r="B20" s="44">
        <f>Assumptions!$D$21</f>
        <v>19.3</v>
      </c>
      <c r="C20" s="20">
        <f>Assumptions!$D$21+(Assumptions!$D$22-Assumptions!$D$21)*(COLUMN()-2)/10</f>
        <v>21.449000000000002</v>
      </c>
      <c r="D20" s="20">
        <f>Assumptions!$D$21+(Assumptions!$D$22-Assumptions!$D$21)*(COLUMN()-2)/10</f>
        <v>23.597999999999999</v>
      </c>
      <c r="E20" s="20">
        <f>Assumptions!$D$21+(Assumptions!$D$22-Assumptions!$D$21)*(COLUMN()-2)/10</f>
        <v>25.747</v>
      </c>
      <c r="F20" s="20">
        <f>Assumptions!$D$21+(Assumptions!$D$22-Assumptions!$D$21)*(COLUMN()-2)/10</f>
        <v>27.896000000000001</v>
      </c>
      <c r="G20" s="20">
        <f>Assumptions!$D$21+(Assumptions!$D$22-Assumptions!$D$21)*(COLUMN()-2)/10</f>
        <v>30.045000000000002</v>
      </c>
      <c r="H20" s="20">
        <f>Assumptions!$D$21+(Assumptions!$D$22-Assumptions!$D$21)*(COLUMN()-2)/10</f>
        <v>32.194000000000003</v>
      </c>
      <c r="I20" s="20">
        <f>Assumptions!$D$21+(Assumptions!$D$22-Assumptions!$D$21)*(COLUMN()-2)/10</f>
        <v>34.342999999999996</v>
      </c>
      <c r="J20" s="20">
        <f>Assumptions!$D$21+(Assumptions!$D$22-Assumptions!$D$21)*(COLUMN()-2)/10</f>
        <v>36.492000000000004</v>
      </c>
      <c r="K20" s="20">
        <f>Assumptions!$D$21+(Assumptions!$D$22-Assumptions!$D$21)*(COLUMN()-2)/10</f>
        <v>38.641000000000005</v>
      </c>
      <c r="L20" s="20">
        <f>Assumptions!$D$21+(Assumptions!$D$22-Assumptions!$D$21)*(COLUMN()-2)/10</f>
        <v>40.79</v>
      </c>
    </row>
    <row r="21" spans="1:13" x14ac:dyDescent="0.25">
      <c r="A21" s="14" t="s">
        <v>136</v>
      </c>
      <c r="B21" s="37">
        <f t="shared" ref="B21:L21" si="6">B4/365*B18</f>
        <v>2062.084109589041</v>
      </c>
      <c r="C21" s="37">
        <f t="shared" si="6"/>
        <v>2041.0887021305753</v>
      </c>
      <c r="D21" s="37">
        <f t="shared" si="6"/>
        <v>2019.9768654613001</v>
      </c>
      <c r="E21" s="37">
        <f t="shared" si="6"/>
        <v>1998.7481521869165</v>
      </c>
      <c r="F21" s="37">
        <f t="shared" si="6"/>
        <v>1977.4021134125178</v>
      </c>
      <c r="G21" s="37">
        <f t="shared" si="6"/>
        <v>1955.9382987379031</v>
      </c>
      <c r="H21" s="37">
        <f t="shared" si="6"/>
        <v>1932.20933686698</v>
      </c>
      <c r="I21" s="37">
        <f t="shared" si="6"/>
        <v>1908.4122206283014</v>
      </c>
      <c r="J21" s="37">
        <f t="shared" si="6"/>
        <v>1884.5468085393866</v>
      </c>
      <c r="K21" s="37">
        <f t="shared" si="6"/>
        <v>1860.6129588589913</v>
      </c>
      <c r="L21" s="37">
        <f t="shared" si="6"/>
        <v>1836.6105295866671</v>
      </c>
    </row>
    <row r="22" spans="1:13" x14ac:dyDescent="0.25">
      <c r="A22" s="14" t="s">
        <v>137</v>
      </c>
      <c r="B22" s="37">
        <f t="shared" ref="B22:L22" si="7">B4/365*B19</f>
        <v>153.65753424657532</v>
      </c>
      <c r="C22" s="37">
        <f t="shared" si="7"/>
        <v>272.64629547123286</v>
      </c>
      <c r="D22" s="37">
        <f t="shared" si="7"/>
        <v>392.22252073752429</v>
      </c>
      <c r="E22" s="37">
        <f t="shared" si="7"/>
        <v>512.38838765615128</v>
      </c>
      <c r="F22" s="37">
        <f t="shared" si="7"/>
        <v>633.14608101480667</v>
      </c>
      <c r="G22" s="37">
        <f t="shared" si="7"/>
        <v>754.49779280035239</v>
      </c>
      <c r="H22" s="37">
        <f t="shared" si="7"/>
        <v>875.47296536428371</v>
      </c>
      <c r="I22" s="37">
        <f t="shared" si="7"/>
        <v>996.77576709673269</v>
      </c>
      <c r="J22" s="37">
        <f t="shared" si="7"/>
        <v>1118.4068653555805</v>
      </c>
      <c r="K22" s="37">
        <f t="shared" si="7"/>
        <v>1240.3669287078872</v>
      </c>
      <c r="L22" s="37">
        <f t="shared" si="7"/>
        <v>1362.6566269319464</v>
      </c>
    </row>
    <row r="23" spans="1:13" x14ac:dyDescent="0.25">
      <c r="A23" s="14" t="s">
        <v>138</v>
      </c>
      <c r="B23" s="37">
        <f t="shared" ref="B23:L23" si="8">B4/365*B20</f>
        <v>593.11808219178079</v>
      </c>
      <c r="C23" s="37">
        <f t="shared" si="8"/>
        <v>660.78987475282202</v>
      </c>
      <c r="D23" s="37">
        <f t="shared" si="8"/>
        <v>728.79268065859037</v>
      </c>
      <c r="E23" s="37">
        <f t="shared" si="8"/>
        <v>797.12772308053934</v>
      </c>
      <c r="F23" s="37">
        <f t="shared" si="8"/>
        <v>865.79622921514942</v>
      </c>
      <c r="G23" s="37">
        <f t="shared" si="8"/>
        <v>934.79943029635422</v>
      </c>
      <c r="H23" s="37">
        <f t="shared" si="8"/>
        <v>1003.0240799621976</v>
      </c>
      <c r="I23" s="37">
        <f t="shared" si="8"/>
        <v>1071.4325561628509</v>
      </c>
      <c r="J23" s="37">
        <f t="shared" si="8"/>
        <v>1140.0252326970908</v>
      </c>
      <c r="K23" s="37">
        <f t="shared" si="8"/>
        <v>1208.8024840403903</v>
      </c>
      <c r="L23" s="37">
        <f t="shared" si="8"/>
        <v>1277.7646853460712</v>
      </c>
    </row>
    <row r="24" spans="1:13" x14ac:dyDescent="0.25">
      <c r="A24" s="14" t="s">
        <v>139</v>
      </c>
      <c r="B24" s="37">
        <f t="shared" ref="B24:L24" si="9">B21+B22-B23</f>
        <v>1622.6235616438355</v>
      </c>
      <c r="C24" s="37">
        <f t="shared" si="9"/>
        <v>1652.9451228489861</v>
      </c>
      <c r="D24" s="37">
        <f t="shared" si="9"/>
        <v>1683.406705540234</v>
      </c>
      <c r="E24" s="37">
        <f t="shared" si="9"/>
        <v>1714.0088167625286</v>
      </c>
      <c r="F24" s="37">
        <f t="shared" si="9"/>
        <v>1744.7519652121748</v>
      </c>
      <c r="G24" s="37">
        <f t="shared" si="9"/>
        <v>1775.636661241901</v>
      </c>
      <c r="H24" s="37">
        <f t="shared" si="9"/>
        <v>1804.6582222690663</v>
      </c>
      <c r="I24" s="37">
        <f t="shared" si="9"/>
        <v>1833.755431562183</v>
      </c>
      <c r="J24" s="37">
        <f t="shared" si="9"/>
        <v>1862.9284411978765</v>
      </c>
      <c r="K24" s="37">
        <f t="shared" si="9"/>
        <v>1892.1774035264882</v>
      </c>
      <c r="L24" s="37">
        <f t="shared" si="9"/>
        <v>1921.5024711725425</v>
      </c>
    </row>
    <row r="25" spans="1:13" x14ac:dyDescent="0.25">
      <c r="A25" s="14" t="s">
        <v>140</v>
      </c>
      <c r="C25" s="37">
        <f t="shared" ref="C25:L25" si="10">C24-B24</f>
        <v>30.321561205150601</v>
      </c>
      <c r="D25" s="37">
        <f t="shared" si="10"/>
        <v>30.461582691247941</v>
      </c>
      <c r="E25" s="37">
        <f t="shared" si="10"/>
        <v>30.602111222294525</v>
      </c>
      <c r="F25" s="37">
        <f t="shared" si="10"/>
        <v>30.743148449646242</v>
      </c>
      <c r="G25" s="37">
        <f t="shared" si="10"/>
        <v>30.884696029726229</v>
      </c>
      <c r="H25" s="37">
        <f t="shared" si="10"/>
        <v>29.021561027165262</v>
      </c>
      <c r="I25" s="37">
        <f t="shared" si="10"/>
        <v>29.097209293116748</v>
      </c>
      <c r="J25" s="37">
        <f t="shared" si="10"/>
        <v>29.173009635693461</v>
      </c>
      <c r="K25" s="37">
        <f t="shared" si="10"/>
        <v>29.248962328611697</v>
      </c>
      <c r="L25" s="37">
        <f t="shared" si="10"/>
        <v>29.325067646054322</v>
      </c>
    </row>
    <row r="26" spans="1:13" x14ac:dyDescent="0.25">
      <c r="A26" s="41" t="s">
        <v>141</v>
      </c>
    </row>
    <row r="27" spans="1:13" x14ac:dyDescent="0.25">
      <c r="A27" s="27" t="s">
        <v>142</v>
      </c>
      <c r="C27" s="37">
        <f t="shared" ref="C27:L27" si="11">C11+C14-C16-C25</f>
        <v>913.71807640732607</v>
      </c>
      <c r="D27" s="37">
        <f t="shared" si="11"/>
        <v>930.07635256675383</v>
      </c>
      <c r="E27" s="37">
        <f t="shared" si="11"/>
        <v>946.50993508040233</v>
      </c>
      <c r="F27" s="37">
        <f t="shared" si="11"/>
        <v>963.01909633702383</v>
      </c>
      <c r="G27" s="37">
        <f t="shared" si="11"/>
        <v>979.60410961196783</v>
      </c>
      <c r="H27" s="37">
        <f t="shared" si="11"/>
        <v>997.13026428527587</v>
      </c>
      <c r="I27" s="37">
        <f t="shared" si="11"/>
        <v>1012.7583667940098</v>
      </c>
      <c r="J27" s="37">
        <f t="shared" si="11"/>
        <v>1028.4271301438382</v>
      </c>
      <c r="K27" s="37">
        <f t="shared" si="11"/>
        <v>1044.1366360220168</v>
      </c>
      <c r="L27" s="37">
        <f t="shared" si="11"/>
        <v>1059.886966262776</v>
      </c>
    </row>
    <row r="28" spans="1:13" x14ac:dyDescent="0.25">
      <c r="A28" s="14" t="s">
        <v>143</v>
      </c>
      <c r="C28" s="45">
        <f>1/(1+Assumptions!$D$37)^1</f>
        <v>0.93420401147202525</v>
      </c>
      <c r="D28" s="45">
        <f>1/(1+Assumptions!$D$37)^2</f>
        <v>0.87273713505042394</v>
      </c>
      <c r="E28" s="45">
        <f>1/(1+Assumptions!$D$37)^3</f>
        <v>0.81531453252470865</v>
      </c>
      <c r="F28" s="45">
        <f>1/(1+Assumptions!$D$37)^4</f>
        <v>0.76167010689602199</v>
      </c>
      <c r="G28" s="45">
        <f>1/(1+Assumptions!$D$37)^5</f>
        <v>0.71155526928058999</v>
      </c>
      <c r="H28" s="45">
        <f>1/(1+Assumptions!$D$37)^6</f>
        <v>0.6647377869459844</v>
      </c>
      <c r="I28" s="45">
        <f>1/(1+Assumptions!$D$37)^7</f>
        <v>0.62100070714197508</v>
      </c>
      <c r="J28" s="45">
        <f>1/(1+Assumptions!$D$37)^8</f>
        <v>0.5801413517389975</v>
      </c>
      <c r="K28" s="45">
        <f>1/(1+Assumptions!$D$37)^9</f>
        <v>0.54197037801537462</v>
      </c>
      <c r="L28" s="45">
        <f>1/(1+Assumptions!$D$37)^10</f>
        <v>0.506310901240973</v>
      </c>
      <c r="M28" s="45">
        <f>1/(1+Assumptions!$D$37)^10</f>
        <v>0.506310901240973</v>
      </c>
    </row>
    <row r="29" spans="1:13" x14ac:dyDescent="0.25">
      <c r="A29" s="27" t="s">
        <v>144</v>
      </c>
      <c r="C29" s="37">
        <f t="shared" ref="C29:L29" si="12">C27*C28</f>
        <v>853.5990923342265</v>
      </c>
      <c r="D29" s="37">
        <f t="shared" si="12"/>
        <v>811.71217131725678</v>
      </c>
      <c r="E29" s="37">
        <f t="shared" si="12"/>
        <v>771.70330525007057</v>
      </c>
      <c r="F29" s="37">
        <f t="shared" si="12"/>
        <v>733.50285804993143</v>
      </c>
      <c r="G29" s="37">
        <f t="shared" si="12"/>
        <v>697.04246600331635</v>
      </c>
      <c r="H29" s="37">
        <f t="shared" si="12"/>
        <v>662.83016517785882</v>
      </c>
      <c r="I29" s="37">
        <f t="shared" si="12"/>
        <v>628.9236619430319</v>
      </c>
      <c r="J29" s="37">
        <f t="shared" si="12"/>
        <v>596.63310544670423</v>
      </c>
      <c r="K29" s="37">
        <f t="shared" si="12"/>
        <v>565.89112732455408</v>
      </c>
      <c r="L29" s="37">
        <f t="shared" si="12"/>
        <v>536.63232510206683</v>
      </c>
    </row>
    <row r="30" spans="1:13" x14ac:dyDescent="0.25">
      <c r="A30" s="14" t="s">
        <v>145</v>
      </c>
      <c r="C30" s="37">
        <f>C29</f>
        <v>853.5990923342265</v>
      </c>
      <c r="D30" s="37">
        <f t="shared" ref="D30:L30" si="13">C30+D29</f>
        <v>1665.3112636514834</v>
      </c>
      <c r="E30" s="37">
        <f t="shared" si="13"/>
        <v>2437.014568901554</v>
      </c>
      <c r="F30" s="37">
        <f t="shared" si="13"/>
        <v>3170.5174269514855</v>
      </c>
      <c r="G30" s="37">
        <f t="shared" si="13"/>
        <v>3867.5598929548019</v>
      </c>
      <c r="H30" s="37">
        <f t="shared" si="13"/>
        <v>4530.3900581326607</v>
      </c>
      <c r="I30" s="37">
        <f t="shared" si="13"/>
        <v>5159.3137200756928</v>
      </c>
      <c r="J30" s="37">
        <f t="shared" si="13"/>
        <v>5755.9468255223974</v>
      </c>
      <c r="K30" s="37">
        <f t="shared" si="13"/>
        <v>6321.8379528469513</v>
      </c>
      <c r="L30" s="37">
        <f t="shared" si="13"/>
        <v>6858.4702779490181</v>
      </c>
    </row>
    <row r="31" spans="1:13" x14ac:dyDescent="0.25">
      <c r="A31" s="41" t="s">
        <v>146</v>
      </c>
    </row>
    <row r="32" spans="1:13" x14ac:dyDescent="0.25">
      <c r="A32" s="14" t="s">
        <v>93</v>
      </c>
      <c r="B32" s="42">
        <f>Assumptions!$D$41</f>
        <v>41749.375</v>
      </c>
      <c r="C32" s="37">
        <f t="shared" ref="C32:L32" si="14">B32+C16+C25-C14</f>
        <v>41728.397337430077</v>
      </c>
      <c r="D32" s="37">
        <f t="shared" si="14"/>
        <v>41707.432858157961</v>
      </c>
      <c r="E32" s="37">
        <f t="shared" si="14"/>
        <v>41686.481755619068</v>
      </c>
      <c r="F32" s="37">
        <f t="shared" si="14"/>
        <v>41665.544224124758</v>
      </c>
      <c r="G32" s="37">
        <f t="shared" si="14"/>
        <v>41644.62045886548</v>
      </c>
      <c r="H32" s="37">
        <f t="shared" si="14"/>
        <v>41621.763105096034</v>
      </c>
      <c r="I32" s="37">
        <f t="shared" si="14"/>
        <v>41598.910850276327</v>
      </c>
      <c r="J32" s="37">
        <f t="shared" si="14"/>
        <v>41576.063750544083</v>
      </c>
      <c r="K32" s="37">
        <f t="shared" si="14"/>
        <v>41553.221862180275</v>
      </c>
      <c r="L32" s="37">
        <f t="shared" si="14"/>
        <v>41530.385241609416</v>
      </c>
    </row>
    <row r="33" spans="1:13" x14ac:dyDescent="0.25">
      <c r="A33" s="27" t="s">
        <v>147</v>
      </c>
      <c r="C33" s="17">
        <f t="shared" ref="C33:L33" si="15">C11/B32</f>
        <v>2.1383324033890327E-2</v>
      </c>
      <c r="D33" s="17">
        <f t="shared" si="15"/>
        <v>2.1786407609744745E-2</v>
      </c>
      <c r="E33" s="17">
        <f t="shared" si="15"/>
        <v>2.2191699874917328E-2</v>
      </c>
      <c r="F33" s="17">
        <f t="shared" si="15"/>
        <v>2.259921022756306E-2</v>
      </c>
      <c r="G33" s="17">
        <f t="shared" si="15"/>
        <v>2.3008948093797037E-2</v>
      </c>
      <c r="H33" s="17">
        <f t="shared" si="15"/>
        <v>2.33949283192093E-2</v>
      </c>
      <c r="I33" s="17">
        <f t="shared" si="15"/>
        <v>2.3783377688128368E-2</v>
      </c>
      <c r="J33" s="17">
        <f t="shared" si="15"/>
        <v>2.4173229775916506E-2</v>
      </c>
      <c r="K33" s="17">
        <f t="shared" si="15"/>
        <v>2.4564488687191965E-2</v>
      </c>
      <c r="L33" s="17">
        <f t="shared" si="15"/>
        <v>2.4957158535901573E-2</v>
      </c>
    </row>
    <row r="34" spans="1:13" x14ac:dyDescent="0.25">
      <c r="A34" s="14" t="s">
        <v>148</v>
      </c>
      <c r="C34" s="37">
        <f>C11-B32*Assumptions!$D$37</f>
        <v>-2047.6680674126005</v>
      </c>
      <c r="D34" s="37">
        <f>D11-C32*Assumptions!$D$37</f>
        <v>-2029.8191511805617</v>
      </c>
      <c r="E34" s="37">
        <f>E11-D32*Assumptions!$D$37</f>
        <v>-2011.8956636585585</v>
      </c>
      <c r="F34" s="37">
        <f>F11-E32*Assumptions!$D$37</f>
        <v>-1993.8973452055438</v>
      </c>
      <c r="G34" s="37">
        <f>G11-F32*Assumptions!$D$37</f>
        <v>-1975.8239353524154</v>
      </c>
      <c r="H34" s="37">
        <f>H11-G32*Assumptions!$D$37</f>
        <v>-1958.7577084020609</v>
      </c>
      <c r="I34" s="37">
        <f>I11-H32*Assumptions!$D$37</f>
        <v>-1941.5146635176084</v>
      </c>
      <c r="J34" s="37">
        <f>J11-I32*Assumptions!$D$37</f>
        <v>-1924.2312607733661</v>
      </c>
      <c r="K34" s="37">
        <f>K11-J32*Assumptions!$D$37</f>
        <v>-1906.9074222926079</v>
      </c>
      <c r="L34" s="37">
        <f>L11-K32*Assumptions!$D$37</f>
        <v>-1889.5430700614327</v>
      </c>
    </row>
    <row r="35" spans="1:13" ht="15.95" customHeight="1" x14ac:dyDescent="0.25">
      <c r="A35" s="46" t="s">
        <v>149</v>
      </c>
      <c r="B35" s="47"/>
      <c r="C35" s="47"/>
      <c r="D35" s="47"/>
      <c r="E35" s="47"/>
      <c r="F35" s="47"/>
    </row>
    <row r="36" spans="1:13" x14ac:dyDescent="0.25">
      <c r="A36" s="14" t="s">
        <v>150</v>
      </c>
      <c r="M36" s="37">
        <f>IF(Assumptions!$D$37&gt;Assumptions!$D$6,M11*(1-Assumptions!$D$6/Assumptions!$D$25)/(Assumptions!$D$37-Assumptions!$D$6),0)</f>
        <v>18080.365671144194</v>
      </c>
    </row>
    <row r="37" spans="1:13" x14ac:dyDescent="0.25">
      <c r="A37" s="14" t="s">
        <v>151</v>
      </c>
      <c r="M37" s="37">
        <f>L9*Assumptions!$D$24</f>
        <v>12537.634786126664</v>
      </c>
    </row>
    <row r="38" spans="1:13" x14ac:dyDescent="0.25">
      <c r="A38" s="14" t="s">
        <v>152</v>
      </c>
      <c r="M38" s="37">
        <f>(M36+M37)/2</f>
        <v>15309.000228635428</v>
      </c>
    </row>
    <row r="39" spans="1:13" x14ac:dyDescent="0.25">
      <c r="A39" s="14" t="s">
        <v>153</v>
      </c>
      <c r="M39" s="37">
        <f>M38*L28</f>
        <v>7751.1137028586654</v>
      </c>
    </row>
    <row r="41" spans="1:13" x14ac:dyDescent="0.25">
      <c r="A41" s="27" t="s">
        <v>154</v>
      </c>
      <c r="M41" s="48">
        <f>L30</f>
        <v>6858.4702779490181</v>
      </c>
    </row>
    <row r="42" spans="1:13" x14ac:dyDescent="0.25">
      <c r="A42" s="27" t="s">
        <v>155</v>
      </c>
      <c r="M42" s="48">
        <f>M41+M39</f>
        <v>14609.583980807683</v>
      </c>
    </row>
    <row r="43" spans="1:13" x14ac:dyDescent="0.25">
      <c r="A43" s="14" t="s">
        <v>156</v>
      </c>
      <c r="M43" s="17">
        <f>IF(M42&gt;0,M39/M42,0)</f>
        <v>0.53054992620194708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E0700"/>
  </sheetPr>
  <dimension ref="A1:N50"/>
  <sheetViews>
    <sheetView showOutlineSymbols="0" showWhiteSpace="0" workbookViewId="0">
      <selection activeCell="A2" sqref="A2"/>
    </sheetView>
    <sheetView workbookViewId="1">
      <selection sqref="A1:M1"/>
    </sheetView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tr">
        <f>Ticker&amp;" — BEAR SCENARIO  | "&amp;Ticker&amp;" Valuation"</f>
        <v>BAH — BEAR SCENARIO  | BAH Valuation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9" t="s">
        <v>157</v>
      </c>
      <c r="B2" s="50"/>
      <c r="C2" s="50"/>
    </row>
    <row r="3" spans="1:14" x14ac:dyDescent="0.25">
      <c r="A3" s="51" t="s">
        <v>158</v>
      </c>
      <c r="B3" s="52">
        <v>0.6</v>
      </c>
    </row>
    <row r="4" spans="1:14" x14ac:dyDescent="0.25">
      <c r="A4" s="51" t="s">
        <v>159</v>
      </c>
      <c r="B4" s="52">
        <v>0.75</v>
      </c>
    </row>
    <row r="5" spans="1:14" x14ac:dyDescent="0.25">
      <c r="A5" s="51" t="s">
        <v>160</v>
      </c>
      <c r="B5" s="52">
        <v>1.2</v>
      </c>
    </row>
    <row r="6" spans="1:14" x14ac:dyDescent="0.25">
      <c r="A6" s="51" t="s">
        <v>161</v>
      </c>
      <c r="B6" s="53">
        <v>0.02</v>
      </c>
    </row>
    <row r="7" spans="1:14" x14ac:dyDescent="0.25">
      <c r="A7" s="51" t="s">
        <v>162</v>
      </c>
      <c r="B7" s="52">
        <v>0.7</v>
      </c>
    </row>
    <row r="9" spans="1:14" ht="18" customHeight="1" x14ac:dyDescent="0.25">
      <c r="A9" s="1" t="s">
        <v>107</v>
      </c>
      <c r="B9" s="40" t="s">
        <v>108</v>
      </c>
      <c r="C9" s="40" t="s">
        <v>109</v>
      </c>
      <c r="D9" s="40" t="s">
        <v>110</v>
      </c>
      <c r="E9" s="40" t="s">
        <v>111</v>
      </c>
      <c r="F9" s="40" t="s">
        <v>112</v>
      </c>
      <c r="G9" s="40" t="s">
        <v>113</v>
      </c>
      <c r="H9" s="40" t="s">
        <v>114</v>
      </c>
      <c r="I9" s="40" t="s">
        <v>115</v>
      </c>
      <c r="J9" s="40" t="s">
        <v>116</v>
      </c>
      <c r="K9" s="40" t="s">
        <v>117</v>
      </c>
      <c r="L9" s="40" t="s">
        <v>118</v>
      </c>
      <c r="M9" s="40" t="s">
        <v>119</v>
      </c>
      <c r="N9" s="11"/>
    </row>
    <row r="10" spans="1:14" x14ac:dyDescent="0.25">
      <c r="A10" s="41" t="s">
        <v>120</v>
      </c>
    </row>
    <row r="11" spans="1:14" x14ac:dyDescent="0.25">
      <c r="A11" s="27" t="s">
        <v>121</v>
      </c>
      <c r="B11" s="42">
        <f>Assumptions!$D$3</f>
        <v>11217</v>
      </c>
      <c r="C11" s="37">
        <f>B11*(1+Assumptions!$D$4*$B$3)</f>
        <v>11233.640532000001</v>
      </c>
      <c r="D11" s="37">
        <f>C11*(1+Assumptions!$D$4*$B$3)</f>
        <v>11250.305750396119</v>
      </c>
      <c r="E11" s="37">
        <f>D11*(1+Assumptions!$D$4*$B$3)</f>
        <v>11266.995691810869</v>
      </c>
      <c r="F11" s="37">
        <f>E11*(1+Assumptions!$D$4*$B$3)</f>
        <v>11283.710392921099</v>
      </c>
      <c r="G11" s="37">
        <f>F11*(1+Assumptions!$D$4*$B$3)</f>
        <v>11300.449890458065</v>
      </c>
      <c r="H11" s="37">
        <f>G11*(1+Assumptions!$D$5*$B$3)</f>
        <v>11309.670272370262</v>
      </c>
      <c r="I11" s="37">
        <f>H11*(1+Assumptions!$D$5*$B$3)</f>
        <v>11318.898177473431</v>
      </c>
      <c r="J11" s="37">
        <f>I11*(1+Assumptions!$D$5*$B$3)</f>
        <v>11328.133611905974</v>
      </c>
      <c r="K11" s="37">
        <f>J11*(1+Assumptions!$D$5*$B$3)</f>
        <v>11337.376581811302</v>
      </c>
      <c r="L11" s="37">
        <f>K11*(1+Assumptions!$D$5*$B$3)</f>
        <v>11346.627093337836</v>
      </c>
      <c r="M11" s="37">
        <f>L11*(1+Assumptions!$D$6)</f>
        <v>11630.292770671282</v>
      </c>
    </row>
    <row r="12" spans="1:14" x14ac:dyDescent="0.25">
      <c r="A12" s="14" t="s">
        <v>122</v>
      </c>
      <c r="C12" s="17">
        <f t="shared" ref="C12:M12" si="0">C11/B11-1</f>
        <v>1.4835100294197101E-3</v>
      </c>
      <c r="D12" s="17">
        <f t="shared" si="0"/>
        <v>1.4835100294197101E-3</v>
      </c>
      <c r="E12" s="17">
        <f t="shared" si="0"/>
        <v>1.4835100294197101E-3</v>
      </c>
      <c r="F12" s="17">
        <f t="shared" si="0"/>
        <v>1.4835100294197101E-3</v>
      </c>
      <c r="G12" s="17">
        <f t="shared" si="0"/>
        <v>1.4835100294197101E-3</v>
      </c>
      <c r="H12" s="17">
        <f t="shared" si="0"/>
        <v>8.1593051618078505E-4</v>
      </c>
      <c r="I12" s="17">
        <f t="shared" si="0"/>
        <v>8.1593051618078505E-4</v>
      </c>
      <c r="J12" s="17">
        <f t="shared" si="0"/>
        <v>8.1593051618078505E-4</v>
      </c>
      <c r="K12" s="17">
        <f t="shared" si="0"/>
        <v>8.1593051618078505E-4</v>
      </c>
      <c r="L12" s="17">
        <f t="shared" si="0"/>
        <v>8.1593051618078505E-4</v>
      </c>
      <c r="M12" s="17">
        <f t="shared" si="0"/>
        <v>2.4999999999999911E-2</v>
      </c>
    </row>
    <row r="13" spans="1:14" x14ac:dyDescent="0.25">
      <c r="A13" s="41" t="s">
        <v>123</v>
      </c>
    </row>
    <row r="14" spans="1:14" x14ac:dyDescent="0.25">
      <c r="A14" s="14" t="s">
        <v>124</v>
      </c>
      <c r="C14" s="17">
        <f>Assumptions!$D$8+(Assumptions!$D$9*$B$4-Assumptions!$D$8)*(COLUMN()-2)/10</f>
        <v>9.7090954090518031E-2</v>
      </c>
      <c r="D14" s="17">
        <f>Assumptions!$D$8+(Assumptions!$D$9*$B$4-Assumptions!$D$8)*(COLUMN()-2)/10</f>
        <v>9.5818223817816836E-2</v>
      </c>
      <c r="E14" s="17">
        <f>Assumptions!$D$8+(Assumptions!$D$9*$B$4-Assumptions!$D$8)*(COLUMN()-2)/10</f>
        <v>9.4545493545115628E-2</v>
      </c>
      <c r="F14" s="17">
        <f>Assumptions!$D$8+(Assumptions!$D$9*$B$4-Assumptions!$D$8)*(COLUMN()-2)/10</f>
        <v>9.3272763272414433E-2</v>
      </c>
      <c r="G14" s="17">
        <f>Assumptions!$D$8+(Assumptions!$D$9*$B$4-Assumptions!$D$8)*(COLUMN()-2)/10</f>
        <v>9.2000032999713224E-2</v>
      </c>
      <c r="H14" s="17">
        <f>Assumptions!$D$8+(Assumptions!$D$9*$B$4-Assumptions!$D$8)*(COLUMN()-2)/10</f>
        <v>9.0727302727012016E-2</v>
      </c>
      <c r="I14" s="17">
        <f>Assumptions!$D$8+(Assumptions!$D$9*$B$4-Assumptions!$D$8)*(COLUMN()-2)/10</f>
        <v>8.9454572454310821E-2</v>
      </c>
      <c r="J14" s="17">
        <f>Assumptions!$D$8+(Assumptions!$D$9*$B$4-Assumptions!$D$8)*(COLUMN()-2)/10</f>
        <v>8.8181842181609613E-2</v>
      </c>
      <c r="K14" s="17">
        <f>Assumptions!$D$8+(Assumptions!$D$9*$B$4-Assumptions!$D$8)*(COLUMN()-2)/10</f>
        <v>8.6909111908908418E-2</v>
      </c>
      <c r="L14" s="17">
        <f>Assumptions!$D$8+(Assumptions!$D$9*$B$4-Assumptions!$D$8)*(COLUMN()-2)/10</f>
        <v>8.5636381636207209E-2</v>
      </c>
      <c r="M14" s="17">
        <f>Assumptions!$D$9</f>
        <v>0.11418184218160962</v>
      </c>
    </row>
    <row r="15" spans="1:14" x14ac:dyDescent="0.25">
      <c r="A15" s="14" t="s">
        <v>125</v>
      </c>
      <c r="C15" s="37">
        <f t="shared" ref="C15:M15" si="1">C11*C14</f>
        <v>1090.6848771617947</v>
      </c>
      <c r="D15" s="37">
        <f t="shared" si="1"/>
        <v>1077.9843144103272</v>
      </c>
      <c r="E15" s="37">
        <f t="shared" si="1"/>
        <v>1065.24366845295</v>
      </c>
      <c r="F15" s="37">
        <f t="shared" si="1"/>
        <v>1052.462848313412</v>
      </c>
      <c r="G15" s="37">
        <f t="shared" si="1"/>
        <v>1039.6417628337476</v>
      </c>
      <c r="H15" s="37">
        <f t="shared" si="1"/>
        <v>1026.0958785440253</v>
      </c>
      <c r="I15" s="37">
        <f t="shared" si="1"/>
        <v>1012.5271971197637</v>
      </c>
      <c r="J15" s="37">
        <f t="shared" si="1"/>
        <v>998.93569037727991</v>
      </c>
      <c r="K15" s="37">
        <f t="shared" si="1"/>
        <v>985.3213301020761</v>
      </c>
      <c r="L15" s="37">
        <f t="shared" si="1"/>
        <v>971.68408804880744</v>
      </c>
      <c r="M15" s="37">
        <f t="shared" si="1"/>
        <v>1327.9682536667035</v>
      </c>
    </row>
    <row r="16" spans="1:14" x14ac:dyDescent="0.25">
      <c r="A16" s="14" t="s">
        <v>126</v>
      </c>
      <c r="C16" s="37">
        <f t="shared" ref="C16:M16" si="2">C15+C21</f>
        <v>1254.2698961159763</v>
      </c>
      <c r="D16" s="37">
        <f t="shared" si="2"/>
        <v>1241.8120133807902</v>
      </c>
      <c r="E16" s="37">
        <f t="shared" si="2"/>
        <v>1229.3144074579322</v>
      </c>
      <c r="F16" s="37">
        <f t="shared" si="2"/>
        <v>1216.7769879052425</v>
      </c>
      <c r="G16" s="37">
        <f t="shared" si="2"/>
        <v>1204.1996640996381</v>
      </c>
      <c r="H16" s="37">
        <f t="shared" si="2"/>
        <v>1190.7880476232372</v>
      </c>
      <c r="I16" s="37">
        <f t="shared" si="2"/>
        <v>1177.3537435655035</v>
      </c>
      <c r="J16" s="37">
        <f t="shared" si="2"/>
        <v>1163.8967238321413</v>
      </c>
      <c r="K16" s="37">
        <f t="shared" si="2"/>
        <v>1150.4169602981142</v>
      </c>
      <c r="L16" s="37">
        <f t="shared" si="2"/>
        <v>1136.9144248076104</v>
      </c>
      <c r="M16" s="37">
        <f t="shared" si="2"/>
        <v>1497.3293488444767</v>
      </c>
    </row>
    <row r="17" spans="1:13" x14ac:dyDescent="0.25">
      <c r="A17" s="14" t="s">
        <v>127</v>
      </c>
      <c r="C17" s="17">
        <f>Assumptions!$D$14+(Assumptions!$D$15-Assumptions!$D$14)*(COLUMN()-2)/10</f>
        <v>0.20564843605761052</v>
      </c>
      <c r="D17" s="17">
        <f>Assumptions!$D$14+(Assumptions!$D$15-Assumptions!$D$14)*(COLUMN()-2)/10</f>
        <v>0.20564843605761052</v>
      </c>
      <c r="E17" s="17">
        <f>Assumptions!$D$14+(Assumptions!$D$15-Assumptions!$D$14)*(COLUMN()-2)/10</f>
        <v>0.20564843605761052</v>
      </c>
      <c r="F17" s="17">
        <f>Assumptions!$D$14+(Assumptions!$D$15-Assumptions!$D$14)*(COLUMN()-2)/10</f>
        <v>0.20564843605761052</v>
      </c>
      <c r="G17" s="17">
        <f>Assumptions!$D$14+(Assumptions!$D$15-Assumptions!$D$14)*(COLUMN()-2)/10</f>
        <v>0.20564843605761052</v>
      </c>
      <c r="H17" s="17">
        <f>Assumptions!$D$14+(Assumptions!$D$15-Assumptions!$D$14)*(COLUMN()-2)/10</f>
        <v>0.20564843605761052</v>
      </c>
      <c r="I17" s="17">
        <f>Assumptions!$D$14+(Assumptions!$D$15-Assumptions!$D$14)*(COLUMN()-2)/10</f>
        <v>0.20564843605761052</v>
      </c>
      <c r="J17" s="17">
        <f>Assumptions!$D$14+(Assumptions!$D$15-Assumptions!$D$14)*(COLUMN()-2)/10</f>
        <v>0.20564843605761052</v>
      </c>
      <c r="K17" s="17">
        <f>Assumptions!$D$14+(Assumptions!$D$15-Assumptions!$D$14)*(COLUMN()-2)/10</f>
        <v>0.20564843605761052</v>
      </c>
      <c r="L17" s="17">
        <f>Assumptions!$D$14+(Assumptions!$D$15-Assumptions!$D$14)*(COLUMN()-2)/10</f>
        <v>0.20564843605761052</v>
      </c>
      <c r="M17" s="17">
        <f>Assumptions!$D$15</f>
        <v>0.20564843605761052</v>
      </c>
    </row>
    <row r="18" spans="1:13" x14ac:dyDescent="0.25">
      <c r="A18" s="27" t="s">
        <v>128</v>
      </c>
      <c r="C18" s="37">
        <f t="shared" ref="C18:M18" si="3">C15*(1-C17)</f>
        <v>866.38723794178463</v>
      </c>
      <c r="D18" s="37">
        <f t="shared" si="3"/>
        <v>856.29852605720794</v>
      </c>
      <c r="E18" s="37">
        <f t="shared" si="3"/>
        <v>846.17797401532903</v>
      </c>
      <c r="F18" s="37">
        <f t="shared" si="3"/>
        <v>836.02550954902063</v>
      </c>
      <c r="G18" s="37">
        <f t="shared" si="3"/>
        <v>825.84106024681023</v>
      </c>
      <c r="H18" s="37">
        <f t="shared" si="3"/>
        <v>815.08086587628657</v>
      </c>
      <c r="I18" s="37">
        <f t="shared" si="3"/>
        <v>804.30256256628843</v>
      </c>
      <c r="J18" s="37">
        <f t="shared" si="3"/>
        <v>793.50612792906281</v>
      </c>
      <c r="K18" s="37">
        <f t="shared" si="3"/>
        <v>782.6915395523796</v>
      </c>
      <c r="L18" s="37">
        <f t="shared" si="3"/>
        <v>771.8587749995047</v>
      </c>
      <c r="M18" s="37">
        <f t="shared" si="3"/>
        <v>1054.8736591659897</v>
      </c>
    </row>
    <row r="19" spans="1:13" x14ac:dyDescent="0.25">
      <c r="A19" s="41" t="s">
        <v>129</v>
      </c>
    </row>
    <row r="20" spans="1:13" x14ac:dyDescent="0.25">
      <c r="A20" s="14" t="s">
        <v>49</v>
      </c>
      <c r="B20" s="43">
        <f>Assumptions!$D$11</f>
        <v>1.4562066365591405E-2</v>
      </c>
      <c r="C20" s="30">
        <f>Assumptions!$D$11</f>
        <v>1.4562066365591405E-2</v>
      </c>
      <c r="D20" s="30">
        <f>Assumptions!$D$11</f>
        <v>1.4562066365591405E-2</v>
      </c>
      <c r="E20" s="30">
        <f>Assumptions!$D$11</f>
        <v>1.4562066365591405E-2</v>
      </c>
      <c r="F20" s="30">
        <f>Assumptions!$D$11</f>
        <v>1.4562066365591405E-2</v>
      </c>
      <c r="G20" s="30">
        <f>Assumptions!$D$11</f>
        <v>1.4562066365591405E-2</v>
      </c>
      <c r="H20" s="30">
        <f>Assumptions!$D$11</f>
        <v>1.4562066365591405E-2</v>
      </c>
      <c r="I20" s="30">
        <f>Assumptions!$D$11</f>
        <v>1.4562066365591405E-2</v>
      </c>
      <c r="J20" s="30">
        <f>Assumptions!$D$11</f>
        <v>1.4562066365591405E-2</v>
      </c>
      <c r="K20" s="30">
        <f>Assumptions!$D$11</f>
        <v>1.4562066365591405E-2</v>
      </c>
      <c r="L20" s="30">
        <f>Assumptions!$D$11</f>
        <v>1.4562066365591405E-2</v>
      </c>
      <c r="M20" s="30">
        <f>Assumptions!$D$11</f>
        <v>1.4562066365591405E-2</v>
      </c>
    </row>
    <row r="21" spans="1:13" x14ac:dyDescent="0.25">
      <c r="A21" s="14" t="s">
        <v>130</v>
      </c>
      <c r="C21" s="37">
        <f t="shared" ref="C21:M21" si="4">C11*C20</f>
        <v>163.58501895418155</v>
      </c>
      <c r="D21" s="37">
        <f t="shared" si="4"/>
        <v>163.8276989704629</v>
      </c>
      <c r="E21" s="37">
        <f t="shared" si="4"/>
        <v>164.07073900498233</v>
      </c>
      <c r="F21" s="37">
        <f t="shared" si="4"/>
        <v>164.3141395918305</v>
      </c>
      <c r="G21" s="37">
        <f t="shared" si="4"/>
        <v>164.55790126589045</v>
      </c>
      <c r="H21" s="37">
        <f t="shared" si="4"/>
        <v>164.69216907921196</v>
      </c>
      <c r="I21" s="37">
        <f t="shared" si="4"/>
        <v>164.82654644573969</v>
      </c>
      <c r="J21" s="37">
        <f t="shared" si="4"/>
        <v>164.96103345486145</v>
      </c>
      <c r="K21" s="37">
        <f t="shared" si="4"/>
        <v>165.095630196038</v>
      </c>
      <c r="L21" s="37">
        <f t="shared" si="4"/>
        <v>165.23033675880308</v>
      </c>
      <c r="M21" s="37">
        <f t="shared" si="4"/>
        <v>169.36109517777314</v>
      </c>
    </row>
    <row r="22" spans="1:13" x14ac:dyDescent="0.25">
      <c r="A22" s="14" t="s">
        <v>50</v>
      </c>
      <c r="B22" s="43">
        <f>Assumptions!$D$12</f>
        <v>0.01</v>
      </c>
      <c r="C22" s="30">
        <f>Assumptions!$D$12*$B$5</f>
        <v>1.2E-2</v>
      </c>
      <c r="D22" s="30">
        <f>Assumptions!$D$12*$B$5</f>
        <v>1.2E-2</v>
      </c>
      <c r="E22" s="30">
        <f>Assumptions!$D$12*$B$5</f>
        <v>1.2E-2</v>
      </c>
      <c r="F22" s="30">
        <f>Assumptions!$D$12*$B$5</f>
        <v>1.2E-2</v>
      </c>
      <c r="G22" s="30">
        <f>Assumptions!$D$12*$B$5</f>
        <v>1.2E-2</v>
      </c>
      <c r="H22" s="30">
        <f>Assumptions!$D$12*$B$5</f>
        <v>1.2E-2</v>
      </c>
      <c r="I22" s="30">
        <f>Assumptions!$D$12*$B$5</f>
        <v>1.2E-2</v>
      </c>
      <c r="J22" s="30">
        <f>Assumptions!$D$12*$B$5</f>
        <v>1.2E-2</v>
      </c>
      <c r="K22" s="30">
        <f>Assumptions!$D$12*$B$5</f>
        <v>1.2E-2</v>
      </c>
      <c r="L22" s="30">
        <f>Assumptions!$D$12*$B$5</f>
        <v>1.2E-2</v>
      </c>
    </row>
    <row r="23" spans="1:13" x14ac:dyDescent="0.25">
      <c r="A23" s="14" t="s">
        <v>131</v>
      </c>
      <c r="C23" s="37">
        <f t="shared" ref="C23:L23" si="5">C11*C22</f>
        <v>134.80368638400003</v>
      </c>
      <c r="D23" s="37">
        <f t="shared" si="5"/>
        <v>135.00366900475342</v>
      </c>
      <c r="E23" s="37">
        <f t="shared" si="5"/>
        <v>135.20394830173043</v>
      </c>
      <c r="F23" s="37">
        <f t="shared" si="5"/>
        <v>135.40452471505318</v>
      </c>
      <c r="G23" s="37">
        <f t="shared" si="5"/>
        <v>135.60539868549679</v>
      </c>
      <c r="H23" s="37">
        <f t="shared" si="5"/>
        <v>135.71604326844314</v>
      </c>
      <c r="I23" s="37">
        <f t="shared" si="5"/>
        <v>135.82677812968117</v>
      </c>
      <c r="J23" s="37">
        <f t="shared" si="5"/>
        <v>135.93760334287168</v>
      </c>
      <c r="K23" s="37">
        <f t="shared" si="5"/>
        <v>136.04851898173564</v>
      </c>
      <c r="L23" s="37">
        <f t="shared" si="5"/>
        <v>136.15952512005404</v>
      </c>
    </row>
    <row r="24" spans="1:13" x14ac:dyDescent="0.25">
      <c r="A24" s="41" t="s">
        <v>132</v>
      </c>
    </row>
    <row r="25" spans="1:13" x14ac:dyDescent="0.25">
      <c r="A25" s="14" t="s">
        <v>133</v>
      </c>
      <c r="B25" s="44">
        <f>Assumptions!$D$17</f>
        <v>67.099999999999994</v>
      </c>
      <c r="C25" s="20">
        <f>Assumptions!$D$17+(Assumptions!$D$18-Assumptions!$D$17)*(COLUMN()-2)/10</f>
        <v>66.253</v>
      </c>
      <c r="D25" s="20">
        <f>Assumptions!$D$17+(Assumptions!$D$18-Assumptions!$D$17)*(COLUMN()-2)/10</f>
        <v>65.405999999999992</v>
      </c>
      <c r="E25" s="20">
        <f>Assumptions!$D$17+(Assumptions!$D$18-Assumptions!$D$17)*(COLUMN()-2)/10</f>
        <v>64.558999999999997</v>
      </c>
      <c r="F25" s="20">
        <f>Assumptions!$D$17+(Assumptions!$D$18-Assumptions!$D$17)*(COLUMN()-2)/10</f>
        <v>63.711999999999996</v>
      </c>
      <c r="G25" s="20">
        <f>Assumptions!$D$17+(Assumptions!$D$18-Assumptions!$D$17)*(COLUMN()-2)/10</f>
        <v>62.864999999999995</v>
      </c>
      <c r="H25" s="20">
        <f>Assumptions!$D$17+(Assumptions!$D$18-Assumptions!$D$17)*(COLUMN()-2)/10</f>
        <v>62.017999999999994</v>
      </c>
      <c r="I25" s="20">
        <f>Assumptions!$D$17+(Assumptions!$D$18-Assumptions!$D$17)*(COLUMN()-2)/10</f>
        <v>61.170999999999992</v>
      </c>
      <c r="J25" s="20">
        <f>Assumptions!$D$17+(Assumptions!$D$18-Assumptions!$D$17)*(COLUMN()-2)/10</f>
        <v>60.323999999999998</v>
      </c>
      <c r="K25" s="20">
        <f>Assumptions!$D$17+(Assumptions!$D$18-Assumptions!$D$17)*(COLUMN()-2)/10</f>
        <v>59.476999999999997</v>
      </c>
      <c r="L25" s="20">
        <f>Assumptions!$D$17+(Assumptions!$D$18-Assumptions!$D$17)*(COLUMN()-2)/10</f>
        <v>58.629999999999995</v>
      </c>
    </row>
    <row r="26" spans="1:13" x14ac:dyDescent="0.25">
      <c r="A26" s="14" t="s">
        <v>134</v>
      </c>
      <c r="B26" s="44">
        <f>Assumptions!$D$19</f>
        <v>5</v>
      </c>
      <c r="C26" s="20">
        <f>Assumptions!$D$19+(Assumptions!$D$20-Assumptions!$D$19)*(COLUMN()-2)/10</f>
        <v>8.85</v>
      </c>
      <c r="D26" s="20">
        <f>Assumptions!$D$19+(Assumptions!$D$20-Assumptions!$D$19)*(COLUMN()-2)/10</f>
        <v>12.7</v>
      </c>
      <c r="E26" s="20">
        <f>Assumptions!$D$19+(Assumptions!$D$20-Assumptions!$D$19)*(COLUMN()-2)/10</f>
        <v>16.55</v>
      </c>
      <c r="F26" s="20">
        <f>Assumptions!$D$19+(Assumptions!$D$20-Assumptions!$D$19)*(COLUMN()-2)/10</f>
        <v>20.399999999999999</v>
      </c>
      <c r="G26" s="20">
        <f>Assumptions!$D$19+(Assumptions!$D$20-Assumptions!$D$19)*(COLUMN()-2)/10</f>
        <v>24.25</v>
      </c>
      <c r="H26" s="20">
        <f>Assumptions!$D$19+(Assumptions!$D$20-Assumptions!$D$19)*(COLUMN()-2)/10</f>
        <v>28.1</v>
      </c>
      <c r="I26" s="20">
        <f>Assumptions!$D$19+(Assumptions!$D$20-Assumptions!$D$19)*(COLUMN()-2)/10</f>
        <v>31.95</v>
      </c>
      <c r="J26" s="20">
        <f>Assumptions!$D$19+(Assumptions!$D$20-Assumptions!$D$19)*(COLUMN()-2)/10</f>
        <v>35.799999999999997</v>
      </c>
      <c r="K26" s="20">
        <f>Assumptions!$D$19+(Assumptions!$D$20-Assumptions!$D$19)*(COLUMN()-2)/10</f>
        <v>39.65</v>
      </c>
      <c r="L26" s="20">
        <f>Assumptions!$D$19+(Assumptions!$D$20-Assumptions!$D$19)*(COLUMN()-2)/10</f>
        <v>43.5</v>
      </c>
    </row>
    <row r="27" spans="1:13" x14ac:dyDescent="0.25">
      <c r="A27" s="14" t="s">
        <v>135</v>
      </c>
      <c r="B27" s="44">
        <f>Assumptions!$D$21</f>
        <v>19.3</v>
      </c>
      <c r="C27" s="20">
        <f>Assumptions!$D$21+(Assumptions!$D$22-Assumptions!$D$21)*(COLUMN()-2)/10</f>
        <v>21.449000000000002</v>
      </c>
      <c r="D27" s="20">
        <f>Assumptions!$D$21+(Assumptions!$D$22-Assumptions!$D$21)*(COLUMN()-2)/10</f>
        <v>23.597999999999999</v>
      </c>
      <c r="E27" s="20">
        <f>Assumptions!$D$21+(Assumptions!$D$22-Assumptions!$D$21)*(COLUMN()-2)/10</f>
        <v>25.747</v>
      </c>
      <c r="F27" s="20">
        <f>Assumptions!$D$21+(Assumptions!$D$22-Assumptions!$D$21)*(COLUMN()-2)/10</f>
        <v>27.896000000000001</v>
      </c>
      <c r="G27" s="20">
        <f>Assumptions!$D$21+(Assumptions!$D$22-Assumptions!$D$21)*(COLUMN()-2)/10</f>
        <v>30.045000000000002</v>
      </c>
      <c r="H27" s="20">
        <f>Assumptions!$D$21+(Assumptions!$D$22-Assumptions!$D$21)*(COLUMN()-2)/10</f>
        <v>32.194000000000003</v>
      </c>
      <c r="I27" s="20">
        <f>Assumptions!$D$21+(Assumptions!$D$22-Assumptions!$D$21)*(COLUMN()-2)/10</f>
        <v>34.342999999999996</v>
      </c>
      <c r="J27" s="20">
        <f>Assumptions!$D$21+(Assumptions!$D$22-Assumptions!$D$21)*(COLUMN()-2)/10</f>
        <v>36.492000000000004</v>
      </c>
      <c r="K27" s="20">
        <f>Assumptions!$D$21+(Assumptions!$D$22-Assumptions!$D$21)*(COLUMN()-2)/10</f>
        <v>38.641000000000005</v>
      </c>
      <c r="L27" s="20">
        <f>Assumptions!$D$21+(Assumptions!$D$22-Assumptions!$D$21)*(COLUMN()-2)/10</f>
        <v>40.79</v>
      </c>
    </row>
    <row r="28" spans="1:13" x14ac:dyDescent="0.25">
      <c r="A28" s="14" t="s">
        <v>136</v>
      </c>
      <c r="B28" s="37">
        <f t="shared" ref="B28:L28" si="6">B11/365*B25</f>
        <v>2062.084109589041</v>
      </c>
      <c r="C28" s="37">
        <f t="shared" si="6"/>
        <v>2039.0750305934139</v>
      </c>
      <c r="D28" s="37">
        <f t="shared" si="6"/>
        <v>2015.9931449600233</v>
      </c>
      <c r="E28" s="37">
        <f t="shared" si="6"/>
        <v>1992.8382873085422</v>
      </c>
      <c r="F28" s="37">
        <f t="shared" si="6"/>
        <v>1969.6102919281891</v>
      </c>
      <c r="G28" s="37">
        <f t="shared" si="6"/>
        <v>1946.308992777113</v>
      </c>
      <c r="H28" s="37">
        <f t="shared" si="6"/>
        <v>1921.6524135667364</v>
      </c>
      <c r="I28" s="37">
        <f t="shared" si="6"/>
        <v>1896.9543025047321</v>
      </c>
      <c r="J28" s="37">
        <f t="shared" si="6"/>
        <v>1872.2146082318247</v>
      </c>
      <c r="K28" s="37">
        <f t="shared" si="6"/>
        <v>1847.4332793325775</v>
      </c>
      <c r="L28" s="37">
        <f t="shared" si="6"/>
        <v>1822.6102643353352</v>
      </c>
    </row>
    <row r="29" spans="1:13" x14ac:dyDescent="0.25">
      <c r="A29" s="14" t="s">
        <v>137</v>
      </c>
      <c r="B29" s="37">
        <f t="shared" ref="B29:L29" si="7">B11/365*B26</f>
        <v>153.65753424657532</v>
      </c>
      <c r="C29" s="37">
        <f t="shared" si="7"/>
        <v>272.37731152931508</v>
      </c>
      <c r="D29" s="37">
        <f t="shared" si="7"/>
        <v>391.44899460282386</v>
      </c>
      <c r="E29" s="37">
        <f t="shared" si="7"/>
        <v>510.87336629991751</v>
      </c>
      <c r="F29" s="37">
        <f t="shared" si="7"/>
        <v>630.65121100161753</v>
      </c>
      <c r="G29" s="37">
        <f t="shared" si="7"/>
        <v>750.78331464002213</v>
      </c>
      <c r="H29" s="37">
        <f t="shared" si="7"/>
        <v>870.68968398247773</v>
      </c>
      <c r="I29" s="37">
        <f t="shared" si="7"/>
        <v>990.79122402815381</v>
      </c>
      <c r="J29" s="37">
        <f t="shared" si="7"/>
        <v>1111.0881734417367</v>
      </c>
      <c r="K29" s="37">
        <f t="shared" si="7"/>
        <v>1231.580771147447</v>
      </c>
      <c r="L29" s="37">
        <f t="shared" si="7"/>
        <v>1352.269256329304</v>
      </c>
    </row>
    <row r="30" spans="1:13" x14ac:dyDescent="0.25">
      <c r="A30" s="14" t="s">
        <v>138</v>
      </c>
      <c r="B30" s="37">
        <f t="shared" ref="B30:L30" si="8">B11/365*B27</f>
        <v>593.11808219178079</v>
      </c>
      <c r="C30" s="37">
        <f t="shared" si="8"/>
        <v>660.13796101607682</v>
      </c>
      <c r="D30" s="37">
        <f t="shared" si="8"/>
        <v>727.35538382971947</v>
      </c>
      <c r="E30" s="37">
        <f t="shared" si="8"/>
        <v>794.77078925220394</v>
      </c>
      <c r="F30" s="37">
        <f t="shared" si="8"/>
        <v>862.38461676966301</v>
      </c>
      <c r="G30" s="37">
        <f t="shared" si="8"/>
        <v>930.19730673647291</v>
      </c>
      <c r="H30" s="37">
        <f t="shared" si="8"/>
        <v>997.54390342106365</v>
      </c>
      <c r="I30" s="37">
        <f t="shared" si="8"/>
        <v>1064.9997811204657</v>
      </c>
      <c r="J30" s="37">
        <f t="shared" si="8"/>
        <v>1132.5650733306106</v>
      </c>
      <c r="K30" s="37">
        <f t="shared" si="8"/>
        <v>1200.2399136925221</v>
      </c>
      <c r="L30" s="37">
        <f t="shared" si="8"/>
        <v>1268.0244359924668</v>
      </c>
    </row>
    <row r="31" spans="1:13" x14ac:dyDescent="0.25">
      <c r="A31" s="14" t="s">
        <v>139</v>
      </c>
      <c r="B31" s="37">
        <f t="shared" ref="B31:L31" si="9">B28+B29-B30</f>
        <v>1622.6235616438355</v>
      </c>
      <c r="C31" s="37">
        <f t="shared" si="9"/>
        <v>1651.3143811066523</v>
      </c>
      <c r="D31" s="37">
        <f t="shared" si="9"/>
        <v>1680.0867557331276</v>
      </c>
      <c r="E31" s="37">
        <f t="shared" si="9"/>
        <v>1708.9408643562556</v>
      </c>
      <c r="F31" s="37">
        <f t="shared" si="9"/>
        <v>1737.8768861601438</v>
      </c>
      <c r="G31" s="37">
        <f t="shared" si="9"/>
        <v>1766.8950006806622</v>
      </c>
      <c r="H31" s="37">
        <f t="shared" si="9"/>
        <v>1794.7981941281505</v>
      </c>
      <c r="I31" s="37">
        <f t="shared" si="9"/>
        <v>1822.7457454124201</v>
      </c>
      <c r="J31" s="37">
        <f t="shared" si="9"/>
        <v>1850.7377083429506</v>
      </c>
      <c r="K31" s="37">
        <f t="shared" si="9"/>
        <v>1878.7741367875026</v>
      </c>
      <c r="L31" s="37">
        <f t="shared" si="9"/>
        <v>1906.8550846721723</v>
      </c>
    </row>
    <row r="32" spans="1:13" x14ac:dyDescent="0.25">
      <c r="A32" s="14" t="s">
        <v>140</v>
      </c>
      <c r="C32" s="37">
        <f t="shared" ref="C32:L32" si="10">C31-B31</f>
        <v>28.690819462816762</v>
      </c>
      <c r="D32" s="37">
        <f t="shared" si="10"/>
        <v>28.772374626475312</v>
      </c>
      <c r="E32" s="37">
        <f t="shared" si="10"/>
        <v>28.854108623128013</v>
      </c>
      <c r="F32" s="37">
        <f t="shared" si="10"/>
        <v>28.936021803888252</v>
      </c>
      <c r="G32" s="37">
        <f t="shared" si="10"/>
        <v>29.018114520518338</v>
      </c>
      <c r="H32" s="37">
        <f t="shared" si="10"/>
        <v>27.90319344748832</v>
      </c>
      <c r="I32" s="37">
        <f t="shared" si="10"/>
        <v>27.947551284269593</v>
      </c>
      <c r="J32" s="37">
        <f t="shared" si="10"/>
        <v>27.991962930530462</v>
      </c>
      <c r="K32" s="37">
        <f t="shared" si="10"/>
        <v>28.03642844455203</v>
      </c>
      <c r="L32" s="37">
        <f t="shared" si="10"/>
        <v>28.08094788466974</v>
      </c>
    </row>
    <row r="33" spans="1:13" x14ac:dyDescent="0.25">
      <c r="A33" s="41" t="s">
        <v>141</v>
      </c>
    </row>
    <row r="34" spans="1:13" x14ac:dyDescent="0.25">
      <c r="A34" s="27" t="s">
        <v>142</v>
      </c>
      <c r="C34" s="37">
        <f t="shared" ref="C34:L34" si="11">C18+C21-C23-C32</f>
        <v>866.47775104914945</v>
      </c>
      <c r="D34" s="37">
        <f t="shared" si="11"/>
        <v>856.35018139644217</v>
      </c>
      <c r="E34" s="37">
        <f t="shared" si="11"/>
        <v>846.19065609545294</v>
      </c>
      <c r="F34" s="37">
        <f t="shared" si="11"/>
        <v>835.99910262190974</v>
      </c>
      <c r="G34" s="37">
        <f t="shared" si="11"/>
        <v>825.77544830668558</v>
      </c>
      <c r="H34" s="37">
        <f t="shared" si="11"/>
        <v>816.1537982395671</v>
      </c>
      <c r="I34" s="37">
        <f t="shared" si="11"/>
        <v>805.35477959807736</v>
      </c>
      <c r="J34" s="37">
        <f t="shared" si="11"/>
        <v>794.53759511052203</v>
      </c>
      <c r="K34" s="37">
        <f t="shared" si="11"/>
        <v>783.70222232212996</v>
      </c>
      <c r="L34" s="37">
        <f t="shared" si="11"/>
        <v>772.84863875358405</v>
      </c>
    </row>
    <row r="35" spans="1:13" x14ac:dyDescent="0.25">
      <c r="A35" s="14" t="s">
        <v>143</v>
      </c>
      <c r="C35" s="45">
        <f>1/(1+(Assumptions!$D$37+$B$6))^1</f>
        <v>0.91706941298386879</v>
      </c>
      <c r="D35" s="45">
        <f>1/(1+(Assumptions!$D$37+$B$6))^2</f>
        <v>0.84101630823057749</v>
      </c>
      <c r="E35" s="45">
        <f>1/(1+(Assumptions!$D$37+$B$6))^3</f>
        <v>0.77127033209887608</v>
      </c>
      <c r="F35" s="45">
        <f>1/(1+(Assumptions!$D$37+$B$6))^4</f>
        <v>0.70730843070978977</v>
      </c>
      <c r="G35" s="45">
        <f>1/(1+(Assumptions!$D$37+$B$6))^5</f>
        <v>0.64865092734956831</v>
      </c>
      <c r="H35" s="45">
        <f>1/(1+(Assumptions!$D$37+$B$6))^6</f>
        <v>0.59485792517591063</v>
      </c>
      <c r="I35" s="45">
        <f>1/(1+(Assumptions!$D$37+$B$6))^7</f>
        <v>0.54552600824987441</v>
      </c>
      <c r="J35" s="45">
        <f>1/(1+(Assumptions!$D$37+$B$6))^8</f>
        <v>0.50028521615314547</v>
      </c>
      <c r="K35" s="45">
        <f>1/(1+(Assumptions!$D$37+$B$6))^9</f>
        <v>0.45879626950207308</v>
      </c>
      <c r="L35" s="45">
        <f>1/(1+(Assumptions!$D$37+$B$6))^10</f>
        <v>0.42074802555145496</v>
      </c>
      <c r="M35" s="45">
        <f>1/(1+(Assumptions!$D$37+$B$6))^10</f>
        <v>0.42074802555145496</v>
      </c>
    </row>
    <row r="36" spans="1:13" x14ac:dyDescent="0.25">
      <c r="A36" s="27" t="s">
        <v>144</v>
      </c>
      <c r="C36" s="37">
        <f t="shared" ref="C36:L36" si="12">C34*C35</f>
        <v>794.62024251822629</v>
      </c>
      <c r="D36" s="37">
        <f t="shared" si="12"/>
        <v>720.20446811062118</v>
      </c>
      <c r="E36" s="37">
        <f t="shared" si="12"/>
        <v>652.64174834570588</v>
      </c>
      <c r="F36" s="37">
        <f t="shared" si="12"/>
        <v>591.30921335029552</v>
      </c>
      <c r="G36" s="37">
        <f t="shared" si="12"/>
        <v>535.64001032663714</v>
      </c>
      <c r="H36" s="37">
        <f t="shared" si="12"/>
        <v>485.49555504522766</v>
      </c>
      <c r="I36" s="37">
        <f t="shared" si="12"/>
        <v>439.34197813909651</v>
      </c>
      <c r="J36" s="37">
        <f t="shared" si="12"/>
        <v>397.49541251166789</v>
      </c>
      <c r="K36" s="37">
        <f t="shared" si="12"/>
        <v>359.55965600187756</v>
      </c>
      <c r="L36" s="37">
        <f t="shared" si="12"/>
        <v>325.17453880570019</v>
      </c>
    </row>
    <row r="37" spans="1:13" x14ac:dyDescent="0.25">
      <c r="A37" s="14" t="s">
        <v>145</v>
      </c>
      <c r="C37" s="37">
        <f>C36</f>
        <v>794.62024251822629</v>
      </c>
      <c r="D37" s="37">
        <f t="shared" ref="D37:L37" si="13">C37+D36</f>
        <v>1514.8247106288475</v>
      </c>
      <c r="E37" s="37">
        <f t="shared" si="13"/>
        <v>2167.4664589745535</v>
      </c>
      <c r="F37" s="37">
        <f t="shared" si="13"/>
        <v>2758.775672324849</v>
      </c>
      <c r="G37" s="37">
        <f t="shared" si="13"/>
        <v>3294.4156826514863</v>
      </c>
      <c r="H37" s="37">
        <f t="shared" si="13"/>
        <v>3779.9112376967141</v>
      </c>
      <c r="I37" s="37">
        <f t="shared" si="13"/>
        <v>4219.2532158358108</v>
      </c>
      <c r="J37" s="37">
        <f t="shared" si="13"/>
        <v>4616.7486283474791</v>
      </c>
      <c r="K37" s="37">
        <f t="shared" si="13"/>
        <v>4976.3082843493567</v>
      </c>
      <c r="L37" s="37">
        <f t="shared" si="13"/>
        <v>5301.4828231550564</v>
      </c>
    </row>
    <row r="38" spans="1:13" x14ac:dyDescent="0.25">
      <c r="A38" s="41" t="s">
        <v>146</v>
      </c>
    </row>
    <row r="39" spans="1:13" x14ac:dyDescent="0.25">
      <c r="A39" s="14" t="s">
        <v>93</v>
      </c>
      <c r="B39" s="42">
        <f>Assumptions!$D$41</f>
        <v>41749.375</v>
      </c>
      <c r="C39" s="37">
        <f t="shared" ref="C39:L39" si="14">B39+C23+C32-C21</f>
        <v>41749.28448689264</v>
      </c>
      <c r="D39" s="37">
        <f t="shared" si="14"/>
        <v>41749.232831553411</v>
      </c>
      <c r="E39" s="37">
        <f t="shared" si="14"/>
        <v>41749.220149473287</v>
      </c>
      <c r="F39" s="37">
        <f t="shared" si="14"/>
        <v>41749.246556400394</v>
      </c>
      <c r="G39" s="37">
        <f t="shared" si="14"/>
        <v>41749.312168340519</v>
      </c>
      <c r="H39" s="37">
        <f t="shared" si="14"/>
        <v>41748.239235977235</v>
      </c>
      <c r="I39" s="37">
        <f t="shared" si="14"/>
        <v>41747.187018945449</v>
      </c>
      <c r="J39" s="37">
        <f t="shared" si="14"/>
        <v>41746.155551763986</v>
      </c>
      <c r="K39" s="37">
        <f t="shared" si="14"/>
        <v>41745.144868994234</v>
      </c>
      <c r="L39" s="37">
        <f t="shared" si="14"/>
        <v>41744.155005240158</v>
      </c>
    </row>
    <row r="40" spans="1:13" x14ac:dyDescent="0.25">
      <c r="A40" s="27" t="s">
        <v>147</v>
      </c>
      <c r="C40" s="17">
        <f t="shared" ref="C40:L40" si="15">C18/B39</f>
        <v>2.075210079053362E-2</v>
      </c>
      <c r="D40" s="17">
        <f t="shared" si="15"/>
        <v>2.0510495846367053E-2</v>
      </c>
      <c r="E40" s="17">
        <f t="shared" si="15"/>
        <v>2.0268108336970472E-2</v>
      </c>
      <c r="F40" s="17">
        <f t="shared" si="15"/>
        <v>2.0024937149863576E-2</v>
      </c>
      <c r="G40" s="17">
        <f t="shared" si="15"/>
        <v>1.9780981176059191E-2</v>
      </c>
      <c r="H40" s="17">
        <f t="shared" si="15"/>
        <v>1.9523216636234346E-2</v>
      </c>
      <c r="I40" s="17">
        <f t="shared" si="15"/>
        <v>1.9265544542371199E-2</v>
      </c>
      <c r="J40" s="17">
        <f t="shared" si="15"/>
        <v>1.9007415459368765E-2</v>
      </c>
      <c r="K40" s="17">
        <f t="shared" si="15"/>
        <v>1.8748829184566839E-2</v>
      </c>
      <c r="L40" s="17">
        <f t="shared" si="15"/>
        <v>1.8489785516897193E-2</v>
      </c>
    </row>
    <row r="41" spans="1:13" x14ac:dyDescent="0.25">
      <c r="A41" s="14" t="s">
        <v>148</v>
      </c>
      <c r="C41" s="37">
        <f>C18-B39*(Assumptions!$D$37+$B$6)</f>
        <v>-2909.0087433082163</v>
      </c>
      <c r="D41" s="37">
        <f>D18-C39*(Assumptions!$D$37+$B$6)</f>
        <v>-2919.0892700924942</v>
      </c>
      <c r="E41" s="37">
        <f>E18-D39*(Assumptions!$D$37+$B$6)</f>
        <v>-2929.2051509420462</v>
      </c>
      <c r="F41" s="37">
        <f>F18-E39*(Assumptions!$D$37+$B$6)</f>
        <v>-2939.3564685678493</v>
      </c>
      <c r="G41" s="37">
        <f>G18-F39*(Assumptions!$D$37+$B$6)</f>
        <v>-2949.5433058484778</v>
      </c>
      <c r="H41" s="37">
        <f>H18-G39*(Assumptions!$D$37+$B$6)</f>
        <v>-2960.3094335067467</v>
      </c>
      <c r="I41" s="37">
        <f>I18-H39*(Assumptions!$D$37+$B$6)</f>
        <v>-2970.9907115431333</v>
      </c>
      <c r="J41" s="37">
        <f>J18-I39*(Assumptions!$D$37+$B$6)</f>
        <v>-2981.6919941941742</v>
      </c>
      <c r="K41" s="37">
        <f>K18-J39*(Assumptions!$D$37+$B$6)</f>
        <v>-2992.4133069936379</v>
      </c>
      <c r="L41" s="37">
        <f>L18-K39*(Assumptions!$D$37+$B$6)</f>
        <v>-3003.1546755036443</v>
      </c>
    </row>
    <row r="42" spans="1:13" ht="15.95" customHeight="1" x14ac:dyDescent="0.25">
      <c r="A42" s="46" t="s">
        <v>149</v>
      </c>
      <c r="B42" s="47"/>
      <c r="C42" s="47"/>
      <c r="D42" s="47"/>
      <c r="E42" s="47"/>
      <c r="F42" s="47"/>
    </row>
    <row r="43" spans="1:13" x14ac:dyDescent="0.25">
      <c r="A43" s="14" t="s">
        <v>150</v>
      </c>
      <c r="M43" s="37">
        <f>IF(Assumptions!$D$37+$B$6&gt;Assumptions!$D$6,M18*(1-Assumptions!$D$6/Assumptions!$D$25)/(Assumptions!$D$37+$B$6-Assumptions!$D$6),0)</f>
        <v>12458.041352883594</v>
      </c>
    </row>
    <row r="44" spans="1:13" x14ac:dyDescent="0.25">
      <c r="A44" s="14" t="s">
        <v>151</v>
      </c>
      <c r="M44" s="37">
        <f>L16*Assumptions!$D$24*$B$7</f>
        <v>6778.3611108838595</v>
      </c>
    </row>
    <row r="45" spans="1:13" x14ac:dyDescent="0.25">
      <c r="A45" s="14" t="s">
        <v>152</v>
      </c>
      <c r="M45" s="37">
        <f>(M43+M44)/2</f>
        <v>9618.201231883726</v>
      </c>
    </row>
    <row r="46" spans="1:13" x14ac:dyDescent="0.25">
      <c r="A46" s="14" t="s">
        <v>153</v>
      </c>
      <c r="M46" s="37">
        <f>M45*L35</f>
        <v>4046.8391776716494</v>
      </c>
    </row>
    <row r="48" spans="1:13" x14ac:dyDescent="0.25">
      <c r="A48" s="27" t="s">
        <v>154</v>
      </c>
      <c r="M48" s="48">
        <f>L37</f>
        <v>5301.4828231550564</v>
      </c>
    </row>
    <row r="49" spans="1:13" x14ac:dyDescent="0.25">
      <c r="A49" s="27" t="s">
        <v>155</v>
      </c>
      <c r="M49" s="48">
        <f>M48+M46</f>
        <v>9348.3220008267053</v>
      </c>
    </row>
    <row r="50" spans="1:13" x14ac:dyDescent="0.25">
      <c r="A50" s="14" t="s">
        <v>156</v>
      </c>
      <c r="M50" s="17">
        <f>IF(M49&gt;0,M46/M49,0)</f>
        <v>0.43289471386562989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N50"/>
  <sheetViews>
    <sheetView showOutlineSymbols="0" showWhiteSpace="0" workbookViewId="0">
      <selection activeCell="M2" sqref="M2"/>
    </sheetView>
    <sheetView workbookViewId="1">
      <selection sqref="A1:M1"/>
    </sheetView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tr">
        <f>Ticker&amp;" — BULL SCENARIO  | "&amp;Ticker&amp;" Valuation"</f>
        <v>BAH — BULL SCENARIO  | BAH Valuation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6" t="s">
        <v>157</v>
      </c>
      <c r="B2" s="47"/>
      <c r="C2" s="47"/>
    </row>
    <row r="3" spans="1:14" x14ac:dyDescent="0.25">
      <c r="A3" s="51" t="s">
        <v>158</v>
      </c>
      <c r="B3" s="52">
        <v>1.4</v>
      </c>
    </row>
    <row r="4" spans="1:14" x14ac:dyDescent="0.25">
      <c r="A4" s="51" t="s">
        <v>159</v>
      </c>
      <c r="B4" s="52">
        <v>1.1499999999999999</v>
      </c>
    </row>
    <row r="5" spans="1:14" x14ac:dyDescent="0.25">
      <c r="A5" s="51" t="s">
        <v>160</v>
      </c>
      <c r="B5" s="52">
        <v>0.9</v>
      </c>
    </row>
    <row r="6" spans="1:14" x14ac:dyDescent="0.25">
      <c r="A6" s="51" t="s">
        <v>161</v>
      </c>
      <c r="B6" s="53">
        <v>-0.01</v>
      </c>
    </row>
    <row r="7" spans="1:14" x14ac:dyDescent="0.25">
      <c r="A7" s="51" t="s">
        <v>162</v>
      </c>
      <c r="B7" s="52">
        <v>1.3</v>
      </c>
    </row>
    <row r="9" spans="1:14" ht="18" customHeight="1" x14ac:dyDescent="0.25">
      <c r="A9" s="1" t="s">
        <v>107</v>
      </c>
      <c r="B9" s="40" t="s">
        <v>108</v>
      </c>
      <c r="C9" s="40" t="s">
        <v>109</v>
      </c>
      <c r="D9" s="40" t="s">
        <v>110</v>
      </c>
      <c r="E9" s="40" t="s">
        <v>111</v>
      </c>
      <c r="F9" s="40" t="s">
        <v>112</v>
      </c>
      <c r="G9" s="40" t="s">
        <v>113</v>
      </c>
      <c r="H9" s="40" t="s">
        <v>114</v>
      </c>
      <c r="I9" s="40" t="s">
        <v>115</v>
      </c>
      <c r="J9" s="40" t="s">
        <v>116</v>
      </c>
      <c r="K9" s="40" t="s">
        <v>117</v>
      </c>
      <c r="L9" s="40" t="s">
        <v>118</v>
      </c>
      <c r="M9" s="40" t="s">
        <v>119</v>
      </c>
      <c r="N9" s="11"/>
    </row>
    <row r="10" spans="1:14" x14ac:dyDescent="0.25">
      <c r="A10" s="41" t="s">
        <v>120</v>
      </c>
    </row>
    <row r="11" spans="1:14" x14ac:dyDescent="0.25">
      <c r="A11" s="27" t="s">
        <v>121</v>
      </c>
      <c r="B11" s="42">
        <f>Assumptions!$D$3</f>
        <v>11217</v>
      </c>
      <c r="C11" s="37">
        <f>B11*(1+Assumptions!$D$4*$B$3)</f>
        <v>11255.827908000001</v>
      </c>
      <c r="D11" s="37">
        <f>C11*(1+Assumptions!$D$4*$B$3)</f>
        <v>11294.790219712195</v>
      </c>
      <c r="E11" s="37">
        <f>D11*(1+Assumptions!$D$4*$B$3)</f>
        <v>11333.887400378175</v>
      </c>
      <c r="F11" s="37">
        <f>E11*(1+Assumptions!$D$4*$B$3)</f>
        <v>11373.119916849982</v>
      </c>
      <c r="G11" s="37">
        <f>F11*(1+Assumptions!$D$4*$B$3)</f>
        <v>11412.488237595675</v>
      </c>
      <c r="H11" s="37">
        <f>G11*(1+Assumptions!$D$5*$B$3)</f>
        <v>11434.215764905761</v>
      </c>
      <c r="I11" s="37">
        <f>H11*(1+Assumptions!$D$5*$B$3)</f>
        <v>11455.984657905186</v>
      </c>
      <c r="J11" s="37">
        <f>I11*(1+Assumptions!$D$5*$B$3)</f>
        <v>11477.794995347514</v>
      </c>
      <c r="K11" s="37">
        <f>J11*(1+Assumptions!$D$5*$B$3)</f>
        <v>11499.646856136247</v>
      </c>
      <c r="L11" s="37">
        <f>K11*(1+Assumptions!$D$5*$B$3)</f>
        <v>11521.540319325102</v>
      </c>
      <c r="M11" s="37">
        <f>L11*(1+Assumptions!$D$6)</f>
        <v>11809.578827308229</v>
      </c>
    </row>
    <row r="12" spans="1:14" x14ac:dyDescent="0.25">
      <c r="A12" s="14" t="s">
        <v>122</v>
      </c>
      <c r="C12" s="17">
        <f t="shared" ref="C12:M12" si="0">C11/B11-1</f>
        <v>3.4615234019792496E-3</v>
      </c>
      <c r="D12" s="17">
        <f t="shared" si="0"/>
        <v>3.4615234019792496E-3</v>
      </c>
      <c r="E12" s="17">
        <f t="shared" si="0"/>
        <v>3.4615234019792496E-3</v>
      </c>
      <c r="F12" s="17">
        <f t="shared" si="0"/>
        <v>3.4615234019792496E-3</v>
      </c>
      <c r="G12" s="17">
        <f t="shared" si="0"/>
        <v>3.4615234019792496E-3</v>
      </c>
      <c r="H12" s="17">
        <f t="shared" si="0"/>
        <v>1.9038378710884984E-3</v>
      </c>
      <c r="I12" s="17">
        <f t="shared" si="0"/>
        <v>1.9038378710884984E-3</v>
      </c>
      <c r="J12" s="17">
        <f t="shared" si="0"/>
        <v>1.9038378710884984E-3</v>
      </c>
      <c r="K12" s="17">
        <f t="shared" si="0"/>
        <v>1.9038378710884984E-3</v>
      </c>
      <c r="L12" s="17">
        <f t="shared" si="0"/>
        <v>1.9038378710884984E-3</v>
      </c>
      <c r="M12" s="17">
        <f t="shared" si="0"/>
        <v>2.4999999999999911E-2</v>
      </c>
    </row>
    <row r="13" spans="1:14" x14ac:dyDescent="0.25">
      <c r="A13" s="41" t="s">
        <v>123</v>
      </c>
    </row>
    <row r="14" spans="1:14" x14ac:dyDescent="0.25">
      <c r="A14" s="14" t="s">
        <v>124</v>
      </c>
      <c r="C14" s="17">
        <f>Assumptions!$D$8+(Assumptions!$D$9*$B$4-Assumptions!$D$8)*(COLUMN()-2)/10</f>
        <v>0.10165822777778243</v>
      </c>
      <c r="D14" s="17">
        <f>Assumptions!$D$8+(Assumptions!$D$9*$B$4-Assumptions!$D$8)*(COLUMN()-2)/10</f>
        <v>0.1049527711923456</v>
      </c>
      <c r="E14" s="17">
        <f>Assumptions!$D$8+(Assumptions!$D$9*$B$4-Assumptions!$D$8)*(COLUMN()-2)/10</f>
        <v>0.10824731460690878</v>
      </c>
      <c r="F14" s="17">
        <f>Assumptions!$D$8+(Assumptions!$D$9*$B$4-Assumptions!$D$8)*(COLUMN()-2)/10</f>
        <v>0.11154185802147196</v>
      </c>
      <c r="G14" s="17">
        <f>Assumptions!$D$8+(Assumptions!$D$9*$B$4-Assumptions!$D$8)*(COLUMN()-2)/10</f>
        <v>0.11483640143603514</v>
      </c>
      <c r="H14" s="17">
        <f>Assumptions!$D$8+(Assumptions!$D$9*$B$4-Assumptions!$D$8)*(COLUMN()-2)/10</f>
        <v>0.11813094485059833</v>
      </c>
      <c r="I14" s="17">
        <f>Assumptions!$D$8+(Assumptions!$D$9*$B$4-Assumptions!$D$8)*(COLUMN()-2)/10</f>
        <v>0.1214254882651615</v>
      </c>
      <c r="J14" s="17">
        <f>Assumptions!$D$8+(Assumptions!$D$9*$B$4-Assumptions!$D$8)*(COLUMN()-2)/10</f>
        <v>0.12472003167972469</v>
      </c>
      <c r="K14" s="17">
        <f>Assumptions!$D$8+(Assumptions!$D$9*$B$4-Assumptions!$D$8)*(COLUMN()-2)/10</f>
        <v>0.12801457509428787</v>
      </c>
      <c r="L14" s="17">
        <f>Assumptions!$D$8+(Assumptions!$D$9*$B$4-Assumptions!$D$8)*(COLUMN()-2)/10</f>
        <v>0.13130911850885105</v>
      </c>
      <c r="M14" s="17">
        <f>Assumptions!$D$9</f>
        <v>0.11418184218160962</v>
      </c>
    </row>
    <row r="15" spans="1:14" x14ac:dyDescent="0.25">
      <c r="A15" s="14" t="s">
        <v>125</v>
      </c>
      <c r="C15" s="37">
        <f t="shared" ref="C15:M15" si="1">C11*C14</f>
        <v>1144.2475172989843</v>
      </c>
      <c r="D15" s="37">
        <f t="shared" si="1"/>
        <v>1185.4195335949969</v>
      </c>
      <c r="E15" s="37">
        <f t="shared" si="1"/>
        <v>1226.8628751480157</v>
      </c>
      <c r="F15" s="37">
        <f t="shared" si="1"/>
        <v>1268.5789270264556</v>
      </c>
      <c r="G15" s="37">
        <f t="shared" si="1"/>
        <v>1310.5690806365662</v>
      </c>
      <c r="H15" s="37">
        <f t="shared" si="1"/>
        <v>1350.7347119339245</v>
      </c>
      <c r="I15" s="37">
        <f t="shared" si="1"/>
        <v>1391.0485306443363</v>
      </c>
      <c r="J15" s="37">
        <f t="shared" si="1"/>
        <v>1431.5109554331275</v>
      </c>
      <c r="K15" s="37">
        <f t="shared" si="1"/>
        <v>1472.122406022645</v>
      </c>
      <c r="L15" s="37">
        <f t="shared" si="1"/>
        <v>1512.8833031947654</v>
      </c>
      <c r="M15" s="37">
        <f t="shared" si="1"/>
        <v>1348.4394658909866</v>
      </c>
    </row>
    <row r="16" spans="1:14" x14ac:dyDescent="0.25">
      <c r="A16" s="14" t="s">
        <v>126</v>
      </c>
      <c r="C16" s="37">
        <f t="shared" ref="C16:M16" si="2">C15+C21</f>
        <v>1308.1556302949562</v>
      </c>
      <c r="D16" s="37">
        <f t="shared" si="2"/>
        <v>1349.8950183598786</v>
      </c>
      <c r="E16" s="37">
        <f t="shared" si="2"/>
        <v>1391.907695652463</v>
      </c>
      <c r="F16" s="37">
        <f t="shared" si="2"/>
        <v>1434.1950540394546</v>
      </c>
      <c r="G16" s="37">
        <f t="shared" si="2"/>
        <v>1476.7584917489658</v>
      </c>
      <c r="H16" s="37">
        <f t="shared" si="2"/>
        <v>1517.2405207409736</v>
      </c>
      <c r="I16" s="37">
        <f t="shared" si="2"/>
        <v>1557.8713395159486</v>
      </c>
      <c r="J16" s="37">
        <f t="shared" si="2"/>
        <v>1598.6513678860308</v>
      </c>
      <c r="K16" s="37">
        <f t="shared" si="2"/>
        <v>1639.5810267225656</v>
      </c>
      <c r="L16" s="37">
        <f t="shared" si="2"/>
        <v>1680.6607379586148</v>
      </c>
      <c r="M16" s="37">
        <f t="shared" si="2"/>
        <v>1520.4113365239323</v>
      </c>
    </row>
    <row r="17" spans="1:13" x14ac:dyDescent="0.25">
      <c r="A17" s="14" t="s">
        <v>127</v>
      </c>
      <c r="C17" s="17">
        <f>Assumptions!$D$14+(Assumptions!$D$15-Assumptions!$D$14)*(COLUMN()-2)/10</f>
        <v>0.20564843605761052</v>
      </c>
      <c r="D17" s="17">
        <f>Assumptions!$D$14+(Assumptions!$D$15-Assumptions!$D$14)*(COLUMN()-2)/10</f>
        <v>0.20564843605761052</v>
      </c>
      <c r="E17" s="17">
        <f>Assumptions!$D$14+(Assumptions!$D$15-Assumptions!$D$14)*(COLUMN()-2)/10</f>
        <v>0.20564843605761052</v>
      </c>
      <c r="F17" s="17">
        <f>Assumptions!$D$14+(Assumptions!$D$15-Assumptions!$D$14)*(COLUMN()-2)/10</f>
        <v>0.20564843605761052</v>
      </c>
      <c r="G17" s="17">
        <f>Assumptions!$D$14+(Assumptions!$D$15-Assumptions!$D$14)*(COLUMN()-2)/10</f>
        <v>0.20564843605761052</v>
      </c>
      <c r="H17" s="17">
        <f>Assumptions!$D$14+(Assumptions!$D$15-Assumptions!$D$14)*(COLUMN()-2)/10</f>
        <v>0.20564843605761052</v>
      </c>
      <c r="I17" s="17">
        <f>Assumptions!$D$14+(Assumptions!$D$15-Assumptions!$D$14)*(COLUMN()-2)/10</f>
        <v>0.20564843605761052</v>
      </c>
      <c r="J17" s="17">
        <f>Assumptions!$D$14+(Assumptions!$D$15-Assumptions!$D$14)*(COLUMN()-2)/10</f>
        <v>0.20564843605761052</v>
      </c>
      <c r="K17" s="17">
        <f>Assumptions!$D$14+(Assumptions!$D$15-Assumptions!$D$14)*(COLUMN()-2)/10</f>
        <v>0.20564843605761052</v>
      </c>
      <c r="L17" s="17">
        <f>Assumptions!$D$14+(Assumptions!$D$15-Assumptions!$D$14)*(COLUMN()-2)/10</f>
        <v>0.20564843605761052</v>
      </c>
      <c r="M17" s="17">
        <f>Assumptions!$D$15</f>
        <v>0.20564843605761052</v>
      </c>
    </row>
    <row r="18" spans="1:13" x14ac:dyDescent="0.25">
      <c r="A18" s="27" t="s">
        <v>128</v>
      </c>
      <c r="C18" s="37">
        <f t="shared" ref="C18:M18" si="3">C15*(1-C17)</f>
        <v>908.93480490364459</v>
      </c>
      <c r="D18" s="37">
        <f t="shared" si="3"/>
        <v>941.63986043904367</v>
      </c>
      <c r="E18" s="37">
        <f t="shared" si="3"/>
        <v>974.56044361668285</v>
      </c>
      <c r="F18" s="37">
        <f t="shared" si="3"/>
        <v>1007.6976546678234</v>
      </c>
      <c r="G18" s="37">
        <f t="shared" si="3"/>
        <v>1041.052598858196</v>
      </c>
      <c r="H18" s="37">
        <f t="shared" si="3"/>
        <v>1072.9582308959859</v>
      </c>
      <c r="I18" s="37">
        <f t="shared" si="3"/>
        <v>1104.9815758370914</v>
      </c>
      <c r="J18" s="37">
        <f t="shared" si="3"/>
        <v>1137.1229662489691</v>
      </c>
      <c r="K18" s="37">
        <f t="shared" si="3"/>
        <v>1169.3827355387214</v>
      </c>
      <c r="L18" s="37">
        <f t="shared" si="3"/>
        <v>1201.7612179550902</v>
      </c>
      <c r="M18" s="37">
        <f t="shared" si="3"/>
        <v>1071.1349986121456</v>
      </c>
    </row>
    <row r="19" spans="1:13" x14ac:dyDescent="0.25">
      <c r="A19" s="41" t="s">
        <v>129</v>
      </c>
    </row>
    <row r="20" spans="1:13" x14ac:dyDescent="0.25">
      <c r="A20" s="14" t="s">
        <v>49</v>
      </c>
      <c r="B20" s="43">
        <f>Assumptions!$D$11</f>
        <v>1.4562066365591405E-2</v>
      </c>
      <c r="C20" s="30">
        <f>Assumptions!$D$11</f>
        <v>1.4562066365591405E-2</v>
      </c>
      <c r="D20" s="30">
        <f>Assumptions!$D$11</f>
        <v>1.4562066365591405E-2</v>
      </c>
      <c r="E20" s="30">
        <f>Assumptions!$D$11</f>
        <v>1.4562066365591405E-2</v>
      </c>
      <c r="F20" s="30">
        <f>Assumptions!$D$11</f>
        <v>1.4562066365591405E-2</v>
      </c>
      <c r="G20" s="30">
        <f>Assumptions!$D$11</f>
        <v>1.4562066365591405E-2</v>
      </c>
      <c r="H20" s="30">
        <f>Assumptions!$D$11</f>
        <v>1.4562066365591405E-2</v>
      </c>
      <c r="I20" s="30">
        <f>Assumptions!$D$11</f>
        <v>1.4562066365591405E-2</v>
      </c>
      <c r="J20" s="30">
        <f>Assumptions!$D$11</f>
        <v>1.4562066365591405E-2</v>
      </c>
      <c r="K20" s="30">
        <f>Assumptions!$D$11</f>
        <v>1.4562066365591405E-2</v>
      </c>
      <c r="L20" s="30">
        <f>Assumptions!$D$11</f>
        <v>1.4562066365591405E-2</v>
      </c>
      <c r="M20" s="30">
        <f>Assumptions!$D$11</f>
        <v>1.4562066365591405E-2</v>
      </c>
    </row>
    <row r="21" spans="1:13" x14ac:dyDescent="0.25">
      <c r="A21" s="14" t="s">
        <v>130</v>
      </c>
      <c r="C21" s="37">
        <f t="shared" ref="C21:M21" si="4">C11*C20</f>
        <v>163.90811299597189</v>
      </c>
      <c r="D21" s="37">
        <f t="shared" si="4"/>
        <v>164.47548476488171</v>
      </c>
      <c r="E21" s="37">
        <f t="shared" si="4"/>
        <v>165.04482050444722</v>
      </c>
      <c r="F21" s="37">
        <f t="shared" si="4"/>
        <v>165.61612701299885</v>
      </c>
      <c r="G21" s="37">
        <f t="shared" si="4"/>
        <v>166.18941111239951</v>
      </c>
      <c r="H21" s="37">
        <f t="shared" si="4"/>
        <v>166.50580880704916</v>
      </c>
      <c r="I21" s="37">
        <f t="shared" si="4"/>
        <v>166.82280887161227</v>
      </c>
      <c r="J21" s="37">
        <f t="shared" si="4"/>
        <v>167.1404124529034</v>
      </c>
      <c r="K21" s="37">
        <f t="shared" si="4"/>
        <v>167.45862069992057</v>
      </c>
      <c r="L21" s="37">
        <f t="shared" si="4"/>
        <v>167.77743476384933</v>
      </c>
      <c r="M21" s="37">
        <f t="shared" si="4"/>
        <v>171.97187063294555</v>
      </c>
    </row>
    <row r="22" spans="1:13" x14ac:dyDescent="0.25">
      <c r="A22" s="14" t="s">
        <v>50</v>
      </c>
      <c r="B22" s="43">
        <f>Assumptions!$D$12</f>
        <v>0.01</v>
      </c>
      <c r="C22" s="30">
        <f>Assumptions!$D$12*$B$5</f>
        <v>9.0000000000000011E-3</v>
      </c>
      <c r="D22" s="30">
        <f>Assumptions!$D$12*$B$5</f>
        <v>9.0000000000000011E-3</v>
      </c>
      <c r="E22" s="30">
        <f>Assumptions!$D$12*$B$5</f>
        <v>9.0000000000000011E-3</v>
      </c>
      <c r="F22" s="30">
        <f>Assumptions!$D$12*$B$5</f>
        <v>9.0000000000000011E-3</v>
      </c>
      <c r="G22" s="30">
        <f>Assumptions!$D$12*$B$5</f>
        <v>9.0000000000000011E-3</v>
      </c>
      <c r="H22" s="30">
        <f>Assumptions!$D$12*$B$5</f>
        <v>9.0000000000000011E-3</v>
      </c>
      <c r="I22" s="30">
        <f>Assumptions!$D$12*$B$5</f>
        <v>9.0000000000000011E-3</v>
      </c>
      <c r="J22" s="30">
        <f>Assumptions!$D$12*$B$5</f>
        <v>9.0000000000000011E-3</v>
      </c>
      <c r="K22" s="30">
        <f>Assumptions!$D$12*$B$5</f>
        <v>9.0000000000000011E-3</v>
      </c>
      <c r="L22" s="30">
        <f>Assumptions!$D$12*$B$5</f>
        <v>9.0000000000000011E-3</v>
      </c>
    </row>
    <row r="23" spans="1:13" x14ac:dyDescent="0.25">
      <c r="A23" s="14" t="s">
        <v>131</v>
      </c>
      <c r="C23" s="37">
        <f t="shared" ref="C23:L23" si="5">C11*C22</f>
        <v>101.30245117200002</v>
      </c>
      <c r="D23" s="37">
        <f t="shared" si="5"/>
        <v>101.65311197740976</v>
      </c>
      <c r="E23" s="37">
        <f t="shared" si="5"/>
        <v>102.00498660340358</v>
      </c>
      <c r="F23" s="37">
        <f t="shared" si="5"/>
        <v>102.35807925164985</v>
      </c>
      <c r="G23" s="37">
        <f t="shared" si="5"/>
        <v>102.71239413836109</v>
      </c>
      <c r="H23" s="37">
        <f t="shared" si="5"/>
        <v>102.90794188415185</v>
      </c>
      <c r="I23" s="37">
        <f t="shared" si="5"/>
        <v>103.10386192114669</v>
      </c>
      <c r="J23" s="37">
        <f t="shared" si="5"/>
        <v>103.30015495812765</v>
      </c>
      <c r="K23" s="37">
        <f t="shared" si="5"/>
        <v>103.49682170522624</v>
      </c>
      <c r="L23" s="37">
        <f t="shared" si="5"/>
        <v>103.69386287392594</v>
      </c>
    </row>
    <row r="24" spans="1:13" x14ac:dyDescent="0.25">
      <c r="A24" s="41" t="s">
        <v>132</v>
      </c>
    </row>
    <row r="25" spans="1:13" x14ac:dyDescent="0.25">
      <c r="A25" s="14" t="s">
        <v>133</v>
      </c>
      <c r="B25" s="44">
        <f>Assumptions!$D$17</f>
        <v>67.099999999999994</v>
      </c>
      <c r="C25" s="20">
        <f>Assumptions!$D$17+(Assumptions!$D$18-Assumptions!$D$17)*(COLUMN()-2)/10</f>
        <v>66.253</v>
      </c>
      <c r="D25" s="20">
        <f>Assumptions!$D$17+(Assumptions!$D$18-Assumptions!$D$17)*(COLUMN()-2)/10</f>
        <v>65.405999999999992</v>
      </c>
      <c r="E25" s="20">
        <f>Assumptions!$D$17+(Assumptions!$D$18-Assumptions!$D$17)*(COLUMN()-2)/10</f>
        <v>64.558999999999997</v>
      </c>
      <c r="F25" s="20">
        <f>Assumptions!$D$17+(Assumptions!$D$18-Assumptions!$D$17)*(COLUMN()-2)/10</f>
        <v>63.711999999999996</v>
      </c>
      <c r="G25" s="20">
        <f>Assumptions!$D$17+(Assumptions!$D$18-Assumptions!$D$17)*(COLUMN()-2)/10</f>
        <v>62.864999999999995</v>
      </c>
      <c r="H25" s="20">
        <f>Assumptions!$D$17+(Assumptions!$D$18-Assumptions!$D$17)*(COLUMN()-2)/10</f>
        <v>62.017999999999994</v>
      </c>
      <c r="I25" s="20">
        <f>Assumptions!$D$17+(Assumptions!$D$18-Assumptions!$D$17)*(COLUMN()-2)/10</f>
        <v>61.170999999999992</v>
      </c>
      <c r="J25" s="20">
        <f>Assumptions!$D$17+(Assumptions!$D$18-Assumptions!$D$17)*(COLUMN()-2)/10</f>
        <v>60.323999999999998</v>
      </c>
      <c r="K25" s="20">
        <f>Assumptions!$D$17+(Assumptions!$D$18-Assumptions!$D$17)*(COLUMN()-2)/10</f>
        <v>59.476999999999997</v>
      </c>
      <c r="L25" s="20">
        <f>Assumptions!$D$17+(Assumptions!$D$18-Assumptions!$D$17)*(COLUMN()-2)/10</f>
        <v>58.629999999999995</v>
      </c>
    </row>
    <row r="26" spans="1:13" x14ac:dyDescent="0.25">
      <c r="A26" s="14" t="s">
        <v>134</v>
      </c>
      <c r="B26" s="44">
        <f>Assumptions!$D$19</f>
        <v>5</v>
      </c>
      <c r="C26" s="20">
        <f>Assumptions!$D$19+(Assumptions!$D$20-Assumptions!$D$19)*(COLUMN()-2)/10</f>
        <v>8.85</v>
      </c>
      <c r="D26" s="20">
        <f>Assumptions!$D$19+(Assumptions!$D$20-Assumptions!$D$19)*(COLUMN()-2)/10</f>
        <v>12.7</v>
      </c>
      <c r="E26" s="20">
        <f>Assumptions!$D$19+(Assumptions!$D$20-Assumptions!$D$19)*(COLUMN()-2)/10</f>
        <v>16.55</v>
      </c>
      <c r="F26" s="20">
        <f>Assumptions!$D$19+(Assumptions!$D$20-Assumptions!$D$19)*(COLUMN()-2)/10</f>
        <v>20.399999999999999</v>
      </c>
      <c r="G26" s="20">
        <f>Assumptions!$D$19+(Assumptions!$D$20-Assumptions!$D$19)*(COLUMN()-2)/10</f>
        <v>24.25</v>
      </c>
      <c r="H26" s="20">
        <f>Assumptions!$D$19+(Assumptions!$D$20-Assumptions!$D$19)*(COLUMN()-2)/10</f>
        <v>28.1</v>
      </c>
      <c r="I26" s="20">
        <f>Assumptions!$D$19+(Assumptions!$D$20-Assumptions!$D$19)*(COLUMN()-2)/10</f>
        <v>31.95</v>
      </c>
      <c r="J26" s="20">
        <f>Assumptions!$D$19+(Assumptions!$D$20-Assumptions!$D$19)*(COLUMN()-2)/10</f>
        <v>35.799999999999997</v>
      </c>
      <c r="K26" s="20">
        <f>Assumptions!$D$19+(Assumptions!$D$20-Assumptions!$D$19)*(COLUMN()-2)/10</f>
        <v>39.65</v>
      </c>
      <c r="L26" s="20">
        <f>Assumptions!$D$19+(Assumptions!$D$20-Assumptions!$D$19)*(COLUMN()-2)/10</f>
        <v>43.5</v>
      </c>
    </row>
    <row r="27" spans="1:13" x14ac:dyDescent="0.25">
      <c r="A27" s="14" t="s">
        <v>135</v>
      </c>
      <c r="B27" s="44">
        <f>Assumptions!$D$21</f>
        <v>19.3</v>
      </c>
      <c r="C27" s="20">
        <f>Assumptions!$D$21+(Assumptions!$D$22-Assumptions!$D$21)*(COLUMN()-2)/10</f>
        <v>21.449000000000002</v>
      </c>
      <c r="D27" s="20">
        <f>Assumptions!$D$21+(Assumptions!$D$22-Assumptions!$D$21)*(COLUMN()-2)/10</f>
        <v>23.597999999999999</v>
      </c>
      <c r="E27" s="20">
        <f>Assumptions!$D$21+(Assumptions!$D$22-Assumptions!$D$21)*(COLUMN()-2)/10</f>
        <v>25.747</v>
      </c>
      <c r="F27" s="20">
        <f>Assumptions!$D$21+(Assumptions!$D$22-Assumptions!$D$21)*(COLUMN()-2)/10</f>
        <v>27.896000000000001</v>
      </c>
      <c r="G27" s="20">
        <f>Assumptions!$D$21+(Assumptions!$D$22-Assumptions!$D$21)*(COLUMN()-2)/10</f>
        <v>30.045000000000002</v>
      </c>
      <c r="H27" s="20">
        <f>Assumptions!$D$21+(Assumptions!$D$22-Assumptions!$D$21)*(COLUMN()-2)/10</f>
        <v>32.194000000000003</v>
      </c>
      <c r="I27" s="20">
        <f>Assumptions!$D$21+(Assumptions!$D$22-Assumptions!$D$21)*(COLUMN()-2)/10</f>
        <v>34.342999999999996</v>
      </c>
      <c r="J27" s="20">
        <f>Assumptions!$D$21+(Assumptions!$D$22-Assumptions!$D$21)*(COLUMN()-2)/10</f>
        <v>36.492000000000004</v>
      </c>
      <c r="K27" s="20">
        <f>Assumptions!$D$21+(Assumptions!$D$22-Assumptions!$D$21)*(COLUMN()-2)/10</f>
        <v>38.641000000000005</v>
      </c>
      <c r="L27" s="20">
        <f>Assumptions!$D$21+(Assumptions!$D$22-Assumptions!$D$21)*(COLUMN()-2)/10</f>
        <v>40.79</v>
      </c>
    </row>
    <row r="28" spans="1:13" x14ac:dyDescent="0.25">
      <c r="A28" s="14" t="s">
        <v>136</v>
      </c>
      <c r="B28" s="37">
        <f t="shared" ref="B28:L28" si="6">B11/365*B25</f>
        <v>2062.084109589041</v>
      </c>
      <c r="C28" s="37">
        <f t="shared" si="6"/>
        <v>2043.1023736677371</v>
      </c>
      <c r="D28" s="37">
        <f t="shared" si="6"/>
        <v>2023.9645181109472</v>
      </c>
      <c r="E28" s="37">
        <f t="shared" si="6"/>
        <v>2004.6696895370262</v>
      </c>
      <c r="F28" s="37">
        <f t="shared" si="6"/>
        <v>1985.2170305269756</v>
      </c>
      <c r="G28" s="37">
        <f t="shared" si="6"/>
        <v>1965.605679606718</v>
      </c>
      <c r="H28" s="37">
        <f t="shared" si="6"/>
        <v>1942.8142282408915</v>
      </c>
      <c r="I28" s="37">
        <f t="shared" si="6"/>
        <v>1919.9288698868988</v>
      </c>
      <c r="J28" s="37">
        <f t="shared" si="6"/>
        <v>1896.9493295872423</v>
      </c>
      <c r="K28" s="37">
        <f t="shared" si="6"/>
        <v>1873.8753316778507</v>
      </c>
      <c r="L28" s="37">
        <f t="shared" si="6"/>
        <v>1850.7065997863856</v>
      </c>
    </row>
    <row r="29" spans="1:13" x14ac:dyDescent="0.25">
      <c r="A29" s="14" t="s">
        <v>137</v>
      </c>
      <c r="B29" s="37">
        <f t="shared" ref="B29:L29" si="7">B11/365*B26</f>
        <v>153.65753424657532</v>
      </c>
      <c r="C29" s="37">
        <f t="shared" si="7"/>
        <v>272.9152794131507</v>
      </c>
      <c r="D29" s="37">
        <f t="shared" si="7"/>
        <v>392.99681038450649</v>
      </c>
      <c r="E29" s="37">
        <f t="shared" si="7"/>
        <v>513.9064013048187</v>
      </c>
      <c r="F29" s="37">
        <f t="shared" si="7"/>
        <v>635.6483460376428</v>
      </c>
      <c r="G29" s="37">
        <f t="shared" si="7"/>
        <v>758.22695825121946</v>
      </c>
      <c r="H29" s="37">
        <f t="shared" si="7"/>
        <v>880.27798080507364</v>
      </c>
      <c r="I29" s="37">
        <f t="shared" si="7"/>
        <v>1002.7909858084129</v>
      </c>
      <c r="J29" s="37">
        <f t="shared" si="7"/>
        <v>1125.7672899546328</v>
      </c>
      <c r="K29" s="37">
        <f t="shared" si="7"/>
        <v>1249.2082132761702</v>
      </c>
      <c r="L29" s="37">
        <f t="shared" si="7"/>
        <v>1373.1150791524437</v>
      </c>
    </row>
    <row r="30" spans="1:13" x14ac:dyDescent="0.25">
      <c r="A30" s="14" t="s">
        <v>138</v>
      </c>
      <c r="B30" s="37">
        <f t="shared" ref="B30:L30" si="8">B11/365*B27</f>
        <v>593.11808219178079</v>
      </c>
      <c r="C30" s="37">
        <f t="shared" si="8"/>
        <v>661.44178848956722</v>
      </c>
      <c r="D30" s="37">
        <f t="shared" si="8"/>
        <v>730.23139617744755</v>
      </c>
      <c r="E30" s="37">
        <f t="shared" si="8"/>
        <v>799.48931204804626</v>
      </c>
      <c r="F30" s="37">
        <f t="shared" si="8"/>
        <v>869.21795397382778</v>
      </c>
      <c r="G30" s="37">
        <f t="shared" si="8"/>
        <v>939.41975095496457</v>
      </c>
      <c r="H30" s="37">
        <f t="shared" si="8"/>
        <v>1008.5291570832221</v>
      </c>
      <c r="I30" s="37">
        <f t="shared" si="8"/>
        <v>1077.8983044011993</v>
      </c>
      <c r="J30" s="37">
        <f t="shared" si="8"/>
        <v>1147.5279314252646</v>
      </c>
      <c r="K30" s="37">
        <f t="shared" si="8"/>
        <v>1217.4187785423583</v>
      </c>
      <c r="L30" s="37">
        <f t="shared" si="8"/>
        <v>1287.571588014441</v>
      </c>
    </row>
    <row r="31" spans="1:13" x14ac:dyDescent="0.25">
      <c r="A31" s="14" t="s">
        <v>139</v>
      </c>
      <c r="B31" s="37">
        <f t="shared" ref="B31:L31" si="9">B28+B29-B30</f>
        <v>1622.6235616438355</v>
      </c>
      <c r="C31" s="37">
        <f t="shared" si="9"/>
        <v>1654.5758645913204</v>
      </c>
      <c r="D31" s="37">
        <f t="shared" si="9"/>
        <v>1686.7299323180064</v>
      </c>
      <c r="E31" s="37">
        <f t="shared" si="9"/>
        <v>1719.0867787937989</v>
      </c>
      <c r="F31" s="37">
        <f t="shared" si="9"/>
        <v>1751.6474225907909</v>
      </c>
      <c r="G31" s="37">
        <f t="shared" si="9"/>
        <v>1784.4128869029732</v>
      </c>
      <c r="H31" s="37">
        <f t="shared" si="9"/>
        <v>1814.5630519627432</v>
      </c>
      <c r="I31" s="37">
        <f t="shared" si="9"/>
        <v>1844.8215512941124</v>
      </c>
      <c r="J31" s="37">
        <f t="shared" si="9"/>
        <v>1875.1886881166104</v>
      </c>
      <c r="K31" s="37">
        <f t="shared" si="9"/>
        <v>1905.6647664116626</v>
      </c>
      <c r="L31" s="37">
        <f t="shared" si="9"/>
        <v>1936.2500909243884</v>
      </c>
    </row>
    <row r="32" spans="1:13" x14ac:dyDescent="0.25">
      <c r="A32" s="14" t="s">
        <v>140</v>
      </c>
      <c r="C32" s="37">
        <f t="shared" ref="C32:L32" si="10">C31-B31</f>
        <v>31.952302947484895</v>
      </c>
      <c r="D32" s="37">
        <f t="shared" si="10"/>
        <v>32.15406772668598</v>
      </c>
      <c r="E32" s="37">
        <f t="shared" si="10"/>
        <v>32.356846475792508</v>
      </c>
      <c r="F32" s="37">
        <f t="shared" si="10"/>
        <v>32.560643796992053</v>
      </c>
      <c r="G32" s="37">
        <f t="shared" si="10"/>
        <v>32.765464312182303</v>
      </c>
      <c r="H32" s="37">
        <f t="shared" si="10"/>
        <v>30.150165059769961</v>
      </c>
      <c r="I32" s="37">
        <f t="shared" si="10"/>
        <v>30.258499331369194</v>
      </c>
      <c r="J32" s="37">
        <f t="shared" si="10"/>
        <v>30.367136822497969</v>
      </c>
      <c r="K32" s="37">
        <f t="shared" si="10"/>
        <v>30.476078295052275</v>
      </c>
      <c r="L32" s="37">
        <f t="shared" si="10"/>
        <v>30.58532451272572</v>
      </c>
    </row>
    <row r="33" spans="1:13" x14ac:dyDescent="0.25">
      <c r="A33" s="41" t="s">
        <v>141</v>
      </c>
    </row>
    <row r="34" spans="1:13" x14ac:dyDescent="0.25">
      <c r="A34" s="27" t="s">
        <v>142</v>
      </c>
      <c r="C34" s="37">
        <f t="shared" ref="C34:L34" si="11">C18+C21-C23-C32</f>
        <v>939.58816378013148</v>
      </c>
      <c r="D34" s="37">
        <f t="shared" si="11"/>
        <v>972.30816549982978</v>
      </c>
      <c r="E34" s="37">
        <f t="shared" si="11"/>
        <v>1005.2434310419339</v>
      </c>
      <c r="F34" s="37">
        <f t="shared" si="11"/>
        <v>1038.3950586321803</v>
      </c>
      <c r="G34" s="37">
        <f t="shared" si="11"/>
        <v>1071.7641515200521</v>
      </c>
      <c r="H34" s="37">
        <f t="shared" si="11"/>
        <v>1106.4059327591133</v>
      </c>
      <c r="I34" s="37">
        <f t="shared" si="11"/>
        <v>1138.4420234561878</v>
      </c>
      <c r="J34" s="37">
        <f t="shared" si="11"/>
        <v>1170.5960869212468</v>
      </c>
      <c r="K34" s="37">
        <f t="shared" si="11"/>
        <v>1202.8684562383635</v>
      </c>
      <c r="L34" s="37">
        <f t="shared" si="11"/>
        <v>1235.2594653322876</v>
      </c>
    </row>
    <row r="35" spans="1:13" x14ac:dyDescent="0.25">
      <c r="A35" s="14" t="s">
        <v>143</v>
      </c>
      <c r="C35" s="45">
        <f>1/(1+(Assumptions!$D$37+$B$6))^1</f>
        <v>0.94301368312854217</v>
      </c>
      <c r="D35" s="45">
        <f>1/(1+(Assumptions!$D$37+$B$6))^2</f>
        <v>0.88927480656765867</v>
      </c>
      <c r="E35" s="45">
        <f>1/(1+(Assumptions!$D$37+$B$6))^3</f>
        <v>0.83859831065478974</v>
      </c>
      <c r="F35" s="45">
        <f>1/(1+(Assumptions!$D$37+$B$6))^4</f>
        <v>0.79080968159594667</v>
      </c>
      <c r="G35" s="45">
        <f>1/(1+(Assumptions!$D$37+$B$6))^5</f>
        <v>0.74574435049550336</v>
      </c>
      <c r="H35" s="45">
        <f>1/(1+(Assumptions!$D$37+$B$6))^6</f>
        <v>0.70324712663306721</v>
      </c>
      <c r="I35" s="45">
        <f>1/(1+(Assumptions!$D$37+$B$6))^7</f>
        <v>0.6631716630358131</v>
      </c>
      <c r="J35" s="45">
        <f>1/(1+(Assumptions!$D$37+$B$6))^8</f>
        <v>0.62537995250588252</v>
      </c>
      <c r="K35" s="45">
        <f>1/(1+(Assumptions!$D$37+$B$6))^9</f>
        <v>0.58974185236732513</v>
      </c>
      <c r="L35" s="45">
        <f>1/(1+(Assumptions!$D$37+$B$6))^10</f>
        <v>0.55613463629596027</v>
      </c>
      <c r="M35" s="45">
        <f>1/(1+(Assumptions!$D$37+$B$6))^10</f>
        <v>0.55613463629596027</v>
      </c>
    </row>
    <row r="36" spans="1:13" x14ac:dyDescent="0.25">
      <c r="A36" s="27" t="s">
        <v>144</v>
      </c>
      <c r="C36" s="37">
        <f t="shared" ref="C36:L36" si="12">C34*C35</f>
        <v>886.04449495028564</v>
      </c>
      <c r="D36" s="37">
        <f t="shared" si="12"/>
        <v>864.64915579901617</v>
      </c>
      <c r="E36" s="37">
        <f t="shared" si="12"/>
        <v>842.99544306859048</v>
      </c>
      <c r="F36" s="37">
        <f t="shared" si="12"/>
        <v>821.17286568771885</v>
      </c>
      <c r="G36" s="37">
        <f t="shared" si="12"/>
        <v>799.26206105968549</v>
      </c>
      <c r="H36" s="37">
        <f t="shared" si="12"/>
        <v>778.07679310262495</v>
      </c>
      <c r="I36" s="37">
        <f t="shared" si="12"/>
        <v>754.98248996529617</v>
      </c>
      <c r="J36" s="37">
        <f t="shared" si="12"/>
        <v>732.06732524238123</v>
      </c>
      <c r="K36" s="37">
        <f t="shared" si="12"/>
        <v>709.38187153623721</v>
      </c>
      <c r="L36" s="37">
        <f t="shared" si="12"/>
        <v>686.97057348371413</v>
      </c>
    </row>
    <row r="37" spans="1:13" x14ac:dyDescent="0.25">
      <c r="A37" s="14" t="s">
        <v>145</v>
      </c>
      <c r="C37" s="37">
        <f>C36</f>
        <v>886.04449495028564</v>
      </c>
      <c r="D37" s="37">
        <f t="shared" ref="D37:L37" si="13">C37+D36</f>
        <v>1750.6936507493019</v>
      </c>
      <c r="E37" s="37">
        <f t="shared" si="13"/>
        <v>2593.6890938178922</v>
      </c>
      <c r="F37" s="37">
        <f t="shared" si="13"/>
        <v>3414.8619595056111</v>
      </c>
      <c r="G37" s="37">
        <f t="shared" si="13"/>
        <v>4214.1240205652966</v>
      </c>
      <c r="H37" s="37">
        <f t="shared" si="13"/>
        <v>4992.2008136679215</v>
      </c>
      <c r="I37" s="37">
        <f t="shared" si="13"/>
        <v>5747.1833036332173</v>
      </c>
      <c r="J37" s="37">
        <f t="shared" si="13"/>
        <v>6479.2506288755985</v>
      </c>
      <c r="K37" s="37">
        <f t="shared" si="13"/>
        <v>7188.6325004118353</v>
      </c>
      <c r="L37" s="37">
        <f t="shared" si="13"/>
        <v>7875.6030738955496</v>
      </c>
    </row>
    <row r="38" spans="1:13" x14ac:dyDescent="0.25">
      <c r="A38" s="41" t="s">
        <v>146</v>
      </c>
    </row>
    <row r="39" spans="1:13" x14ac:dyDescent="0.25">
      <c r="A39" s="14" t="s">
        <v>93</v>
      </c>
      <c r="B39" s="42">
        <f>Assumptions!$D$41</f>
        <v>41749.375</v>
      </c>
      <c r="C39" s="37">
        <f t="shared" ref="C39:L39" si="14">B39+C23+C32-C21</f>
        <v>41718.721641123513</v>
      </c>
      <c r="D39" s="37">
        <f t="shared" si="14"/>
        <v>41688.053336062731</v>
      </c>
      <c r="E39" s="37">
        <f t="shared" si="14"/>
        <v>41657.37034863748</v>
      </c>
      <c r="F39" s="37">
        <f t="shared" si="14"/>
        <v>41626.672944673126</v>
      </c>
      <c r="G39" s="37">
        <f t="shared" si="14"/>
        <v>41595.961392011275</v>
      </c>
      <c r="H39" s="37">
        <f t="shared" si="14"/>
        <v>41562.513690148146</v>
      </c>
      <c r="I39" s="37">
        <f t="shared" si="14"/>
        <v>41529.053242529051</v>
      </c>
      <c r="J39" s="37">
        <f t="shared" si="14"/>
        <v>41495.580121856772</v>
      </c>
      <c r="K39" s="37">
        <f t="shared" si="14"/>
        <v>41462.094401157126</v>
      </c>
      <c r="L39" s="37">
        <f t="shared" si="14"/>
        <v>41428.59615377993</v>
      </c>
    </row>
    <row r="40" spans="1:13" x14ac:dyDescent="0.25">
      <c r="A40" s="27" t="s">
        <v>147</v>
      </c>
      <c r="C40" s="17">
        <f t="shared" ref="C40:L40" si="15">C18/B39</f>
        <v>2.1771219447085006E-2</v>
      </c>
      <c r="D40" s="17">
        <f t="shared" si="15"/>
        <v>2.2571158065179984E-2</v>
      </c>
      <c r="E40" s="17">
        <f t="shared" si="15"/>
        <v>2.3377451466980063E-2</v>
      </c>
      <c r="F40" s="17">
        <f t="shared" si="15"/>
        <v>2.4190140813839991E-2</v>
      </c>
      <c r="G40" s="17">
        <f t="shared" si="15"/>
        <v>2.5009267501197623E-2</v>
      </c>
      <c r="H40" s="17">
        <f t="shared" si="15"/>
        <v>2.5794769371577819E-2</v>
      </c>
      <c r="I40" s="17">
        <f t="shared" si="15"/>
        <v>2.6586014120195359E-2</v>
      </c>
      <c r="J40" s="17">
        <f t="shared" si="15"/>
        <v>2.7381384295186984E-2</v>
      </c>
      <c r="K40" s="17">
        <f t="shared" si="15"/>
        <v>2.8180898594613885E-2</v>
      </c>
      <c r="L40" s="17">
        <f t="shared" si="15"/>
        <v>2.8984575798986927E-2</v>
      </c>
    </row>
    <row r="41" spans="1:13" x14ac:dyDescent="0.25">
      <c r="A41" s="14" t="s">
        <v>148</v>
      </c>
      <c r="C41" s="37">
        <f>C18-B39*(Assumptions!$D$37+$B$6)</f>
        <v>-1613.9799263463558</v>
      </c>
      <c r="D41" s="37">
        <f>D18-C39*(Assumptions!$D$37+$B$6)</f>
        <v>-1579.4224883340503</v>
      </c>
      <c r="E41" s="37">
        <f>E18-D39*(Assumptions!$D$37+$B$6)</f>
        <v>-1544.6486194815884</v>
      </c>
      <c r="F41" s="37">
        <f>F18-E39*(Assumptions!$D$37+$B$6)</f>
        <v>-1509.6572355003395</v>
      </c>
      <c r="G41" s="37">
        <f>G18-F39*(Assumptions!$D$37+$B$6)</f>
        <v>-1474.4472471884012</v>
      </c>
      <c r="H41" s="37">
        <f>H18-G39*(Assumptions!$D$37+$B$6)</f>
        <v>-1440.6857160232555</v>
      </c>
      <c r="I41" s="37">
        <f>I18-H39*(Assumptions!$D$37+$B$6)</f>
        <v>-1406.6411264585613</v>
      </c>
      <c r="J41" s="37">
        <f>J18-I39*(Assumptions!$D$37+$B$6)</f>
        <v>-1372.4777211970618</v>
      </c>
      <c r="K41" s="37">
        <f>K18-J39*(Assumptions!$D$37+$B$6)</f>
        <v>-1338.1951712250836</v>
      </c>
      <c r="L41" s="37">
        <f>L18-K39*(Assumptions!$D$37+$B$6)</f>
        <v>-1303.7931467068352</v>
      </c>
    </row>
    <row r="42" spans="1:13" ht="15.95" customHeight="1" x14ac:dyDescent="0.25">
      <c r="A42" s="46" t="s">
        <v>149</v>
      </c>
      <c r="B42" s="47"/>
      <c r="C42" s="47"/>
      <c r="D42" s="47"/>
      <c r="E42" s="47"/>
      <c r="F42" s="47"/>
    </row>
    <row r="43" spans="1:13" x14ac:dyDescent="0.25">
      <c r="A43" s="14" t="s">
        <v>150</v>
      </c>
      <c r="M43" s="37">
        <f>IF(Assumptions!$D$37+$B$6&gt;Assumptions!$D$6,M18*(1-Assumptions!$D$6/Assumptions!$D$25)/(Assumptions!$D$37+$B$6-Assumptions!$D$6),0)</f>
        <v>23361.423262779968</v>
      </c>
    </row>
    <row r="44" spans="1:13" x14ac:dyDescent="0.25">
      <c r="A44" s="14" t="s">
        <v>151</v>
      </c>
      <c r="M44" s="37">
        <f>L16*Assumptions!$D$24*$B$7</f>
        <v>18608.968122901821</v>
      </c>
    </row>
    <row r="45" spans="1:13" x14ac:dyDescent="0.25">
      <c r="A45" s="14" t="s">
        <v>152</v>
      </c>
      <c r="M45" s="37">
        <f>(M43+M44)/2</f>
        <v>20985.195692840894</v>
      </c>
    </row>
    <row r="46" spans="1:13" x14ac:dyDescent="0.25">
      <c r="A46" s="14" t="s">
        <v>153</v>
      </c>
      <c r="M46" s="37">
        <f>M45*L35</f>
        <v>11670.594174237624</v>
      </c>
    </row>
    <row r="48" spans="1:13" x14ac:dyDescent="0.25">
      <c r="A48" s="27" t="s">
        <v>154</v>
      </c>
      <c r="M48" s="48">
        <f>L37</f>
        <v>7875.6030738955496</v>
      </c>
    </row>
    <row r="49" spans="1:13" x14ac:dyDescent="0.25">
      <c r="A49" s="27" t="s">
        <v>155</v>
      </c>
      <c r="M49" s="48">
        <f>M48+M46</f>
        <v>19546.197248133172</v>
      </c>
    </row>
    <row r="50" spans="1:13" x14ac:dyDescent="0.25">
      <c r="A50" s="14" t="s">
        <v>156</v>
      </c>
      <c r="M50" s="17">
        <f>IF(M49&gt;0,M46/M49,0)</f>
        <v>0.5970774788611255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E23"/>
  <sheetViews>
    <sheetView showOutlineSymbols="0" showWhiteSpace="0" workbookViewId="0">
      <selection activeCell="E2" sqref="E2"/>
    </sheetView>
    <sheetView workbookViewId="1">
      <selection sqref="A1:E1"/>
    </sheetView>
  </sheetViews>
  <sheetFormatPr defaultRowHeight="15" x14ac:dyDescent="0.25"/>
  <cols>
    <col min="1" max="1" width="34" customWidth="1"/>
    <col min="2" max="5" width="16" customWidth="1"/>
  </cols>
  <sheetData>
    <row r="1" spans="1:5" ht="17.25" x14ac:dyDescent="0.25">
      <c r="A1" s="99" t="str">
        <f>Ticker&amp;" — Equity Bridge"</f>
        <v>BAH — Equity Bridge</v>
      </c>
      <c r="B1" s="96"/>
      <c r="C1" s="96"/>
      <c r="D1" s="96"/>
      <c r="E1" s="96"/>
    </row>
    <row r="2" spans="1:5" x14ac:dyDescent="0.25">
      <c r="A2" s="1" t="s">
        <v>163</v>
      </c>
      <c r="B2" s="10" t="s">
        <v>164</v>
      </c>
      <c r="C2" s="10" t="s">
        <v>165</v>
      </c>
      <c r="D2" s="10" t="s">
        <v>166</v>
      </c>
      <c r="E2" s="10" t="s">
        <v>167</v>
      </c>
    </row>
    <row r="3" spans="1:5" x14ac:dyDescent="0.25">
      <c r="A3" s="14" t="s">
        <v>168</v>
      </c>
      <c r="B3" s="42">
        <f>DCF_Bear!M48</f>
        <v>5301.4828231550564</v>
      </c>
      <c r="C3" s="42">
        <f>DCF_Base!M41</f>
        <v>6858.4702779490181</v>
      </c>
      <c r="D3" s="42">
        <f>DCF_Bull!M48</f>
        <v>7875.6030738955496</v>
      </c>
    </row>
    <row r="4" spans="1:5" x14ac:dyDescent="0.25">
      <c r="A4" s="14" t="s">
        <v>169</v>
      </c>
      <c r="B4" s="42">
        <f>DCF_Bear!M46</f>
        <v>4046.8391776716494</v>
      </c>
      <c r="C4" s="42">
        <f>DCF_Base!M39</f>
        <v>7751.1137028586654</v>
      </c>
      <c r="D4" s="42">
        <f>DCF_Bull!M46</f>
        <v>11670.594174237624</v>
      </c>
      <c r="E4" s="31" t="s">
        <v>170</v>
      </c>
    </row>
    <row r="5" spans="1:5" x14ac:dyDescent="0.25">
      <c r="A5" s="6" t="s">
        <v>171</v>
      </c>
      <c r="B5" s="54">
        <f>DCF_Bear!M49</f>
        <v>9348.3220008267053</v>
      </c>
      <c r="C5" s="54">
        <f>DCF_Base!M42</f>
        <v>14609.583980807683</v>
      </c>
      <c r="D5" s="54">
        <f>DCF_Bull!M49</f>
        <v>19546.197248133172</v>
      </c>
    </row>
    <row r="6" spans="1:5" x14ac:dyDescent="0.25">
      <c r="A6" s="14" t="s">
        <v>156</v>
      </c>
      <c r="B6" s="33">
        <f>DCF_Bear!M50</f>
        <v>0.43289471386562989</v>
      </c>
      <c r="C6" s="33">
        <f>DCF_Base!M43</f>
        <v>0.53054992620194708</v>
      </c>
      <c r="D6" s="33">
        <f>DCF_Bull!M50</f>
        <v>0.5970774788611255</v>
      </c>
      <c r="E6" s="31" t="s">
        <v>172</v>
      </c>
    </row>
    <row r="7" spans="1:5" x14ac:dyDescent="0.25">
      <c r="A7" s="14" t="s">
        <v>173</v>
      </c>
      <c r="B7" s="42">
        <f>Assumptions!$D$42</f>
        <v>503.66</v>
      </c>
      <c r="C7" s="42">
        <f>Assumptions!$D$42</f>
        <v>503.66</v>
      </c>
      <c r="D7" s="42">
        <f>Assumptions!$D$42</f>
        <v>503.66</v>
      </c>
    </row>
    <row r="8" spans="1:5" x14ac:dyDescent="0.25">
      <c r="A8" s="6" t="s">
        <v>174</v>
      </c>
      <c r="B8" s="54">
        <f>B5+B7</f>
        <v>9851.9820008267052</v>
      </c>
      <c r="C8" s="54">
        <f>C5+C7</f>
        <v>15113.243980807683</v>
      </c>
      <c r="D8" s="54">
        <f>D5+D7</f>
        <v>20049.857248133172</v>
      </c>
      <c r="E8" s="31" t="s">
        <v>175</v>
      </c>
    </row>
    <row r="9" spans="1:5" x14ac:dyDescent="0.25">
      <c r="A9" s="14" t="s">
        <v>176</v>
      </c>
      <c r="B9" s="42">
        <f>Assumptions!$D$39</f>
        <v>3394</v>
      </c>
      <c r="C9" s="42">
        <f>Assumptions!$D$39</f>
        <v>3394</v>
      </c>
      <c r="D9" s="42">
        <f>Assumptions!$D$39</f>
        <v>3394</v>
      </c>
    </row>
    <row r="10" spans="1:5" x14ac:dyDescent="0.25">
      <c r="A10" s="14" t="s">
        <v>177</v>
      </c>
      <c r="B10" s="42">
        <f>Assumptions!$D$43</f>
        <v>0</v>
      </c>
      <c r="C10" s="42">
        <f>Assumptions!$D$43</f>
        <v>0</v>
      </c>
      <c r="D10" s="42">
        <f>Assumptions!$D$43</f>
        <v>0</v>
      </c>
    </row>
    <row r="11" spans="1:5" x14ac:dyDescent="0.25">
      <c r="A11" s="14" t="s">
        <v>178</v>
      </c>
      <c r="B11" s="42">
        <f>Assumptions!$D$44</f>
        <v>0</v>
      </c>
      <c r="C11" s="42">
        <f>Assumptions!$D$44</f>
        <v>0</v>
      </c>
      <c r="D11" s="42">
        <f>Assumptions!$D$44</f>
        <v>0</v>
      </c>
    </row>
    <row r="12" spans="1:5" x14ac:dyDescent="0.25">
      <c r="A12" s="14" t="s">
        <v>179</v>
      </c>
      <c r="B12" s="42">
        <f>Assumptions!$D$45</f>
        <v>0</v>
      </c>
      <c r="C12" s="42">
        <f>Assumptions!$D$45</f>
        <v>0</v>
      </c>
      <c r="D12" s="42">
        <f>Assumptions!$D$45</f>
        <v>0</v>
      </c>
    </row>
    <row r="13" spans="1:5" x14ac:dyDescent="0.25">
      <c r="A13" s="14" t="s">
        <v>180</v>
      </c>
      <c r="B13" s="42">
        <f>Assumptions!$D$46</f>
        <v>0</v>
      </c>
      <c r="C13" s="42">
        <f>Assumptions!$D$46</f>
        <v>0</v>
      </c>
      <c r="D13" s="42">
        <f>Assumptions!$D$46</f>
        <v>0</v>
      </c>
    </row>
    <row r="14" spans="1:5" x14ac:dyDescent="0.25">
      <c r="A14" s="14" t="s">
        <v>181</v>
      </c>
      <c r="B14" s="42">
        <f>Assumptions!$D$47</f>
        <v>0</v>
      </c>
      <c r="C14" s="42">
        <f>Assumptions!$D$47</f>
        <v>0</v>
      </c>
      <c r="D14" s="42">
        <f>Assumptions!$D$47</f>
        <v>0</v>
      </c>
    </row>
    <row r="15" spans="1:5" x14ac:dyDescent="0.25">
      <c r="A15" s="14" t="s">
        <v>182</v>
      </c>
      <c r="B15" s="42">
        <f>Assumptions!$D$48</f>
        <v>0</v>
      </c>
      <c r="C15" s="42">
        <f>Assumptions!$D$48</f>
        <v>0</v>
      </c>
      <c r="D15" s="42">
        <f>Assumptions!$D$48</f>
        <v>0</v>
      </c>
    </row>
    <row r="16" spans="1:5" x14ac:dyDescent="0.25">
      <c r="A16" s="6" t="s">
        <v>183</v>
      </c>
      <c r="B16" s="54">
        <f>B8-B9-B10-B11-B12-B13-B14-B15</f>
        <v>6457.9820008267052</v>
      </c>
      <c r="C16" s="54">
        <f>C8-C9-C10-C11-C12-C13-C14-C15</f>
        <v>11719.243980807683</v>
      </c>
      <c r="D16" s="54">
        <f>D8-D9-D10-D11-D12-D13-D14-D15</f>
        <v>16655.857248133172</v>
      </c>
      <c r="E16" s="31" t="s">
        <v>184</v>
      </c>
    </row>
    <row r="17" spans="1:5" x14ac:dyDescent="0.25">
      <c r="A17" s="14" t="s">
        <v>92</v>
      </c>
      <c r="B17" s="44">
        <f>Assumptions!$D$40</f>
        <v>122.375</v>
      </c>
      <c r="C17" s="44">
        <f>Assumptions!$D$40</f>
        <v>122.375</v>
      </c>
      <c r="D17" s="44">
        <f>Assumptions!$D$40</f>
        <v>122.375</v>
      </c>
    </row>
    <row r="18" spans="1:5" x14ac:dyDescent="0.25">
      <c r="A18" s="6" t="s">
        <v>185</v>
      </c>
      <c r="B18" s="55">
        <f>B16/B17</f>
        <v>52.772069465386764</v>
      </c>
      <c r="C18" s="55">
        <f>C16/C17</f>
        <v>95.765017207825807</v>
      </c>
      <c r="D18" s="55">
        <f>D16/D17</f>
        <v>136.10506433612397</v>
      </c>
      <c r="E18" s="31" t="s">
        <v>186</v>
      </c>
    </row>
    <row r="19" spans="1:5" x14ac:dyDescent="0.25">
      <c r="A19" s="14" t="s">
        <v>187</v>
      </c>
      <c r="B19" s="56">
        <f>Price</f>
        <v>77.41</v>
      </c>
      <c r="C19" s="56">
        <f>Price</f>
        <v>77.41</v>
      </c>
      <c r="D19" s="56">
        <f>Price</f>
        <v>77.41</v>
      </c>
      <c r="E19" s="31" t="s">
        <v>188</v>
      </c>
    </row>
    <row r="20" spans="1:5" x14ac:dyDescent="0.25">
      <c r="A20" s="6" t="s">
        <v>189</v>
      </c>
      <c r="B20" s="57">
        <f>B18/B19-1</f>
        <v>-0.31827839471144859</v>
      </c>
      <c r="C20" s="57">
        <f>C18/C19-1</f>
        <v>0.23711429024448782</v>
      </c>
      <c r="D20" s="57">
        <f>D18/D19-1</f>
        <v>0.75823620121591495</v>
      </c>
    </row>
    <row r="21" spans="1:5" ht="15.95" customHeight="1" x14ac:dyDescent="0.25">
      <c r="A21" s="46" t="s">
        <v>190</v>
      </c>
      <c r="B21" s="47"/>
      <c r="C21" s="47"/>
      <c r="D21" s="47"/>
      <c r="E21" s="47"/>
    </row>
    <row r="22" spans="1:5" x14ac:dyDescent="0.25">
      <c r="A22" s="6" t="s">
        <v>191</v>
      </c>
      <c r="C22" s="58">
        <f>B18*Assumptions!$D$50+C18*Assumptions!$D$51+D18*Assumptions!$D$52</f>
        <v>95.234437084997637</v>
      </c>
    </row>
    <row r="23" spans="1:5" x14ac:dyDescent="0.25">
      <c r="A23" s="6" t="s">
        <v>192</v>
      </c>
      <c r="C23" s="59">
        <f>C22/B19-1</f>
        <v>0.23026013544758617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M17"/>
  <sheetViews>
    <sheetView showOutlineSymbols="0" showWhiteSpace="0" workbookViewId="0">
      <selection sqref="A1:M1"/>
    </sheetView>
    <sheetView workbookViewId="1">
      <selection sqref="A1:M1"/>
    </sheetView>
  </sheetViews>
  <sheetFormatPr defaultRowHeight="15" x14ac:dyDescent="0.25"/>
  <cols>
    <col min="1" max="1" width="6" customWidth="1"/>
    <col min="2" max="2" width="7" customWidth="1"/>
    <col min="3" max="3" width="20" customWidth="1"/>
    <col min="4" max="7" width="12" customWidth="1"/>
    <col min="8" max="8" width="10" customWidth="1"/>
    <col min="9" max="9" width="8" customWidth="1"/>
    <col min="10" max="11" width="12" customWidth="1"/>
    <col min="12" max="12" width="10" customWidth="1"/>
    <col min="13" max="13" width="8" customWidth="1"/>
  </cols>
  <sheetData>
    <row r="1" spans="1:13" ht="17.25" x14ac:dyDescent="0.25">
      <c r="A1" s="99" t="str">
        <f>Ticker&amp;" — Comparable Companies Analysis"</f>
        <v>BAH — Comparable Companies Analysis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x14ac:dyDescent="0.25">
      <c r="A2" s="10" t="s">
        <v>193</v>
      </c>
      <c r="B2" s="10" t="s">
        <v>194</v>
      </c>
      <c r="C2" s="10" t="s">
        <v>195</v>
      </c>
      <c r="D2" s="10" t="s">
        <v>196</v>
      </c>
      <c r="E2" s="10" t="s">
        <v>197</v>
      </c>
      <c r="F2" s="10" t="s">
        <v>198</v>
      </c>
      <c r="G2" s="10" t="s">
        <v>199</v>
      </c>
      <c r="H2" s="10" t="s">
        <v>200</v>
      </c>
      <c r="I2" s="10" t="s">
        <v>201</v>
      </c>
      <c r="J2" s="10" t="s">
        <v>202</v>
      </c>
      <c r="K2" s="10" t="s">
        <v>203</v>
      </c>
      <c r="L2" s="10" t="s">
        <v>204</v>
      </c>
      <c r="M2" s="10" t="s">
        <v>205</v>
      </c>
    </row>
    <row r="3" spans="1:13" x14ac:dyDescent="0.25">
      <c r="A3" s="60"/>
      <c r="B3" s="60" t="s">
        <v>206</v>
      </c>
      <c r="C3" s="61" t="s">
        <v>207</v>
      </c>
      <c r="D3" s="62">
        <v>237632</v>
      </c>
      <c r="E3" s="62">
        <v>293093</v>
      </c>
      <c r="F3" s="62">
        <v>66799</v>
      </c>
      <c r="G3" s="62"/>
      <c r="H3" s="62"/>
      <c r="I3" s="62"/>
      <c r="J3" s="63">
        <v>18.184000000000001</v>
      </c>
      <c r="K3" s="63"/>
      <c r="L3" s="63"/>
      <c r="M3" s="63">
        <v>22.761005000000001</v>
      </c>
    </row>
    <row r="4" spans="1:13" x14ac:dyDescent="0.25">
      <c r="A4" s="64"/>
      <c r="B4" s="64" t="s">
        <v>208</v>
      </c>
      <c r="C4" s="65"/>
      <c r="D4" s="66">
        <v>439620.95935999998</v>
      </c>
      <c r="E4" s="66">
        <v>552090.95935999998</v>
      </c>
      <c r="F4" s="66">
        <v>61016</v>
      </c>
      <c r="G4" s="66">
        <v>26266</v>
      </c>
      <c r="H4" s="66">
        <v>0</v>
      </c>
      <c r="I4" s="67">
        <v>5.3266799999999996</v>
      </c>
      <c r="J4" s="68">
        <v>19.426829999999999</v>
      </c>
      <c r="K4" s="68">
        <v>13.8225</v>
      </c>
      <c r="L4" s="68">
        <v>0</v>
      </c>
      <c r="M4" s="68">
        <v>28.71585</v>
      </c>
    </row>
    <row r="5" spans="1:13" x14ac:dyDescent="0.25">
      <c r="A5" s="69"/>
      <c r="B5" s="69" t="s">
        <v>209</v>
      </c>
      <c r="C5" s="70"/>
      <c r="D5" s="71">
        <v>132290.95125000001</v>
      </c>
      <c r="E5" s="71">
        <v>131892.41824999999</v>
      </c>
      <c r="F5" s="71">
        <v>70725.557000000001</v>
      </c>
      <c r="G5" s="71">
        <v>12458.011</v>
      </c>
      <c r="H5" s="71">
        <v>0</v>
      </c>
      <c r="I5" s="72">
        <v>12.087059999999999</v>
      </c>
      <c r="J5" s="73">
        <v>9.8295300000000001</v>
      </c>
      <c r="K5" s="73">
        <v>7.7931999999999997</v>
      </c>
      <c r="L5" s="73">
        <v>0</v>
      </c>
      <c r="M5" s="73">
        <v>17.78762</v>
      </c>
    </row>
    <row r="6" spans="1:13" x14ac:dyDescent="0.25">
      <c r="A6" s="64"/>
      <c r="B6" s="64" t="s">
        <v>210</v>
      </c>
      <c r="C6" s="65"/>
      <c r="D6" s="66">
        <v>28077.722337200001</v>
      </c>
      <c r="E6" s="66">
        <v>47174.722337200001</v>
      </c>
      <c r="F6" s="66">
        <v>34296</v>
      </c>
      <c r="G6" s="66">
        <v>4491</v>
      </c>
      <c r="H6" s="66">
        <v>0</v>
      </c>
      <c r="I6" s="67">
        <v>-4.4560000000000002E-2</v>
      </c>
      <c r="J6" s="68">
        <v>9.6669499999999999</v>
      </c>
      <c r="K6" s="68">
        <v>7.9915599999999998</v>
      </c>
      <c r="L6" s="68">
        <v>0</v>
      </c>
      <c r="M6" s="68">
        <v>0</v>
      </c>
    </row>
    <row r="7" spans="1:13" x14ac:dyDescent="0.25">
      <c r="A7" s="69"/>
      <c r="B7" s="69" t="s">
        <v>211</v>
      </c>
      <c r="C7" s="70"/>
      <c r="D7" s="71">
        <v>31688.640919199999</v>
      </c>
      <c r="E7" s="71">
        <v>30948.640919199999</v>
      </c>
      <c r="F7" s="71">
        <v>21108</v>
      </c>
      <c r="G7" s="71">
        <v>3834</v>
      </c>
      <c r="H7" s="71">
        <v>0</v>
      </c>
      <c r="I7" s="72">
        <v>4.5599999999999996</v>
      </c>
      <c r="J7" s="73">
        <v>7.6303400000000003</v>
      </c>
      <c r="K7" s="73">
        <v>7.4255399999999998</v>
      </c>
      <c r="L7" s="73">
        <v>0</v>
      </c>
      <c r="M7" s="73">
        <v>14.5307</v>
      </c>
    </row>
    <row r="8" spans="1:13" x14ac:dyDescent="0.25">
      <c r="A8" s="64"/>
      <c r="B8" s="64" t="s">
        <v>212</v>
      </c>
      <c r="C8" s="65"/>
      <c r="D8" s="66">
        <v>12607.5486043</v>
      </c>
      <c r="E8" s="66">
        <v>15254.141604300001</v>
      </c>
      <c r="F8" s="66">
        <v>62508.086000000003</v>
      </c>
      <c r="G8" s="66">
        <v>1836.742</v>
      </c>
      <c r="H8" s="66">
        <v>0</v>
      </c>
      <c r="I8" s="67">
        <v>9.9501299999999997</v>
      </c>
      <c r="J8" s="68">
        <v>7.7229400000000004</v>
      </c>
      <c r="K8" s="68">
        <v>7.6477700000000004</v>
      </c>
      <c r="L8" s="68">
        <v>0</v>
      </c>
      <c r="M8" s="68">
        <v>15.71538</v>
      </c>
    </row>
    <row r="9" spans="1:13" x14ac:dyDescent="0.25">
      <c r="A9" s="69"/>
      <c r="B9" s="69" t="s">
        <v>213</v>
      </c>
      <c r="C9" s="70"/>
      <c r="D9" s="71">
        <v>3036785.2685568002</v>
      </c>
      <c r="E9" s="71">
        <v>3070601.2685568002</v>
      </c>
      <c r="F9" s="71">
        <v>305453</v>
      </c>
      <c r="G9" s="71">
        <v>175259</v>
      </c>
      <c r="H9" s="71">
        <v>0</v>
      </c>
      <c r="I9" s="72">
        <v>15.980549999999999</v>
      </c>
      <c r="J9" s="73">
        <v>16.316240000000001</v>
      </c>
      <c r="K9" s="73">
        <v>14.351369999999999</v>
      </c>
      <c r="L9" s="73">
        <v>0</v>
      </c>
      <c r="M9" s="73">
        <v>25.59112</v>
      </c>
    </row>
    <row r="10" spans="1:13" x14ac:dyDescent="0.25">
      <c r="A10" s="64"/>
      <c r="B10" s="64" t="s">
        <v>214</v>
      </c>
      <c r="C10" s="65"/>
      <c r="D10" s="66">
        <v>2198.391482</v>
      </c>
      <c r="E10" s="66">
        <v>5058.391482</v>
      </c>
      <c r="F10" s="66">
        <v>12683</v>
      </c>
      <c r="G10" s="66">
        <v>1914</v>
      </c>
      <c r="H10" s="66">
        <v>0</v>
      </c>
      <c r="I10" s="67">
        <v>2.3206000000000002</v>
      </c>
      <c r="J10" s="68">
        <v>2.2108400000000001</v>
      </c>
      <c r="K10" s="68">
        <v>2.8415900000000001</v>
      </c>
      <c r="L10" s="68">
        <v>0</v>
      </c>
      <c r="M10" s="68">
        <v>5.5804499999999999</v>
      </c>
    </row>
    <row r="11" spans="1:13" x14ac:dyDescent="0.25">
      <c r="A11" s="69"/>
      <c r="B11" s="69" t="s">
        <v>215</v>
      </c>
      <c r="C11" s="70"/>
      <c r="D11" s="71">
        <v>149568.135453</v>
      </c>
      <c r="E11" s="71">
        <v>173327.135453</v>
      </c>
      <c r="F11" s="71">
        <v>37442</v>
      </c>
      <c r="G11" s="71">
        <v>8468</v>
      </c>
      <c r="H11" s="71">
        <v>0</v>
      </c>
      <c r="I11" s="72">
        <v>6.8870699999999996</v>
      </c>
      <c r="J11" s="73">
        <v>19.788460000000001</v>
      </c>
      <c r="K11" s="73">
        <v>17.305789999999998</v>
      </c>
      <c r="L11" s="73">
        <v>0</v>
      </c>
      <c r="M11" s="73">
        <v>34.164029999999997</v>
      </c>
    </row>
    <row r="12" spans="1:13" ht="15.95" customHeight="1" x14ac:dyDescent="0.25">
      <c r="A12" s="46" t="s">
        <v>216</v>
      </c>
      <c r="B12" s="47"/>
      <c r="C12" s="47"/>
      <c r="D12" s="47"/>
      <c r="E12" s="47"/>
      <c r="F12" s="47"/>
      <c r="G12" s="47"/>
      <c r="H12" s="47"/>
      <c r="I12" s="47"/>
      <c r="J12" s="74">
        <f>IFERROR(MEDIAN(IF(A4:A11&lt;&gt;"x",J4:J11)),MEDIAN(J4:J11))</f>
        <v>9.7482399999999991</v>
      </c>
      <c r="K12" s="74">
        <f>IFERROR(MEDIAN(IF(A4:A11&lt;&gt;"x",K4:K11)),MEDIAN(K4:K11))</f>
        <v>7.8923799999999993</v>
      </c>
      <c r="L12" s="74">
        <f>IFERROR(MEDIAN(IF(A4:A11&lt;&gt;"x",L4:L11)),MEDIAN(L4:L11))</f>
        <v>0</v>
      </c>
      <c r="M12" s="74">
        <f>IFERROR(MEDIAN(IF(A4:A11&lt;&gt;"x",M4:M11)),MEDIAN(M4:M11))</f>
        <v>16.7515</v>
      </c>
    </row>
    <row r="14" spans="1:13" ht="15.95" customHeight="1" x14ac:dyDescent="0.25">
      <c r="A14" s="1" t="s">
        <v>217</v>
      </c>
      <c r="B14" s="75" t="s">
        <v>218</v>
      </c>
      <c r="C14" s="75" t="s">
        <v>219</v>
      </c>
      <c r="D14" s="75" t="s">
        <v>220</v>
      </c>
      <c r="E14" s="75" t="s">
        <v>221</v>
      </c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4" t="s">
        <v>222</v>
      </c>
      <c r="B15" s="37"/>
      <c r="C15" s="37">
        <f>B15+Assumptions!$D$42-(Assumptions!$D$39+Assumptions!$D$43+Assumptions!$D$44+Assumptions!$D$45+Assumptions!$D$46+Assumptions!$D$47+Assumptions!$D$48)</f>
        <v>-2890.34</v>
      </c>
      <c r="D15" s="58">
        <f>C15/Assumptions!$D$40</f>
        <v>-23.618712972420838</v>
      </c>
      <c r="E15" s="17">
        <f>D15/253.33-1</f>
        <v>-1.0932329884830887</v>
      </c>
    </row>
    <row r="16" spans="1:13" x14ac:dyDescent="0.25">
      <c r="A16" s="14" t="s">
        <v>223</v>
      </c>
      <c r="B16" s="37">
        <f>L12*Assumptions!$D$3*Assumptions!$D$8</f>
        <v>0</v>
      </c>
      <c r="C16" s="37">
        <f>B16+Assumptions!$D$42-(Assumptions!$D$39+Assumptions!$D$43+Assumptions!$D$44+Assumptions!$D$45+Assumptions!$D$46+Assumptions!$D$47+Assumptions!$D$48)</f>
        <v>-2890.34</v>
      </c>
      <c r="D16" s="58">
        <f>C16/Assumptions!$D$40</f>
        <v>-23.618712972420838</v>
      </c>
      <c r="E16" s="17">
        <f>D16/253.33-1</f>
        <v>-1.0932329884830887</v>
      </c>
    </row>
    <row r="17" spans="1:5" x14ac:dyDescent="0.25">
      <c r="A17" s="14" t="s">
        <v>224</v>
      </c>
      <c r="B17" s="37">
        <f>(M12*Assumptions!$D$3*Assumptions!$D$8*(1-Assumptions!$D$14)+Assumptions!$D$42-(Assumptions!$D$39+Assumptions!$D$43+Assumptions!$D$44+Assumptions!$D$45+Assumptions!$D$46+Assumptions!$D$47+Assumptions!$D$48))</f>
        <v>11791.414711290568</v>
      </c>
      <c r="C17" s="37">
        <f>B17+Assumptions!$D$42-(Assumptions!$D$39+Assumptions!$D$43+Assumptions!$D$44+Assumptions!$D$45+Assumptions!$D$46+Assumptions!$D$47+Assumptions!$D$48)</f>
        <v>8901.0747112905683</v>
      </c>
      <c r="D17" s="58">
        <f>C17/Assumptions!$D$40</f>
        <v>72.736054842006681</v>
      </c>
      <c r="E17" s="17">
        <f>D17/253.33-1</f>
        <v>-0.71288021615281782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J14"/>
  <sheetViews>
    <sheetView showOutlineSymbols="0" showWhiteSpace="0" workbookViewId="0">
      <selection activeCell="B2" sqref="B2"/>
    </sheetView>
    <sheetView workbookViewId="1">
      <selection sqref="A1:I1"/>
    </sheetView>
  </sheetViews>
  <sheetFormatPr defaultRowHeight="15" x14ac:dyDescent="0.25"/>
  <cols>
    <col min="1" max="1" width="22" customWidth="1"/>
    <col min="2" max="9" width="12" customWidth="1"/>
  </cols>
  <sheetData>
    <row r="1" spans="1:10" ht="15.75" x14ac:dyDescent="0.25">
      <c r="A1" s="98" t="str">
        <f>Ticker&amp;" — Sensitivity Analysis"</f>
        <v>BAH — Sensitivity Analysis</v>
      </c>
      <c r="B1" s="96"/>
      <c r="C1" s="96"/>
      <c r="D1" s="96"/>
      <c r="E1" s="96"/>
      <c r="F1" s="96"/>
      <c r="G1" s="96"/>
      <c r="H1" s="96"/>
      <c r="I1" s="96"/>
    </row>
    <row r="2" spans="1:10" ht="15.95" customHeight="1" x14ac:dyDescent="0.25">
      <c r="A2" s="1" t="s">
        <v>225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76" t="s">
        <v>226</v>
      </c>
      <c r="B3" s="77">
        <v>1.4999999999999999E-2</v>
      </c>
      <c r="C3" s="77">
        <v>0.02</v>
      </c>
      <c r="D3" s="77">
        <v>2.5000000000000001E-2</v>
      </c>
      <c r="E3" s="77">
        <v>0.03</v>
      </c>
      <c r="F3" s="78">
        <v>3.5000000000000003E-2</v>
      </c>
      <c r="G3" s="77">
        <v>0.04</v>
      </c>
      <c r="H3" s="77">
        <v>4.5000000000000012E-2</v>
      </c>
      <c r="I3" s="77">
        <v>0.05</v>
      </c>
      <c r="J3" s="77">
        <v>5.5000000000000007E-2</v>
      </c>
    </row>
    <row r="4" spans="1:10" x14ac:dyDescent="0.25">
      <c r="A4" s="79">
        <v>5.0430000000000003E-2</v>
      </c>
      <c r="B4" s="80">
        <v>380.03</v>
      </c>
      <c r="C4" s="80">
        <v>421.19</v>
      </c>
      <c r="D4" s="80">
        <v>478.37</v>
      </c>
      <c r="E4" s="80">
        <v>563.34</v>
      </c>
      <c r="F4" s="80">
        <v>703.1</v>
      </c>
      <c r="G4" s="80">
        <v>976.46</v>
      </c>
      <c r="H4" s="80">
        <v>1752.47</v>
      </c>
      <c r="I4" s="80">
        <v>20565.41</v>
      </c>
      <c r="J4" s="81">
        <v>55.18</v>
      </c>
    </row>
    <row r="5" spans="1:10" x14ac:dyDescent="0.25">
      <c r="A5" s="79">
        <v>5.5430000000000007E-2</v>
      </c>
      <c r="B5" s="80">
        <v>323.99</v>
      </c>
      <c r="C5" s="80">
        <v>352.3</v>
      </c>
      <c r="D5" s="80">
        <v>389.78</v>
      </c>
      <c r="E5" s="80">
        <v>441.83</v>
      </c>
      <c r="F5" s="80">
        <v>519.17999999999995</v>
      </c>
      <c r="G5" s="80">
        <v>646.38</v>
      </c>
      <c r="H5" s="80">
        <v>895.17</v>
      </c>
      <c r="I5" s="80">
        <v>1601.39</v>
      </c>
      <c r="J5" s="80">
        <v>18722.080000000002</v>
      </c>
    </row>
    <row r="6" spans="1:10" x14ac:dyDescent="0.25">
      <c r="A6" s="79">
        <v>6.0429999999999998E-2</v>
      </c>
      <c r="B6" s="82">
        <v>280.39999999999998</v>
      </c>
      <c r="C6" s="82">
        <v>300.54000000000002</v>
      </c>
      <c r="D6" s="80">
        <v>326.25</v>
      </c>
      <c r="E6" s="80">
        <v>360.29</v>
      </c>
      <c r="F6" s="80">
        <v>407.56</v>
      </c>
      <c r="G6" s="80">
        <v>477.78</v>
      </c>
      <c r="H6" s="80">
        <v>593.26</v>
      </c>
      <c r="I6" s="80">
        <v>819.1</v>
      </c>
      <c r="J6" s="80">
        <v>1460.15</v>
      </c>
    </row>
    <row r="7" spans="1:10" x14ac:dyDescent="0.25">
      <c r="A7" s="79">
        <v>6.5430000000000002E-2</v>
      </c>
      <c r="B7" s="82">
        <v>245.55</v>
      </c>
      <c r="C7" s="82">
        <v>260.25</v>
      </c>
      <c r="D7" s="82">
        <v>278.5</v>
      </c>
      <c r="E7" s="82">
        <v>301.77999999999997</v>
      </c>
      <c r="F7" s="80">
        <v>332.61</v>
      </c>
      <c r="G7" s="80">
        <v>375.41</v>
      </c>
      <c r="H7" s="80">
        <v>438.98</v>
      </c>
      <c r="I7" s="80">
        <v>543.52</v>
      </c>
      <c r="J7" s="80">
        <v>747.93</v>
      </c>
    </row>
    <row r="8" spans="1:10" x14ac:dyDescent="0.25">
      <c r="A8" s="78">
        <v>7.0430000000000006E-2</v>
      </c>
      <c r="B8" s="81">
        <v>217.08</v>
      </c>
      <c r="C8" s="81">
        <v>228.02</v>
      </c>
      <c r="D8" s="82">
        <v>241.3</v>
      </c>
      <c r="E8" s="82">
        <v>257.77999999999997</v>
      </c>
      <c r="F8" s="83">
        <v>278.8</v>
      </c>
      <c r="G8" s="80">
        <v>306.63</v>
      </c>
      <c r="H8" s="80">
        <v>345.25</v>
      </c>
      <c r="I8" s="80">
        <v>402.62</v>
      </c>
      <c r="J8" s="80">
        <v>496.93</v>
      </c>
    </row>
    <row r="9" spans="1:10" x14ac:dyDescent="0.25">
      <c r="A9" s="79">
        <v>7.5430000000000011E-2</v>
      </c>
      <c r="B9" s="81">
        <v>193.39</v>
      </c>
      <c r="C9" s="81">
        <v>201.67</v>
      </c>
      <c r="D9" s="81">
        <v>211.52</v>
      </c>
      <c r="E9" s="81">
        <v>223.48</v>
      </c>
      <c r="F9" s="81">
        <v>238.3</v>
      </c>
      <c r="G9" s="82">
        <v>257.22000000000003</v>
      </c>
      <c r="H9" s="82">
        <v>282.24</v>
      </c>
      <c r="I9" s="80">
        <v>316.97000000000003</v>
      </c>
      <c r="J9" s="80">
        <v>368.54</v>
      </c>
    </row>
    <row r="10" spans="1:10" x14ac:dyDescent="0.25">
      <c r="A10" s="79">
        <v>8.0430000000000001E-2</v>
      </c>
      <c r="B10" s="81">
        <v>173.39</v>
      </c>
      <c r="C10" s="81">
        <v>179.73</v>
      </c>
      <c r="D10" s="81">
        <v>187.16</v>
      </c>
      <c r="E10" s="81">
        <v>196</v>
      </c>
      <c r="F10" s="81">
        <v>206.71</v>
      </c>
      <c r="G10" s="81">
        <v>220</v>
      </c>
      <c r="H10" s="81">
        <v>236.94</v>
      </c>
      <c r="I10" s="82">
        <v>259.35000000000002</v>
      </c>
      <c r="J10" s="82">
        <v>290.45</v>
      </c>
    </row>
    <row r="11" spans="1:10" x14ac:dyDescent="0.25">
      <c r="A11" s="79">
        <v>8.5430000000000006E-2</v>
      </c>
      <c r="B11" s="81">
        <v>156.29</v>
      </c>
      <c r="C11" s="81">
        <v>161.19</v>
      </c>
      <c r="D11" s="81">
        <v>166.86</v>
      </c>
      <c r="E11" s="81">
        <v>173.49</v>
      </c>
      <c r="F11" s="81">
        <v>181.38</v>
      </c>
      <c r="G11" s="81">
        <v>190.94</v>
      </c>
      <c r="H11" s="81">
        <v>202.79</v>
      </c>
      <c r="I11" s="81">
        <v>217.9</v>
      </c>
      <c r="J11" s="81">
        <v>237.88</v>
      </c>
    </row>
    <row r="12" spans="1:10" x14ac:dyDescent="0.25">
      <c r="A12" s="79">
        <v>9.043000000000001E-2</v>
      </c>
      <c r="B12" s="81">
        <v>141.51</v>
      </c>
      <c r="C12" s="81">
        <v>145.33000000000001</v>
      </c>
      <c r="D12" s="81">
        <v>149.69</v>
      </c>
      <c r="E12" s="81">
        <v>154.72999999999999</v>
      </c>
      <c r="F12" s="81">
        <v>160.63</v>
      </c>
      <c r="G12" s="81">
        <v>167.63</v>
      </c>
      <c r="H12" s="81">
        <v>176.11</v>
      </c>
      <c r="I12" s="81">
        <v>186.62</v>
      </c>
      <c r="J12" s="81">
        <v>200.02</v>
      </c>
    </row>
    <row r="14" spans="1:10" x14ac:dyDescent="0.25">
      <c r="A14" s="84" t="s">
        <v>227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16"/>
  <sheetViews>
    <sheetView showOutlineSymbols="0" showWhiteSpace="0" workbookViewId="0">
      <selection activeCell="A2" sqref="A2:E2"/>
    </sheetView>
    <sheetView workbookViewId="1">
      <selection sqref="A1:E1"/>
    </sheetView>
  </sheetViews>
  <sheetFormatPr defaultRowHeight="15" x14ac:dyDescent="0.25"/>
  <cols>
    <col min="1" max="1" width="32" customWidth="1"/>
    <col min="2" max="2" width="16" customWidth="1"/>
    <col min="3" max="4" width="14" customWidth="1"/>
    <col min="5" max="5" width="22" customWidth="1"/>
  </cols>
  <sheetData>
    <row r="1" spans="1:5" ht="17.25" x14ac:dyDescent="0.25">
      <c r="A1" s="99" t="str">
        <f>Ticker&amp;" — Quality of Earnings Signals"</f>
        <v>BAH — Quality of Earnings Signals</v>
      </c>
      <c r="B1" s="96"/>
      <c r="C1" s="96"/>
      <c r="D1" s="96"/>
      <c r="E1" s="96"/>
    </row>
    <row r="2" spans="1:5" x14ac:dyDescent="0.25">
      <c r="A2" s="100" t="s">
        <v>228</v>
      </c>
      <c r="B2" s="96"/>
      <c r="C2" s="96"/>
      <c r="D2" s="96"/>
      <c r="E2" s="96"/>
    </row>
    <row r="3" spans="1:5" x14ac:dyDescent="0.25">
      <c r="A3" s="1" t="s">
        <v>229</v>
      </c>
      <c r="B3" s="10" t="s">
        <v>21</v>
      </c>
      <c r="C3" s="10" t="s">
        <v>230</v>
      </c>
      <c r="D3" s="10" t="s">
        <v>231</v>
      </c>
      <c r="E3" s="10" t="s">
        <v>232</v>
      </c>
    </row>
    <row r="4" spans="1:5" ht="24" x14ac:dyDescent="0.25">
      <c r="A4" s="14" t="s">
        <v>233</v>
      </c>
      <c r="B4" s="53">
        <v>4.4999999999999998E-2</v>
      </c>
      <c r="C4" s="85" t="s">
        <v>234</v>
      </c>
      <c r="D4" s="31" t="s">
        <v>235</v>
      </c>
      <c r="E4" s="86" t="s">
        <v>236</v>
      </c>
    </row>
    <row r="5" spans="1:5" x14ac:dyDescent="0.25">
      <c r="A5" s="14" t="s">
        <v>237</v>
      </c>
      <c r="B5" s="53">
        <v>0.82</v>
      </c>
      <c r="C5" s="85" t="s">
        <v>234</v>
      </c>
      <c r="D5" s="31" t="s">
        <v>238</v>
      </c>
      <c r="E5" s="86" t="s">
        <v>239</v>
      </c>
    </row>
    <row r="6" spans="1:5" ht="24" x14ac:dyDescent="0.25">
      <c r="A6" s="14" t="s">
        <v>240</v>
      </c>
      <c r="B6" s="87">
        <v>0</v>
      </c>
      <c r="C6" s="88" t="s">
        <v>241</v>
      </c>
      <c r="D6" s="31" t="s">
        <v>242</v>
      </c>
      <c r="E6" s="86" t="s">
        <v>243</v>
      </c>
    </row>
    <row r="7" spans="1:5" ht="24" x14ac:dyDescent="0.25">
      <c r="A7" s="14" t="s">
        <v>244</v>
      </c>
      <c r="B7" s="87">
        <v>0</v>
      </c>
      <c r="C7" s="88" t="s">
        <v>241</v>
      </c>
      <c r="D7" s="31" t="s">
        <v>245</v>
      </c>
      <c r="E7" s="86" t="s">
        <v>246</v>
      </c>
    </row>
    <row r="8" spans="1:5" x14ac:dyDescent="0.25">
      <c r="A8" s="14" t="s">
        <v>247</v>
      </c>
      <c r="B8" s="53">
        <v>0</v>
      </c>
      <c r="C8" s="88" t="s">
        <v>241</v>
      </c>
      <c r="D8" s="31" t="s">
        <v>248</v>
      </c>
      <c r="E8" s="86" t="s">
        <v>249</v>
      </c>
    </row>
    <row r="9" spans="1:5" x14ac:dyDescent="0.25">
      <c r="A9" s="14" t="s">
        <v>250</v>
      </c>
      <c r="B9" s="87" t="s">
        <v>251</v>
      </c>
      <c r="C9" s="88" t="s">
        <v>241</v>
      </c>
      <c r="D9" s="31" t="s">
        <v>251</v>
      </c>
      <c r="E9" s="86" t="s">
        <v>252</v>
      </c>
    </row>
    <row r="10" spans="1:5" x14ac:dyDescent="0.25">
      <c r="A10" s="14" t="s">
        <v>253</v>
      </c>
      <c r="B10" s="87" t="s">
        <v>254</v>
      </c>
      <c r="C10" s="88" t="s">
        <v>241</v>
      </c>
      <c r="D10" s="31" t="s">
        <v>251</v>
      </c>
      <c r="E10" s="86" t="s">
        <v>255</v>
      </c>
    </row>
    <row r="13" spans="1:5" ht="15.95" customHeight="1" x14ac:dyDescent="0.25">
      <c r="A13" s="1" t="s">
        <v>256</v>
      </c>
      <c r="B13" s="11"/>
      <c r="C13" s="11"/>
      <c r="D13" s="11"/>
      <c r="E13" s="11"/>
    </row>
    <row r="14" spans="1:5" x14ac:dyDescent="0.25">
      <c r="A14" s="14" t="s">
        <v>257</v>
      </c>
      <c r="B14" s="18">
        <v>47</v>
      </c>
    </row>
    <row r="15" spans="1:5" x14ac:dyDescent="0.25">
      <c r="A15" s="14" t="s">
        <v>258</v>
      </c>
      <c r="B15" s="18">
        <v>0</v>
      </c>
    </row>
    <row r="16" spans="1:5" x14ac:dyDescent="0.25">
      <c r="A16" s="14" t="s">
        <v>259</v>
      </c>
      <c r="B16" s="89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E33"/>
  <sheetViews>
    <sheetView tabSelected="1" showOutlineSymbols="0" showWhiteSpace="0" workbookViewId="0">
      <selection activeCell="K9" sqref="K9"/>
    </sheetView>
    <sheetView workbookViewId="1">
      <selection sqref="A1:E1"/>
    </sheetView>
  </sheetViews>
  <sheetFormatPr defaultRowHeight="15" x14ac:dyDescent="0.25"/>
  <cols>
    <col min="1" max="1" width="28" customWidth="1"/>
    <col min="2" max="5" width="18" customWidth="1"/>
  </cols>
  <sheetData>
    <row r="1" spans="1:5" ht="18.75" x14ac:dyDescent="0.25">
      <c r="A1" s="101" t="str">
        <f>Ticker&amp;" — Valuation Summary | As of "&amp; TEXT(as_of_date, "dd mmm yyyy")</f>
        <v>BAH — Valuation Summary | As of 14 Jun 2026</v>
      </c>
      <c r="B1" s="96"/>
      <c r="C1" s="96"/>
      <c r="D1" s="96"/>
      <c r="E1" s="96"/>
    </row>
    <row r="2" spans="1:5" ht="15.95" customHeight="1" x14ac:dyDescent="0.25">
      <c r="A2" s="1" t="s">
        <v>33</v>
      </c>
      <c r="B2" s="11"/>
      <c r="C2" s="11"/>
      <c r="D2" s="11"/>
      <c r="E2" s="11"/>
    </row>
    <row r="3" spans="1:5" x14ac:dyDescent="0.25">
      <c r="A3" s="14" t="s">
        <v>3</v>
      </c>
      <c r="B3" s="56">
        <f>Price</f>
        <v>77.41</v>
      </c>
    </row>
    <row r="4" spans="1:5" x14ac:dyDescent="0.25">
      <c r="A4" s="14" t="s">
        <v>260</v>
      </c>
      <c r="B4" s="35">
        <f>_Data!B48</f>
        <v>9284</v>
      </c>
    </row>
    <row r="5" spans="1:5" x14ac:dyDescent="0.25">
      <c r="A5" s="14" t="s">
        <v>261</v>
      </c>
      <c r="B5" s="35">
        <f>_Data!B49</f>
        <v>12664</v>
      </c>
    </row>
    <row r="6" spans="1:5" x14ac:dyDescent="0.25">
      <c r="A6" s="14" t="s">
        <v>262</v>
      </c>
      <c r="B6" s="18">
        <f>_Data!B50</f>
        <v>11.218840999999999</v>
      </c>
    </row>
    <row r="7" spans="1:5" x14ac:dyDescent="0.25">
      <c r="A7" s="14" t="s">
        <v>263</v>
      </c>
      <c r="B7" s="18">
        <f>_Data!B51</f>
        <v>11.284323000000001</v>
      </c>
    </row>
    <row r="8" spans="1:5" x14ac:dyDescent="0.25">
      <c r="A8" s="14" t="s">
        <v>264</v>
      </c>
      <c r="B8" s="18">
        <f>_Data!B52</f>
        <v>10.066000000000001</v>
      </c>
    </row>
    <row r="9" spans="1:5" x14ac:dyDescent="0.25">
      <c r="A9" s="14" t="s">
        <v>265</v>
      </c>
      <c r="B9" s="56">
        <f>_Data!B53</f>
        <v>93.769229999999993</v>
      </c>
    </row>
    <row r="10" spans="1:5" x14ac:dyDescent="0.25">
      <c r="A10" s="14" t="s">
        <v>266</v>
      </c>
      <c r="B10" s="87" t="str">
        <f>_Data!B54</f>
        <v>hold</v>
      </c>
    </row>
    <row r="11" spans="1:5" x14ac:dyDescent="0.25">
      <c r="A11" s="14" t="s">
        <v>267</v>
      </c>
      <c r="B11" s="35">
        <v>19</v>
      </c>
    </row>
    <row r="13" spans="1:5" ht="15.95" customHeight="1" x14ac:dyDescent="0.25">
      <c r="A13" s="1" t="s">
        <v>268</v>
      </c>
      <c r="B13" s="11"/>
      <c r="C13" s="11"/>
      <c r="D13" s="11"/>
      <c r="E13" s="11"/>
    </row>
    <row r="14" spans="1:5" x14ac:dyDescent="0.25">
      <c r="B14" s="91" t="s">
        <v>164</v>
      </c>
      <c r="C14" s="91" t="s">
        <v>165</v>
      </c>
      <c r="D14" s="91" t="s">
        <v>166</v>
      </c>
    </row>
    <row r="15" spans="1:5" x14ac:dyDescent="0.25">
      <c r="A15" s="27" t="s">
        <v>185</v>
      </c>
      <c r="B15" s="55">
        <f>Equity_Bridge!B18</f>
        <v>52.772069465386764</v>
      </c>
      <c r="C15" s="55">
        <f>Equity_Bridge!C18</f>
        <v>95.765017207825807</v>
      </c>
      <c r="D15" s="55">
        <f>Equity_Bridge!D18</f>
        <v>136.10506433612397</v>
      </c>
    </row>
    <row r="16" spans="1:5" x14ac:dyDescent="0.25">
      <c r="A16" s="27" t="s">
        <v>269</v>
      </c>
      <c r="B16" s="57">
        <f>Equity_Bridge!B20</f>
        <v>-0.31827839471144859</v>
      </c>
      <c r="C16" s="57">
        <f>Equity_Bridge!C20</f>
        <v>0.23711429024448782</v>
      </c>
      <c r="D16" s="57">
        <f>Equity_Bridge!D20</f>
        <v>0.75823620121591495</v>
      </c>
    </row>
    <row r="17" spans="1:5" x14ac:dyDescent="0.25">
      <c r="A17" s="27" t="s">
        <v>270</v>
      </c>
      <c r="B17" s="57">
        <f>Assumptions!$D$50</f>
        <v>0.2</v>
      </c>
      <c r="C17" s="57">
        <f>Assumptions!$D$51</f>
        <v>0.6</v>
      </c>
      <c r="D17" s="57">
        <f>Assumptions!$D$52</f>
        <v>0.2</v>
      </c>
    </row>
    <row r="18" spans="1:5" x14ac:dyDescent="0.25">
      <c r="A18" s="6" t="s">
        <v>271</v>
      </c>
      <c r="B18" s="55">
        <f>Equity_Bridge!C22</f>
        <v>95.234437084997637</v>
      </c>
    </row>
    <row r="19" spans="1:5" x14ac:dyDescent="0.25">
      <c r="A19" s="6" t="s">
        <v>272</v>
      </c>
      <c r="B19" s="57">
        <f>Equity_Bridge!C23</f>
        <v>0.23026013544758617</v>
      </c>
    </row>
    <row r="21" spans="1:5" ht="15.95" customHeight="1" x14ac:dyDescent="0.25">
      <c r="A21" s="1" t="s">
        <v>273</v>
      </c>
      <c r="B21" s="11"/>
      <c r="C21" s="11"/>
      <c r="D21" s="11"/>
      <c r="E21" s="11"/>
    </row>
    <row r="22" spans="1:5" x14ac:dyDescent="0.25">
      <c r="A22" s="14" t="s">
        <v>87</v>
      </c>
      <c r="B22" s="43">
        <f>Assumptions!$D$37</f>
        <v>7.0430000000000006E-2</v>
      </c>
    </row>
    <row r="23" spans="1:5" x14ac:dyDescent="0.25">
      <c r="A23" s="14" t="s">
        <v>274</v>
      </c>
      <c r="B23" s="43">
        <f>Assumptions!$D$31</f>
        <v>0.65849999999999997</v>
      </c>
    </row>
    <row r="24" spans="1:5" x14ac:dyDescent="0.25">
      <c r="A24" s="14" t="s">
        <v>275</v>
      </c>
      <c r="B24" s="43">
        <f>Assumptions!$D$34</f>
        <v>2.208669643377045E-2</v>
      </c>
    </row>
    <row r="25" spans="1:5" x14ac:dyDescent="0.25">
      <c r="A25" s="14" t="s">
        <v>276</v>
      </c>
      <c r="B25" s="92">
        <f>Assumptions!$D$29</f>
        <v>0.27</v>
      </c>
    </row>
    <row r="26" spans="1:5" x14ac:dyDescent="0.25">
      <c r="A26" s="14" t="s">
        <v>83</v>
      </c>
      <c r="B26" s="33">
        <f>Assumptions!$D$35</f>
        <v>0.73229999999999995</v>
      </c>
    </row>
    <row r="28" spans="1:5" ht="15.95" customHeight="1" x14ac:dyDescent="0.25">
      <c r="A28" s="1" t="s">
        <v>277</v>
      </c>
      <c r="B28" s="11"/>
      <c r="C28" s="11"/>
      <c r="D28" s="11"/>
      <c r="E28" s="11"/>
    </row>
    <row r="29" spans="1:5" x14ac:dyDescent="0.25">
      <c r="A29" s="14" t="s">
        <v>278</v>
      </c>
      <c r="B29" s="93">
        <v>3</v>
      </c>
    </row>
    <row r="30" spans="1:5" x14ac:dyDescent="0.25">
      <c r="A30" s="14" t="s">
        <v>279</v>
      </c>
      <c r="B30" s="90" t="s">
        <v>234</v>
      </c>
    </row>
    <row r="31" spans="1:5" x14ac:dyDescent="0.25">
      <c r="A31" s="14" t="s">
        <v>233</v>
      </c>
      <c r="B31" s="53">
        <v>4.4999999999999998E-2</v>
      </c>
    </row>
    <row r="32" spans="1:5" x14ac:dyDescent="0.25">
      <c r="A32" s="14" t="s">
        <v>280</v>
      </c>
      <c r="B32" s="15">
        <v>0.82</v>
      </c>
    </row>
    <row r="33" spans="1:2" x14ac:dyDescent="0.25">
      <c r="A33" s="14" t="s">
        <v>281</v>
      </c>
      <c r="B33" s="94">
        <v>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8"/>
  <sheetViews>
    <sheetView showOutlineSymbols="0" showWhiteSpace="0" workbookViewId="0">
      <selection activeCell="B2" sqref="B2"/>
    </sheetView>
    <sheetView workbookViewId="1"/>
  </sheetViews>
  <sheetFormatPr defaultRowHeight="15" x14ac:dyDescent="0.25"/>
  <cols>
    <col min="1" max="1" width="18" customWidth="1"/>
    <col min="2" max="2" width="80" customWidth="1"/>
  </cols>
  <sheetData>
    <row r="1" spans="1:2" x14ac:dyDescent="0.25">
      <c r="A1" s="1" t="s">
        <v>20</v>
      </c>
      <c r="B1" s="1" t="s">
        <v>21</v>
      </c>
    </row>
    <row r="2" spans="1:2" x14ac:dyDescent="0.25">
      <c r="A2" s="2" t="s">
        <v>22</v>
      </c>
      <c r="B2" s="3" t="s">
        <v>339</v>
      </c>
    </row>
    <row r="4" spans="1:2" x14ac:dyDescent="0.25">
      <c r="A4" s="4" t="s">
        <v>23</v>
      </c>
    </row>
    <row r="5" spans="1:2" x14ac:dyDescent="0.25">
      <c r="A5" s="102" t="s">
        <v>24</v>
      </c>
      <c r="B5" s="96"/>
    </row>
    <row r="6" spans="1:2" x14ac:dyDescent="0.25">
      <c r="A6" s="102" t="s">
        <v>25</v>
      </c>
      <c r="B6" s="96"/>
    </row>
    <row r="7" spans="1:2" x14ac:dyDescent="0.25">
      <c r="A7" s="102" t="s">
        <v>26</v>
      </c>
      <c r="B7" s="96"/>
    </row>
    <row r="8" spans="1:2" x14ac:dyDescent="0.25">
      <c r="A8" s="102" t="s">
        <v>27</v>
      </c>
      <c r="B8" s="96"/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E742-190D-4DEF-81A1-5C063832A697}">
  <dimension ref="A1:J64"/>
  <sheetViews>
    <sheetView showOutlineSymbols="0" showWhiteSpace="0" workbookViewId="0">
      <selection activeCell="B6" sqref="B6"/>
    </sheetView>
    <sheetView tabSelected="1" workbookViewId="1">
      <selection activeCell="G23" sqref="G23"/>
    </sheetView>
  </sheetViews>
  <sheetFormatPr defaultRowHeight="15" x14ac:dyDescent="0.25"/>
  <cols>
    <col min="1" max="1" width="15.85546875" bestFit="1" customWidth="1"/>
    <col min="2" max="2" width="10" bestFit="1" customWidth="1"/>
    <col min="3" max="3" width="13.140625" bestFit="1" customWidth="1"/>
    <col min="4" max="4" width="12.140625" bestFit="1" customWidth="1"/>
    <col min="5" max="5" width="19.140625" bestFit="1" customWidth="1"/>
    <col min="6" max="6" width="17.42578125" bestFit="1" customWidth="1"/>
    <col min="7" max="7" width="10.28515625" bestFit="1" customWidth="1"/>
    <col min="8" max="8" width="16.85546875" bestFit="1" customWidth="1"/>
    <col min="9" max="9" width="17.28515625" bestFit="1" customWidth="1"/>
    <col min="10" max="10" width="9.42578125" bestFit="1" customWidth="1"/>
  </cols>
  <sheetData>
    <row r="1" spans="1:5" x14ac:dyDescent="0.25">
      <c r="A1" t="s">
        <v>284</v>
      </c>
      <c r="B1" t="s">
        <v>21</v>
      </c>
      <c r="D1" t="s">
        <v>349</v>
      </c>
      <c r="E1" t="s">
        <v>21</v>
      </c>
    </row>
    <row r="2" spans="1:5" x14ac:dyDescent="0.25">
      <c r="A2" t="s">
        <v>285</v>
      </c>
      <c r="B2">
        <v>11217</v>
      </c>
      <c r="D2" t="s">
        <v>350</v>
      </c>
      <c r="E2" t="s">
        <v>351</v>
      </c>
    </row>
    <row r="3" spans="1:5" x14ac:dyDescent="0.25">
      <c r="A3" t="s">
        <v>286</v>
      </c>
      <c r="B3">
        <v>2.4725167156994356E-3</v>
      </c>
      <c r="D3" t="s">
        <v>352</v>
      </c>
      <c r="E3" t="s">
        <v>353</v>
      </c>
    </row>
    <row r="4" spans="1:5" x14ac:dyDescent="0.25">
      <c r="A4" t="s">
        <v>287</v>
      </c>
      <c r="B4">
        <v>1.3598841936346897E-3</v>
      </c>
      <c r="D4" t="s">
        <v>282</v>
      </c>
      <c r="E4" t="s">
        <v>354</v>
      </c>
    </row>
    <row r="5" spans="1:5" x14ac:dyDescent="0.25">
      <c r="A5" t="s">
        <v>288</v>
      </c>
      <c r="B5">
        <v>2.5000000000000001E-2</v>
      </c>
      <c r="D5" t="s">
        <v>355</v>
      </c>
      <c r="E5" t="s">
        <v>356</v>
      </c>
    </row>
    <row r="6" spans="1:5" x14ac:dyDescent="0.25">
      <c r="A6" t="s">
        <v>289</v>
      </c>
      <c r="B6">
        <v>9.8363684363219239E-2</v>
      </c>
      <c r="D6" t="s">
        <v>357</v>
      </c>
      <c r="E6" t="s">
        <v>358</v>
      </c>
    </row>
    <row r="7" spans="1:5" x14ac:dyDescent="0.25">
      <c r="A7" t="s">
        <v>290</v>
      </c>
      <c r="B7">
        <v>0.11418184218160962</v>
      </c>
      <c r="D7" t="s">
        <v>359</v>
      </c>
      <c r="E7" t="s">
        <v>360</v>
      </c>
    </row>
    <row r="8" spans="1:5" x14ac:dyDescent="0.25">
      <c r="A8" t="s">
        <v>291</v>
      </c>
      <c r="B8">
        <v>0.01</v>
      </c>
      <c r="D8" t="s">
        <v>361</v>
      </c>
      <c r="E8" t="s">
        <v>362</v>
      </c>
    </row>
    <row r="9" spans="1:5" x14ac:dyDescent="0.25">
      <c r="A9" t="s">
        <v>292</v>
      </c>
      <c r="B9">
        <v>1.4562066365591405E-2</v>
      </c>
      <c r="D9" t="s">
        <v>363</v>
      </c>
      <c r="E9" t="s">
        <v>362</v>
      </c>
    </row>
    <row r="10" spans="1:5" x14ac:dyDescent="0.25">
      <c r="A10" t="s">
        <v>293</v>
      </c>
      <c r="B10">
        <v>0.20564843605761052</v>
      </c>
      <c r="D10" t="s">
        <v>283</v>
      </c>
      <c r="E10" t="s">
        <v>362</v>
      </c>
    </row>
    <row r="11" spans="1:5" x14ac:dyDescent="0.25">
      <c r="A11" t="s">
        <v>294</v>
      </c>
      <c r="B11">
        <v>0.20564843605761052</v>
      </c>
      <c r="D11" t="s">
        <v>364</v>
      </c>
      <c r="E11" t="s">
        <v>362</v>
      </c>
    </row>
    <row r="12" spans="1:5" x14ac:dyDescent="0.25">
      <c r="A12" t="s">
        <v>295</v>
      </c>
      <c r="B12">
        <v>67.099999999999994</v>
      </c>
      <c r="D12" t="s">
        <v>365</v>
      </c>
      <c r="E12" t="s">
        <v>362</v>
      </c>
    </row>
    <row r="13" spans="1:5" x14ac:dyDescent="0.25">
      <c r="A13" t="s">
        <v>296</v>
      </c>
      <c r="B13">
        <v>58.629999999999995</v>
      </c>
      <c r="D13" t="s">
        <v>366</v>
      </c>
      <c r="E13" t="s">
        <v>362</v>
      </c>
    </row>
    <row r="14" spans="1:5" x14ac:dyDescent="0.25">
      <c r="A14" t="s">
        <v>297</v>
      </c>
      <c r="B14">
        <v>5</v>
      </c>
      <c r="D14" t="s">
        <v>367</v>
      </c>
      <c r="E14" t="s">
        <v>362</v>
      </c>
    </row>
    <row r="15" spans="1:5" x14ac:dyDescent="0.25">
      <c r="A15" t="s">
        <v>298</v>
      </c>
      <c r="B15">
        <v>43.5</v>
      </c>
      <c r="D15" t="s">
        <v>368</v>
      </c>
      <c r="E15" t="s">
        <v>369</v>
      </c>
    </row>
    <row r="16" spans="1:5" x14ac:dyDescent="0.25">
      <c r="A16" t="s">
        <v>299</v>
      </c>
      <c r="B16">
        <v>19.3</v>
      </c>
      <c r="D16" t="s">
        <v>370</v>
      </c>
      <c r="E16" t="s">
        <v>362</v>
      </c>
    </row>
    <row r="17" spans="1:5" x14ac:dyDescent="0.25">
      <c r="A17" t="s">
        <v>300</v>
      </c>
      <c r="B17">
        <v>40.79</v>
      </c>
      <c r="D17" t="s">
        <v>371</v>
      </c>
      <c r="E17" t="s">
        <v>362</v>
      </c>
    </row>
    <row r="18" spans="1:5" x14ac:dyDescent="0.25">
      <c r="A18" t="s">
        <v>301</v>
      </c>
      <c r="B18">
        <v>8.5172399999999993</v>
      </c>
      <c r="D18" t="s">
        <v>372</v>
      </c>
      <c r="E18" t="s">
        <v>362</v>
      </c>
    </row>
    <row r="19" spans="1:5" x14ac:dyDescent="0.25">
      <c r="A19" t="s">
        <v>302</v>
      </c>
      <c r="B19">
        <v>0.11</v>
      </c>
      <c r="D19" t="s">
        <v>373</v>
      </c>
      <c r="E19" t="s">
        <v>362</v>
      </c>
    </row>
    <row r="20" spans="1:5" x14ac:dyDescent="0.25">
      <c r="A20" t="s">
        <v>303</v>
      </c>
      <c r="B20">
        <v>3394</v>
      </c>
      <c r="D20" t="s">
        <v>374</v>
      </c>
      <c r="E20" t="s">
        <v>362</v>
      </c>
    </row>
    <row r="21" spans="1:5" x14ac:dyDescent="0.25">
      <c r="A21" t="s">
        <v>304</v>
      </c>
      <c r="B21">
        <v>122.375</v>
      </c>
      <c r="D21" t="s">
        <v>375</v>
      </c>
      <c r="E21" t="s">
        <v>362</v>
      </c>
    </row>
    <row r="22" spans="1:5" x14ac:dyDescent="0.25">
      <c r="A22" t="s">
        <v>305</v>
      </c>
      <c r="B22">
        <v>503.66</v>
      </c>
      <c r="D22" t="s">
        <v>376</v>
      </c>
      <c r="E22" t="s">
        <v>362</v>
      </c>
    </row>
    <row r="23" spans="1:5" x14ac:dyDescent="0.25">
      <c r="A23" t="s">
        <v>306</v>
      </c>
      <c r="B23">
        <v>0</v>
      </c>
      <c r="D23" t="s">
        <v>377</v>
      </c>
      <c r="E23" t="s">
        <v>369</v>
      </c>
    </row>
    <row r="24" spans="1:5" x14ac:dyDescent="0.25">
      <c r="A24" t="s">
        <v>307</v>
      </c>
      <c r="B24">
        <v>0</v>
      </c>
      <c r="D24" t="s">
        <v>378</v>
      </c>
      <c r="E24" t="s">
        <v>362</v>
      </c>
    </row>
    <row r="25" spans="1:5" x14ac:dyDescent="0.25">
      <c r="A25" t="s">
        <v>308</v>
      </c>
      <c r="B25">
        <v>0.2</v>
      </c>
      <c r="D25" t="s">
        <v>379</v>
      </c>
      <c r="E25" t="s">
        <v>362</v>
      </c>
    </row>
    <row r="26" spans="1:5" x14ac:dyDescent="0.25">
      <c r="A26" t="s">
        <v>309</v>
      </c>
      <c r="B26">
        <v>0.6</v>
      </c>
      <c r="D26" t="s">
        <v>380</v>
      </c>
      <c r="E26" t="s">
        <v>362</v>
      </c>
    </row>
    <row r="27" spans="1:5" x14ac:dyDescent="0.25">
      <c r="A27" t="s">
        <v>310</v>
      </c>
      <c r="B27">
        <v>0.2</v>
      </c>
      <c r="D27" t="s">
        <v>381</v>
      </c>
      <c r="E27" t="s">
        <v>362</v>
      </c>
    </row>
    <row r="28" spans="1:5" x14ac:dyDescent="0.25">
      <c r="D28" t="s">
        <v>382</v>
      </c>
      <c r="E28" t="s">
        <v>362</v>
      </c>
    </row>
    <row r="29" spans="1:5" x14ac:dyDescent="0.25">
      <c r="A29" t="s">
        <v>284</v>
      </c>
      <c r="B29" t="s">
        <v>21</v>
      </c>
    </row>
    <row r="30" spans="1:5" x14ac:dyDescent="0.25">
      <c r="A30" t="s">
        <v>283</v>
      </c>
      <c r="B30">
        <v>6.8010000000000001E-2</v>
      </c>
    </row>
    <row r="31" spans="1:5" x14ac:dyDescent="0.25">
      <c r="A31" t="s">
        <v>314</v>
      </c>
      <c r="B31">
        <v>7.4630000000000002E-2</v>
      </c>
    </row>
    <row r="32" spans="1:5" x14ac:dyDescent="0.25">
      <c r="A32" t="s">
        <v>311</v>
      </c>
    </row>
    <row r="33" spans="1:3" x14ac:dyDescent="0.25">
      <c r="A33" t="s">
        <v>312</v>
      </c>
    </row>
    <row r="34" spans="1:3" x14ac:dyDescent="0.25">
      <c r="A34" t="s">
        <v>313</v>
      </c>
    </row>
    <row r="35" spans="1:3" x14ac:dyDescent="0.25">
      <c r="A35" t="s">
        <v>315</v>
      </c>
      <c r="B35">
        <v>0.27</v>
      </c>
    </row>
    <row r="36" spans="1:3" x14ac:dyDescent="0.25">
      <c r="A36" t="s">
        <v>316</v>
      </c>
      <c r="B36">
        <v>0.6</v>
      </c>
    </row>
    <row r="37" spans="1:3" x14ac:dyDescent="0.25">
      <c r="A37" t="s">
        <v>317</v>
      </c>
      <c r="B37">
        <v>0.73229999999999995</v>
      </c>
    </row>
    <row r="38" spans="1:3" x14ac:dyDescent="0.25">
      <c r="A38" t="s">
        <v>318</v>
      </c>
      <c r="B38">
        <v>0.26770000000000005</v>
      </c>
    </row>
    <row r="40" spans="1:3" x14ac:dyDescent="0.25">
      <c r="A40" t="s">
        <v>319</v>
      </c>
      <c r="B40" t="s">
        <v>320</v>
      </c>
      <c r="C40" t="s">
        <v>321</v>
      </c>
    </row>
    <row r="41" spans="1:3" x14ac:dyDescent="0.25">
      <c r="A41" t="s">
        <v>164</v>
      </c>
      <c r="B41">
        <v>59.2</v>
      </c>
      <c r="C41">
        <v>-23.5</v>
      </c>
    </row>
    <row r="42" spans="1:3" x14ac:dyDescent="0.25">
      <c r="A42" t="s">
        <v>165</v>
      </c>
      <c r="B42">
        <v>97.75</v>
      </c>
      <c r="C42">
        <v>26.3</v>
      </c>
    </row>
    <row r="43" spans="1:3" x14ac:dyDescent="0.25">
      <c r="A43" t="s">
        <v>166</v>
      </c>
      <c r="B43">
        <v>161.41999999999999</v>
      </c>
      <c r="C43">
        <v>108.5</v>
      </c>
    </row>
    <row r="44" spans="1:3" x14ac:dyDescent="0.25">
      <c r="A44" t="s">
        <v>322</v>
      </c>
      <c r="B44">
        <v>102.78</v>
      </c>
      <c r="C44">
        <v>32.799999999999997</v>
      </c>
    </row>
    <row r="46" spans="1:3" x14ac:dyDescent="0.25">
      <c r="A46" t="s">
        <v>284</v>
      </c>
      <c r="B46" t="s">
        <v>21</v>
      </c>
    </row>
    <row r="47" spans="1:3" x14ac:dyDescent="0.25">
      <c r="A47" t="s">
        <v>323</v>
      </c>
      <c r="B47">
        <v>77.41</v>
      </c>
    </row>
    <row r="48" spans="1:3" x14ac:dyDescent="0.25">
      <c r="A48" t="s">
        <v>324</v>
      </c>
      <c r="B48">
        <v>9284</v>
      </c>
    </row>
    <row r="49" spans="1:10" x14ac:dyDescent="0.25">
      <c r="A49" t="s">
        <v>325</v>
      </c>
      <c r="B49">
        <v>12664</v>
      </c>
    </row>
    <row r="50" spans="1:10" x14ac:dyDescent="0.25">
      <c r="A50" t="s">
        <v>326</v>
      </c>
      <c r="B50">
        <v>11.218840999999999</v>
      </c>
    </row>
    <row r="51" spans="1:10" x14ac:dyDescent="0.25">
      <c r="A51" t="s">
        <v>327</v>
      </c>
      <c r="B51">
        <v>11.284323000000001</v>
      </c>
    </row>
    <row r="52" spans="1:10" x14ac:dyDescent="0.25">
      <c r="A52" t="s">
        <v>328</v>
      </c>
      <c r="B52">
        <v>10.066000000000001</v>
      </c>
    </row>
    <row r="53" spans="1:10" x14ac:dyDescent="0.25">
      <c r="A53" t="s">
        <v>329</v>
      </c>
      <c r="B53">
        <v>93.769229999999993</v>
      </c>
    </row>
    <row r="54" spans="1:10" x14ac:dyDescent="0.25">
      <c r="A54" t="s">
        <v>330</v>
      </c>
      <c r="B54" t="s">
        <v>340</v>
      </c>
    </row>
    <row r="56" spans="1:10" x14ac:dyDescent="0.25">
      <c r="A56" t="s">
        <v>282</v>
      </c>
      <c r="B56" t="s">
        <v>331</v>
      </c>
      <c r="C56" t="s">
        <v>324</v>
      </c>
      <c r="D56" t="s">
        <v>332</v>
      </c>
      <c r="E56" t="s">
        <v>333</v>
      </c>
      <c r="F56" t="s">
        <v>334</v>
      </c>
      <c r="G56" t="s">
        <v>335</v>
      </c>
      <c r="H56" t="s">
        <v>336</v>
      </c>
      <c r="I56" t="s">
        <v>337</v>
      </c>
      <c r="J56" t="s">
        <v>338</v>
      </c>
    </row>
    <row r="57" spans="1:10" x14ac:dyDescent="0.25">
      <c r="A57" t="s">
        <v>341</v>
      </c>
      <c r="C57">
        <v>11474.226414000001</v>
      </c>
      <c r="D57">
        <v>16930.897413999999</v>
      </c>
      <c r="E57">
        <v>9162.866</v>
      </c>
      <c r="F57">
        <v>1105.963</v>
      </c>
      <c r="G57">
        <v>24.243469999999999</v>
      </c>
      <c r="H57">
        <v>14.059279999999999</v>
      </c>
      <c r="I57">
        <v>13.53627</v>
      </c>
      <c r="J57">
        <v>21.424330000000001</v>
      </c>
    </row>
    <row r="58" spans="1:10" x14ac:dyDescent="0.25">
      <c r="A58" t="s">
        <v>342</v>
      </c>
      <c r="C58">
        <v>15365.953015200001</v>
      </c>
      <c r="D58">
        <v>21903.953015200001</v>
      </c>
      <c r="E58">
        <v>17329</v>
      </c>
      <c r="F58">
        <v>2404</v>
      </c>
      <c r="G58">
        <v>10.93238</v>
      </c>
      <c r="H58">
        <v>8.3850899999999999</v>
      </c>
      <c r="I58">
        <v>8.8091600000000003</v>
      </c>
      <c r="J58">
        <v>11.174149999999999</v>
      </c>
    </row>
    <row r="59" spans="1:10" x14ac:dyDescent="0.25">
      <c r="A59" t="s">
        <v>343</v>
      </c>
      <c r="C59">
        <v>4811.5248842000001</v>
      </c>
      <c r="D59">
        <v>7377.5248842000001</v>
      </c>
      <c r="E59">
        <v>7291</v>
      </c>
      <c r="F59">
        <v>737</v>
      </c>
      <c r="G59">
        <v>8.8916400000000007</v>
      </c>
      <c r="H59">
        <v>9.2219099999999994</v>
      </c>
      <c r="I59">
        <v>10.001099999999999</v>
      </c>
      <c r="J59">
        <v>12.799670000000001</v>
      </c>
    </row>
    <row r="60" spans="1:10" x14ac:dyDescent="0.25">
      <c r="A60" t="s">
        <v>344</v>
      </c>
      <c r="C60">
        <v>5585.0710751999995</v>
      </c>
      <c r="D60">
        <v>9178.0710751999995</v>
      </c>
      <c r="E60">
        <v>14201</v>
      </c>
      <c r="F60">
        <v>998</v>
      </c>
      <c r="G60">
        <v>0.59946999999999995</v>
      </c>
      <c r="H60">
        <v>7.7846200000000003</v>
      </c>
      <c r="I60">
        <v>8.0445499999999992</v>
      </c>
      <c r="J60">
        <v>38.133749999999999</v>
      </c>
    </row>
    <row r="61" spans="1:10" x14ac:dyDescent="0.25">
      <c r="A61" t="s">
        <v>345</v>
      </c>
      <c r="C61">
        <v>6065.682084</v>
      </c>
      <c r="D61">
        <v>7572.2070839999997</v>
      </c>
      <c r="E61">
        <v>6301.0609999999997</v>
      </c>
      <c r="F61">
        <v>523.76800000000003</v>
      </c>
      <c r="G61">
        <v>2.0922700000000001</v>
      </c>
      <c r="H61">
        <v>12.34545</v>
      </c>
      <c r="I61">
        <v>11.602830000000001</v>
      </c>
      <c r="J61">
        <v>27.099820000000001</v>
      </c>
    </row>
    <row r="62" spans="1:10" x14ac:dyDescent="0.25">
      <c r="A62" t="s">
        <v>346</v>
      </c>
      <c r="C62">
        <v>4544.1521664000002</v>
      </c>
      <c r="D62">
        <v>6968.1521664000002</v>
      </c>
      <c r="E62">
        <v>7691</v>
      </c>
      <c r="F62">
        <v>654</v>
      </c>
      <c r="G62">
        <v>3.3891200000000001</v>
      </c>
      <c r="H62">
        <v>6.5490199999999996</v>
      </c>
      <c r="I62">
        <v>6.9724399999999997</v>
      </c>
      <c r="J62">
        <v>10.57502</v>
      </c>
    </row>
    <row r="63" spans="1:10" x14ac:dyDescent="0.25">
      <c r="A63" t="s">
        <v>347</v>
      </c>
      <c r="C63">
        <v>4688.9212427999992</v>
      </c>
      <c r="D63">
        <v>5497.6362427999993</v>
      </c>
      <c r="E63">
        <v>3873.92</v>
      </c>
      <c r="F63">
        <v>445.26900000000001</v>
      </c>
      <c r="G63">
        <v>8.4460099999999994</v>
      </c>
      <c r="H63">
        <v>10.67535</v>
      </c>
      <c r="I63">
        <v>12.60744</v>
      </c>
      <c r="J63">
        <v>18.774560000000001</v>
      </c>
    </row>
    <row r="64" spans="1:10" x14ac:dyDescent="0.25">
      <c r="A64" t="s">
        <v>348</v>
      </c>
      <c r="C64">
        <v>1317.2601368000001</v>
      </c>
      <c r="D64">
        <v>1917.0921367999999</v>
      </c>
      <c r="E64">
        <v>1822.7329999999999</v>
      </c>
      <c r="F64">
        <v>198.46299999999999</v>
      </c>
      <c r="G64">
        <v>4.6288600000000004</v>
      </c>
      <c r="H64">
        <v>8.8328600000000002</v>
      </c>
      <c r="I64">
        <v>8.9261199999999992</v>
      </c>
      <c r="J64">
        <v>15.718780000000001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C3796-6234-4D44-A13C-B637AB157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Cover</vt:lpstr>
      <vt:lpstr>Assumptions</vt:lpstr>
      <vt:lpstr>DCF_Base</vt:lpstr>
      <vt:lpstr>DCF_Bear</vt:lpstr>
      <vt:lpstr>DCF_Bull</vt:lpstr>
      <vt:lpstr>Equity_Bridge</vt:lpstr>
      <vt:lpstr>Comps</vt:lpstr>
      <vt:lpstr>Sensitivity</vt:lpstr>
      <vt:lpstr>QoE</vt:lpstr>
      <vt:lpstr>Output</vt:lpstr>
      <vt:lpstr>Config</vt:lpstr>
      <vt:lpstr>_Data</vt:lpstr>
      <vt:lpstr>as_of_date</vt:lpstr>
      <vt:lpstr>json_path</vt:lpstr>
      <vt:lpstr>Price</vt:lpstr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2026-03-09T23:24:38Z</dcterms:created>
  <dcterms:modified xsi:type="dcterms:W3CDTF">2026-06-14T20:09:38Z</dcterms:modified>
</cp:coreProperties>
</file>